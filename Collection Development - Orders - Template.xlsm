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Ordering/"/>
    </mc:Choice>
  </mc:AlternateContent>
  <xr:revisionPtr revIDLastSave="905" documentId="8_{677BC35A-4D59-402A-824C-55E316D14D40}" xr6:coauthVersionLast="47" xr6:coauthVersionMax="47" xr10:uidLastSave="{99B547F3-BCFA-4B72-9B7A-BBCFE8ECB118}"/>
  <bookViews>
    <workbookView xWindow="-120" yWindow="-120" windowWidth="29040" windowHeight="15840" xr2:uid="{3F73EF3F-DCF4-4B94-9F4F-509400B7C5B3}"/>
  </bookViews>
  <sheets>
    <sheet name="Orders" sheetId="1" r:id="rId1"/>
    <sheet name="Guide" sheetId="17" r:id="rId2"/>
    <sheet name="Slips" sheetId="16" r:id="rId3"/>
    <sheet name="s-Format" sheetId="10" r:id="rId4"/>
    <sheet name="s-Assign" sheetId="11" r:id="rId5"/>
    <sheet name="s-Series" sheetId="14" r:id="rId6"/>
    <sheet name="s-Pub" sheetId="12" r:id="rId7"/>
    <sheet name="s-Date" sheetId="2" r:id="rId8"/>
    <sheet name="Subject Analysis" sheetId="9" r:id="rId9"/>
    <sheet name="Subj. Process" sheetId="15" r:id="rId10"/>
    <sheet name="Data Validation" sheetId="5" r:id="rId11"/>
    <sheet name="License" sheetId="18" r:id="rId12"/>
  </sheets>
  <definedNames>
    <definedName name="_xlnm._FilterDatabase" localSheetId="8" hidden="1">'Subject Analysis'!#REF!</definedName>
    <definedName name="Orders" localSheetId="1">Guide!$B$9:$AD$201</definedName>
    <definedName name="Orders">Orders!$A$6:$AC$200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 i="1" l="1"/>
  <c r="AF3" i="1" a="1"/>
  <c r="AF3" i="1" s="1"/>
  <c r="Z6" i="2"/>
  <c r="Z7" i="2"/>
  <c r="AA6" i="2"/>
  <c r="AA7" i="2"/>
  <c r="B2" i="14"/>
  <c r="B3" i="14"/>
  <c r="B4" i="14"/>
  <c r="B5" i="14"/>
  <c r="B6" i="14"/>
  <c r="B7" i="14"/>
  <c r="B8" i="14"/>
  <c r="B9" i="14"/>
  <c r="B10" i="14"/>
  <c r="AG6" i="17" l="1" a="1"/>
  <c r="AG6" i="17" s="1"/>
  <c r="AG5" i="17" a="1"/>
  <c r="AG5" i="17" s="1"/>
  <c r="Z5" i="17"/>
  <c r="Z4" i="2" l="1"/>
  <c r="Z5" i="2"/>
  <c r="Z3" i="2"/>
  <c r="AA2" i="2"/>
  <c r="B2" i="2"/>
  <c r="B3" i="2"/>
  <c r="B4" i="2"/>
  <c r="B5" i="2"/>
  <c r="B6" i="2"/>
  <c r="B7" i="2"/>
  <c r="B8" i="2"/>
  <c r="B9" i="2"/>
  <c r="B10" i="2"/>
  <c r="B11" i="2" l="1"/>
  <c r="AA4" i="2"/>
  <c r="AA3" i="2"/>
  <c r="AA5" i="2"/>
  <c r="AF2" i="1" a="1"/>
  <c r="AF2" i="1" s="1"/>
  <c r="AA8" i="2" l="1"/>
  <c r="C5" i="2"/>
  <c r="C7" i="2"/>
  <c r="C8" i="2"/>
  <c r="C10" i="2"/>
  <c r="C4" i="2"/>
  <c r="C2" i="2"/>
  <c r="C9" i="2"/>
  <c r="C6" i="2"/>
  <c r="C3" i="2"/>
  <c r="AB6" i="2" l="1"/>
  <c r="AB7" i="2"/>
  <c r="AB3" i="2"/>
  <c r="AB4" i="2"/>
  <c r="AB5" i="2"/>
  <c r="AB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H5" authorId="0" shapeId="0" xr:uid="{98C0DD90-7D65-407D-8D72-3D32DCB127F2}">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N5" authorId="0" shapeId="0" xr:uid="{37A5ADF3-B2D3-4A0B-9A34-C673C8B56FD3}">
      <text>
        <r>
          <rPr>
            <b/>
            <sz val="9"/>
            <color indexed="81"/>
            <rFont val="Tahoma"/>
            <family val="2"/>
          </rPr>
          <t>Adam H. Lisbon:</t>
        </r>
        <r>
          <rPr>
            <sz val="9"/>
            <color indexed="81"/>
            <rFont val="Tahoma"/>
            <family val="2"/>
          </rPr>
          <t xml:space="preserve">
Book sets will have multiple ISBN's.
When pulling bib data from WorldCat.org, the ISBNs are usually in order of the volume numbers You could manually isolate the ISBN you need.
The same is true when pulling data from FirstSearch. Though data pulled from there may explictily lavel the volume the ISBN references.
</t>
        </r>
      </text>
    </comment>
    <comment ref="Q5" authorId="0" shapeId="0" xr:uid="{26FD99D3-D4ED-4A74-87DF-EDCF6A75F6AA}">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V5" authorId="0" shapeId="0" xr:uid="{9E1D1FA4-36C3-4C36-9E98-DA1C8021D970}">
      <text>
        <r>
          <rPr>
            <b/>
            <sz val="9"/>
            <color indexed="81"/>
            <rFont val="Tahoma"/>
            <family val="2"/>
          </rPr>
          <t xml:space="preserve">Adam H. Lisbon:
Non-Roman series titles can only be obtained in FirstSearch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O6" authorId="0" shapeId="0" xr:uid="{03C78631-DC59-4BDF-AB3D-C6EFB0828ACA}">
      <text>
        <r>
          <rPr>
            <b/>
            <sz val="9"/>
            <color indexed="81"/>
            <rFont val="Tahoma"/>
            <family val="2"/>
          </rPr>
          <t>Adam H. Lisbon:</t>
        </r>
        <r>
          <rPr>
            <sz val="9"/>
            <color indexed="81"/>
            <rFont val="Tahoma"/>
            <family val="2"/>
          </rPr>
          <t xml:space="preserve">
If a cell is red, there is a duplicate.</t>
        </r>
      </text>
    </comment>
    <comment ref="C8" authorId="0" shapeId="0" xr:uid="{D089378F-0B40-4634-A320-7491BF738358}">
      <text>
        <r>
          <rPr>
            <b/>
            <sz val="9"/>
            <color indexed="81"/>
            <rFont val="Tahoma"/>
            <family val="2"/>
          </rPr>
          <t>Adam H. Lisbon:</t>
        </r>
        <r>
          <rPr>
            <sz val="9"/>
            <color indexed="81"/>
            <rFont val="Tahoma"/>
            <family val="2"/>
          </rPr>
          <t xml:space="preserve">
Use for monographs or serials. Asian serials will often have a sequential # (total issues published so far) in addition to the volume and issue number.
Serials with all 3 will be formatted as:
1/1/1
Serials with only volume and issue will be formatted as:
1/1
OR
1 (if volume only)
Any other combo with missing data should use "?":
?/?/296
OR
3/?/709
etc.</t>
        </r>
      </text>
    </comment>
    <comment ref="D8" authorId="0" shapeId="0" xr:uid="{5BA60521-15F1-4356-97DF-E89B1FCB972F}">
      <text>
        <r>
          <rPr>
            <b/>
            <sz val="9"/>
            <color indexed="81"/>
            <rFont val="Tahoma"/>
            <family val="2"/>
          </rPr>
          <t>Adam H. Lisbon:</t>
        </r>
        <r>
          <rPr>
            <sz val="9"/>
            <color indexed="81"/>
            <rFont val="Tahoma"/>
            <family val="2"/>
          </rPr>
          <t xml:space="preserve">
Common to see two or three volume sets with:
上 = volume 1
下 = volume 2
or
上 = volume 1
中 = volume 2
下 = volume 3
Keep in mind that if you only have the 上 volume, you do not yet know if t's a 2 or 3 volume set.
These kinds of set can appear withing a larger multivolume set.</t>
        </r>
      </text>
    </comment>
    <comment ref="E8" authorId="0" shapeId="0" xr:uid="{8BA7E092-0A0F-4739-9B62-24C13ACAF67C}">
      <text>
        <r>
          <rPr>
            <b/>
            <sz val="9"/>
            <color indexed="81"/>
            <rFont val="Tahoma"/>
            <family val="2"/>
          </rPr>
          <t>Adam H. Lisbon:</t>
        </r>
        <r>
          <rPr>
            <sz val="9"/>
            <color indexed="81"/>
            <rFont val="Tahoma"/>
            <family val="2"/>
          </rPr>
          <t xml:space="preserve">
Number of volumes in the donation, a second number in ( ) is how many items were published in the set. Only for sets intended to terminate, not serials.</t>
        </r>
      </text>
    </comment>
    <comment ref="G8" authorId="0" shapeId="0" xr:uid="{3DAF1A81-8972-49F7-A6B5-D6875917C353}">
      <text>
        <r>
          <rPr>
            <b/>
            <sz val="9"/>
            <color indexed="81"/>
            <rFont val="Tahoma"/>
            <family val="2"/>
          </rPr>
          <t>Adam H. Lisbon:</t>
        </r>
        <r>
          <rPr>
            <sz val="9"/>
            <color indexed="81"/>
            <rFont val="Tahoma"/>
            <family val="2"/>
          </rPr>
          <t xml:space="preserve">
Any format with "other" mentioned usually implies something atypical or unusual about the item.</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<sst xmlns="http://schemas.openxmlformats.org/spreadsheetml/2006/main" count="1921" uniqueCount="311">
  <si>
    <t>¥ / ₩ ⇄ $</t>
  </si>
  <si>
    <t>Provenance:</t>
  </si>
  <si>
    <t>◀ Total Value</t>
  </si>
  <si>
    <t>Volume Data</t>
  </si>
  <si>
    <t>-</t>
  </si>
  <si>
    <t>Duplicate Check</t>
  </si>
  <si>
    <t>Unique Identifiers</t>
  </si>
  <si>
    <t>Bibliographic Data</t>
  </si>
  <si>
    <t>11</t>
  </si>
  <si>
    <t>Key</t>
  </si>
  <si>
    <t>Volume # / Issue# / Sequence #</t>
  </si>
  <si>
    <t>上
中
下</t>
  </si>
  <si>
    <t>Cross Ref
to Key #</t>
  </si>
  <si>
    <t>Format</t>
  </si>
  <si>
    <t>Note</t>
  </si>
  <si>
    <t>URL for Price Check</t>
  </si>
  <si>
    <t>Collection</t>
  </si>
  <si>
    <t>j</t>
  </si>
  <si>
    <t>Dupe
ISBN
Check</t>
  </si>
  <si>
    <t>Dupe
Title
Check</t>
  </si>
  <si>
    <t>Dupe
WorldCat
Check</t>
  </si>
  <si>
    <t>ISBN13#/
ISSN#</t>
  </si>
  <si>
    <t>ISBN10#/
ISSN#</t>
  </si>
  <si>
    <t>OCLC#</t>
  </si>
  <si>
    <t>Title (V)</t>
  </si>
  <si>
    <t>Title (R/E)</t>
  </si>
  <si>
    <t>Creator (R/E)</t>
  </si>
  <si>
    <t>Creator (V)</t>
  </si>
  <si>
    <t>Series</t>
  </si>
  <si>
    <t>Publisher (R/E)</t>
  </si>
  <si>
    <t>Publisher (V)</t>
  </si>
  <si>
    <t>Value (Estimate)
$USD</t>
  </si>
  <si>
    <t>⇄</t>
  </si>
  <si>
    <t>$
¥
₩</t>
  </si>
  <si>
    <t>Value (Estimate)
¥ or ₩</t>
  </si>
  <si>
    <t>Subject
Headings</t>
  </si>
  <si>
    <t>Issues to think about
including debugging macro</t>
  </si>
  <si>
    <t>Serial - Other</t>
  </si>
  <si>
    <t>n/a</t>
  </si>
  <si>
    <t>pascal</t>
  </si>
  <si>
    <t>Book</t>
  </si>
  <si>
    <t>asnst</t>
  </si>
  <si>
    <t>dupe</t>
  </si>
  <si>
    <t>上</t>
  </si>
  <si>
    <t>Book - Part of Set</t>
  </si>
  <si>
    <t>下</t>
  </si>
  <si>
    <t>Serial - Journal</t>
  </si>
  <si>
    <t>reject</t>
  </si>
  <si>
    <t>Other</t>
  </si>
  <si>
    <t>Publishers</t>
  </si>
  <si>
    <t>Grand Total</t>
  </si>
  <si>
    <t>Collection
Locations</t>
  </si>
  <si>
    <t>Material
Formats</t>
  </si>
  <si>
    <t>Asian Style Volume Count</t>
  </si>
  <si>
    <t>artst</t>
  </si>
  <si>
    <t>asnref</t>
  </si>
  <si>
    <t>中</t>
  </si>
  <si>
    <t>asnser</t>
  </si>
  <si>
    <t>CD - Audio</t>
  </si>
  <si>
    <t>CD - Data</t>
  </si>
  <si>
    <t>CD - Music</t>
  </si>
  <si>
    <t>norst</t>
  </si>
  <si>
    <t>CD - Program</t>
  </si>
  <si>
    <t>Ephemera</t>
  </si>
  <si>
    <t>web</t>
  </si>
  <si>
    <t>Graphic - Poster</t>
  </si>
  <si>
    <t>Map</t>
  </si>
  <si>
    <t>Photograph</t>
  </si>
  <si>
    <t>Serial - Magazine</t>
  </si>
  <si>
    <t>Serial - Newspaper</t>
  </si>
  <si>
    <t>Uncertain</t>
  </si>
  <si>
    <t>eMail</t>
  </si>
  <si>
    <t>PubDate</t>
  </si>
  <si>
    <t>Assigned Collection</t>
  </si>
  <si>
    <t>CD - Other</t>
  </si>
  <si>
    <t>Count</t>
  </si>
  <si>
    <t>Pub Date</t>
  </si>
  <si>
    <t>%</t>
  </si>
  <si>
    <t>Total</t>
  </si>
  <si>
    <t>Start of Decade</t>
  </si>
  <si>
    <t>End of Decade</t>
  </si>
  <si>
    <t>Labels</t>
  </si>
  <si>
    <t>What to Do</t>
  </si>
  <si>
    <t>Step</t>
  </si>
  <si>
    <t>b</t>
  </si>
  <si>
    <t>2</t>
  </si>
  <si>
    <t>1</t>
  </si>
  <si>
    <t>?</t>
  </si>
  <si>
    <t>も.7.28.1</t>
  </si>
  <si>
    <t>も.7.28.2</t>
  </si>
  <si>
    <t>も.7.28.3</t>
  </si>
  <si>
    <t>も.7.28.4</t>
  </si>
  <si>
    <t>も.7.28.5</t>
  </si>
  <si>
    <t>も.7.28.6</t>
  </si>
  <si>
    <t>も.7.28.7</t>
  </si>
  <si>
    <t>も.7.28.8</t>
  </si>
  <si>
    <t>も.7.28.9</t>
  </si>
  <si>
    <t>も.7.28.10</t>
  </si>
  <si>
    <t>も.7.28.11</t>
  </si>
  <si>
    <t>も.7.28.14</t>
  </si>
  <si>
    <t>も.7.28.15</t>
  </si>
  <si>
    <t>も.7.28.16</t>
  </si>
  <si>
    <t>も.7.28.17</t>
  </si>
  <si>
    <t>も.7.28.18</t>
  </si>
  <si>
    <t>も.7.28.19</t>
  </si>
  <si>
    <t>も.7.28.20</t>
  </si>
  <si>
    <t>も.7.28.21</t>
  </si>
  <si>
    <t>も.7.28.22</t>
  </si>
  <si>
    <t>も.7.28.23</t>
  </si>
  <si>
    <t>も.7.28.24</t>
  </si>
  <si>
    <t>も.7.28.27</t>
  </si>
  <si>
    <t>も.7.28.28</t>
  </si>
  <si>
    <t>も.7.28.29</t>
  </si>
  <si>
    <t>も.7.28.30</t>
  </si>
  <si>
    <t>も.7.28.31</t>
  </si>
  <si>
    <t>891 milesMap It</t>
  </si>
  <si>
    <t>Comic</t>
  </si>
  <si>
    <t>Comic - Part of Set</t>
  </si>
  <si>
    <t>Location:</t>
  </si>
  <si>
    <t>Key# on Spreadsheet:</t>
  </si>
  <si>
    <t>Lisbon Approved</t>
  </si>
  <si>
    <t>OCLC or CiNii/NCID#</t>
  </si>
  <si>
    <t>Vol:
Note:</t>
  </si>
  <si>
    <t>of:</t>
  </si>
  <si>
    <t>🦩</t>
  </si>
  <si>
    <t>Donation</t>
  </si>
  <si>
    <t>Paste Note Data in this Column</t>
  </si>
  <si>
    <t>These macros only work if you have been using the "WorldCat to Spreadsheet" AutoHotKey script to populate the "Orders" sheet</t>
  </si>
  <si>
    <t>What it Does</t>
  </si>
  <si>
    <t>Paste to column A, Row 1, of the "Subject Analysis" sheet by using the command ctrl+alt+v and selecting "values"</t>
  </si>
  <si>
    <t>macro</t>
  </si>
  <si>
    <t>Press Alt+F8 and run the macro "Delimit Subject and Move to Column A"</t>
  </si>
  <si>
    <t>Finds the " ; " text string to separate all subject headings into their own cells</t>
  </si>
  <si>
    <t>▲ Run this macro repeatedly until you get an error window and select "end"</t>
  </si>
  <si>
    <t>Press Alt+F8 and run the macro "Move Remaining Columns with Only One Subject"</t>
  </si>
  <si>
    <t>Grabs the "stragglers" the previous macro couldn't move into column A</t>
  </si>
  <si>
    <t>▲ Double check column B is empty, move to cell B1 and press ctrl+down arrow. If you go all the way to the bottom of the sheet, thand all data has been coalesced into column A. Press ctrl+home to return to cell A1</t>
  </si>
  <si>
    <t>Press Alt+F8 and run the macro "Find Replace Time Dedupe Select"</t>
  </si>
  <si>
    <t>Cleans up the data, and creates a new set of data with all the unique values, this is used to create a table and chart</t>
  </si>
  <si>
    <t>table</t>
  </si>
  <si>
    <t>Do not unselect the selected cells, go to Insert &gt;&gt; Table &gt;&gt; OK</t>
  </si>
  <si>
    <t>chart</t>
  </si>
  <si>
    <t>while the new table is highlight got to Insert &gt;&gt; Chart &gt;&gt; Insert Column or Bar Chart &gt;&gt; Select the first icon under "2D Bar"</t>
  </si>
  <si>
    <t>▲ While the new chart is selected, go to Format &gt;&gt; Align &gt;&gt; make sure "Snap to grid is activated</t>
  </si>
  <si>
    <t>▲ Move the chart and expand its size to line up with the left and right edges of columns F and N respectively</t>
  </si>
  <si>
    <t>▲ The data in the chart can be quite large, expand the size of the chart downward until you are happy with the data being displayed in enough detail</t>
  </si>
  <si>
    <t>▲ In the cell that says "column 2" - click the drop arrow and select "Sort Largest to Smallest"</t>
  </si>
  <si>
    <t>Puts most common subject headings at the top of the chart and table</t>
  </si>
  <si>
    <t>Makes the chart readable. You can also select "Format" while the chart is selected and quickly type the height in inches to expand it rapedly for massive data sets</t>
  </si>
  <si>
    <t>Press Alt+F8 to run the macro "Delimit Subject to Sub-Subject in Column P"</t>
  </si>
  <si>
    <t>Copies subject headings in column A and further delimits them based on the " -- " text string</t>
  </si>
  <si>
    <t>Press Alt+F8 and run the macro "Move Sub Subject to Column P"</t>
  </si>
  <si>
    <t>Moves the new delimited text in the columns to the right of column P into column P</t>
  </si>
  <si>
    <t>Press Alt+F8 and run the macro "Move Remaining Columns with Only One Sub Subject"</t>
  </si>
  <si>
    <t>Grabs the "stragglers" the previous macro couldn't move into column P</t>
  </si>
  <si>
    <t>Press Alt+F8 and run the macro "Prepare for Table and Chart"</t>
  </si>
  <si>
    <t>Press Alt+F8 and run the macro "Final Cleanup"</t>
  </si>
  <si>
    <t>Renames and resizes table colums</t>
  </si>
  <si>
    <t>Donation Name - Date Received</t>
  </si>
  <si>
    <t>Sheet Title</t>
  </si>
  <si>
    <t>Broad Category Names</t>
  </si>
  <si>
    <t>Convenience only, you can delete. Numbers are useful refernces for coding macro scripts</t>
  </si>
  <si>
    <t>Headers: Columns are optimized for my work at CU Boulder. Some columns can be changed, others cannot, because my macros will place data in specific columns. Columns my macros do not use can be customized to local needs. See explanation in the row below.</t>
  </si>
  <si>
    <t>"Modular columns" can have their headings changes to whatever you would like. "Standardized" columns cannot be used for another purchase as they are populated by my macros.</t>
  </si>
  <si>
    <t>Formatting: How each column is formatted: text, number, etc.</t>
  </si>
  <si>
    <t>Conditional Formatting: each row has conditional formatting already set up. You can opt to clear all of these if you would like. Each column in this row has an explanation of what the conditional formatting does and why.</t>
  </si>
  <si>
    <t>▲ The standard value for when information isn't available is "n/a" This value is used by my macros, so all cells are formatted to change the cell to a white backgorund with light grey text if the value is "n/a"</t>
  </si>
  <si>
    <t>Data Validation:</t>
  </si>
  <si>
    <t>▲ See the data validation sheet for how we validate data.</t>
  </si>
  <si>
    <t>Key Excel features that are important to know to use this spreadsheet:</t>
  </si>
  <si>
    <t>▲ Tables: the data MUST be in a table to use in tandem with my macros</t>
  </si>
  <si>
    <t>▲ Pivot tables: the other sheets in this workbook use pivot tables, and rely on "standardized" columns for data</t>
  </si>
  <si>
    <t>▲ Accessing Macros, press ALT+F8 to see the Subject Analysis macros, they should only ever be run in the "Subject Analysis" sheet.</t>
  </si>
  <si>
    <t>▲ Data Validation, how to create values for data validation and apply them to another set of cells within the workbook</t>
  </si>
  <si>
    <t>(blank)</t>
  </si>
  <si>
    <t>modular</t>
  </si>
  <si>
    <t>standardized</t>
  </si>
  <si>
    <t>text</t>
  </si>
  <si>
    <t>number, no decimal places</t>
  </si>
  <si>
    <t>number, accounting</t>
  </si>
  <si>
    <t>general</t>
  </si>
  <si>
    <t>none</t>
  </si>
  <si>
    <t>turns blue and underlined if anythign is written here</t>
  </si>
  <si>
    <t>appears red if BLANK, to remind me I NEED to put data here for Acquistions and Cataloging</t>
  </si>
  <si>
    <t>turns yellow if there is a space, WorldCat records with multiple ISBNs will put multiple ISBNs here. The yellow text is an alert to this. Turns red if a duplicate value appears in the column. Turns white if "n/a" is written</t>
  </si>
  <si>
    <t>general, red by default as this number is a high priority for keeping the donation organized</t>
  </si>
  <si>
    <t>general, red by default</t>
  </si>
  <si>
    <t>turns yellow if anything is written here</t>
  </si>
  <si>
    <t>turns yellow if there is a space, WorldCat records with multiple ISBNs will put multiple ISBNs here with a space between them. Turns red if a duplicate value appears in the column. Turns white if "n/a" is written</t>
  </si>
  <si>
    <t>turns red if a duplicate value appears in the column. Turns yellow if there is a space</t>
  </si>
  <si>
    <t xml:space="preserve">Tutorial: Column A covers a topic and each cell in the row explains the special parameters for each column </t>
  </si>
  <si>
    <t>yes</t>
  </si>
  <si>
    <t>a simple number, the number here matches the number written on the slip that's inserted into the book, this lets colleagues who can't read an item in a foreign script find it on the spreadsheet if they need to consult for further information</t>
  </si>
  <si>
    <t>specific to the ennumeration of Asian language materials, see note in cell D7</t>
  </si>
  <si>
    <t>ennumeration from the item if it relevant, useful for large monograph sets or serials, see note in cell C7</t>
  </si>
  <si>
    <t xml:space="preserve">of Total Volumes </t>
  </si>
  <si>
    <t>multivolume sets are very common in Asian publishing, further clarifies the extent of holdings being received</t>
  </si>
  <si>
    <t>if two items have a distinct relationship, or a are dupes, this helps clarify what other rows to look at, used in tandem with note field</t>
  </si>
  <si>
    <t>what type of object the donations is, helpful for filtering the donation in the future when trying to recall specific items</t>
  </si>
  <si>
    <t>Anything can be written here, and it is often a catch all for any data that can't fit anywhere else. I add notes for myself and notes for Acquisitions / Cataloging</t>
  </si>
  <si>
    <t>if the item has an ISBN, a link to Amazon.com or Amazon.jp will generate here. Used to assess the value of the donation</t>
  </si>
  <si>
    <t>what collection the book should be added to, cataloging finds this especially helpful</t>
  </si>
  <si>
    <t>this column must remain to preserve the order of the columns, the macros I use need the spreadsheet to have 29 columns or else data will be put in the wrong places</t>
  </si>
  <si>
    <t>I run a macro customized just for CU Boulder to check our catalog if we may already own a book. Checking with an ISBN is great for new books, but not for older books with no ISBN. If there is a dupe the URL form the catalog is pasted</t>
  </si>
  <si>
    <t>I run a macro customized just for CU Boulder to check our catalog if we may already own a book. Title checks can give misleading results, but are necessary as sometimes ISBN checks do not work. Also necessessary for older books. If there is a dupe the URL form the catalog is pasted</t>
  </si>
  <si>
    <t>I run a macro that when looking at WorldCat, checks if WorldCat sees the book at CU or not</t>
  </si>
  <si>
    <t>Just the ISBN-13</t>
  </si>
  <si>
    <t>Just the ISBN-10</t>
  </si>
  <si>
    <t>Just the OCLC#</t>
  </si>
  <si>
    <t>Title of a book/object as it's written in it's original non-Latin script</t>
  </si>
  <si>
    <t>Title of a book/object as it's romanized, or the title of a book already written with Latin letters</t>
  </si>
  <si>
    <t>Creator's name as they write it in it's original non-Latin script</t>
  </si>
  <si>
    <t>Creator's name as it's romanized, or their name already written with Latin letters</t>
  </si>
  <si>
    <t>Series data if available</t>
  </si>
  <si>
    <t>Publisher's name as it's written in it's original non-Latin script</t>
  </si>
  <si>
    <t>Publisher's name as it's romanized, or as it's already written with Latin letters</t>
  </si>
  <si>
    <t>Year the item was published</t>
  </si>
  <si>
    <t>The price somethin in USD from an online retail outlet. It is only an estimate to have a sense of how many funds have been spent</t>
  </si>
  <si>
    <t>Defunct, will be removed in future versions of this spreadsheet</t>
  </si>
  <si>
    <t>Currency symbol based on what overseas souce I am using. This is also important for certain macros and Excel formulas because it dictates how a macro may run or a whether an Excel formula will sum the price or not</t>
  </si>
  <si>
    <t>The price of something in overseas currencies if it is being bought abroad</t>
  </si>
  <si>
    <t>Subject headings of the item. This column will be moved to the right of the "pub date" column in a future version of this spreadsheet</t>
  </si>
  <si>
    <t>◀ Can be deleted, these are real time currency exchange rates, you can also change them to another currency that is more relevant</t>
  </si>
  <si>
    <t>◀ Can be deleted, useful when running macros to track if data comes back with unusual formatting or mistakes</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</si>
  <si>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</si>
  <si>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</si>
  <si>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</si>
  <si>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</si>
  <si>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</si>
  <si>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</si>
  <si>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</si>
  <si>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</si>
  <si>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</si>
  <si>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</si>
  <si>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LinkedIn</t>
  </si>
  <si>
    <t>CU Experts</t>
  </si>
  <si>
    <t>LinkedIn Profile</t>
  </si>
  <si>
    <t>3</t>
  </si>
  <si>
    <t>4</t>
  </si>
  <si>
    <t>5</t>
  </si>
  <si>
    <t>6</t>
  </si>
  <si>
    <t>Value Analysis</t>
  </si>
  <si>
    <t>25</t>
  </si>
  <si>
    <t>26</t>
  </si>
  <si>
    <t>27</t>
  </si>
  <si>
    <t>18</t>
  </si>
  <si>
    <t>17</t>
  </si>
  <si>
    <t>19</t>
  </si>
  <si>
    <t>20</t>
  </si>
  <si>
    <t>21</t>
  </si>
  <si>
    <t>22</t>
  </si>
  <si>
    <t>23</t>
  </si>
  <si>
    <t>24</t>
  </si>
  <si>
    <t>Title (N)</t>
  </si>
  <si>
    <t>Creator (N)</t>
  </si>
  <si>
    <t>Publisher (N)</t>
  </si>
  <si>
    <t>Series (N)</t>
  </si>
  <si>
    <t>28</t>
  </si>
  <si>
    <t>29</t>
  </si>
  <si>
    <t>Series (R/E)</t>
  </si>
  <si>
    <t>background turns red if a key number appears more than once</t>
  </si>
  <si>
    <t>Count of Material Type</t>
  </si>
  <si>
    <t>Dupe Check in WC / FS</t>
  </si>
  <si>
    <t>This pivot table and chart are for values in column E "Format" - Right click and "refresh" the chart to update it.</t>
  </si>
  <si>
    <t>This pivot table and chart are for values in column I "Collection" - Right click and "refresh" the chart to update it.</t>
  </si>
  <si>
    <t>To create a table and chart for Series data, the data must be copied and manually prepared.</t>
  </si>
  <si>
    <t>Copy the data in the U column (Series Title) of the "donation" sheet</t>
  </si>
  <si>
    <t>Series Title</t>
  </si>
  <si>
    <t>Dedupe the data, go to &gt;&gt; Data &gt;&gt; Remove Duplicates.</t>
  </si>
  <si>
    <t>Steps</t>
  </si>
  <si>
    <t>This pivot table and chart are for values in column W "Publisher R/E"</t>
  </si>
  <si>
    <t>Paste in Column A of this sheet. The table will expand to fit the data. Use Ctrl+Alt to paste data as values</t>
  </si>
  <si>
    <t>Chart below will update as data is added/edited.</t>
  </si>
  <si>
    <t>Normalize the data with "Find and Replace" commands. Typically you need to remove data related to volume number.</t>
  </si>
  <si>
    <t>Continue normalizing data. You will likely need to normalize data in the Donation Sheet's "Series Title" column as well.</t>
  </si>
  <si>
    <t>To create a table and chart for Publication Data data, the data must be copied and manually prepared.</t>
  </si>
  <si>
    <t>Add all the years between the two dates.</t>
  </si>
  <si>
    <t>Columns B and C already have formulas to count the number of times a date appears in the Donation sheet.</t>
  </si>
  <si>
    <t>Column B already has formula's in it to count the number of times a series title appears in the Donation sheet.</t>
  </si>
  <si>
    <t>Filter column Z, "subject headings", so that there are no "n/a" values.</t>
  </si>
  <si>
    <t>Select column Z and copy all values below the header</t>
  </si>
  <si>
    <t>An in depth guide is available at: https://github.com/ahlisbon/CJKmaterialProcessing</t>
  </si>
  <si>
    <t>GitHub</t>
  </si>
  <si>
    <t>https://github.com/ahlisbon/CJKmaterialProcessing</t>
  </si>
  <si>
    <t>Dates by Decade</t>
  </si>
  <si>
    <t>Determine the earliest and lastest years of publication for items in your donation.</t>
  </si>
  <si>
    <t>Enter the starting decade for the earliest publication, and the last year of that decade.</t>
  </si>
  <si>
    <t>昭和四十六年-昭和五十六年</t>
  </si>
  <si>
    <t>東アジア文字の情報理論</t>
  </si>
  <si>
    <t>平安和歌・物語に詠まれた日本の四季</t>
  </si>
  <si>
    <t>笑社論集</t>
  </si>
  <si>
    <t>Kinniku no merankorī: Rakan to tomo ni yomu Mishima Yukio</t>
  </si>
  <si>
    <t>Kansenshō no jidai to Natsume Sōseki no bungaku</t>
  </si>
  <si>
    <t>Kodai chūsei bungaku ronkō. Dai44shū</t>
  </si>
  <si>
    <t>Kodai chūsei bungaku ronkō. Dai45shū</t>
  </si>
  <si>
    <t>State, society, and markets in North Korea</t>
  </si>
  <si>
    <t>Teaching about Asia in a time of pandemic</t>
  </si>
  <si>
    <t>The Namban trade: merchants and missionaries in 16th and 17th century Japan</t>
  </si>
  <si>
    <t>Animal Care in Japanese Tradition: a short history</t>
  </si>
  <si>
    <t>Orders 20yy-yy</t>
  </si>
  <si>
    <t>PO#</t>
  </si>
  <si>
    <t>Priority</t>
  </si>
  <si>
    <t>Requester</t>
  </si>
  <si>
    <t>To Circ for Pickup</t>
  </si>
  <si>
    <t>Prof. Dev Funds?</t>
  </si>
  <si>
    <t>Note for Acq</t>
  </si>
  <si>
    <t>Volume #</t>
  </si>
  <si>
    <t>Requester Data</t>
  </si>
  <si>
    <t>Pref. Vendor</t>
  </si>
  <si>
    <t>Acquistions Data</t>
  </si>
  <si>
    <t>Price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</si>
</sst>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409]* #,##0.00_);_([$$-409]* \(#,##0.00\);_([$$-409]* &quot;-&quot;??_);_(@_)"/>
    <numFmt numFmtId="165" formatCode="_([$$-409]* #,##0.0000000_);_([$$-409]* \(#,##0.0000000\);_([$$-409]* &quot;-&quot;??_);_(@_)"/>
    <numFmt numFmtId="166" formatCode="yyyy\-mm\-dd"/>
    <numFmt numFmtId="167" formatCode="0.0"/>
  </numFmts>
  <fonts count="49"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sz val="9"/>
      <color theme="1"/>
      <name val="Calibri"/>
      <family val="2"/>
      <scheme val="minor"/>
    </font>
    <font>
      <b/>
      <sz val="10"/>
      <color theme="7" tint="-0.499984740745262"/>
      <name val="Calibri"/>
      <family val="2"/>
      <scheme val="minor"/>
    </font>
    <font>
      <sz val="10"/>
      <color rgb="FF565A5C"/>
      <name val="Calibri"/>
      <family val="2"/>
      <scheme val="minor"/>
    </font>
    <font>
      <sz val="9"/>
      <color theme="0" tint="-0.499984740745262"/>
      <name val="Calibri"/>
      <family val="2"/>
    </font>
    <font>
      <b/>
      <sz val="10"/>
      <color rgb="FFFFFFFF"/>
      <name val="Calibri"/>
      <family val="2"/>
      <scheme val="minor"/>
    </font>
    <font>
      <b/>
      <sz val="16"/>
      <color rgb="FF565A5C"/>
      <name val="Calibri"/>
      <family val="2"/>
      <scheme val="minor"/>
    </font>
    <font>
      <sz val="9"/>
      <color indexed="81"/>
      <name val="Tahoma"/>
      <family val="2"/>
    </font>
    <font>
      <b/>
      <sz val="9"/>
      <color indexed="81"/>
      <name val="Tahoma"/>
      <family val="2"/>
    </font>
    <font>
      <sz val="8"/>
      <color rgb="FF565A5C"/>
      <name val="Calibri"/>
      <family val="2"/>
      <scheme val="minor"/>
    </font>
    <font>
      <b/>
      <sz val="12"/>
      <color rgb="FF565A5C"/>
      <name val="Calibri"/>
      <family val="2"/>
      <scheme val="minor"/>
    </font>
    <font>
      <b/>
      <sz val="12"/>
      <color theme="0"/>
      <name val="Calibri"/>
      <family val="2"/>
      <scheme val="minor"/>
    </font>
    <font>
      <sz val="12"/>
      <color theme="1"/>
      <name val="Calibri"/>
      <family val="2"/>
      <scheme val="minor"/>
    </font>
    <font>
      <b/>
      <sz val="10"/>
      <color rgb="FF565A5C"/>
      <name val="Calibri"/>
      <family val="2"/>
      <scheme val="minor"/>
    </font>
    <font>
      <b/>
      <sz val="10"/>
      <color rgb="FF565A5C"/>
      <name val="Calibri"/>
      <family val="2"/>
    </font>
    <font>
      <sz val="9"/>
      <color rgb="FFFF0000"/>
      <name val="Calibri"/>
      <family val="2"/>
      <scheme val="minor"/>
    </font>
    <font>
      <sz val="10"/>
      <color theme="0"/>
      <name val="Calibri"/>
      <family val="2"/>
      <scheme val="minor"/>
    </font>
    <font>
      <sz val="9"/>
      <color theme="0"/>
      <name val="Calibri"/>
      <family val="2"/>
      <scheme val="minor"/>
    </font>
    <font>
      <sz val="12"/>
      <color rgb="FF565A5C"/>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rgb="FFCFB87C"/>
      <name val="Calibri"/>
      <family val="2"/>
      <scheme val="minor"/>
    </font>
    <font>
      <b/>
      <sz val="9"/>
      <color rgb="FF565A5C"/>
      <name val="Calibri"/>
      <family val="2"/>
      <scheme val="minor"/>
    </font>
    <font>
      <b/>
      <sz val="11"/>
      <color theme="0"/>
      <name val="Calibri"/>
      <family val="2"/>
      <scheme val="minor"/>
    </font>
    <font>
      <b/>
      <sz val="11"/>
      <color theme="1"/>
      <name val="Calibri"/>
      <family val="2"/>
      <scheme val="minor"/>
    </font>
    <font>
      <b/>
      <sz val="10"/>
      <color theme="1"/>
      <name val="Calibri"/>
      <family val="2"/>
      <scheme val="minor"/>
    </font>
    <font>
      <sz val="9"/>
      <color theme="0" tint="-0.499984740745262"/>
      <name val="Calibri"/>
      <family val="2"/>
      <scheme val="minor"/>
    </font>
    <font>
      <b/>
      <sz val="11"/>
      <color theme="5"/>
      <name val="Calibri"/>
      <family val="2"/>
      <scheme val="minor"/>
    </font>
    <font>
      <sz val="10"/>
      <color theme="10"/>
      <name val="Calibri"/>
      <family val="2"/>
      <scheme val="minor"/>
    </font>
    <font>
      <b/>
      <sz val="9"/>
      <color theme="1"/>
      <name val="Calibri"/>
      <family val="2"/>
      <scheme val="minor"/>
    </font>
    <font>
      <sz val="16"/>
      <color theme="1"/>
      <name val="Calibri"/>
      <family val="2"/>
      <scheme val="minor"/>
    </font>
    <font>
      <sz val="8"/>
      <color theme="1"/>
      <name val="Calibri"/>
      <family val="2"/>
      <scheme val="minor"/>
    </font>
    <font>
      <b/>
      <sz val="28"/>
      <color theme="1"/>
      <name val="Calibri"/>
      <family val="2"/>
      <scheme val="minor"/>
    </font>
    <font>
      <sz val="28"/>
      <color theme="1"/>
      <name val="Calibri"/>
      <family val="2"/>
      <scheme val="minor"/>
    </font>
    <font>
      <sz val="8"/>
      <name val="Calibri"/>
      <family val="2"/>
      <scheme val="minor"/>
    </font>
    <font>
      <sz val="10"/>
      <color theme="1"/>
      <name val="Calibri"/>
      <family val="2"/>
    </font>
    <font>
      <sz val="9"/>
      <name val="Calibri"/>
      <family val="2"/>
    </font>
    <font>
      <sz val="10"/>
      <name val="Calibri"/>
      <family val="2"/>
      <scheme val="minor"/>
    </font>
    <font>
      <u/>
      <sz val="11"/>
      <color theme="10"/>
      <name val="Calibri"/>
      <family val="2"/>
      <scheme val="minor"/>
    </font>
    <font>
      <sz val="10"/>
      <color rgb="FFFF0000"/>
      <name val="Calibri"/>
      <family val="2"/>
      <scheme val="minor"/>
    </font>
    <font>
      <sz val="10"/>
      <color theme="0"/>
      <name val="Calibri"/>
      <family val="2"/>
    </font>
    <font>
      <sz val="9"/>
      <color rgb="FF565A5C"/>
      <name val="Calibri"/>
      <family val="2"/>
      <scheme val="minor"/>
    </font>
    <font>
      <sz val="10"/>
      <color rgb="FFFF0000"/>
      <name val="Calibri"/>
      <family val="2"/>
    </font>
    <font>
      <sz val="10"/>
      <name val="Calibri"/>
      <family val="2"/>
    </font>
  </fonts>
  <fills count="15">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D9D9D9"/>
        <bgColor indexed="64"/>
      </patternFill>
    </fill>
    <fill>
      <patternFill patternType="solid">
        <fgColor rgb="FF565A5C"/>
        <bgColor indexed="64"/>
      </patternFill>
    </fill>
    <fill>
      <patternFill patternType="solid">
        <fgColor rgb="FF7030A0"/>
        <bgColor indexed="64"/>
      </patternFill>
    </fill>
    <fill>
      <patternFill patternType="solid">
        <fgColor theme="0"/>
        <bgColor indexed="64"/>
      </patternFill>
    </fill>
    <fill>
      <patternFill patternType="solid">
        <fgColor rgb="FFCCCCFF"/>
        <bgColor indexed="64"/>
      </patternFill>
    </fill>
    <fill>
      <patternFill patternType="solid">
        <fgColor theme="9" tint="-0.499984740745262"/>
        <bgColor indexed="64"/>
      </patternFill>
    </fill>
    <fill>
      <patternFill patternType="solid">
        <fgColor theme="4"/>
        <bgColor theme="4"/>
      </patternFill>
    </fill>
    <fill>
      <patternFill patternType="solid">
        <fgColor theme="0" tint="-0.249977111117893"/>
        <bgColor indexed="64"/>
      </patternFill>
    </fill>
    <fill>
      <patternFill patternType="solid">
        <fgColor theme="6" tint="0.79998168889431442"/>
        <bgColor theme="6" tint="0.79998168889431442"/>
      </patternFill>
    </fill>
    <fill>
      <patternFill patternType="solid">
        <fgColor theme="7" tint="0.39997558519241921"/>
        <bgColor indexed="64"/>
      </patternFill>
    </fill>
  </fills>
  <borders count="41">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style="thin">
        <color rgb="FF565A5C"/>
      </left>
      <right/>
      <top style="thin">
        <color rgb="FF565A5C"/>
      </top>
      <bottom/>
      <diagonal/>
    </border>
    <border>
      <left/>
      <right style="thin">
        <color rgb="FF565A5C"/>
      </right>
      <top style="thin">
        <color rgb="FF565A5C"/>
      </top>
      <bottom/>
      <diagonal/>
    </border>
    <border>
      <left style="thin">
        <color rgb="FF565A5C"/>
      </left>
      <right/>
      <top/>
      <bottom style="thin">
        <color rgb="FF565A5C"/>
      </bottom>
      <diagonal/>
    </border>
    <border>
      <left/>
      <right style="thin">
        <color rgb="FF565A5C"/>
      </right>
      <top/>
      <bottom style="thin">
        <color rgb="FF565A5C"/>
      </bottom>
      <diagonal/>
    </border>
    <border>
      <left style="thin">
        <color rgb="FF565A5C"/>
      </left>
      <right style="thin">
        <color rgb="FF565A5C"/>
      </right>
      <top/>
      <bottom/>
      <diagonal/>
    </border>
    <border>
      <left style="dotted">
        <color rgb="FF565A5C"/>
      </left>
      <right/>
      <top/>
      <bottom/>
      <diagonal/>
    </border>
    <border>
      <left style="dotted">
        <color rgb="FF565A5C"/>
      </left>
      <right/>
      <top style="thin">
        <color rgb="FF565A5C"/>
      </top>
      <bottom/>
      <diagonal/>
    </border>
    <border>
      <left/>
      <right/>
      <top style="thin">
        <color rgb="FF565A5C"/>
      </top>
      <bottom/>
      <diagonal/>
    </border>
    <border>
      <left style="thin">
        <color rgb="FF565A5C"/>
      </left>
      <right style="thin">
        <color rgb="FF565A5C"/>
      </right>
      <top style="thin">
        <color rgb="FF565A5C"/>
      </top>
      <bottom/>
      <diagonal/>
    </border>
    <border>
      <left style="thin">
        <color rgb="FF565A5C"/>
      </left>
      <right style="thin">
        <color rgb="FF565A5C"/>
      </right>
      <top style="thin">
        <color indexed="64"/>
      </top>
      <bottom/>
      <diagonal/>
    </border>
    <border>
      <left style="thin">
        <color rgb="FF565A5C"/>
      </left>
      <right style="thin">
        <color theme="0" tint="-0.249977111117893"/>
      </right>
      <top style="thin">
        <color theme="0" tint="-0.249977111117893"/>
      </top>
      <bottom style="thin">
        <color theme="0" tint="-0.249977111117893"/>
      </bottom>
      <diagonal/>
    </border>
    <border>
      <left/>
      <right style="dotted">
        <color rgb="FF565A5C"/>
      </right>
      <top style="thin">
        <color rgb="FF565A5C"/>
      </top>
      <bottom/>
      <diagonal/>
    </border>
    <border>
      <left/>
      <right/>
      <top/>
      <bottom style="thin">
        <color theme="6" tint="0.39997558519241921"/>
      </bottom>
      <diagonal/>
    </border>
    <border>
      <left/>
      <right/>
      <top style="thin">
        <color theme="4"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theme="4" tint="0.39997558519241921"/>
      </top>
      <bottom style="dotted">
        <color indexed="64"/>
      </bottom>
      <diagonal/>
    </border>
    <border>
      <left style="thin">
        <color rgb="FF565A5C"/>
      </left>
      <right/>
      <top style="thin">
        <color theme="6" tint="0.39997558519241921"/>
      </top>
      <bottom style="thin">
        <color theme="6" tint="0.39997558519241921"/>
      </bottom>
      <diagonal/>
    </border>
    <border>
      <left/>
      <right style="dotted">
        <color rgb="FF565A5C"/>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ashDot">
        <color indexed="64"/>
      </right>
      <top/>
      <bottom/>
      <diagonal/>
    </border>
    <border>
      <left style="thin">
        <color indexed="64"/>
      </left>
      <right style="thin">
        <color rgb="FF565A5C"/>
      </right>
      <top/>
      <bottom/>
      <diagonal/>
    </border>
    <border>
      <left style="thin">
        <color theme="0" tint="-0.249977111117893"/>
      </left>
      <right style="thin">
        <color rgb="FF565A5C"/>
      </right>
      <top/>
      <bottom/>
      <diagonal/>
    </border>
    <border>
      <left/>
      <right style="thin">
        <color rgb="FF565A5C"/>
      </right>
      <top/>
      <bottom style="thin">
        <color indexed="64"/>
      </bottom>
      <diagonal/>
    </border>
    <border>
      <left style="dotted">
        <color indexed="64"/>
      </left>
      <right/>
      <top/>
      <bottom/>
      <diagonal/>
    </border>
    <border>
      <left/>
      <right/>
      <top style="thin">
        <color theme="6" tint="0.39997558519241921"/>
      </top>
      <bottom style="thin">
        <color theme="6" tint="0.39997558519241921"/>
      </bottom>
      <diagonal/>
    </border>
    <border>
      <left/>
      <right style="thin">
        <color rgb="FF565A5C"/>
      </right>
      <top style="thin">
        <color indexed="64"/>
      </top>
      <bottom/>
      <diagonal/>
    </border>
    <border>
      <left style="dashDot">
        <color indexed="64"/>
      </left>
      <right/>
      <top/>
      <bottom/>
      <diagonal/>
    </border>
  </borders>
  <cellStyleXfs count="3">
    <xf numFmtId="0" fontId="0" fillId="0" borderId="0"/>
    <xf numFmtId="0" fontId="25" fillId="0" borderId="0" applyNumberFormat="0" applyFill="0" applyBorder="0" applyProtection="0">
      <alignment vertical="center"/>
    </xf>
    <xf numFmtId="0" fontId="22" fillId="0" borderId="0" applyNumberFormat="0" applyFill="0" applyBorder="0" applyProtection="0">
      <alignment vertical="center"/>
    </xf>
  </cellStyleXfs>
  <cellXfs count="360">
    <xf numFmtId="0" fontId="0" fillId="0" borderId="0" xfId="0"/>
    <xf numFmtId="0" fontId="3" fillId="0" borderId="0" xfId="0" applyFont="1"/>
    <xf numFmtId="49" fontId="7" fillId="4" borderId="0" xfId="0" applyNumberFormat="1" applyFont="1" applyFill="1" applyAlignment="1">
      <alignment horizontal="center" vertical="center"/>
    </xf>
    <xf numFmtId="49" fontId="8" fillId="3" borderId="0" xfId="0" applyNumberFormat="1" applyFont="1" applyFill="1" applyAlignment="1">
      <alignment horizontal="left" vertical="center"/>
    </xf>
    <xf numFmtId="49" fontId="5" fillId="3" borderId="0" xfId="0" applyNumberFormat="1" applyFont="1" applyFill="1" applyAlignment="1">
      <alignment horizontal="center" vertical="center"/>
    </xf>
    <xf numFmtId="0" fontId="3" fillId="0" borderId="0" xfId="0" applyFont="1" applyAlignment="1">
      <alignment vertical="center"/>
    </xf>
    <xf numFmtId="0" fontId="0" fillId="0" borderId="0" xfId="0" applyAlignment="1">
      <alignment vertical="center"/>
    </xf>
    <xf numFmtId="0" fontId="4" fillId="0" borderId="0" xfId="0" applyFont="1" applyAlignment="1">
      <alignment vertical="center"/>
    </xf>
    <xf numFmtId="49" fontId="9" fillId="4" borderId="3" xfId="0" applyNumberFormat="1" applyFont="1" applyFill="1" applyBorder="1" applyAlignment="1">
      <alignment horizontal="center" vertical="center" wrapText="1"/>
    </xf>
    <xf numFmtId="164" fontId="3" fillId="5" borderId="1" xfId="0" applyNumberFormat="1" applyFont="1" applyFill="1" applyBorder="1" applyAlignment="1">
      <alignment horizontal="left" vertical="center"/>
    </xf>
    <xf numFmtId="165" fontId="3" fillId="5" borderId="2" xfId="0" applyNumberFormat="1" applyFont="1" applyFill="1" applyBorder="1" applyAlignment="1">
      <alignment vertical="center"/>
    </xf>
    <xf numFmtId="164" fontId="3" fillId="5" borderId="6" xfId="0" applyNumberFormat="1" applyFont="1" applyFill="1" applyBorder="1" applyAlignment="1">
      <alignment horizontal="left" vertical="center"/>
    </xf>
    <xf numFmtId="165" fontId="3" fillId="5" borderId="7" xfId="0" applyNumberFormat="1" applyFont="1" applyFill="1" applyBorder="1" applyAlignment="1">
      <alignment vertical="center"/>
    </xf>
    <xf numFmtId="0" fontId="15" fillId="0" borderId="0" xfId="0" applyFont="1"/>
    <xf numFmtId="49" fontId="7" fillId="4" borderId="8" xfId="0" applyNumberFormat="1" applyFont="1" applyFill="1" applyBorder="1" applyAlignment="1">
      <alignment horizontal="center" vertical="center"/>
    </xf>
    <xf numFmtId="49" fontId="7" fillId="4" borderId="9" xfId="0" applyNumberFormat="1" applyFont="1" applyFill="1" applyBorder="1" applyAlignment="1">
      <alignment horizontal="center" vertical="center"/>
    </xf>
    <xf numFmtId="49" fontId="16" fillId="4" borderId="8" xfId="0" applyNumberFormat="1" applyFont="1" applyFill="1" applyBorder="1" applyAlignment="1">
      <alignment horizontal="center" vertical="center" wrapText="1"/>
    </xf>
    <xf numFmtId="49" fontId="16" fillId="4" borderId="3" xfId="0" applyNumberFormat="1" applyFont="1" applyFill="1" applyBorder="1" applyAlignment="1">
      <alignment horizontal="center" vertical="center" wrapText="1"/>
    </xf>
    <xf numFmtId="49" fontId="16" fillId="4" borderId="0" xfId="0" applyNumberFormat="1" applyFont="1" applyFill="1" applyAlignment="1">
      <alignment horizontal="center" vertical="center"/>
    </xf>
    <xf numFmtId="49" fontId="16" fillId="4" borderId="3" xfId="0" applyNumberFormat="1" applyFont="1" applyFill="1" applyBorder="1" applyAlignment="1">
      <alignment horizontal="center" vertical="center"/>
    </xf>
    <xf numFmtId="49" fontId="1" fillId="2" borderId="11" xfId="0" applyNumberFormat="1" applyFont="1" applyFill="1" applyBorder="1" applyAlignment="1">
      <alignment vertical="center"/>
    </xf>
    <xf numFmtId="49" fontId="21" fillId="9" borderId="0" xfId="0" applyNumberFormat="1" applyFont="1" applyFill="1" applyAlignment="1">
      <alignment horizontal="left" vertical="center"/>
    </xf>
    <xf numFmtId="49" fontId="1" fillId="2" borderId="10" xfId="0" applyNumberFormat="1" applyFont="1" applyFill="1" applyBorder="1" applyAlignment="1">
      <alignment vertical="center"/>
    </xf>
    <xf numFmtId="49" fontId="26" fillId="2" borderId="11" xfId="0" applyNumberFormat="1" applyFont="1" applyFill="1" applyBorder="1" applyAlignment="1">
      <alignment vertical="center"/>
    </xf>
    <xf numFmtId="49" fontId="1" fillId="2" borderId="12" xfId="0" applyNumberFormat="1" applyFont="1" applyFill="1" applyBorder="1" applyAlignment="1">
      <alignment vertical="center"/>
    </xf>
    <xf numFmtId="49" fontId="16" fillId="4" borderId="1" xfId="0" applyNumberFormat="1" applyFont="1" applyFill="1" applyBorder="1" applyAlignment="1">
      <alignment horizontal="center" vertical="center" wrapText="1"/>
    </xf>
    <xf numFmtId="49" fontId="1" fillId="2" borderId="4" xfId="0" applyNumberFormat="1" applyFont="1" applyFill="1" applyBorder="1" applyAlignment="1">
      <alignment vertical="center"/>
    </xf>
    <xf numFmtId="49" fontId="7" fillId="4" borderId="1" xfId="0" applyNumberFormat="1" applyFont="1" applyFill="1" applyBorder="1" applyAlignment="1">
      <alignment horizontal="center" vertical="center"/>
    </xf>
    <xf numFmtId="49" fontId="16" fillId="4" borderId="1" xfId="0" applyNumberFormat="1" applyFont="1" applyFill="1" applyBorder="1" applyAlignment="1">
      <alignment horizontal="center" vertical="center"/>
    </xf>
    <xf numFmtId="49" fontId="26" fillId="2" borderId="13" xfId="0" applyNumberFormat="1" applyFont="1" applyFill="1" applyBorder="1" applyAlignment="1">
      <alignment vertical="center"/>
    </xf>
    <xf numFmtId="49" fontId="7" fillId="8" borderId="8" xfId="0" applyNumberFormat="1" applyFont="1" applyFill="1" applyBorder="1" applyAlignment="1">
      <alignment horizontal="center" vertical="center"/>
    </xf>
    <xf numFmtId="49" fontId="23" fillId="8" borderId="8" xfId="0" applyNumberFormat="1" applyFont="1" applyFill="1" applyBorder="1" applyAlignment="1">
      <alignment horizontal="center" vertical="center"/>
    </xf>
    <xf numFmtId="49" fontId="16" fillId="2" borderId="4" xfId="0" applyNumberFormat="1" applyFont="1" applyFill="1" applyBorder="1" applyAlignment="1">
      <alignment vertical="center"/>
    </xf>
    <xf numFmtId="49" fontId="24" fillId="4" borderId="1" xfId="0" applyNumberFormat="1" applyFont="1" applyFill="1" applyBorder="1" applyAlignment="1">
      <alignment horizontal="center" vertical="center"/>
    </xf>
    <xf numFmtId="49" fontId="17" fillId="4" borderId="1" xfId="0" applyNumberFormat="1" applyFont="1" applyFill="1" applyBorder="1" applyAlignment="1">
      <alignment horizontal="center" vertical="center" wrapText="1"/>
    </xf>
    <xf numFmtId="49" fontId="6" fillId="4" borderId="3" xfId="0" applyNumberFormat="1" applyFont="1" applyFill="1" applyBorder="1" applyAlignment="1">
      <alignment horizontal="center" vertical="center" wrapText="1"/>
    </xf>
    <xf numFmtId="49" fontId="1" fillId="9" borderId="1" xfId="0" applyNumberFormat="1" applyFont="1" applyFill="1" applyBorder="1" applyAlignment="1">
      <alignment horizontal="right" vertical="center"/>
    </xf>
    <xf numFmtId="49" fontId="12" fillId="4" borderId="14" xfId="0" applyNumberFormat="1" applyFont="1" applyFill="1" applyBorder="1" applyAlignment="1">
      <alignment horizontal="center" vertical="center" wrapText="1"/>
    </xf>
    <xf numFmtId="49" fontId="5" fillId="7" borderId="1" xfId="0" applyNumberFormat="1" applyFont="1" applyFill="1" applyBorder="1" applyAlignment="1">
      <alignment horizontal="center" vertical="center"/>
    </xf>
    <xf numFmtId="0" fontId="19" fillId="0" borderId="1" xfId="0" applyFont="1" applyBorder="1" applyAlignment="1">
      <alignment vertical="center"/>
    </xf>
    <xf numFmtId="0" fontId="2" fillId="0" borderId="1" xfId="0" applyFont="1" applyBorder="1" applyAlignment="1">
      <alignment vertical="center"/>
    </xf>
    <xf numFmtId="0" fontId="20" fillId="0" borderId="1" xfId="0" applyFont="1" applyBorder="1" applyAlignment="1">
      <alignment vertical="center"/>
    </xf>
    <xf numFmtId="0" fontId="3" fillId="0" borderId="8" xfId="0" applyFont="1" applyBorder="1" applyAlignment="1">
      <alignment vertical="center"/>
    </xf>
    <xf numFmtId="0" fontId="6" fillId="4" borderId="12" xfId="0" applyFont="1" applyFill="1" applyBorder="1" applyAlignment="1">
      <alignment horizontal="center" vertical="center" wrapText="1"/>
    </xf>
    <xf numFmtId="49" fontId="16" fillId="4" borderId="9" xfId="0" applyNumberFormat="1" applyFont="1" applyFill="1" applyBorder="1" applyAlignment="1">
      <alignment horizontal="center" vertical="center" wrapText="1"/>
    </xf>
    <xf numFmtId="49" fontId="5" fillId="9" borderId="1" xfId="0" applyNumberFormat="1" applyFont="1" applyFill="1" applyBorder="1" applyAlignment="1">
      <alignment horizontal="center" vertical="center"/>
    </xf>
    <xf numFmtId="164" fontId="2" fillId="10" borderId="1" xfId="0" applyNumberFormat="1" applyFont="1" applyFill="1" applyBorder="1" applyAlignment="1">
      <alignment vertical="center"/>
    </xf>
    <xf numFmtId="49" fontId="8" fillId="10" borderId="0" xfId="0" applyNumberFormat="1" applyFont="1" applyFill="1" applyAlignment="1">
      <alignment horizontal="left" vertical="center"/>
    </xf>
    <xf numFmtId="49" fontId="5" fillId="10" borderId="0" xfId="0" applyNumberFormat="1" applyFont="1" applyFill="1" applyAlignment="1">
      <alignment horizontal="center" vertical="center"/>
    </xf>
    <xf numFmtId="49" fontId="27" fillId="4" borderId="3" xfId="0" applyNumberFormat="1" applyFont="1" applyFill="1" applyBorder="1" applyAlignment="1">
      <alignment horizontal="center" vertical="center" wrapText="1"/>
    </xf>
    <xf numFmtId="0" fontId="3" fillId="0" borderId="0" xfId="0" applyFont="1" applyAlignment="1">
      <alignment horizontal="center" vertical="center"/>
    </xf>
    <xf numFmtId="0" fontId="3" fillId="0" borderId="1" xfId="0" applyFont="1" applyFill="1" applyBorder="1"/>
    <xf numFmtId="0" fontId="0" fillId="0" borderId="0" xfId="0" pivotButton="1" applyAlignment="1">
      <alignment vertical="center"/>
    </xf>
    <xf numFmtId="1" fontId="3" fillId="0" borderId="0" xfId="0" applyNumberFormat="1" applyFont="1" applyAlignment="1">
      <alignment horizontal="center" vertical="center"/>
    </xf>
    <xf numFmtId="1" fontId="3" fillId="0" borderId="0" xfId="0" applyNumberFormat="1" applyFont="1" applyAlignment="1">
      <alignment vertical="center"/>
    </xf>
    <xf numFmtId="1" fontId="0" fillId="0" borderId="0" xfId="0" applyNumberFormat="1" applyAlignment="1">
      <alignment vertical="center"/>
    </xf>
    <xf numFmtId="0" fontId="3" fillId="0" borderId="0" xfId="0" applyFont="1" applyAlignment="1">
      <alignment horizontal="left" vertical="center"/>
    </xf>
    <xf numFmtId="0" fontId="0" fillId="0" borderId="0" xfId="0" pivotButton="1" applyAlignment="1">
      <alignment horizontal="center" vertical="center"/>
    </xf>
    <xf numFmtId="0" fontId="3" fillId="0" borderId="0" xfId="0" applyNumberFormat="1" applyFont="1" applyAlignment="1">
      <alignment vertical="center"/>
    </xf>
    <xf numFmtId="9" fontId="3" fillId="0" borderId="0" xfId="0" applyNumberFormat="1" applyFont="1" applyAlignment="1">
      <alignment vertical="center"/>
    </xf>
    <xf numFmtId="49" fontId="0" fillId="0" borderId="0" xfId="0" applyNumberFormat="1" applyFont="1" applyAlignment="1">
      <alignment horizontal="center" vertical="center"/>
    </xf>
    <xf numFmtId="1" fontId="3" fillId="0" borderId="0" xfId="0" applyNumberFormat="1" applyFont="1" applyAlignment="1">
      <alignment horizontal="right" vertical="center"/>
    </xf>
    <xf numFmtId="1" fontId="30" fillId="0" borderId="17" xfId="0" applyNumberFormat="1" applyFont="1" applyFill="1" applyBorder="1" applyAlignment="1">
      <alignment horizontal="center" vertical="center"/>
    </xf>
    <xf numFmtId="0" fontId="30" fillId="0" borderId="0" xfId="0" applyFont="1" applyFill="1" applyBorder="1" applyAlignment="1">
      <alignment horizontal="center" vertical="center"/>
    </xf>
    <xf numFmtId="0" fontId="23" fillId="11" borderId="0" xfId="0" applyFont="1" applyFill="1" applyBorder="1" applyAlignment="1">
      <alignment horizontal="center" vertical="center" wrapText="1"/>
    </xf>
    <xf numFmtId="0" fontId="28" fillId="11" borderId="0" xfId="0" applyFont="1" applyFill="1" applyBorder="1" applyAlignment="1">
      <alignment horizontal="center" vertical="center"/>
    </xf>
    <xf numFmtId="0" fontId="30" fillId="0" borderId="0" xfId="0" applyFont="1" applyFill="1" applyBorder="1" applyAlignment="1">
      <alignment horizontal="left" vertical="center"/>
    </xf>
    <xf numFmtId="1" fontId="3" fillId="0" borderId="17" xfId="0" applyNumberFormat="1" applyFont="1" applyFill="1" applyBorder="1" applyAlignment="1">
      <alignment horizontal="right" vertical="center"/>
    </xf>
    <xf numFmtId="9" fontId="3" fillId="0" borderId="0" xfId="0" applyNumberFormat="1" applyFont="1" applyFill="1" applyBorder="1" applyAlignment="1">
      <alignment horizontal="right" vertical="center"/>
    </xf>
    <xf numFmtId="1" fontId="31" fillId="0" borderId="0" xfId="0" applyNumberFormat="1" applyFont="1" applyFill="1" applyBorder="1" applyAlignment="1">
      <alignment horizontal="center" vertical="center"/>
    </xf>
    <xf numFmtId="0" fontId="28" fillId="6" borderId="0" xfId="0" applyFont="1" applyFill="1" applyAlignment="1">
      <alignment horizontal="center" vertical="center" wrapText="1"/>
    </xf>
    <xf numFmtId="0" fontId="28" fillId="6" borderId="16" xfId="0" applyFont="1" applyFill="1" applyBorder="1" applyAlignment="1">
      <alignment horizontal="center" vertical="center" wrapText="1"/>
    </xf>
    <xf numFmtId="1" fontId="3" fillId="0" borderId="0" xfId="0" applyNumberFormat="1" applyFont="1" applyFill="1" applyBorder="1" applyAlignment="1">
      <alignment horizontal="right" vertical="center"/>
    </xf>
    <xf numFmtId="10" fontId="3" fillId="0" borderId="17" xfId="0" applyNumberFormat="1" applyFont="1" applyFill="1" applyBorder="1" applyAlignment="1">
      <alignment horizontal="right" vertical="center"/>
    </xf>
    <xf numFmtId="1" fontId="30" fillId="0" borderId="27" xfId="0" applyNumberFormat="1" applyFont="1" applyFill="1" applyBorder="1" applyAlignment="1">
      <alignment horizontal="center" vertical="center"/>
    </xf>
    <xf numFmtId="1" fontId="31" fillId="0" borderId="27" xfId="0" applyNumberFormat="1" applyFont="1" applyFill="1" applyBorder="1" applyAlignment="1">
      <alignment horizontal="center" vertical="center"/>
    </xf>
    <xf numFmtId="1" fontId="3" fillId="0" borderId="27" xfId="0" applyNumberFormat="1" applyFont="1" applyFill="1" applyBorder="1" applyAlignment="1">
      <alignment horizontal="right" vertical="center"/>
    </xf>
    <xf numFmtId="10" fontId="3" fillId="0" borderId="27" xfId="0" applyNumberFormat="1" applyFont="1" applyFill="1" applyBorder="1" applyAlignment="1">
      <alignment horizontal="right" vertical="center"/>
    </xf>
    <xf numFmtId="0" fontId="0" fillId="0" borderId="0" xfId="0" applyAlignment="1">
      <alignment horizontal="left"/>
    </xf>
    <xf numFmtId="0" fontId="0" fillId="0" borderId="0" xfId="0" applyFont="1" applyAlignment="1">
      <alignment horizontal="left"/>
    </xf>
    <xf numFmtId="0" fontId="29" fillId="0" borderId="0" xfId="0" applyFont="1" applyAlignment="1">
      <alignment horizontal="center" vertical="center"/>
    </xf>
    <xf numFmtId="0" fontId="32" fillId="0" borderId="0" xfId="0" applyFont="1" applyAlignment="1">
      <alignment horizontal="center" vertical="center"/>
    </xf>
    <xf numFmtId="166" fontId="0" fillId="0" borderId="0" xfId="0" applyNumberFormat="1" applyFill="1" applyAlignment="1">
      <alignment horizontal="center"/>
    </xf>
    <xf numFmtId="49" fontId="0" fillId="0" borderId="0" xfId="0" applyNumberFormat="1" applyFill="1" applyAlignment="1">
      <alignment horizontal="left"/>
    </xf>
    <xf numFmtId="49" fontId="0" fillId="0" borderId="0" xfId="0" applyNumberFormat="1" applyFill="1" applyAlignment="1">
      <alignment horizontal="center"/>
    </xf>
    <xf numFmtId="49" fontId="18" fillId="0" borderId="0" xfId="0" applyNumberFormat="1" applyFont="1" applyFill="1" applyAlignment="1">
      <alignment horizontal="left"/>
    </xf>
    <xf numFmtId="49" fontId="3" fillId="0" borderId="1" xfId="0" applyNumberFormat="1" applyFont="1" applyFill="1" applyBorder="1" applyAlignment="1">
      <alignment horizontal="left"/>
    </xf>
    <xf numFmtId="49" fontId="4" fillId="0" borderId="0" xfId="0" applyNumberFormat="1" applyFont="1" applyFill="1" applyAlignment="1">
      <alignment horizontal="left"/>
    </xf>
    <xf numFmtId="49" fontId="0" fillId="0" borderId="0" xfId="0" applyNumberFormat="1" applyFill="1" applyAlignment="1">
      <alignment horizontal="center" vertical="center"/>
    </xf>
    <xf numFmtId="1" fontId="0" fillId="0" borderId="0" xfId="0" applyNumberFormat="1" applyFill="1"/>
    <xf numFmtId="1" fontId="0" fillId="0" borderId="1" xfId="0" applyNumberFormat="1" applyFill="1" applyBorder="1" applyAlignment="1">
      <alignment horizontal="right"/>
    </xf>
    <xf numFmtId="44" fontId="0" fillId="0" borderId="0" xfId="0" applyNumberFormat="1" applyFill="1"/>
    <xf numFmtId="0" fontId="0" fillId="0" borderId="0" xfId="0" applyFill="1"/>
    <xf numFmtId="49" fontId="0" fillId="0" borderId="0" xfId="0" applyNumberFormat="1" applyFill="1" applyAlignment="1">
      <alignment horizontal="right"/>
    </xf>
    <xf numFmtId="1" fontId="0" fillId="0" borderId="1" xfId="0" applyNumberFormat="1" applyFill="1" applyBorder="1" applyAlignment="1">
      <alignment horizontal="left"/>
    </xf>
    <xf numFmtId="49" fontId="0" fillId="0" borderId="1" xfId="0" applyNumberFormat="1" applyFill="1" applyBorder="1"/>
    <xf numFmtId="0" fontId="2" fillId="0" borderId="0" xfId="0" applyFont="1" applyFill="1"/>
    <xf numFmtId="0" fontId="33" fillId="0" borderId="1" xfId="2" applyFont="1" applyFill="1" applyBorder="1">
      <alignment vertical="center"/>
    </xf>
    <xf numFmtId="1" fontId="31" fillId="0" borderId="17" xfId="0" applyNumberFormat="1" applyFont="1" applyFill="1" applyBorder="1" applyAlignment="1">
      <alignment horizontal="center" vertical="center"/>
    </xf>
    <xf numFmtId="0" fontId="0" fillId="0" borderId="0" xfId="0" applyAlignment="1">
      <alignment horizontal="center" vertical="center" textRotation="90"/>
    </xf>
    <xf numFmtId="0" fontId="29" fillId="0" borderId="0" xfId="0" applyFont="1"/>
    <xf numFmtId="0" fontId="34" fillId="0" borderId="30" xfId="0" applyFont="1" applyBorder="1" applyAlignment="1">
      <alignment horizontal="center" vertical="center" textRotation="90" wrapText="1"/>
    </xf>
    <xf numFmtId="0" fontId="0" fillId="0" borderId="31" xfId="0" applyBorder="1"/>
    <xf numFmtId="0" fontId="34" fillId="0" borderId="32" xfId="0" applyFont="1" applyBorder="1" applyAlignment="1">
      <alignment horizontal="center" vertical="center" textRotation="90" wrapText="1"/>
    </xf>
    <xf numFmtId="0" fontId="34" fillId="0" borderId="32" xfId="0" applyFont="1" applyFill="1" applyBorder="1" applyAlignment="1">
      <alignment horizontal="center" vertical="center" textRotation="90"/>
    </xf>
    <xf numFmtId="0" fontId="3" fillId="0" borderId="32" xfId="0" applyFont="1" applyBorder="1" applyAlignment="1">
      <alignment horizontal="right" vertical="top" wrapText="1"/>
    </xf>
    <xf numFmtId="0" fontId="35" fillId="0" borderId="32" xfId="0" applyFont="1" applyBorder="1" applyAlignment="1">
      <alignment horizontal="center" vertical="center" textRotation="90" wrapText="1"/>
    </xf>
    <xf numFmtId="0" fontId="29" fillId="0" borderId="32" xfId="0" applyFont="1" applyBorder="1" applyAlignment="1">
      <alignment horizontal="left" vertical="center" textRotation="90" shrinkToFit="1"/>
    </xf>
    <xf numFmtId="0" fontId="0" fillId="0" borderId="30" xfId="0" applyFont="1" applyBorder="1" applyAlignment="1">
      <alignment horizontal="center" vertical="center" textRotation="90" wrapText="1"/>
    </xf>
    <xf numFmtId="0" fontId="3" fillId="0" borderId="32" xfId="0" applyFont="1" applyBorder="1" applyAlignment="1">
      <alignment vertical="top"/>
    </xf>
    <xf numFmtId="0" fontId="0" fillId="0" borderId="32" xfId="0" applyBorder="1" applyAlignment="1">
      <alignment horizontal="left" vertical="top"/>
    </xf>
    <xf numFmtId="49" fontId="37" fillId="0" borderId="31" xfId="0" applyNumberFormat="1" applyFont="1" applyBorder="1" applyAlignment="1">
      <alignment horizontal="center" vertical="center" textRotation="90" shrinkToFit="1"/>
    </xf>
    <xf numFmtId="0" fontId="38" fillId="0" borderId="0" xfId="0" applyFont="1"/>
    <xf numFmtId="0" fontId="36" fillId="0" borderId="32" xfId="0" applyFont="1" applyBorder="1" applyAlignment="1">
      <alignment horizontal="left" vertical="top" textRotation="90"/>
    </xf>
    <xf numFmtId="49" fontId="1" fillId="2" borderId="11" xfId="0" applyNumberFormat="1" applyFont="1" applyFill="1" applyBorder="1" applyAlignment="1">
      <alignment horizontal="center" vertical="center"/>
    </xf>
    <xf numFmtId="49" fontId="3" fillId="0" borderId="31" xfId="0" applyNumberFormat="1" applyFont="1" applyBorder="1" applyAlignment="1">
      <alignment vertical="center"/>
    </xf>
    <xf numFmtId="0" fontId="29" fillId="0" borderId="0" xfId="0" applyFont="1" applyAlignment="1">
      <alignment horizontal="center" vertical="center" wrapText="1"/>
    </xf>
    <xf numFmtId="0" fontId="3" fillId="0" borderId="24" xfId="0" applyFont="1" applyBorder="1" applyAlignment="1">
      <alignment vertical="center" wrapText="1"/>
    </xf>
    <xf numFmtId="0" fontId="3" fillId="0" borderId="20" xfId="0" applyFont="1" applyBorder="1" applyAlignment="1">
      <alignment vertical="center" wrapText="1"/>
    </xf>
    <xf numFmtId="164" fontId="0" fillId="3" borderId="1" xfId="0" applyNumberFormat="1" applyFont="1" applyFill="1" applyBorder="1" applyAlignment="1">
      <alignment vertical="center"/>
    </xf>
    <xf numFmtId="0" fontId="0" fillId="0" borderId="0" xfId="0" applyFill="1" applyBorder="1"/>
    <xf numFmtId="49" fontId="0" fillId="0" borderId="0" xfId="0" applyNumberFormat="1" applyFill="1" applyBorder="1" applyAlignment="1">
      <alignment horizontal="center"/>
    </xf>
    <xf numFmtId="49" fontId="0" fillId="0" borderId="0" xfId="0" applyNumberFormat="1" applyFill="1" applyBorder="1" applyAlignment="1">
      <alignment horizontal="left"/>
    </xf>
    <xf numFmtId="49" fontId="3" fillId="0" borderId="0" xfId="0" applyNumberFormat="1" applyFont="1" applyFill="1" applyBorder="1" applyAlignment="1">
      <alignment horizontal="left"/>
    </xf>
    <xf numFmtId="49" fontId="4" fillId="0" borderId="0" xfId="0" applyNumberFormat="1" applyFont="1" applyFill="1" applyBorder="1" applyAlignment="1">
      <alignment horizontal="left"/>
    </xf>
    <xf numFmtId="49" fontId="0" fillId="0" borderId="0" xfId="0" applyNumberFormat="1" applyFill="1" applyBorder="1" applyAlignment="1">
      <alignment horizontal="center" vertical="center"/>
    </xf>
    <xf numFmtId="1" fontId="0" fillId="0" borderId="0" xfId="0" applyNumberFormat="1" applyFill="1" applyBorder="1"/>
    <xf numFmtId="0" fontId="30" fillId="0" borderId="0" xfId="0" applyFont="1" applyAlignment="1">
      <alignment horizontal="left" vertical="center"/>
    </xf>
    <xf numFmtId="0" fontId="3" fillId="0" borderId="8" xfId="0" applyFont="1" applyFill="1" applyBorder="1" applyAlignment="1">
      <alignment horizontal="center" vertical="center"/>
    </xf>
    <xf numFmtId="0" fontId="33" fillId="0" borderId="1" xfId="2" applyFont="1" applyFill="1" applyBorder="1" applyAlignment="1">
      <alignment horizontal="center" vertical="center"/>
    </xf>
    <xf numFmtId="0" fontId="42" fillId="0" borderId="0" xfId="0" applyFont="1" applyAlignment="1">
      <alignment horizontal="center" vertical="center"/>
    </xf>
    <xf numFmtId="49" fontId="40" fillId="0" borderId="34" xfId="0" applyNumberFormat="1" applyFont="1" applyFill="1" applyBorder="1" applyAlignment="1">
      <alignment horizontal="center" vertical="center"/>
    </xf>
    <xf numFmtId="0" fontId="3" fillId="0" borderId="8" xfId="0" applyFont="1" applyFill="1" applyBorder="1" applyAlignment="1">
      <alignment vertical="center"/>
    </xf>
    <xf numFmtId="0" fontId="43" fillId="0" borderId="0" xfId="2" applyFont="1">
      <alignment vertical="center"/>
    </xf>
    <xf numFmtId="0" fontId="43" fillId="0" borderId="0" xfId="2" applyFont="1" applyAlignment="1">
      <alignment vertical="center"/>
    </xf>
    <xf numFmtId="0" fontId="22" fillId="0" borderId="0" xfId="2" applyFont="1" applyAlignment="1">
      <alignment vertical="center"/>
    </xf>
    <xf numFmtId="0" fontId="0" fillId="0" borderId="0" xfId="0" applyAlignment="1">
      <alignment horizontal="center" vertical="center"/>
    </xf>
    <xf numFmtId="49" fontId="16" fillId="4" borderId="35" xfId="0" applyNumberFormat="1" applyFont="1" applyFill="1" applyBorder="1" applyAlignment="1">
      <alignment horizontal="center" vertical="center" wrapText="1"/>
    </xf>
    <xf numFmtId="0" fontId="0" fillId="0" borderId="0" xfId="0" applyFill="1" applyBorder="1" applyAlignment="1">
      <alignment vertical="center"/>
    </xf>
    <xf numFmtId="0" fontId="3" fillId="0" borderId="0" xfId="0" applyFont="1" applyBorder="1" applyAlignment="1">
      <alignment vertical="center"/>
    </xf>
    <xf numFmtId="0" fontId="0" fillId="0" borderId="0" xfId="0" applyBorder="1" applyAlignment="1">
      <alignment vertical="center"/>
    </xf>
    <xf numFmtId="49" fontId="24" fillId="4" borderId="20" xfId="0" applyNumberFormat="1" applyFont="1" applyFill="1" applyBorder="1" applyAlignment="1">
      <alignment horizontal="center" vertical="center"/>
    </xf>
    <xf numFmtId="49" fontId="17" fillId="4" borderId="20" xfId="0" applyNumberFormat="1" applyFont="1" applyFill="1" applyBorder="1" applyAlignment="1">
      <alignment horizontal="center" vertical="center" wrapText="1"/>
    </xf>
    <xf numFmtId="49" fontId="3" fillId="0" borderId="20" xfId="0" applyNumberFormat="1" applyFont="1" applyFill="1" applyBorder="1" applyAlignment="1">
      <alignment horizontal="left" vertical="center"/>
    </xf>
    <xf numFmtId="49" fontId="5" fillId="3" borderId="26" xfId="0" applyNumberFormat="1" applyFont="1" applyFill="1" applyBorder="1" applyAlignment="1">
      <alignment horizontal="center" vertical="center"/>
    </xf>
    <xf numFmtId="49" fontId="5" fillId="3" borderId="36" xfId="0" applyNumberFormat="1" applyFont="1" applyFill="1" applyBorder="1" applyAlignment="1">
      <alignment horizontal="center" vertical="center"/>
    </xf>
    <xf numFmtId="49" fontId="16" fillId="4" borderId="0" xfId="0" applyNumberFormat="1" applyFont="1" applyFill="1" applyBorder="1" applyAlignment="1">
      <alignment horizontal="center" vertical="center" wrapText="1"/>
    </xf>
    <xf numFmtId="164" fontId="2" fillId="3" borderId="26" xfId="0" applyNumberFormat="1" applyFont="1" applyFill="1" applyBorder="1" applyAlignment="1">
      <alignment vertical="center"/>
    </xf>
    <xf numFmtId="49" fontId="6" fillId="4" borderId="0" xfId="0" applyNumberFormat="1" applyFont="1" applyFill="1" applyBorder="1" applyAlignment="1">
      <alignment horizontal="center" vertical="center" wrapText="1"/>
    </xf>
    <xf numFmtId="0" fontId="3" fillId="0" borderId="20" xfId="0" applyFont="1" applyBorder="1" applyAlignment="1">
      <alignment horizontal="center" vertical="center"/>
    </xf>
    <xf numFmtId="49" fontId="40" fillId="0" borderId="0" xfId="0" applyNumberFormat="1" applyFont="1" applyFill="1" applyAlignment="1">
      <alignment horizontal="center" vertical="center"/>
    </xf>
    <xf numFmtId="0" fontId="40" fillId="0" borderId="0" xfId="0" applyNumberFormat="1" applyFont="1" applyFill="1" applyBorder="1" applyAlignment="1">
      <alignment horizontal="center" vertical="center"/>
    </xf>
    <xf numFmtId="49" fontId="40" fillId="0" borderId="0" xfId="0" applyNumberFormat="1" applyFont="1" applyFill="1" applyAlignment="1">
      <alignment horizontal="left" vertical="center"/>
    </xf>
    <xf numFmtId="167" fontId="40" fillId="0" borderId="0" xfId="0" applyNumberFormat="1" applyFont="1" applyFill="1" applyAlignment="1">
      <alignment horizontal="center" vertical="center"/>
    </xf>
    <xf numFmtId="1" fontId="40" fillId="0" borderId="0" xfId="0" applyNumberFormat="1" applyFont="1" applyFill="1" applyAlignment="1">
      <alignment horizontal="center" vertical="center"/>
    </xf>
    <xf numFmtId="1" fontId="40" fillId="0" borderId="0" xfId="0" applyNumberFormat="1" applyFont="1" applyFill="1" applyBorder="1" applyAlignment="1">
      <alignment horizontal="center" vertical="center"/>
    </xf>
    <xf numFmtId="49" fontId="40" fillId="0" borderId="0" xfId="0" applyNumberFormat="1" applyFont="1" applyFill="1" applyBorder="1" applyAlignment="1">
      <alignment horizontal="left" vertical="center"/>
    </xf>
    <xf numFmtId="1" fontId="40" fillId="0" borderId="0" xfId="0" applyNumberFormat="1" applyFont="1" applyFill="1" applyBorder="1" applyAlignment="1">
      <alignment horizontal="right" vertical="center"/>
    </xf>
    <xf numFmtId="49" fontId="40" fillId="0" borderId="21" xfId="0" applyNumberFormat="1" applyFont="1" applyFill="1" applyBorder="1" applyAlignment="1">
      <alignment vertical="center"/>
    </xf>
    <xf numFmtId="44" fontId="40" fillId="0" borderId="0" xfId="0" applyNumberFormat="1" applyFont="1" applyFill="1" applyBorder="1" applyAlignment="1">
      <alignment horizontal="left" vertical="center"/>
    </xf>
    <xf numFmtId="49" fontId="40" fillId="0" borderId="0" xfId="0" applyNumberFormat="1" applyFont="1" applyFill="1" applyBorder="1" applyAlignment="1">
      <alignment horizontal="right" vertical="center"/>
    </xf>
    <xf numFmtId="3" fontId="40" fillId="0" borderId="2" xfId="0" applyNumberFormat="1" applyFont="1" applyFill="1" applyBorder="1" applyAlignment="1">
      <alignment horizontal="left" vertical="center"/>
    </xf>
    <xf numFmtId="0" fontId="22" fillId="0" borderId="20" xfId="2" applyFont="1" applyFill="1" applyBorder="1" applyAlignment="1">
      <alignment horizontal="left" vertical="center"/>
    </xf>
    <xf numFmtId="1" fontId="40" fillId="0" borderId="0" xfId="0" applyNumberFormat="1" applyFont="1" applyFill="1" applyAlignment="1">
      <alignment horizontal="right" vertical="center"/>
    </xf>
    <xf numFmtId="49" fontId="40" fillId="0" borderId="20" xfId="0" applyNumberFormat="1" applyFont="1" applyFill="1" applyBorder="1" applyAlignment="1">
      <alignment horizontal="left" vertical="center"/>
    </xf>
    <xf numFmtId="49" fontId="3" fillId="0" borderId="0" xfId="0" applyNumberFormat="1" applyFont="1" applyFill="1" applyAlignment="1">
      <alignment horizontal="center" vertical="center"/>
    </xf>
    <xf numFmtId="0" fontId="3" fillId="0" borderId="0" xfId="0" applyNumberFormat="1" applyFont="1" applyFill="1" applyBorder="1" applyAlignment="1">
      <alignment horizontal="center" vertical="center"/>
    </xf>
    <xf numFmtId="49" fontId="44" fillId="0" borderId="0" xfId="0" applyNumberFormat="1" applyFont="1" applyFill="1" applyAlignment="1">
      <alignment horizontal="left" vertical="center"/>
    </xf>
    <xf numFmtId="1" fontId="3" fillId="0" borderId="0" xfId="0" applyNumberFormat="1" applyFont="1" applyFill="1" applyBorder="1" applyAlignment="1">
      <alignment horizontal="center" vertical="center"/>
    </xf>
    <xf numFmtId="49" fontId="3" fillId="0" borderId="0" xfId="0" applyNumberFormat="1" applyFont="1" applyFill="1" applyAlignment="1">
      <alignment horizontal="left" vertical="center"/>
    </xf>
    <xf numFmtId="49" fontId="3" fillId="0" borderId="21" xfId="0" applyNumberFormat="1" applyFont="1" applyFill="1" applyBorder="1" applyAlignment="1">
      <alignment vertical="center"/>
    </xf>
    <xf numFmtId="49" fontId="3" fillId="0" borderId="0" xfId="0" applyNumberFormat="1" applyFont="1" applyFill="1" applyBorder="1" applyAlignment="1">
      <alignment horizontal="right" vertical="center"/>
    </xf>
    <xf numFmtId="3" fontId="3" fillId="0" borderId="2" xfId="0" applyNumberFormat="1" applyFont="1" applyFill="1" applyBorder="1" applyAlignment="1">
      <alignment horizontal="left" vertical="center"/>
    </xf>
    <xf numFmtId="49" fontId="3" fillId="0" borderId="0" xfId="0" applyNumberFormat="1" applyFont="1" applyFill="1" applyBorder="1" applyAlignment="1">
      <alignment horizontal="center" vertical="center"/>
    </xf>
    <xf numFmtId="49" fontId="44" fillId="0" borderId="0" xfId="0" applyNumberFormat="1" applyFont="1" applyFill="1" applyBorder="1" applyAlignment="1">
      <alignment horizontal="left" vertical="center"/>
    </xf>
    <xf numFmtId="49" fontId="3" fillId="0" borderId="0" xfId="0" applyNumberFormat="1" applyFont="1" applyFill="1" applyBorder="1" applyAlignment="1">
      <alignment horizontal="left" vertical="center"/>
    </xf>
    <xf numFmtId="49" fontId="40" fillId="0" borderId="0" xfId="0" applyNumberFormat="1" applyFont="1" applyFill="1" applyBorder="1" applyAlignment="1">
      <alignment horizontal="center" vertical="center"/>
    </xf>
    <xf numFmtId="16" fontId="3" fillId="0" borderId="20" xfId="0" applyNumberFormat="1" applyFont="1" applyBorder="1" applyAlignment="1">
      <alignment horizontal="center" vertical="center"/>
    </xf>
    <xf numFmtId="49" fontId="3" fillId="0" borderId="37" xfId="0" applyNumberFormat="1" applyFont="1" applyFill="1" applyBorder="1" applyAlignment="1">
      <alignment horizontal="left" vertical="center"/>
    </xf>
    <xf numFmtId="49" fontId="24" fillId="4" borderId="0" xfId="0" applyNumberFormat="1" applyFont="1" applyFill="1" applyAlignment="1">
      <alignment horizontal="center" vertical="center"/>
    </xf>
    <xf numFmtId="49" fontId="24" fillId="4" borderId="0" xfId="0" applyNumberFormat="1" applyFont="1" applyFill="1" applyBorder="1" applyAlignment="1">
      <alignment horizontal="center" vertical="center"/>
    </xf>
    <xf numFmtId="49" fontId="24" fillId="4" borderId="21" xfId="0" applyNumberFormat="1" applyFont="1" applyFill="1" applyBorder="1" applyAlignment="1">
      <alignment horizontal="center" vertical="center"/>
    </xf>
    <xf numFmtId="49" fontId="24" fillId="4" borderId="2" xfId="0" applyNumberFormat="1" applyFont="1" applyFill="1" applyBorder="1" applyAlignment="1">
      <alignment horizontal="center" vertical="center"/>
    </xf>
    <xf numFmtId="49" fontId="16" fillId="12" borderId="0" xfId="0" applyNumberFormat="1" applyFont="1" applyFill="1" applyBorder="1" applyAlignment="1">
      <alignment horizontal="center" vertical="center"/>
    </xf>
    <xf numFmtId="49" fontId="16" fillId="12" borderId="3" xfId="0" applyNumberFormat="1" applyFont="1" applyFill="1" applyBorder="1" applyAlignment="1">
      <alignment horizontal="center" vertical="center"/>
    </xf>
    <xf numFmtId="0" fontId="45" fillId="0" borderId="1" xfId="0" applyFont="1" applyBorder="1" applyAlignment="1">
      <alignment vertical="center"/>
    </xf>
    <xf numFmtId="0" fontId="40" fillId="0" borderId="0" xfId="0" applyFont="1" applyAlignment="1">
      <alignment vertical="center"/>
    </xf>
    <xf numFmtId="49" fontId="40" fillId="13" borderId="38" xfId="0" applyNumberFormat="1" applyFont="1" applyFill="1" applyBorder="1" applyAlignment="1">
      <alignment horizontal="left" vertical="center"/>
    </xf>
    <xf numFmtId="0" fontId="40" fillId="0" borderId="0" xfId="0" applyFont="1" applyAlignment="1">
      <alignment vertical="center" wrapText="1"/>
    </xf>
    <xf numFmtId="0" fontId="19" fillId="0" borderId="0" xfId="0" applyFont="1" applyFill="1" applyAlignment="1">
      <alignment vertical="center"/>
    </xf>
    <xf numFmtId="0" fontId="3" fillId="0" borderId="0" xfId="0" applyFont="1" applyFill="1" applyAlignment="1">
      <alignment vertical="center"/>
    </xf>
    <xf numFmtId="49" fontId="3" fillId="0" borderId="1" xfId="0" applyNumberFormat="1" applyFont="1" applyFill="1" applyBorder="1" applyAlignment="1">
      <alignment vertical="center"/>
    </xf>
    <xf numFmtId="0" fontId="3" fillId="0" borderId="20" xfId="0" applyFont="1" applyFill="1" applyBorder="1" applyAlignment="1">
      <alignment vertical="center"/>
    </xf>
    <xf numFmtId="49" fontId="3" fillId="0" borderId="21" xfId="0" applyNumberFormat="1" applyFont="1" applyFill="1" applyBorder="1" applyAlignment="1">
      <alignment horizontal="left" vertical="center"/>
    </xf>
    <xf numFmtId="0" fontId="3" fillId="0" borderId="0" xfId="0" applyFont="1" applyFill="1" applyBorder="1" applyAlignment="1">
      <alignment vertical="center"/>
    </xf>
    <xf numFmtId="49" fontId="3" fillId="0" borderId="2" xfId="0" applyNumberFormat="1" applyFont="1" applyFill="1" applyBorder="1" applyAlignment="1">
      <alignment horizontal="right" vertical="center"/>
    </xf>
    <xf numFmtId="49" fontId="3" fillId="0" borderId="0" xfId="0" applyNumberFormat="1" applyFont="1" applyFill="1" applyAlignment="1">
      <alignment horizontal="left"/>
    </xf>
    <xf numFmtId="49" fontId="3" fillId="0" borderId="0" xfId="0" applyNumberFormat="1" applyFont="1" applyFill="1" applyAlignment="1">
      <alignment horizontal="center"/>
    </xf>
    <xf numFmtId="49" fontId="44" fillId="0" borderId="0" xfId="0" applyNumberFormat="1" applyFont="1" applyFill="1" applyAlignment="1">
      <alignment horizontal="left"/>
    </xf>
    <xf numFmtId="166" fontId="3" fillId="0" borderId="0" xfId="0" applyNumberFormat="1" applyFont="1" applyFill="1" applyAlignment="1">
      <alignment horizontal="center"/>
    </xf>
    <xf numFmtId="0" fontId="22" fillId="0" borderId="20" xfId="2" applyFont="1" applyFill="1" applyBorder="1" applyAlignment="1">
      <alignment vertical="center"/>
    </xf>
    <xf numFmtId="49" fontId="47" fillId="0" borderId="0" xfId="0" applyNumberFormat="1" applyFont="1" applyFill="1" applyAlignment="1">
      <alignment horizontal="center" vertical="center"/>
    </xf>
    <xf numFmtId="49" fontId="40" fillId="0" borderId="1" xfId="0" applyNumberFormat="1" applyFont="1" applyFill="1" applyBorder="1" applyAlignment="1">
      <alignment horizontal="center" vertical="center"/>
    </xf>
    <xf numFmtId="1" fontId="47" fillId="0" borderId="9" xfId="0" applyNumberFormat="1" applyFont="1" applyFill="1" applyBorder="1" applyAlignment="1">
      <alignment horizontal="center" vertical="center"/>
    </xf>
    <xf numFmtId="49" fontId="40" fillId="0" borderId="8" xfId="0" applyNumberFormat="1" applyFont="1" applyFill="1" applyBorder="1" applyAlignment="1">
      <alignment horizontal="center" vertical="center"/>
    </xf>
    <xf numFmtId="167" fontId="40" fillId="0" borderId="1" xfId="0" applyNumberFormat="1" applyFont="1" applyFill="1" applyBorder="1" applyAlignment="1">
      <alignment horizontal="center" vertical="center"/>
    </xf>
    <xf numFmtId="1" fontId="40" fillId="0" borderId="1" xfId="0" applyNumberFormat="1" applyFont="1" applyFill="1" applyBorder="1" applyAlignment="1">
      <alignment horizontal="center" vertical="center"/>
    </xf>
    <xf numFmtId="44" fontId="40" fillId="0" borderId="1" xfId="0" applyNumberFormat="1" applyFont="1" applyFill="1" applyBorder="1" applyAlignment="1">
      <alignment horizontal="center" vertical="center"/>
    </xf>
    <xf numFmtId="0" fontId="40" fillId="0" borderId="0" xfId="0" applyFont="1" applyFill="1" applyAlignment="1">
      <alignment horizontal="center" vertical="center"/>
    </xf>
    <xf numFmtId="49" fontId="48" fillId="0" borderId="1" xfId="0" applyNumberFormat="1" applyFont="1" applyFill="1" applyBorder="1" applyAlignment="1">
      <alignment horizontal="center" vertical="center"/>
    </xf>
    <xf numFmtId="49" fontId="48" fillId="0" borderId="0" xfId="0" applyNumberFormat="1" applyFont="1" applyFill="1" applyAlignment="1">
      <alignment horizontal="center" vertical="center"/>
    </xf>
    <xf numFmtId="1" fontId="48" fillId="0" borderId="0" xfId="0" applyNumberFormat="1" applyFont="1" applyFill="1" applyAlignment="1">
      <alignment horizontal="center" vertical="center"/>
    </xf>
    <xf numFmtId="0" fontId="22" fillId="0" borderId="1" xfId="2" applyFont="1" applyFill="1" applyBorder="1" applyAlignment="1">
      <alignment horizontal="center" vertical="center"/>
    </xf>
    <xf numFmtId="1" fontId="48" fillId="0" borderId="9" xfId="0" applyNumberFormat="1" applyFont="1" applyFill="1" applyBorder="1" applyAlignment="1">
      <alignment horizontal="center" vertical="center"/>
    </xf>
    <xf numFmtId="0" fontId="22" fillId="0" borderId="0" xfId="2" applyFont="1" applyFill="1" applyBorder="1" applyAlignment="1">
      <alignment horizontal="center" vertical="center"/>
    </xf>
    <xf numFmtId="49" fontId="48" fillId="0" borderId="0" xfId="0" applyNumberFormat="1" applyFont="1" applyAlignment="1">
      <alignment horizontal="center" vertical="center"/>
    </xf>
    <xf numFmtId="167" fontId="48" fillId="0" borderId="0" xfId="0" applyNumberFormat="1" applyFont="1" applyAlignment="1">
      <alignment horizontal="center" vertical="center"/>
    </xf>
    <xf numFmtId="167" fontId="48" fillId="0" borderId="33" xfId="0" applyNumberFormat="1" applyFont="1" applyBorder="1" applyAlignment="1">
      <alignment horizontal="center" vertical="center"/>
    </xf>
    <xf numFmtId="49" fontId="40" fillId="0" borderId="1" xfId="0" applyNumberFormat="1" applyFont="1" applyFill="1" applyBorder="1" applyAlignment="1">
      <alignment vertical="center"/>
    </xf>
    <xf numFmtId="49" fontId="48" fillId="0" borderId="0" xfId="0" applyNumberFormat="1" applyFont="1" applyFill="1" applyAlignment="1">
      <alignment horizontal="left" vertical="center"/>
    </xf>
    <xf numFmtId="49" fontId="48" fillId="0" borderId="1" xfId="0" applyNumberFormat="1" applyFont="1" applyFill="1" applyBorder="1" applyAlignment="1">
      <alignment horizontal="left" vertical="center"/>
    </xf>
    <xf numFmtId="49" fontId="40" fillId="0" borderId="8" xfId="0" applyNumberFormat="1" applyFont="1" applyFill="1" applyBorder="1" applyAlignment="1">
      <alignment horizontal="left" vertical="center"/>
    </xf>
    <xf numFmtId="0" fontId="22" fillId="0" borderId="1" xfId="2" applyFont="1" applyFill="1" applyBorder="1">
      <alignment vertical="center"/>
    </xf>
    <xf numFmtId="167" fontId="40" fillId="0" borderId="1" xfId="0" applyNumberFormat="1" applyFont="1" applyFill="1" applyBorder="1" applyAlignment="1">
      <alignment horizontal="left" vertical="center"/>
    </xf>
    <xf numFmtId="167" fontId="40" fillId="0" borderId="0" xfId="0" applyNumberFormat="1" applyFont="1" applyFill="1" applyAlignment="1">
      <alignment horizontal="left" vertical="center"/>
    </xf>
    <xf numFmtId="1" fontId="40" fillId="0" borderId="1" xfId="0" applyNumberFormat="1" applyFont="1" applyFill="1" applyBorder="1" applyAlignment="1">
      <alignment horizontal="left" vertical="center"/>
    </xf>
    <xf numFmtId="1" fontId="40" fillId="0" borderId="0" xfId="0" applyNumberFormat="1" applyFont="1" applyFill="1" applyAlignment="1">
      <alignment horizontal="left" vertical="center"/>
    </xf>
    <xf numFmtId="49" fontId="40" fillId="0" borderId="1" xfId="0" applyNumberFormat="1" applyFont="1" applyFill="1" applyBorder="1" applyAlignment="1">
      <alignment horizontal="left" vertical="center"/>
    </xf>
    <xf numFmtId="44" fontId="40" fillId="0" borderId="1" xfId="0" applyNumberFormat="1" applyFont="1" applyFill="1" applyBorder="1" applyAlignment="1">
      <alignment horizontal="left" vertical="center"/>
    </xf>
    <xf numFmtId="0" fontId="40" fillId="0" borderId="0" xfId="0" applyFont="1" applyFill="1" applyAlignment="1">
      <alignment vertical="center"/>
    </xf>
    <xf numFmtId="49" fontId="40" fillId="0" borderId="0" xfId="0" applyNumberFormat="1" applyFont="1" applyFill="1" applyAlignment="1">
      <alignment horizontal="right" vertical="center"/>
    </xf>
    <xf numFmtId="49" fontId="48" fillId="0" borderId="0" xfId="0" applyNumberFormat="1" applyFont="1" applyFill="1" applyBorder="1" applyAlignment="1">
      <alignment horizontal="left" vertical="center"/>
    </xf>
    <xf numFmtId="167" fontId="40" fillId="0" borderId="0" xfId="0" applyNumberFormat="1" applyFont="1" applyFill="1" applyBorder="1" applyAlignment="1">
      <alignment horizontal="left" vertical="center"/>
    </xf>
    <xf numFmtId="1" fontId="40" fillId="0" borderId="0" xfId="0" applyNumberFormat="1" applyFont="1" applyFill="1" applyBorder="1" applyAlignment="1">
      <alignment horizontal="left" vertical="center"/>
    </xf>
    <xf numFmtId="49" fontId="48" fillId="0" borderId="2" xfId="0" applyNumberFormat="1" applyFont="1" applyFill="1" applyBorder="1" applyAlignment="1">
      <alignment horizontal="left" vertical="center"/>
    </xf>
    <xf numFmtId="49" fontId="42" fillId="0" borderId="0" xfId="0" applyNumberFormat="1" applyFont="1" applyFill="1" applyAlignment="1">
      <alignment horizontal="center" vertical="center"/>
    </xf>
    <xf numFmtId="0" fontId="40" fillId="0" borderId="0" xfId="0" applyFont="1" applyFill="1" applyBorder="1" applyAlignment="1">
      <alignment vertical="center"/>
    </xf>
    <xf numFmtId="49" fontId="48" fillId="0" borderId="0" xfId="0" applyNumberFormat="1" applyFont="1" applyFill="1" applyBorder="1" applyAlignment="1">
      <alignment horizontal="center" vertical="center"/>
    </xf>
    <xf numFmtId="49" fontId="42" fillId="0" borderId="1" xfId="0" applyNumberFormat="1" applyFont="1" applyFill="1" applyBorder="1" applyAlignment="1">
      <alignment horizontal="left" vertical="center"/>
    </xf>
    <xf numFmtId="1" fontId="42" fillId="0" borderId="29" xfId="0" applyNumberFormat="1" applyFont="1" applyFill="1" applyBorder="1" applyAlignment="1">
      <alignment horizontal="center" vertical="center"/>
    </xf>
    <xf numFmtId="1" fontId="42" fillId="0" borderId="9" xfId="0" applyNumberFormat="1" applyFont="1" applyFill="1" applyBorder="1" applyAlignment="1">
      <alignment horizontal="center" vertical="center"/>
    </xf>
    <xf numFmtId="49" fontId="45" fillId="0" borderId="8" xfId="0" applyNumberFormat="1" applyFont="1" applyFill="1" applyBorder="1" applyAlignment="1">
      <alignment horizontal="left" vertical="center"/>
    </xf>
    <xf numFmtId="167" fontId="3" fillId="0" borderId="1" xfId="0" applyNumberFormat="1" applyFont="1" applyFill="1" applyBorder="1" applyAlignment="1">
      <alignment horizontal="center" vertical="center"/>
    </xf>
    <xf numFmtId="167" fontId="3" fillId="0" borderId="0" xfId="2" applyNumberFormat="1" applyFont="1" applyFill="1" applyBorder="1" applyAlignment="1">
      <alignment horizontal="center" vertical="center"/>
    </xf>
    <xf numFmtId="167" fontId="3" fillId="0" borderId="2" xfId="0" applyNumberFormat="1" applyFont="1" applyFill="1" applyBorder="1" applyAlignment="1">
      <alignment horizontal="center" vertical="center"/>
    </xf>
    <xf numFmtId="1" fontId="3" fillId="0" borderId="1" xfId="0" applyNumberFormat="1" applyFont="1" applyFill="1" applyBorder="1" applyAlignment="1">
      <alignment horizontal="left" vertical="center"/>
    </xf>
    <xf numFmtId="1" fontId="3" fillId="0" borderId="0" xfId="0" applyNumberFormat="1" applyFont="1" applyFill="1" applyAlignment="1">
      <alignment horizontal="left" vertical="center"/>
    </xf>
    <xf numFmtId="1" fontId="3" fillId="0" borderId="2" xfId="0" applyNumberFormat="1" applyFont="1" applyFill="1" applyBorder="1" applyAlignment="1">
      <alignment horizontal="left" vertical="center"/>
    </xf>
    <xf numFmtId="49" fontId="3" fillId="0" borderId="1" xfId="0" applyNumberFormat="1" applyFont="1" applyFill="1" applyBorder="1" applyAlignment="1">
      <alignment horizontal="left" vertical="center"/>
    </xf>
    <xf numFmtId="1" fontId="3" fillId="0" borderId="2" xfId="0" applyNumberFormat="1" applyFont="1" applyFill="1" applyBorder="1" applyAlignment="1">
      <alignment horizontal="right" vertical="center"/>
    </xf>
    <xf numFmtId="44" fontId="3" fillId="0" borderId="1" xfId="0" applyNumberFormat="1" applyFont="1" applyFill="1" applyBorder="1" applyAlignment="1">
      <alignment horizontal="left" vertical="center"/>
    </xf>
    <xf numFmtId="49" fontId="3" fillId="0" borderId="0" xfId="0" applyNumberFormat="1" applyFont="1" applyFill="1" applyAlignment="1">
      <alignment horizontal="right" vertical="center"/>
    </xf>
    <xf numFmtId="167" fontId="3" fillId="0" borderId="0" xfId="0" applyNumberFormat="1" applyFont="1" applyFill="1" applyAlignment="1">
      <alignment horizontal="center" vertical="center"/>
    </xf>
    <xf numFmtId="49" fontId="42" fillId="0" borderId="20" xfId="0" applyNumberFormat="1" applyFont="1" applyFill="1" applyBorder="1" applyAlignment="1">
      <alignment horizontal="left" vertical="center"/>
    </xf>
    <xf numFmtId="49" fontId="42" fillId="0" borderId="0" xfId="0" applyNumberFormat="1" applyFont="1" applyFill="1" applyBorder="1" applyAlignment="1">
      <alignment horizontal="center" vertical="center"/>
    </xf>
    <xf numFmtId="167" fontId="3" fillId="0" borderId="0" xfId="0" applyNumberFormat="1" applyFont="1" applyFill="1" applyBorder="1" applyAlignment="1">
      <alignment horizontal="center" vertical="center"/>
    </xf>
    <xf numFmtId="1" fontId="3" fillId="0" borderId="0" xfId="0" applyNumberFormat="1" applyFont="1" applyFill="1" applyBorder="1" applyAlignment="1">
      <alignment horizontal="left" vertical="center"/>
    </xf>
    <xf numFmtId="44" fontId="3" fillId="0" borderId="0" xfId="0" applyNumberFormat="1" applyFont="1" applyFill="1" applyAlignment="1">
      <alignment vertical="center"/>
    </xf>
    <xf numFmtId="49" fontId="3" fillId="0" borderId="1" xfId="0" applyNumberFormat="1" applyFont="1" applyFill="1" applyBorder="1"/>
    <xf numFmtId="0" fontId="19" fillId="0" borderId="0" xfId="0" applyFont="1" applyFill="1"/>
    <xf numFmtId="0" fontId="3" fillId="0" borderId="0" xfId="0" applyFont="1" applyFill="1"/>
    <xf numFmtId="0" fontId="3" fillId="0" borderId="8" xfId="0" applyFont="1" applyFill="1" applyBorder="1"/>
    <xf numFmtId="1" fontId="3" fillId="0" borderId="28" xfId="0" applyNumberFormat="1" applyFont="1" applyFill="1" applyBorder="1" applyAlignment="1">
      <alignment horizontal="left" vertical="center"/>
    </xf>
    <xf numFmtId="49" fontId="3" fillId="0" borderId="9" xfId="0" applyNumberFormat="1" applyFont="1" applyFill="1" applyBorder="1" applyAlignment="1">
      <alignment horizontal="center"/>
    </xf>
    <xf numFmtId="49" fontId="3" fillId="0" borderId="8" xfId="0" applyNumberFormat="1" applyFont="1" applyFill="1" applyBorder="1" applyAlignment="1">
      <alignment horizontal="left"/>
    </xf>
    <xf numFmtId="49" fontId="3" fillId="0" borderId="1" xfId="0" applyNumberFormat="1" applyFont="1" applyFill="1" applyBorder="1" applyAlignment="1">
      <alignment horizontal="center" vertical="center"/>
    </xf>
    <xf numFmtId="1" fontId="3" fillId="0" borderId="0" xfId="0" applyNumberFormat="1" applyFont="1" applyFill="1"/>
    <xf numFmtId="1" fontId="3" fillId="0" borderId="1" xfId="0" applyNumberFormat="1" applyFont="1" applyFill="1" applyBorder="1"/>
    <xf numFmtId="1" fontId="3" fillId="0" borderId="1" xfId="0" applyNumberFormat="1" applyFont="1" applyFill="1" applyBorder="1" applyAlignment="1">
      <alignment horizontal="right"/>
    </xf>
    <xf numFmtId="44" fontId="3" fillId="0" borderId="0" xfId="0" applyNumberFormat="1" applyFont="1" applyFill="1"/>
    <xf numFmtId="49" fontId="3" fillId="0" borderId="0" xfId="0" applyNumberFormat="1" applyFont="1" applyFill="1" applyAlignment="1">
      <alignment horizontal="right"/>
    </xf>
    <xf numFmtId="1" fontId="3" fillId="0" borderId="1" xfId="0" applyNumberFormat="1" applyFont="1" applyFill="1" applyBorder="1" applyAlignment="1">
      <alignment horizontal="left"/>
    </xf>
    <xf numFmtId="49" fontId="16" fillId="12" borderId="21" xfId="0" applyNumberFormat="1" applyFont="1" applyFill="1" applyBorder="1" applyAlignment="1">
      <alignment horizontal="center" vertical="center" wrapText="1"/>
    </xf>
    <xf numFmtId="0" fontId="3" fillId="0" borderId="0" xfId="0" applyFont="1" applyAlignment="1">
      <alignment horizontal="right" vertical="center"/>
    </xf>
    <xf numFmtId="0" fontId="0" fillId="0" borderId="0" xfId="0" applyFont="1" applyAlignment="1">
      <alignment horizontal="left" vertical="center"/>
    </xf>
    <xf numFmtId="0" fontId="0" fillId="0" borderId="0" xfId="0" applyFont="1" applyAlignment="1">
      <alignment vertical="center"/>
    </xf>
    <xf numFmtId="0" fontId="0" fillId="0" borderId="20" xfId="0" applyBorder="1"/>
    <xf numFmtId="0" fontId="0" fillId="0" borderId="20" xfId="0" applyBorder="1" applyAlignment="1">
      <alignment vertical="center"/>
    </xf>
    <xf numFmtId="0" fontId="0" fillId="0" borderId="0" xfId="0" applyBorder="1"/>
    <xf numFmtId="0" fontId="0" fillId="0" borderId="21" xfId="0" applyBorder="1"/>
    <xf numFmtId="0" fontId="0" fillId="0" borderId="22" xfId="0" applyFill="1" applyBorder="1" applyAlignment="1">
      <alignment vertical="center"/>
    </xf>
    <xf numFmtId="0" fontId="3" fillId="0" borderId="26" xfId="0" applyFont="1" applyBorder="1" applyAlignment="1">
      <alignment vertical="center"/>
    </xf>
    <xf numFmtId="0" fontId="0" fillId="0" borderId="26" xfId="0" applyBorder="1"/>
    <xf numFmtId="0" fontId="0" fillId="0" borderId="23" xfId="0" applyBorder="1"/>
    <xf numFmtId="0" fontId="0" fillId="4" borderId="18" xfId="0" applyFill="1" applyBorder="1" applyAlignment="1">
      <alignment horizontal="center" vertical="center"/>
    </xf>
    <xf numFmtId="0" fontId="0" fillId="4" borderId="25" xfId="0" applyFont="1" applyFill="1" applyBorder="1" applyAlignment="1">
      <alignment vertical="center"/>
    </xf>
    <xf numFmtId="0" fontId="0" fillId="4" borderId="25" xfId="0" applyFill="1" applyBorder="1"/>
    <xf numFmtId="0" fontId="0" fillId="4" borderId="19" xfId="0" applyFill="1" applyBorder="1"/>
    <xf numFmtId="1" fontId="3" fillId="0" borderId="0" xfId="0" quotePrefix="1" applyNumberFormat="1" applyFont="1" applyBorder="1" applyAlignment="1">
      <alignment horizontal="center" vertical="center"/>
    </xf>
    <xf numFmtId="1" fontId="3" fillId="0" borderId="0" xfId="0" applyNumberFormat="1" applyFont="1" applyBorder="1" applyAlignment="1">
      <alignment vertical="center"/>
    </xf>
    <xf numFmtId="9" fontId="3" fillId="0" borderId="0" xfId="0" applyNumberFormat="1" applyFont="1" applyBorder="1" applyAlignment="1">
      <alignment vertical="center"/>
    </xf>
    <xf numFmtId="1" fontId="3" fillId="0" borderId="0" xfId="0" applyNumberFormat="1" applyFont="1" applyBorder="1" applyAlignment="1">
      <alignment horizontal="center" vertical="center"/>
    </xf>
    <xf numFmtId="0" fontId="0" fillId="0" borderId="21" xfId="0" applyBorder="1" applyAlignment="1">
      <alignment vertical="center"/>
    </xf>
    <xf numFmtId="0" fontId="0" fillId="0" borderId="22" xfId="0" applyBorder="1" applyAlignment="1">
      <alignment vertical="center"/>
    </xf>
    <xf numFmtId="0" fontId="0" fillId="0" borderId="26" xfId="0" applyBorder="1" applyAlignment="1">
      <alignment vertical="center"/>
    </xf>
    <xf numFmtId="0" fontId="0" fillId="0" borderId="23" xfId="0" applyBorder="1" applyAlignment="1">
      <alignment vertical="center"/>
    </xf>
    <xf numFmtId="0" fontId="0" fillId="4" borderId="25" xfId="0" applyFill="1" applyBorder="1" applyAlignment="1">
      <alignment vertical="center"/>
    </xf>
    <xf numFmtId="0" fontId="0" fillId="4" borderId="19" xfId="0" applyFill="1" applyBorder="1" applyAlignment="1">
      <alignment vertical="center"/>
    </xf>
    <xf numFmtId="0" fontId="22" fillId="0" borderId="0" xfId="2">
      <alignment vertical="center"/>
    </xf>
    <xf numFmtId="0" fontId="29" fillId="4" borderId="18" xfId="0" applyFont="1" applyFill="1" applyBorder="1" applyAlignment="1">
      <alignment horizontal="center" vertical="center"/>
    </xf>
    <xf numFmtId="0" fontId="29" fillId="4" borderId="25" xfId="0" applyFont="1" applyFill="1" applyBorder="1" applyAlignment="1">
      <alignment horizontal="left" vertical="center"/>
    </xf>
    <xf numFmtId="0" fontId="29" fillId="4" borderId="25" xfId="0" applyFont="1" applyFill="1" applyBorder="1" applyAlignment="1">
      <alignment vertical="center"/>
    </xf>
    <xf numFmtId="0" fontId="6" fillId="4" borderId="0" xfId="0" applyFont="1" applyFill="1" applyBorder="1" applyAlignment="1">
      <alignment horizontal="center" vertical="center" wrapText="1"/>
    </xf>
    <xf numFmtId="49" fontId="41" fillId="0" borderId="0" xfId="0" applyNumberFormat="1" applyFont="1" applyAlignment="1">
      <alignment horizontal="left" vertical="center"/>
    </xf>
    <xf numFmtId="49" fontId="16" fillId="4" borderId="0" xfId="0" applyNumberFormat="1" applyFont="1" applyFill="1" applyBorder="1" applyAlignment="1">
      <alignment horizontal="center" vertical="center"/>
    </xf>
    <xf numFmtId="0" fontId="3" fillId="0" borderId="0" xfId="0" applyFont="1" applyBorder="1" applyAlignment="1">
      <alignment horizontal="center" vertical="center"/>
    </xf>
    <xf numFmtId="0" fontId="3" fillId="0" borderId="0" xfId="0" applyFont="1" applyBorder="1" applyAlignment="1">
      <alignment horizontal="left" vertical="center"/>
    </xf>
    <xf numFmtId="49" fontId="16" fillId="4" borderId="21" xfId="0" applyNumberFormat="1" applyFont="1" applyFill="1" applyBorder="1" applyAlignment="1">
      <alignment horizontal="center" vertical="center"/>
    </xf>
    <xf numFmtId="0" fontId="44" fillId="0" borderId="21" xfId="0" applyFont="1" applyBorder="1" applyAlignment="1">
      <alignment horizontal="left" vertical="center"/>
    </xf>
    <xf numFmtId="166" fontId="3" fillId="0" borderId="21" xfId="0" applyNumberFormat="1" applyFont="1" applyFill="1" applyBorder="1" applyAlignment="1">
      <alignment horizontal="center" vertical="center"/>
    </xf>
    <xf numFmtId="49" fontId="46" fillId="4" borderId="20" xfId="0" applyNumberFormat="1" applyFont="1" applyFill="1" applyBorder="1" applyAlignment="1">
      <alignment horizontal="center" vertical="center" wrapText="1"/>
    </xf>
    <xf numFmtId="49" fontId="6" fillId="4" borderId="21" xfId="0" applyNumberFormat="1" applyFont="1" applyFill="1" applyBorder="1" applyAlignment="1">
      <alignment horizontal="center" vertical="center" wrapText="1"/>
    </xf>
    <xf numFmtId="0" fontId="3" fillId="0" borderId="21" xfId="0" applyFont="1" applyBorder="1" applyAlignment="1">
      <alignment vertical="center"/>
    </xf>
    <xf numFmtId="49" fontId="3" fillId="0" borderId="21" xfId="0" applyNumberFormat="1" applyFont="1" applyFill="1" applyBorder="1" applyAlignment="1">
      <alignment horizontal="center" vertical="center"/>
    </xf>
    <xf numFmtId="49" fontId="41" fillId="0" borderId="0" xfId="0" applyNumberFormat="1" applyFont="1" applyBorder="1" applyAlignment="1">
      <alignment horizontal="left" vertical="center"/>
    </xf>
    <xf numFmtId="1" fontId="3" fillId="0" borderId="0" xfId="0" applyNumberFormat="1" applyFont="1" applyFill="1" applyBorder="1" applyAlignment="1">
      <alignment vertical="center"/>
    </xf>
    <xf numFmtId="49" fontId="27" fillId="4" borderId="0" xfId="0" applyNumberFormat="1" applyFont="1" applyFill="1" applyBorder="1" applyAlignment="1">
      <alignment horizontal="center" vertical="center" wrapText="1"/>
    </xf>
    <xf numFmtId="0" fontId="3" fillId="8" borderId="0" xfId="0" applyFont="1" applyFill="1" applyBorder="1" applyAlignment="1">
      <alignment horizontal="center" vertical="center"/>
    </xf>
    <xf numFmtId="167" fontId="40" fillId="0" borderId="0" xfId="0" applyNumberFormat="1" applyFont="1" applyFill="1" applyBorder="1" applyAlignment="1">
      <alignment horizontal="center" vertical="center"/>
    </xf>
    <xf numFmtId="1" fontId="40" fillId="13" borderId="0" xfId="0" applyNumberFormat="1" applyFont="1" applyFill="1" applyBorder="1" applyAlignment="1">
      <alignment horizontal="center" vertical="center"/>
    </xf>
    <xf numFmtId="1" fontId="40" fillId="0" borderId="21" xfId="0" applyNumberFormat="1" applyFont="1" applyFill="1" applyBorder="1" applyAlignment="1">
      <alignment horizontal="center" vertical="center"/>
    </xf>
    <xf numFmtId="1" fontId="3" fillId="0" borderId="21" xfId="0" applyNumberFormat="1" applyFont="1" applyFill="1" applyBorder="1" applyAlignment="1">
      <alignment horizontal="center" vertical="center"/>
    </xf>
    <xf numFmtId="49" fontId="40" fillId="0" borderId="21" xfId="0" applyNumberFormat="1" applyFont="1" applyFill="1" applyBorder="1" applyAlignment="1">
      <alignment horizontal="center" vertical="center"/>
    </xf>
    <xf numFmtId="1" fontId="3" fillId="0" borderId="21" xfId="0" applyNumberFormat="1" applyFont="1" applyFill="1" applyBorder="1" applyAlignment="1">
      <alignment vertical="center"/>
    </xf>
    <xf numFmtId="0" fontId="22" fillId="13" borderId="20" xfId="2" applyFont="1" applyFill="1" applyBorder="1" applyAlignment="1">
      <alignment horizontal="left" vertical="center"/>
    </xf>
    <xf numFmtId="49" fontId="1" fillId="2" borderId="19" xfId="0" applyNumberFormat="1" applyFont="1" applyFill="1" applyBorder="1" applyAlignment="1">
      <alignment vertical="center"/>
    </xf>
    <xf numFmtId="49" fontId="1" fillId="2" borderId="25" xfId="0" applyNumberFormat="1" applyFont="1" applyFill="1" applyBorder="1" applyAlignment="1">
      <alignment vertical="center"/>
    </xf>
    <xf numFmtId="49" fontId="1" fillId="2" borderId="21" xfId="0" applyNumberFormat="1" applyFont="1" applyFill="1" applyBorder="1" applyAlignment="1">
      <alignment horizontal="center" vertical="center"/>
    </xf>
    <xf numFmtId="49" fontId="1" fillId="2" borderId="25" xfId="0" applyNumberFormat="1" applyFont="1" applyFill="1" applyBorder="1" applyAlignment="1">
      <alignment horizontal="center" vertical="center"/>
    </xf>
    <xf numFmtId="0" fontId="16" fillId="2" borderId="4" xfId="0" applyFont="1" applyFill="1" applyBorder="1" applyAlignment="1">
      <alignment horizontal="center" vertical="center"/>
    </xf>
    <xf numFmtId="0" fontId="16" fillId="2" borderId="5" xfId="0" applyFont="1" applyFill="1" applyBorder="1" applyAlignment="1">
      <alignment horizontal="center" vertical="center"/>
    </xf>
    <xf numFmtId="164" fontId="23" fillId="10" borderId="20" xfId="0" applyNumberFormat="1" applyFont="1" applyFill="1" applyBorder="1" applyAlignment="1">
      <alignment horizontal="center" vertical="center"/>
    </xf>
    <xf numFmtId="164" fontId="23" fillId="10" borderId="0" xfId="0" applyNumberFormat="1" applyFont="1" applyFill="1" applyBorder="1" applyAlignment="1">
      <alignment horizontal="center" vertical="center"/>
    </xf>
    <xf numFmtId="164" fontId="23" fillId="10" borderId="2" xfId="0" applyNumberFormat="1" applyFont="1" applyFill="1" applyBorder="1" applyAlignment="1">
      <alignment horizontal="center" vertical="center"/>
    </xf>
    <xf numFmtId="49" fontId="13" fillId="14" borderId="0" xfId="0" applyNumberFormat="1" applyFont="1" applyFill="1" applyAlignment="1">
      <alignment horizontal="left" vertical="center"/>
    </xf>
    <xf numFmtId="49" fontId="13" fillId="14" borderId="21" xfId="0" applyNumberFormat="1" applyFont="1" applyFill="1" applyBorder="1" applyAlignment="1">
      <alignment horizontal="left" vertical="center"/>
    </xf>
    <xf numFmtId="49" fontId="6" fillId="14" borderId="0" xfId="0" applyNumberFormat="1" applyFont="1" applyFill="1" applyBorder="1" applyAlignment="1">
      <alignment horizontal="center" vertical="center"/>
    </xf>
    <xf numFmtId="49" fontId="6" fillId="14" borderId="26" xfId="0" applyNumberFormat="1" applyFont="1" applyFill="1" applyBorder="1" applyAlignment="1">
      <alignment horizontal="center" vertical="center"/>
    </xf>
    <xf numFmtId="49" fontId="6" fillId="14" borderId="23" xfId="0" applyNumberFormat="1" applyFont="1" applyFill="1" applyBorder="1" applyAlignment="1">
      <alignment horizontal="center" vertical="center"/>
    </xf>
    <xf numFmtId="49" fontId="1" fillId="2" borderId="18" xfId="0" applyNumberFormat="1" applyFont="1" applyFill="1" applyBorder="1" applyAlignment="1">
      <alignment horizontal="center" vertical="center"/>
    </xf>
    <xf numFmtId="49" fontId="1" fillId="2" borderId="19" xfId="0" applyNumberFormat="1" applyFont="1" applyFill="1" applyBorder="1" applyAlignment="1">
      <alignment horizontal="center" vertical="center"/>
    </xf>
    <xf numFmtId="49" fontId="1" fillId="2" borderId="39" xfId="0" applyNumberFormat="1" applyFont="1" applyFill="1" applyBorder="1" applyAlignment="1">
      <alignment horizontal="center" vertical="center"/>
    </xf>
    <xf numFmtId="49" fontId="14" fillId="7" borderId="0" xfId="0" applyNumberFormat="1" applyFont="1" applyFill="1" applyAlignment="1">
      <alignment horizontal="left" vertical="center"/>
    </xf>
    <xf numFmtId="49" fontId="14" fillId="7" borderId="2" xfId="0" applyNumberFormat="1" applyFont="1" applyFill="1" applyBorder="1" applyAlignment="1">
      <alignment horizontal="left" vertical="center"/>
    </xf>
    <xf numFmtId="0" fontId="13" fillId="2" borderId="4" xfId="0" applyFont="1" applyFill="1" applyBorder="1" applyAlignment="1">
      <alignment horizontal="center" vertical="center"/>
    </xf>
    <xf numFmtId="0" fontId="13" fillId="2" borderId="5" xfId="0" applyFont="1" applyFill="1" applyBorder="1" applyAlignment="1">
      <alignment horizontal="center" vertical="center"/>
    </xf>
    <xf numFmtId="49" fontId="1" fillId="9" borderId="0" xfId="0" applyNumberFormat="1" applyFont="1" applyFill="1" applyAlignment="1">
      <alignment horizontal="left" vertical="center"/>
    </xf>
    <xf numFmtId="49" fontId="1" fillId="9" borderId="2" xfId="0" applyNumberFormat="1" applyFont="1" applyFill="1" applyBorder="1" applyAlignment="1">
      <alignment horizontal="left" vertical="center"/>
    </xf>
    <xf numFmtId="49" fontId="1" fillId="2" borderId="4" xfId="0" applyNumberFormat="1" applyFont="1" applyFill="1" applyBorder="1" applyAlignment="1">
      <alignment horizontal="center" vertical="center"/>
    </xf>
    <xf numFmtId="49" fontId="1" fillId="2" borderId="11" xfId="0" applyNumberFormat="1" applyFont="1" applyFill="1" applyBorder="1" applyAlignment="1">
      <alignment horizontal="center" vertical="center"/>
    </xf>
    <xf numFmtId="49" fontId="1" fillId="2" borderId="15" xfId="0" applyNumberFormat="1" applyFont="1" applyFill="1" applyBorder="1" applyAlignment="1">
      <alignment horizontal="center" vertical="center"/>
    </xf>
    <xf numFmtId="49" fontId="1" fillId="2" borderId="5"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Fill="1" applyBorder="1" applyAlignment="1">
      <alignment horizontal="center" vertical="center"/>
    </xf>
    <xf numFmtId="49" fontId="24" fillId="4" borderId="40" xfId="0" applyNumberFormat="1" applyFont="1" applyFill="1" applyBorder="1" applyAlignment="1">
      <alignment horizontal="center" vertical="center"/>
    </xf>
    <xf numFmtId="49" fontId="16" fillId="4" borderId="40" xfId="0" applyNumberFormat="1" applyFont="1" applyFill="1" applyBorder="1" applyAlignment="1">
      <alignment horizontal="center" vertical="center" wrapText="1"/>
    </xf>
    <xf numFmtId="167" fontId="40" fillId="0" borderId="40" xfId="0" applyNumberFormat="1" applyFont="1" applyFill="1" applyBorder="1" applyAlignment="1">
      <alignment horizontal="center" vertical="center"/>
    </xf>
    <xf numFmtId="49" fontId="24" fillId="4" borderId="33" xfId="0" applyNumberFormat="1" applyFont="1" applyFill="1" applyBorder="1" applyAlignment="1">
      <alignment horizontal="center" vertical="center"/>
    </xf>
    <xf numFmtId="49" fontId="16" fillId="4" borderId="33" xfId="0" applyNumberFormat="1" applyFont="1" applyFill="1" applyBorder="1" applyAlignment="1">
      <alignment horizontal="center" vertical="center" wrapText="1"/>
    </xf>
    <xf numFmtId="167" fontId="40" fillId="0" borderId="33" xfId="0" applyNumberFormat="1" applyFont="1" applyFill="1" applyBorder="1" applyAlignment="1">
      <alignment horizontal="center" vertical="center"/>
    </xf>
  </cellXfs>
  <cellStyles count="3">
    <cellStyle name="Followed Hyperlink" xfId="1" builtinId="9" customBuiltin="1"/>
    <cellStyle name="Hyperlink" xfId="2" builtinId="8" customBuiltin="1"/>
    <cellStyle name="Normal" xfId="0" builtinId="0"/>
  </cellStyles>
  <dxfs count="182">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left/>
        <right style="dashDot">
          <color indexed="64"/>
        </right>
        <top/>
        <bottom/>
        <vertical/>
        <horizontal/>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left style="dashDot">
          <color indexed="64"/>
        </left>
        <right/>
        <top/>
        <bottom/>
        <vertical/>
        <horizontal/>
      </border>
    </dxf>
    <dxf>
      <font>
        <strike val="0"/>
        <outline val="0"/>
        <shadow val="0"/>
        <u val="none"/>
        <vertAlign val="baseline"/>
        <sz val="10"/>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diagonalUp="0" diagonalDown="0">
        <left style="thin">
          <color rgb="FF565A5C"/>
        </left>
        <right style="thin">
          <color rgb="FF565A5C"/>
        </right>
        <top style="thin">
          <color rgb="FF565A5C"/>
        </top>
        <bottom style="thin">
          <color rgb="FF565A5C"/>
        </bottom>
      </border>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1" indent="0" justifyLastLine="0" shrinkToFit="0" readingOrder="0"/>
    </dxf>
    <dxf>
      <font>
        <strike val="0"/>
        <outline val="0"/>
        <shadow val="0"/>
        <u val="none"/>
        <vertAlign val="baseline"/>
        <sz val="10"/>
        <color theme="1"/>
        <name val="Calibri"/>
        <family val="2"/>
        <scheme val="minor"/>
      </font>
    </dxf>
    <dxf>
      <border diagonalUp="0" diagonalDown="0">
        <left style="thin">
          <color rgb="FF565A5C"/>
        </left>
        <right style="thin">
          <color rgb="FF565A5C"/>
        </right>
        <top style="thin">
          <color rgb="FF565A5C"/>
        </top>
        <bottom style="thin">
          <color rgb="FF565A5C"/>
        </bottom>
      </border>
    </dxf>
    <dxf>
      <font>
        <strike val="0"/>
        <outline val="0"/>
        <shadow val="0"/>
        <u val="none"/>
        <vertAlign val="baseline"/>
        <sz val="10"/>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1" indent="0" justifyLastLine="0" shrinkToFit="0" readingOrder="0"/>
    </dxf>
    <dxf>
      <font>
        <strike val="0"/>
        <outline val="0"/>
        <shadow val="0"/>
        <u val="none"/>
        <vertAlign val="baseline"/>
        <sz val="10"/>
        <color theme="1"/>
        <name val="Calibri"/>
        <family val="2"/>
        <scheme val="minor"/>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0"/>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indexed="64"/>
          <bgColor rgb="FF565A5C"/>
        </patternFill>
      </fill>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general" vertical="center" textRotation="0" wrapText="1" indent="0" justifyLastLine="0" shrinkToFit="0" readingOrder="0"/>
      <border diagonalUp="0" diagonalDown="0">
        <left style="thin">
          <color indexed="64"/>
        </left>
        <right/>
        <top/>
        <bottom/>
        <vertical/>
        <horizontal/>
      </border>
    </dxf>
    <dxf>
      <font>
        <strike val="0"/>
        <outline val="0"/>
        <shadow val="0"/>
        <u val="none"/>
        <vertAlign val="baseline"/>
        <sz val="10"/>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center" vertical="center" textRotation="0" wrapText="0" indent="0" justifyLastLine="0" shrinkToFit="0" readingOrder="0"/>
    </dxf>
    <dxf>
      <font>
        <strike val="0"/>
        <outline val="0"/>
        <shadow val="0"/>
        <u val="none"/>
        <vertAlign val="baseline"/>
        <sz val="10"/>
        <color theme="1"/>
        <name val="Calibri"/>
        <family val="2"/>
        <scheme val="minor"/>
      </font>
      <alignment horizontal="general"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3"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1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4" tint="0.39997558519241921"/>
        </top>
        <bottom/>
      </border>
    </dxf>
    <dxf>
      <alignment horizontal="general" vertical="center" textRotation="0" wrapText="0" indent="0" justifyLastLine="0" shrinkToFit="0" readingOrder="0"/>
    </dxf>
    <dxf>
      <font>
        <b val="0"/>
        <i val="0"/>
        <strike val="0"/>
        <condense val="0"/>
        <extend val="0"/>
        <outline val="0"/>
        <shadow val="0"/>
        <u val="none"/>
        <vertAlign val="baseline"/>
        <sz val="9"/>
        <color theme="0" tint="-0.499984740745262"/>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0"/>
        <color theme="1"/>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alignment vertical="center" textRotation="0" indent="0" justifyLastLine="0" shrinkToFit="0" readingOrder="0"/>
    </dxf>
    <dxf>
      <border outline="0">
        <left style="thin">
          <color theme="4" tint="0.39997558519241921"/>
        </left>
        <right style="thin">
          <color theme="4" tint="0.39997558519241921"/>
        </right>
        <top style="thin">
          <color theme="4" tint="0.39997558519241921"/>
        </top>
      </border>
    </dxf>
    <dxf>
      <fill>
        <patternFill patternType="none">
          <fgColor indexed="64"/>
          <bgColor auto="1"/>
        </patternFill>
      </fill>
      <alignment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0"/>
        <color theme="1"/>
        <name val="Calibri"/>
        <family val="2"/>
        <scheme val="minor"/>
      </font>
      <numFmt numFmtId="13" formatCode="0%"/>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alignment horizontal="right" vertical="center" textRotation="0" wrapText="0" indent="0" justifyLastLine="0" shrinkToFit="0" readingOrder="0"/>
    </dxf>
    <dxf>
      <font>
        <strike val="0"/>
        <outline val="0"/>
        <shadow val="0"/>
        <u val="none"/>
        <vertAlign val="baseline"/>
        <sz val="10"/>
        <color theme="1"/>
        <name val="Calibri"/>
        <family val="2"/>
        <scheme val="minor"/>
      </font>
      <numFmt numFmtId="1" formatCode="0"/>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dxf>
    <dxf>
      <font>
        <strike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dxf>
    <dxf>
      <numFmt numFmtId="30" formatCode="@"/>
      <alignment vertical="center" textRotation="0" wrapText="0" indent="0" justifyLastLine="0" shrinkToFit="0" readingOrder="0"/>
    </dxf>
    <dxf>
      <font>
        <strike val="0"/>
        <outline val="0"/>
        <shadow val="0"/>
        <u val="none"/>
        <vertAlign val="baseline"/>
        <sz val="10"/>
        <color theme="1"/>
        <name val="Calibri"/>
        <family val="2"/>
        <scheme val="minor"/>
      </font>
      <numFmt numFmtId="30" formatCode="@"/>
      <alignment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vertical="center" textRotation="0" wrapText="0" indent="0" justifyLastLine="0" shrinkToFit="0" readingOrder="0"/>
    </dxf>
    <dxf>
      <alignment horizontal="center"/>
    </dxf>
    <dxf>
      <font>
        <sz val="10"/>
      </font>
    </dxf>
    <dxf>
      <font>
        <sz val="10"/>
      </font>
    </dxf>
    <dxf>
      <font>
        <sz val="10"/>
      </font>
    </dxf>
    <dxf>
      <alignment horizontal="center"/>
    </dxf>
    <dxf>
      <alignment vertical="center"/>
    </dxf>
    <dxf>
      <alignment vertical="center"/>
    </dxf>
    <dxf>
      <alignment vertical="center"/>
    </dxf>
    <dxf>
      <alignment vertical="center"/>
    </dxf>
    <dxf>
      <alignment vertical="center"/>
    </dxf>
    <dxf>
      <alignment vertical="center"/>
    </dxf>
    <dxf>
      <alignment horizontal="center"/>
    </dxf>
    <dxf>
      <font>
        <strike val="0"/>
        <outline val="0"/>
        <shadow val="0"/>
        <u val="none"/>
        <vertAlign val="baseline"/>
        <sz val="10"/>
        <color theme="1"/>
        <name val="Calibri"/>
        <family val="2"/>
        <scheme val="minor"/>
      </font>
      <numFmt numFmtId="0" formatCode="General"/>
      <alignment vertical="center" textRotation="0" wrapText="0" indent="0" justifyLastLine="0" shrinkToFit="0" readingOrder="0"/>
    </dxf>
    <dxf>
      <font>
        <strike val="0"/>
        <outline val="0"/>
        <shadow val="0"/>
        <u val="none"/>
        <vertAlign val="baseline"/>
        <sz val="10"/>
        <color theme="1"/>
        <name val="Calibri"/>
        <family val="2"/>
        <scheme val="minor"/>
      </font>
      <alignment vertical="center" textRotation="0" wrapText="0" indent="0" justifyLastLine="0" shrinkToFit="0" readingOrder="0"/>
    </dxf>
    <dxf>
      <border outline="0">
        <right style="thin">
          <color indexed="64"/>
        </right>
      </border>
    </dxf>
    <dxf>
      <font>
        <strike val="0"/>
        <outline val="0"/>
        <shadow val="0"/>
        <u val="none"/>
        <vertAlign val="baseline"/>
        <sz val="10"/>
        <color theme="1"/>
        <name val="Calibri"/>
        <family val="2"/>
        <scheme val="minor"/>
      </font>
      <alignmen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color theme="7" tint="-0.499984740745262"/>
      </font>
      <fill>
        <patternFill>
          <bgColor theme="7" tint="0.59996337778862885"/>
        </patternFill>
      </fill>
    </dxf>
    <dxf>
      <font>
        <color theme="0" tint="-0.499984740745262"/>
      </font>
      <fill>
        <patternFill patternType="none">
          <bgColor auto="1"/>
        </patternFill>
      </fill>
    </dxf>
    <dxf>
      <font>
        <sz val="10"/>
      </font>
    </dxf>
    <dxf>
      <font>
        <sz val="10"/>
      </font>
    </dxf>
    <dxf>
      <font>
        <sz val="10"/>
      </font>
    </dxf>
    <dxf>
      <alignment vertical="center"/>
    </dxf>
    <dxf>
      <alignment vertical="center"/>
    </dxf>
    <dxf>
      <alignment vertical="center"/>
    </dxf>
    <dxf>
      <alignment vertical="center"/>
    </dxf>
    <dxf>
      <alignment vertical="center"/>
    </dxf>
    <dxf>
      <alignment vertical="center"/>
    </dxf>
    <dxf>
      <alignment horizontal="center"/>
    </dxf>
    <dxf>
      <font>
        <sz val="10"/>
      </font>
    </dxf>
    <dxf>
      <font>
        <sz val="10"/>
      </font>
    </dxf>
    <dxf>
      <alignment horizontal="general"/>
    </dxf>
    <dxf>
      <alignment horizontal="general"/>
    </dxf>
    <dxf>
      <alignment horizontal="general"/>
    </dxf>
    <dxf>
      <alignment vertical="center"/>
    </dxf>
    <dxf>
      <alignment vertical="center"/>
    </dxf>
    <dxf>
      <alignment vertical="center"/>
    </dxf>
    <dxf>
      <font>
        <strike val="0"/>
        <outline val="0"/>
        <shadow val="0"/>
        <vertAlign val="baseline"/>
        <sz val="10"/>
        <name val="Calibri"/>
        <family val="2"/>
      </font>
    </dxf>
    <dxf>
      <font>
        <strike val="0"/>
        <outline val="0"/>
        <shadow val="0"/>
        <vertAlign val="baseline"/>
        <sz val="10"/>
        <name val="Calibri"/>
        <family val="2"/>
      </font>
    </dxf>
    <dxf>
      <font>
        <strike val="0"/>
        <outline val="0"/>
        <shadow val="0"/>
        <u val="none"/>
        <vertAlign val="baseline"/>
        <sz val="10"/>
        <color rgb="FF565A5C"/>
        <name val="Calibri"/>
        <family val="2"/>
        <scheme val="min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general"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theme="6" tint="0.79998168889431442"/>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4" formatCode="_(&quot;$&quot;* #,##0.00_);_(&quot;$&quot;* \(#,##0.00\);_(&quot;$&quot;* &quot;-&quot;??_);_(@_)"/>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style="thin">
          <color rgb="FF565A5C"/>
        </left>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rgb="FF565A5C"/>
        </left>
        <right/>
      </border>
    </dxf>
    <dxf>
      <font>
        <strike val="0"/>
        <outline val="0"/>
        <shadow val="0"/>
        <u val="none"/>
        <vertAlign val="baseline"/>
        <sz val="10"/>
        <color theme="1"/>
        <name val="Calibri"/>
        <family val="2"/>
      </font>
      <fill>
        <patternFill patternType="none">
          <fgColor indexed="64"/>
          <bgColor auto="1"/>
        </patternFill>
      </fill>
      <alignment vertical="center" textRotation="0" wrapText="0" indent="0" justifyLastLine="0" shrinkToFit="0" readingOrder="0"/>
      <border diagonalUp="0" diagonalDown="0" outline="0">
        <left style="thin">
          <color rgb="FF565A5C"/>
        </left>
        <right style="thin">
          <color rgb="FF565A5C"/>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vertAlign val="baseline"/>
        <sz val="10"/>
        <name val="Calibri"/>
        <family val="2"/>
      </font>
      <fill>
        <patternFill patternType="none">
          <bgColor auto="1"/>
        </patternFill>
      </fill>
      <border diagonalUp="0" diagonalDown="0" outline="0">
        <left style="thin">
          <color rgb="FF565A5C"/>
        </left>
      </border>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style="thin">
          <color rgb="FF565A5C"/>
        </left>
        <right style="thin">
          <color rgb="FF565A5C"/>
        </right>
        <top/>
        <bottom/>
      </border>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dotted">
          <color rgb="FF565A5C"/>
        </lef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outline="0">
        <right style="dotted">
          <color rgb="FF565A5C"/>
        </right>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rgb="FFFF000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565A5C"/>
        </right>
        <top/>
        <bottom/>
      </border>
    </dxf>
    <dxf>
      <border outline="0">
        <left style="thin">
          <color rgb="FFC9C9C9"/>
        </left>
        <right style="thin">
          <color rgb="FF000000"/>
        </right>
        <top style="thin">
          <color rgb="FFBFBFBF"/>
        </top>
        <bottom style="thin">
          <color rgb="FFC9C9C9"/>
        </bottom>
      </border>
    </dxf>
    <dxf>
      <font>
        <strike val="0"/>
        <outline val="0"/>
        <shadow val="0"/>
        <vertAlign val="baseline"/>
        <sz val="10"/>
        <name val="Calibri"/>
        <family val="2"/>
      </font>
      <fill>
        <patternFill patternType="none">
          <bgColor auto="1"/>
        </patternFill>
      </fill>
    </dxf>
    <dxf>
      <font>
        <b/>
        <i val="0"/>
        <strike val="0"/>
        <condense val="0"/>
        <extend val="0"/>
        <outline val="0"/>
        <shadow val="0"/>
        <u val="none"/>
        <vertAlign val="baseline"/>
        <sz val="9"/>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i val="0"/>
        <color theme="9"/>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vertAlign val="baseline"/>
        <sz val="10"/>
        <name val="Calibri"/>
        <family val="2"/>
      </font>
    </dxf>
    <dxf>
      <border diagonalUp="0" diagonalDown="0">
        <left style="thin">
          <color indexed="64"/>
        </left>
        <right style="thin">
          <color indexed="64"/>
        </right>
        <top style="thin">
          <color rgb="FF565A5C"/>
        </top>
        <bottom/>
      </border>
    </dxf>
    <dxf>
      <font>
        <strike val="0"/>
        <outline val="0"/>
        <shadow val="0"/>
        <vertAlign val="baseline"/>
        <sz val="10"/>
        <name val="Calibri"/>
        <family val="2"/>
      </font>
    </dxf>
    <dxf>
      <font>
        <strike val="0"/>
        <outline val="0"/>
        <shadow val="0"/>
        <u val="none"/>
        <vertAlign val="baseline"/>
        <sz val="10"/>
        <color rgb="FF565A5C"/>
        <name val="Calibri"/>
        <family val="2"/>
        <scheme val="min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numFmt numFmtId="3"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border diagonalUp="0" diagonalDown="0">
        <left style="thin">
          <color indexed="64"/>
        </left>
        <vertical/>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7" formatCode="0.0"/>
      <fill>
        <patternFill patternType="none">
          <fgColor theme="6" tint="0.79998168889431442"/>
          <bgColor auto="1"/>
        </patternFill>
      </fill>
      <alignment horizontal="center" vertical="center" textRotation="0" wrapText="0" indent="0" justifyLastLine="0" shrinkToFit="0" readingOrder="0"/>
    </dxf>
    <dxf>
      <font>
        <strike val="0"/>
        <outline val="0"/>
        <shadow val="0"/>
        <vertAlign val="baseline"/>
        <sz val="10"/>
        <name val="Calibri"/>
        <family val="2"/>
      </font>
      <fill>
        <patternFill patternType="none">
          <bgColor auto="1"/>
        </patternFill>
      </fill>
      <alignment horizontal="left"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theme="0"/>
        <name val="Calibri"/>
        <family val="2"/>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rgb="FFFF0000"/>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strike val="0"/>
        <outline val="0"/>
        <shadow val="0"/>
        <vertAlign val="baseline"/>
        <sz val="10"/>
        <name val="Calibri"/>
        <family val="2"/>
      </font>
      <alignment vertical="center" textRotation="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rgb="FFFF0000"/>
        <name val="Calibri"/>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theme="6" tint="0.39997558519241921"/>
        </left>
        <right style="thin">
          <color rgb="FF000000"/>
        </right>
        <top style="thin">
          <color theme="0" tint="-0.249977111117893"/>
        </top>
        <bottom style="thin">
          <color theme="6" tint="0.39997558519241921"/>
        </bottom>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
      <font>
        <color theme="0" tint="-0.499984740745262"/>
      </font>
      <fill>
        <patternFill patternType="none">
          <bgColor auto="1"/>
        </patternFill>
      </fill>
    </dxf>
    <dxf>
      <font>
        <color theme="0" tint="-0.499984740745262"/>
      </font>
      <fill>
        <patternFill patternType="none">
          <bgColor auto="1"/>
        </patternFill>
      </fill>
    </dxf>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
      <font>
        <color rgb="FF9C0006"/>
      </font>
      <fill>
        <patternFill>
          <bgColor rgb="FFFFC7CE"/>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theme="7" tint="0.59996337778862885"/>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7" tint="-0.499984740745262"/>
      </font>
      <fill>
        <patternFill>
          <bgColor rgb="FFFFEB9C"/>
        </patternFill>
      </fill>
    </dxf>
    <dxf>
      <font>
        <color theme="0" tint="-0.499984740745262"/>
      </font>
      <fill>
        <patternFill patternType="none">
          <bgColor auto="1"/>
        </patternFill>
      </fill>
    </dxf>
    <dxf>
      <font>
        <color rgb="FF9C0006"/>
      </font>
      <fill>
        <patternFill>
          <bgColor rgb="FFFFC7CE"/>
        </patternFill>
      </fill>
    </dxf>
  </dxfs>
  <tableStyles count="0" defaultTableStyle="TableStyleMedium2" defaultPivotStyle="PivotStyleMedium9"/>
  <colors>
    <mruColors>
      <color rgb="FF565A5C"/>
      <color rgb="FF9933FF"/>
      <color rgb="FF9C5700"/>
      <color rgb="FFCCCCFF"/>
      <color rgb="FFCFB87C"/>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17/06/relationships/rdRichValue" Target="richData/rdrichvalue.xml"/><Relationship Id="rId3" Type="http://schemas.openxmlformats.org/officeDocument/2006/relationships/worksheet" Target="worksheets/sheet3.xml"/><Relationship Id="rId21"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Orders - Template.xlsm]s-Format!Fomats</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's-Format'!$B$1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86-4C93-8896-95E93D7982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86-4C93-8896-95E93D7982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86-4C93-8896-95E93D79820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86-4C93-8896-95E93D79820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86-4C93-8896-95E93D79820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's-Format'!$A$2:$A$3</c:f>
              <c:strCache>
                <c:ptCount val="1"/>
                <c:pt idx="0">
                  <c:v>(blank)</c:v>
                </c:pt>
              </c:strCache>
            </c:strRef>
          </c:cat>
          <c:val>
            <c:numRef>
              <c:f>'s-Format'!$B$2:$B$3</c:f>
              <c:numCache>
                <c:formatCode>General</c:formatCode>
                <c:ptCount val="1"/>
              </c:numCache>
            </c:numRef>
          </c:val>
          <c:extLst>
            <c:ext xmlns:c16="http://schemas.microsoft.com/office/drawing/2014/chart" uri="{C3380CC4-5D6E-409C-BE32-E72D297353CC}">
              <c16:uniqueId val="{00000000-0762-4DA8-BF03-DF94073B042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Orders - Template.xlsm]s-Assign!Assigned_Collection</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s>
    <c:plotArea>
      <c:layout/>
      <c:pieChart>
        <c:varyColors val="1"/>
        <c:ser>
          <c:idx val="0"/>
          <c:order val="0"/>
          <c:tx>
            <c:strRef>
              <c:f>'s-Assign'!$B$1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D18-4BE9-8CC4-A7FAB18EFF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D18-4BE9-8CC4-A7FAB18EFF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D18-4BE9-8CC4-A7FAB18EFF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D18-4BE9-8CC4-A7FAB18EFF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F43-4648-BBD6-5436817D2C0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's-Assign'!$A$2:$A$3</c:f>
              <c:strCache>
                <c:ptCount val="1"/>
                <c:pt idx="0">
                  <c:v>(blank)</c:v>
                </c:pt>
              </c:strCache>
            </c:strRef>
          </c:cat>
          <c:val>
            <c:numRef>
              <c:f>'s-Assign'!$B$2:$B$3</c:f>
              <c:numCache>
                <c:formatCode>General</c:formatCode>
                <c:ptCount val="1"/>
              </c:numCache>
            </c:numRef>
          </c:val>
          <c:extLst>
            <c:ext xmlns:c16="http://schemas.microsoft.com/office/drawing/2014/chart" uri="{C3380CC4-5D6E-409C-BE32-E72D297353CC}">
              <c16:uniqueId val="{00000000-5FDE-4D92-BBB8-601DCB4658B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Series Titles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's-Series'!$B$1</c:f>
              <c:strCache>
                <c:ptCount val="1"/>
                <c:pt idx="0">
                  <c:v>Count</c:v>
                </c:pt>
              </c:strCache>
            </c:strRef>
          </c:tx>
          <c:spPr>
            <a:solidFill>
              <a:schemeClr val="accent1"/>
            </a:solidFill>
            <a:ln>
              <a:noFill/>
            </a:ln>
            <a:effectLst/>
          </c:spPr>
          <c:invertIfNegative val="0"/>
          <c:cat>
            <c:numRef>
              <c:f>'s-Series'!$A$2:$A$10</c:f>
              <c:numCache>
                <c:formatCode>General</c:formatCode>
                <c:ptCount val="9"/>
              </c:numCache>
            </c:numRef>
          </c:cat>
          <c:val>
            <c:numRef>
              <c:f>'s-Series'!$B$2:$B$10</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22E5-43CD-B4EA-1A7C77FC9BB4}"/>
            </c:ext>
          </c:extLst>
        </c:ser>
        <c:dLbls>
          <c:showLegendKey val="0"/>
          <c:showVal val="0"/>
          <c:showCatName val="0"/>
          <c:showSerName val="0"/>
          <c:showPercent val="0"/>
          <c:showBubbleSize val="0"/>
        </c:dLbls>
        <c:gapWidth val="219"/>
        <c:overlap val="-27"/>
        <c:axId val="324380288"/>
        <c:axId val="324380704"/>
      </c:barChart>
      <c:catAx>
        <c:axId val="324380288"/>
        <c:scaling>
          <c:orientation val="minMax"/>
        </c:scaling>
        <c:delete val="0"/>
        <c:axPos val="b"/>
        <c:numFmt formatCode="@"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80704"/>
        <c:crosses val="autoZero"/>
        <c:auto val="1"/>
        <c:lblAlgn val="ctr"/>
        <c:lblOffset val="100"/>
        <c:noMultiLvlLbl val="0"/>
      </c:catAx>
      <c:valAx>
        <c:axId val="324380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380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[Collection Development - Orders - Template.xlsm]s-Pub!Publishers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Materials by Publisher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's-Pub'!$B$1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's-Pub'!$A$2:$A$3</c:f>
              <c:strCache>
                <c:ptCount val="1"/>
                <c:pt idx="0">
                  <c:v>(blank)</c:v>
                </c:pt>
              </c:strCache>
            </c:strRef>
          </c:cat>
          <c:val>
            <c:numRef>
              <c:f>'s-Pub'!$B$2:$B$3</c:f>
              <c:numCache>
                <c:formatCode>General</c:formatCode>
                <c:ptCount val="1"/>
              </c:numCache>
            </c:numRef>
          </c:val>
          <c:extLst>
            <c:ext xmlns:c16="http://schemas.microsoft.com/office/drawing/2014/chart" uri="{C3380CC4-5D6E-409C-BE32-E72D297353CC}">
              <c16:uniqueId val="{00000000-49B8-4187-999B-99BF0FF0BF72}"/>
            </c:ext>
          </c:extLst>
        </c:ser>
        <c:dLbls>
          <c:dLblPos val="outEnd"/>
          <c:showLegendKey val="0"/>
          <c:showVal val="1"/>
          <c:showCatName val="0"/>
          <c:showSerName val="0"/>
          <c:showPercent val="0"/>
          <c:showBubbleSize val="0"/>
        </c:dLbls>
        <c:gapWidth val="219"/>
        <c:axId val="1526128176"/>
        <c:axId val="1526119024"/>
      </c:barChart>
      <c:catAx>
        <c:axId val="152612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19024"/>
        <c:crosses val="autoZero"/>
        <c:auto val="1"/>
        <c:lblAlgn val="ctr"/>
        <c:lblOffset val="100"/>
        <c:noMultiLvlLbl val="0"/>
      </c:catAx>
      <c:valAx>
        <c:axId val="1526119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2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Materials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's-Date'!$C$1</c:f>
              <c:strCache>
                <c:ptCount val="1"/>
                <c:pt idx="0">
                  <c: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's-Date'!$A$2:$B$10</c:f>
              <c:multiLvlStrCache>
                <c:ptCount val="9"/>
                <c:lvl>
                  <c:pt idx="0">
                    <c:v>0</c:v>
                  </c:pt>
                  <c:pt idx="1">
                    <c:v>0</c:v>
                  </c:pt>
                  <c:pt idx="2">
                    <c:v>0</c:v>
                  </c:pt>
                  <c:pt idx="3">
                    <c:v>0</c:v>
                  </c:pt>
                  <c:pt idx="4">
                    <c:v>0</c:v>
                  </c:pt>
                  <c:pt idx="5">
                    <c:v>0</c:v>
                  </c:pt>
                  <c:pt idx="6">
                    <c:v>0</c:v>
                  </c:pt>
                  <c:pt idx="7">
                    <c:v>0</c:v>
                  </c:pt>
                  <c:pt idx="8">
                    <c:v>0</c:v>
                  </c:pt>
                </c:lvl>
                <c:lvl>
                  <c:pt idx="0">
                    <c:v>n/a</c:v>
                  </c:pt>
                  <c:pt idx="1">
                    <c:v>1998</c:v>
                  </c:pt>
                  <c:pt idx="2">
                    <c:v>1999</c:v>
                  </c:pt>
                  <c:pt idx="3">
                    <c:v>2000</c:v>
                  </c:pt>
                  <c:pt idx="4">
                    <c:v>2001</c:v>
                  </c:pt>
                  <c:pt idx="5">
                    <c:v>2002</c:v>
                  </c:pt>
                  <c:pt idx="6">
                    <c:v>2003</c:v>
                  </c:pt>
                  <c:pt idx="7">
                    <c:v>2004</c:v>
                  </c:pt>
                  <c:pt idx="8">
                    <c:v>2005</c:v>
                  </c:pt>
                </c:lvl>
              </c:multiLvlStrCache>
            </c:multiLvlStrRef>
          </c:cat>
          <c:val>
            <c:numRef>
              <c:f>'s-Date'!$C$2:$C$10</c:f>
              <c:numCache>
                <c:formatCode>0%</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776C-44BF-81FE-705C6DAB9A7C}"/>
            </c:ext>
          </c:extLst>
        </c:ser>
        <c:dLbls>
          <c:dLblPos val="outEnd"/>
          <c:showLegendKey val="0"/>
          <c:showVal val="1"/>
          <c:showCatName val="0"/>
          <c:showSerName val="0"/>
          <c:showPercent val="0"/>
          <c:showBubbleSize val="0"/>
        </c:dLbls>
        <c:gapWidth val="219"/>
        <c:overlap val="-27"/>
        <c:axId val="1526120688"/>
        <c:axId val="1526113200"/>
      </c:barChart>
      <c:catAx>
        <c:axId val="1526120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13200"/>
        <c:crosses val="autoZero"/>
        <c:auto val="1"/>
        <c:lblAlgn val="ctr"/>
        <c:lblOffset val="100"/>
        <c:noMultiLvlLbl val="0"/>
      </c:catAx>
      <c:valAx>
        <c:axId val="1526113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6120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 of Materials</a:t>
            </a:r>
            <a:r>
              <a:rPr lang="en-US" baseline="0"/>
              <a:t> by Decade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's-Date'!$Z$2:$Z$7</c:f>
              <c:strCache>
                <c:ptCount val="6"/>
                <c:pt idx="0">
                  <c:v>n/a</c:v>
                </c:pt>
                <c:pt idx="1">
                  <c:v>1990-1999</c:v>
                </c:pt>
                <c:pt idx="2">
                  <c:v>2010-2019</c:v>
                </c:pt>
                <c:pt idx="3">
                  <c:v>2000-2009</c:v>
                </c:pt>
                <c:pt idx="4">
                  <c:v>-</c:v>
                </c:pt>
                <c:pt idx="5">
                  <c:v>-</c:v>
                </c:pt>
              </c:strCache>
            </c:strRef>
          </c:cat>
          <c:val>
            <c:numRef>
              <c:f>'s-Date'!$AA$2:$AA$7</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F83-4E5D-95BA-3E3088D853EF}"/>
            </c:ext>
          </c:extLst>
        </c:ser>
        <c:dLbls>
          <c:dLblPos val="outEnd"/>
          <c:showLegendKey val="0"/>
          <c:showVal val="1"/>
          <c:showCatName val="0"/>
          <c:showSerName val="0"/>
          <c:showPercent val="0"/>
          <c:showBubbleSize val="0"/>
        </c:dLbls>
        <c:gapWidth val="219"/>
        <c:overlap val="-27"/>
        <c:axId val="418789119"/>
        <c:axId val="418777055"/>
      </c:barChart>
      <c:catAx>
        <c:axId val="41878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77055"/>
        <c:crosses val="autoZero"/>
        <c:auto val="1"/>
        <c:lblAlgn val="ctr"/>
        <c:lblOffset val="100"/>
        <c:noMultiLvlLbl val="0"/>
      </c:catAx>
      <c:valAx>
        <c:axId val="4187770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789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0</xdr:colOff>
      <xdr:row>26</xdr:row>
      <xdr:rowOff>0</xdr:rowOff>
    </xdr:to>
    <xdr:graphicFrame macro="">
      <xdr:nvGraphicFramePr>
        <xdr:cNvPr id="3" name="Chart 2">
          <a:extLst>
            <a:ext uri="{FF2B5EF4-FFF2-40B4-BE49-F238E27FC236}">
              <a16:creationId xmlns:a16="http://schemas.microsoft.com/office/drawing/2014/main" id="{5E0D638F-4C97-91F0-4059-FA8B88DBE5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xdr:row>
      <xdr:rowOff>0</xdr:rowOff>
    </xdr:from>
    <xdr:to>
      <xdr:col>9</xdr:col>
      <xdr:colOff>0</xdr:colOff>
      <xdr:row>18</xdr:row>
      <xdr:rowOff>0</xdr:rowOff>
    </xdr:to>
    <xdr:graphicFrame macro="">
      <xdr:nvGraphicFramePr>
        <xdr:cNvPr id="2" name="Chart 1">
          <a:extLst>
            <a:ext uri="{FF2B5EF4-FFF2-40B4-BE49-F238E27FC236}">
              <a16:creationId xmlns:a16="http://schemas.microsoft.com/office/drawing/2014/main" id="{046D48E9-D236-4680-A06F-106E000E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9</xdr:row>
      <xdr:rowOff>0</xdr:rowOff>
    </xdr:from>
    <xdr:to>
      <xdr:col>18</xdr:col>
      <xdr:colOff>0</xdr:colOff>
      <xdr:row>34</xdr:row>
      <xdr:rowOff>0</xdr:rowOff>
    </xdr:to>
    <xdr:graphicFrame macro="">
      <xdr:nvGraphicFramePr>
        <xdr:cNvPr id="2" name="Chart 1">
          <a:extLst>
            <a:ext uri="{FF2B5EF4-FFF2-40B4-BE49-F238E27FC236}">
              <a16:creationId xmlns:a16="http://schemas.microsoft.com/office/drawing/2014/main" id="{A0FF6D58-5547-3C9E-9EF6-61D33747C6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0</xdr:rowOff>
    </xdr:from>
    <xdr:to>
      <xdr:col>14</xdr:col>
      <xdr:colOff>0</xdr:colOff>
      <xdr:row>29</xdr:row>
      <xdr:rowOff>0</xdr:rowOff>
    </xdr:to>
    <xdr:graphicFrame macro="">
      <xdr:nvGraphicFramePr>
        <xdr:cNvPr id="4" name="Chart 3">
          <a:extLst>
            <a:ext uri="{FF2B5EF4-FFF2-40B4-BE49-F238E27FC236}">
              <a16:creationId xmlns:a16="http://schemas.microsoft.com/office/drawing/2014/main" id="{EA227038-FFF0-42F0-B178-09773D668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6</xdr:row>
      <xdr:rowOff>0</xdr:rowOff>
    </xdr:from>
    <xdr:to>
      <xdr:col>22</xdr:col>
      <xdr:colOff>0</xdr:colOff>
      <xdr:row>33</xdr:row>
      <xdr:rowOff>0</xdr:rowOff>
    </xdr:to>
    <xdr:graphicFrame macro="">
      <xdr:nvGraphicFramePr>
        <xdr:cNvPr id="6" name="Chart 5">
          <a:extLst>
            <a:ext uri="{FF2B5EF4-FFF2-40B4-BE49-F238E27FC236}">
              <a16:creationId xmlns:a16="http://schemas.microsoft.com/office/drawing/2014/main" id="{F2F493AB-A748-497B-8BF9-D332C060FB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6</xdr:row>
      <xdr:rowOff>0</xdr:rowOff>
    </xdr:from>
    <xdr:to>
      <xdr:col>38</xdr:col>
      <xdr:colOff>0</xdr:colOff>
      <xdr:row>22</xdr:row>
      <xdr:rowOff>0</xdr:rowOff>
    </xdr:to>
    <xdr:graphicFrame macro="">
      <xdr:nvGraphicFramePr>
        <xdr:cNvPr id="10" name="Chart 9">
          <a:extLst>
            <a:ext uri="{FF2B5EF4-FFF2-40B4-BE49-F238E27FC236}">
              <a16:creationId xmlns:a16="http://schemas.microsoft.com/office/drawing/2014/main" id="{DA5B4F0F-D3F2-45E0-A5DF-57182F734D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D9DCABE0-70F0-B3FB-57B2-2650401FB3E3}"/>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4909.416426388889" missingItemsLimit="0" createdVersion="7" refreshedVersion="8" minRefreshableVersion="3" recordCount="195" xr:uid="{B71A60FC-3972-4F0F-85C2-C95714BE762C}">
  <cacheSource type="worksheet">
    <worksheetSource name="Donation"/>
  </cacheSource>
  <cacheFields count="29">
    <cacheField name="Key" numFmtId="0">
      <sharedItems containsString="0" containsBlank="1" containsNumber="1" containsInteger="1" minValue="1" maxValue="3"/>
    </cacheField>
    <cacheField name="Volume # / Issue# / Sequence #" numFmtId="0">
      <sharedItems containsNonDate="0" containsString="0" containsBlank="1"/>
    </cacheField>
    <cacheField name="上_x000a_中_x000a_下" numFmtId="49">
      <sharedItems containsNonDate="0" containsString="0" containsBlank="1"/>
    </cacheField>
    <cacheField name="of Total Volumes" numFmtId="0">
      <sharedItems containsNonDate="0" containsString="0" containsBlank="1"/>
    </cacheField>
    <cacheField name="Material Type" numFmtId="0">
      <sharedItems containsNonDate="0" containsString="0" containsBlank="1" count="1">
        <m/>
      </sharedItems>
    </cacheField>
    <cacheField name="Cross_x000a_Ref w_x000a_ Key" numFmtId="49">
      <sharedItems containsNonDate="0" containsString="0" containsBlank="1"/>
    </cacheField>
    <cacheField name="Note" numFmtId="0">
      <sharedItems containsNonDate="0" containsString="0" containsBlank="1"/>
    </cacheField>
    <cacheField name="URL for Price Check" numFmtId="0">
      <sharedItems containsNonDate="0" containsString="0" containsBlank="1"/>
    </cacheField>
    <cacheField name="Collection" numFmtId="0">
      <sharedItems containsNonDate="0" containsString="0" containsBlank="1" count="1">
        <m/>
      </sharedItems>
    </cacheField>
    <cacheField name="j" numFmtId="0">
      <sharedItems containsNonDate="0" containsString="0" containsBlank="1"/>
    </cacheField>
    <cacheField name="Dupe_x000a_ISBN_x000a_Check" numFmtId="167">
      <sharedItems containsNonDate="0" containsString="0" containsBlank="1"/>
    </cacheField>
    <cacheField name="Dupe_x000a_Title_x000a_Check" numFmtId="167">
      <sharedItems containsNonDate="0" containsString="0" containsBlank="1"/>
    </cacheField>
    <cacheField name="Dupe Check in WC / FS" numFmtId="167">
      <sharedItems containsNonDate="0" containsString="0" containsBlank="1"/>
    </cacheField>
    <cacheField name="ISBN13#/_x000a_ISSN#" numFmtId="1">
      <sharedItems containsString="0" containsBlank="1" containsNumber="1" containsInteger="1" minValue="9784329100139" maxValue="9784575244649"/>
    </cacheField>
    <cacheField name="ISBN10#/_x000a_ISSN#" numFmtId="1">
      <sharedItems containsString="0" containsBlank="1" containsNumber="1" containsInteger="1" minValue="4582747132" maxValue="4620326941"/>
    </cacheField>
    <cacheField name="OCLC#" numFmtId="1">
      <sharedItems containsString="0" containsBlank="1" containsNumber="1" containsInteger="1" minValue="1257754194" maxValue="1290156573"/>
    </cacheField>
    <cacheField name="Title (R/E)" numFmtId="49">
      <sharedItems containsBlank="1"/>
    </cacheField>
    <cacheField name="Title (N)" numFmtId="49">
      <sharedItems containsBlank="1"/>
    </cacheField>
    <cacheField name="Creator (R/E)" numFmtId="49">
      <sharedItems containsNonDate="0" containsString="0" containsBlank="1"/>
    </cacheField>
    <cacheField name="Creator (N)" numFmtId="49">
      <sharedItems containsNonDate="0" containsString="0" containsBlank="1"/>
    </cacheField>
    <cacheField name="Series (R/E)" numFmtId="49">
      <sharedItems containsNonDate="0" containsString="0" containsBlank="1"/>
    </cacheField>
    <cacheField name="Series (N)" numFmtId="49">
      <sharedItems containsNonDate="0" containsString="0" containsBlank="1"/>
    </cacheField>
    <cacheField name="Publisher (R/E)" numFmtId="49">
      <sharedItems containsNonDate="0" containsString="0" containsBlank="1" count="1">
        <m/>
      </sharedItems>
    </cacheField>
    <cacheField name="Publisher (N)" numFmtId="49">
      <sharedItems containsNonDate="0" containsString="0" containsBlank="1"/>
    </cacheField>
    <cacheField name="Pub Date" numFmtId="0">
      <sharedItems containsNonDate="0" containsString="0" containsBlank="1"/>
    </cacheField>
    <cacheField name="Subject_x000a_Headings" numFmtId="49">
      <sharedItems containsNonDate="0" containsString="0" containsBlank="1"/>
    </cacheField>
    <cacheField name="Value (Estimate)_x000a_$USD" numFmtId="44">
      <sharedItems containsNonDate="0" containsString="0" containsBlank="1"/>
    </cacheField>
    <cacheField name="$_x000a_¥_x000a_₩" numFmtId="49">
      <sharedItems containsNonDate="0" containsString="0" containsBlank="1"/>
    </cacheField>
    <cacheField name="Value (Estimate)_x000a_¥ or ₩" numFmtId="3">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n v="1"/>
    <m/>
    <m/>
    <m/>
    <x v="0"/>
    <m/>
    <m/>
    <m/>
    <x v="0"/>
    <m/>
    <m/>
    <m/>
    <m/>
    <n v="9784329100139"/>
    <m/>
    <m/>
    <m/>
    <m/>
    <m/>
    <m/>
    <m/>
    <m/>
    <x v="0"/>
    <m/>
    <m/>
    <m/>
    <m/>
    <m/>
    <m/>
  </r>
  <r>
    <n v="2"/>
    <m/>
    <m/>
    <m/>
    <x v="0"/>
    <m/>
    <m/>
    <m/>
    <x v="0"/>
    <m/>
    <m/>
    <m/>
    <m/>
    <n v="9784422300818"/>
    <m/>
    <m/>
    <m/>
    <m/>
    <m/>
    <m/>
    <m/>
    <m/>
    <x v="0"/>
    <m/>
    <m/>
    <m/>
    <m/>
    <m/>
    <m/>
  </r>
  <r>
    <n v="3"/>
    <m/>
    <m/>
    <m/>
    <x v="0"/>
    <m/>
    <m/>
    <m/>
    <x v="0"/>
    <m/>
    <m/>
    <m/>
    <m/>
    <n v="9784560088685"/>
    <m/>
    <m/>
    <m/>
    <m/>
    <m/>
    <m/>
    <m/>
    <m/>
    <x v="0"/>
    <m/>
    <m/>
    <m/>
    <m/>
    <m/>
    <m/>
  </r>
  <r>
    <m/>
    <m/>
    <m/>
    <m/>
    <x v="0"/>
    <m/>
    <m/>
    <m/>
    <x v="0"/>
    <m/>
    <m/>
    <m/>
    <m/>
    <n v="9784575244649"/>
    <m/>
    <m/>
    <m/>
    <m/>
    <m/>
    <m/>
    <m/>
    <m/>
    <x v="0"/>
    <m/>
    <m/>
    <m/>
    <m/>
    <m/>
    <m/>
  </r>
  <r>
    <m/>
    <m/>
    <m/>
    <m/>
    <x v="0"/>
    <m/>
    <m/>
    <m/>
    <x v="0"/>
    <m/>
    <m/>
    <m/>
    <m/>
    <m/>
    <n v="4582747132"/>
    <m/>
    <m/>
    <m/>
    <m/>
    <m/>
    <m/>
    <m/>
    <x v="0"/>
    <m/>
    <m/>
    <m/>
    <m/>
    <m/>
    <m/>
  </r>
  <r>
    <m/>
    <m/>
    <m/>
    <m/>
    <x v="0"/>
    <m/>
    <m/>
    <m/>
    <x v="0"/>
    <m/>
    <m/>
    <m/>
    <m/>
    <m/>
    <n v="4585325093"/>
    <m/>
    <m/>
    <m/>
    <m/>
    <m/>
    <m/>
    <m/>
    <x v="0"/>
    <m/>
    <m/>
    <m/>
    <m/>
    <m/>
    <m/>
  </r>
  <r>
    <m/>
    <m/>
    <m/>
    <m/>
    <x v="0"/>
    <m/>
    <m/>
    <m/>
    <x v="0"/>
    <m/>
    <m/>
    <m/>
    <m/>
    <m/>
    <n v="4585390049"/>
    <m/>
    <m/>
    <m/>
    <m/>
    <m/>
    <m/>
    <m/>
    <x v="0"/>
    <m/>
    <m/>
    <m/>
    <m/>
    <m/>
    <m/>
  </r>
  <r>
    <m/>
    <m/>
    <m/>
    <m/>
    <x v="0"/>
    <m/>
    <m/>
    <m/>
    <x v="0"/>
    <m/>
    <m/>
    <m/>
    <m/>
    <m/>
    <n v="4620326941"/>
    <m/>
    <m/>
    <m/>
    <m/>
    <m/>
    <m/>
    <m/>
    <x v="0"/>
    <m/>
    <m/>
    <m/>
    <m/>
    <m/>
    <m/>
  </r>
  <r>
    <m/>
    <m/>
    <m/>
    <m/>
    <x v="0"/>
    <m/>
    <m/>
    <m/>
    <x v="0"/>
    <m/>
    <m/>
    <m/>
    <m/>
    <m/>
    <m/>
    <n v="1280977021"/>
    <m/>
    <m/>
    <m/>
    <m/>
    <m/>
    <m/>
    <x v="0"/>
    <m/>
    <m/>
    <m/>
    <m/>
    <m/>
    <m/>
  </r>
  <r>
    <m/>
    <m/>
    <m/>
    <m/>
    <x v="0"/>
    <m/>
    <m/>
    <m/>
    <x v="0"/>
    <m/>
    <m/>
    <m/>
    <m/>
    <m/>
    <m/>
    <n v="1257754194"/>
    <m/>
    <m/>
    <m/>
    <m/>
    <m/>
    <m/>
    <x v="0"/>
    <m/>
    <m/>
    <m/>
    <m/>
    <m/>
    <m/>
  </r>
  <r>
    <m/>
    <m/>
    <m/>
    <m/>
    <x v="0"/>
    <m/>
    <m/>
    <m/>
    <x v="0"/>
    <m/>
    <m/>
    <m/>
    <m/>
    <m/>
    <m/>
    <n v="1267332686"/>
    <m/>
    <m/>
    <m/>
    <m/>
    <m/>
    <m/>
    <x v="0"/>
    <m/>
    <m/>
    <m/>
    <m/>
    <m/>
    <m/>
  </r>
  <r>
    <m/>
    <m/>
    <m/>
    <m/>
    <x v="0"/>
    <m/>
    <m/>
    <m/>
    <x v="0"/>
    <m/>
    <m/>
    <m/>
    <m/>
    <m/>
    <m/>
    <n v="1290156573"/>
    <m/>
    <m/>
    <m/>
    <m/>
    <m/>
    <m/>
    <x v="0"/>
    <m/>
    <m/>
    <m/>
    <m/>
    <m/>
    <m/>
  </r>
  <r>
    <m/>
    <m/>
    <m/>
    <m/>
    <x v="0"/>
    <m/>
    <m/>
    <m/>
    <x v="0"/>
    <m/>
    <m/>
    <m/>
    <m/>
    <m/>
    <m/>
    <m/>
    <s v="昭和四十六年-昭和五十六年"/>
    <m/>
    <m/>
    <m/>
    <m/>
    <m/>
    <x v="0"/>
    <m/>
    <m/>
    <m/>
    <m/>
    <m/>
    <m/>
  </r>
  <r>
    <m/>
    <m/>
    <m/>
    <m/>
    <x v="0"/>
    <m/>
    <m/>
    <m/>
    <x v="0"/>
    <m/>
    <m/>
    <m/>
    <m/>
    <m/>
    <m/>
    <m/>
    <s v="東アジア文字の情報理論"/>
    <m/>
    <m/>
    <m/>
    <m/>
    <m/>
    <x v="0"/>
    <m/>
    <m/>
    <m/>
    <m/>
    <m/>
    <m/>
  </r>
  <r>
    <m/>
    <m/>
    <m/>
    <m/>
    <x v="0"/>
    <m/>
    <m/>
    <m/>
    <x v="0"/>
    <m/>
    <m/>
    <m/>
    <m/>
    <m/>
    <m/>
    <m/>
    <s v="平安和歌・物語に詠まれた日本の四季"/>
    <m/>
    <m/>
    <m/>
    <m/>
    <m/>
    <x v="0"/>
    <m/>
    <m/>
    <m/>
    <m/>
    <m/>
    <m/>
  </r>
  <r>
    <m/>
    <m/>
    <m/>
    <m/>
    <x v="0"/>
    <m/>
    <m/>
    <m/>
    <x v="0"/>
    <m/>
    <m/>
    <m/>
    <m/>
    <m/>
    <m/>
    <m/>
    <s v="笑社論集"/>
    <m/>
    <m/>
    <m/>
    <m/>
    <m/>
    <x v="0"/>
    <m/>
    <m/>
    <m/>
    <m/>
    <m/>
    <m/>
  </r>
  <r>
    <m/>
    <m/>
    <m/>
    <m/>
    <x v="0"/>
    <m/>
    <m/>
    <m/>
    <x v="0"/>
    <m/>
    <m/>
    <m/>
    <m/>
    <m/>
    <m/>
    <m/>
    <m/>
    <s v="Kinniku no merankorī: Rakan to tomo ni yomu Mishima Yukio"/>
    <m/>
    <m/>
    <m/>
    <m/>
    <x v="0"/>
    <m/>
    <m/>
    <m/>
    <m/>
    <m/>
    <m/>
  </r>
  <r>
    <m/>
    <m/>
    <m/>
    <m/>
    <x v="0"/>
    <m/>
    <m/>
    <m/>
    <x v="0"/>
    <m/>
    <m/>
    <m/>
    <m/>
    <m/>
    <m/>
    <m/>
    <m/>
    <s v="Kansenshō no jidai to Natsume Sōseki no bungaku"/>
    <m/>
    <m/>
    <m/>
    <m/>
    <x v="0"/>
    <m/>
    <m/>
    <m/>
    <m/>
    <m/>
    <m/>
  </r>
  <r>
    <m/>
    <m/>
    <m/>
    <m/>
    <x v="0"/>
    <m/>
    <m/>
    <m/>
    <x v="0"/>
    <m/>
    <m/>
    <m/>
    <m/>
    <m/>
    <m/>
    <m/>
    <m/>
    <s v="Kodai chūsei bungaku ronkō. Dai44shū"/>
    <m/>
    <m/>
    <m/>
    <m/>
    <x v="0"/>
    <m/>
    <m/>
    <m/>
    <m/>
    <m/>
    <m/>
  </r>
  <r>
    <m/>
    <m/>
    <m/>
    <m/>
    <x v="0"/>
    <m/>
    <m/>
    <m/>
    <x v="0"/>
    <m/>
    <m/>
    <m/>
    <m/>
    <m/>
    <m/>
    <m/>
    <m/>
    <s v="Kodai chūsei bungaku ronkō. Dai45shū"/>
    <m/>
    <m/>
    <m/>
    <m/>
    <x v="0"/>
    <m/>
    <m/>
    <m/>
    <m/>
    <m/>
    <m/>
  </r>
  <r>
    <m/>
    <m/>
    <m/>
    <m/>
    <x v="0"/>
    <m/>
    <m/>
    <m/>
    <x v="0"/>
    <m/>
    <m/>
    <m/>
    <m/>
    <m/>
    <m/>
    <m/>
    <m/>
    <s v="State, society, and markets in North Korea"/>
    <m/>
    <m/>
    <m/>
    <m/>
    <x v="0"/>
    <m/>
    <m/>
    <m/>
    <m/>
    <m/>
    <m/>
  </r>
  <r>
    <m/>
    <m/>
    <m/>
    <m/>
    <x v="0"/>
    <m/>
    <m/>
    <m/>
    <x v="0"/>
    <m/>
    <m/>
    <m/>
    <m/>
    <m/>
    <m/>
    <m/>
    <m/>
    <s v="Teaching about Asia in a time of pandemic"/>
    <m/>
    <m/>
    <m/>
    <m/>
    <x v="0"/>
    <m/>
    <m/>
    <m/>
    <m/>
    <m/>
    <m/>
  </r>
  <r>
    <m/>
    <m/>
    <m/>
    <m/>
    <x v="0"/>
    <m/>
    <m/>
    <m/>
    <x v="0"/>
    <m/>
    <m/>
    <m/>
    <m/>
    <m/>
    <m/>
    <m/>
    <m/>
    <s v="The Namban trade: merchants and missionaries in 16th and 17th century Japan"/>
    <m/>
    <m/>
    <m/>
    <m/>
    <x v="0"/>
    <m/>
    <m/>
    <m/>
    <m/>
    <m/>
    <m/>
  </r>
  <r>
    <m/>
    <m/>
    <m/>
    <m/>
    <x v="0"/>
    <m/>
    <m/>
    <m/>
    <x v="0"/>
    <m/>
    <m/>
    <m/>
    <m/>
    <m/>
    <m/>
    <m/>
    <m/>
    <s v="Animal Care in Japanese Tradition: a short history"/>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r>
    <m/>
    <m/>
    <m/>
    <m/>
    <x v="0"/>
    <m/>
    <m/>
    <m/>
    <x v="0"/>
    <m/>
    <m/>
    <m/>
    <m/>
    <m/>
    <m/>
    <m/>
    <m/>
    <m/>
    <m/>
    <m/>
    <m/>
    <m/>
    <x v="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4187F5-02C1-4FA3-9FEF-7C8294D76C62}" name="Fomats"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4" rowHeaderCaption="Format">
  <location ref="A1:B3" firstHeaderRow="1" firstDataRow="1" firstDataCol="1"/>
  <pivotFields count="29">
    <pivotField numFmtId="1" showAll="0"/>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2">
    <i>
      <x/>
    </i>
    <i t="grand">
      <x/>
    </i>
  </rowItems>
  <colItems count="1">
    <i/>
  </colItems>
  <dataFields count="1">
    <dataField name="Count of Material Type" fld="4" subtotal="count" baseField="0" baseItem="0"/>
  </dataFields>
  <formats count="8">
    <format dxfId="82">
      <pivotArea type="all" dataOnly="0" outline="0" fieldPosition="0"/>
    </format>
    <format dxfId="81">
      <pivotArea outline="0" collapsedLevelsAreSubtotals="1" fieldPosition="0"/>
    </format>
    <format dxfId="80">
      <pivotArea dataOnly="0" labelOnly="1" grandRow="1" outline="0" fieldPosition="0"/>
    </format>
    <format dxfId="79">
      <pivotArea type="all" dataOnly="0" outline="0" fieldPosition="0"/>
    </format>
    <format dxfId="78">
      <pivotArea outline="0" collapsedLevelsAreSubtotals="1" fieldPosition="0"/>
    </format>
    <format dxfId="77">
      <pivotArea dataOnly="0" labelOnly="1" grandRow="1" outline="0" fieldPosition="0"/>
    </format>
    <format dxfId="76">
      <pivotArea outline="0" collapsedLevelsAreSubtotals="1" fieldPosition="0"/>
    </format>
    <format dxfId="75">
      <pivotArea dataOnly="0" labelOnly="1" grandRow="1" outline="0" fieldPosition="0"/>
    </format>
  </formats>
  <chartFormats count="2">
    <chartFormat chart="3" format="0"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9838A9-416D-47D3-9170-59AB7C68D6C4}" name="Assigned_Collection"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1" rowHeaderCaption="Assigned Collection">
  <location ref="A1:B3" firstHeaderRow="1" firstDataRow="1" firstDataCol="1"/>
  <pivotFields count="29">
    <pivotField numFmtId="1" showAll="0"/>
    <pivotField showAll="0"/>
    <pivotField showAll="0"/>
    <pivotField showAll="0"/>
    <pivotField showAll="0"/>
    <pivotField showAll="0"/>
    <pivotField showAll="0"/>
    <pivotField showAll="0"/>
    <pivotField axis="axisRow" dataFiel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2">
    <i>
      <x/>
    </i>
    <i t="grand">
      <x/>
    </i>
  </rowItems>
  <colItems count="1">
    <i/>
  </colItems>
  <dataFields count="1">
    <dataField name="Count" fld="8" subtotal="count" baseField="0" baseItem="0"/>
  </dataFields>
  <formats count="10">
    <format dxfId="74">
      <pivotArea dataOnly="0" labelOnly="1" outline="0" fieldPosition="0">
        <references count="1">
          <reference field="4294967294" count="1">
            <x v="0"/>
          </reference>
        </references>
      </pivotArea>
    </format>
    <format dxfId="73">
      <pivotArea type="all" dataOnly="0" outline="0" fieldPosition="0"/>
    </format>
    <format dxfId="72">
      <pivotArea outline="0" collapsedLevelsAreSubtotals="1" fieldPosition="0"/>
    </format>
    <format dxfId="71">
      <pivotArea field="8" type="button" dataOnly="0" labelOnly="1" outline="0" axis="axisRow" fieldPosition="0"/>
    </format>
    <format dxfId="70">
      <pivotArea dataOnly="0" labelOnly="1" fieldPosition="0">
        <references count="1">
          <reference field="8" count="0"/>
        </references>
      </pivotArea>
    </format>
    <format dxfId="69">
      <pivotArea dataOnly="0" labelOnly="1" grandRow="1" outline="0" fieldPosition="0"/>
    </format>
    <format dxfId="68">
      <pivotArea dataOnly="0" labelOnly="1" outline="0" fieldPosition="0">
        <references count="1">
          <reference field="4294967294" count="1">
            <x v="0"/>
          </reference>
        </references>
      </pivotArea>
    </format>
    <format dxfId="67">
      <pivotArea outline="0" collapsedLevelsAreSubtotals="1" fieldPosition="0"/>
    </format>
    <format dxfId="66">
      <pivotArea dataOnly="0" labelOnly="1" fieldPosition="0">
        <references count="1">
          <reference field="8" count="0"/>
        </references>
      </pivotArea>
    </format>
    <format dxfId="65">
      <pivotArea dataOnly="0" labelOnly="1" grandRow="1" outline="0" fieldPosition="0"/>
    </format>
  </formats>
  <chartFormats count="2">
    <chartFormat chart="0" format="0" series="1">
      <pivotArea type="data" outline="0" fieldPosition="0">
        <references count="1">
          <reference field="4294967294" count="1" selected="0">
            <x v="0"/>
          </reference>
        </references>
      </pivotArea>
    </chartFormat>
    <chartFormat chart="0" format="30">
      <pivotArea type="data" outline="0" fieldPosition="0">
        <references count="2">
          <reference field="4294967294" count="1" selected="0">
            <x v="0"/>
          </reference>
          <reference field="8"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B454A3-759F-4B69-9404-47A5F4541AEE}" name="Publishers" cacheId="0" applyNumberFormats="0" applyBorderFormats="0" applyFontFormats="0" applyPatternFormats="0" applyAlignmentFormats="0" applyWidthHeightFormats="1" dataCaption="Values" updatedVersion="8" minRefreshableVersion="3" itemPrintTitles="1" createdVersion="7" indent="0" outline="1" outlineData="1" multipleFieldFilters="0" chartFormat="4" rowHeaderCaption="Publishers">
  <location ref="A1:B3" firstHeaderRow="1" firstDataRow="1" firstDataCol="1"/>
  <pivotFields count="29">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s>
  <rowFields count="1">
    <field x="22"/>
  </rowFields>
  <rowItems count="2">
    <i>
      <x/>
    </i>
    <i t="grand">
      <x/>
    </i>
  </rowItems>
  <colItems count="1">
    <i/>
  </colItems>
  <dataFields count="1">
    <dataField name="Count" fld="22" subtotal="count" baseField="0" baseItem="0"/>
  </dataFields>
  <formats count="12">
    <format dxfId="57">
      <pivotArea dataOnly="0" labelOnly="1" outline="0" fieldPosition="0">
        <references count="1">
          <reference field="4294967294" count="1">
            <x v="0"/>
          </reference>
        </references>
      </pivotArea>
    </format>
    <format dxfId="56">
      <pivotArea type="all" dataOnly="0" outline="0" fieldPosition="0"/>
    </format>
    <format dxfId="55">
      <pivotArea outline="0" collapsedLevelsAreSubtotals="1" fieldPosition="0"/>
    </format>
    <format dxfId="54">
      <pivotArea field="22" type="button" dataOnly="0" labelOnly="1" outline="0" axis="axisRow" fieldPosition="0"/>
    </format>
    <format dxfId="53">
      <pivotArea dataOnly="0" labelOnly="1" fieldPosition="0">
        <references count="1">
          <reference field="22" count="0"/>
        </references>
      </pivotArea>
    </format>
    <format dxfId="52">
      <pivotArea dataOnly="0" labelOnly="1" grandRow="1" outline="0" fieldPosition="0"/>
    </format>
    <format dxfId="51">
      <pivotArea dataOnly="0" labelOnly="1" outline="0" fieldPosition="0">
        <references count="1">
          <reference field="4294967294" count="1">
            <x v="0"/>
          </reference>
        </references>
      </pivotArea>
    </format>
    <format dxfId="50">
      <pivotArea field="22" type="button" dataOnly="0" labelOnly="1" outline="0" axis="axisRow" fieldPosition="0"/>
    </format>
    <format dxfId="49">
      <pivotArea outline="0" collapsedLevelsAreSubtotals="1" fieldPosition="0"/>
    </format>
    <format dxfId="48">
      <pivotArea dataOnly="0" labelOnly="1" fieldPosition="0">
        <references count="1">
          <reference field="22" count="0"/>
        </references>
      </pivotArea>
    </format>
    <format dxfId="47">
      <pivotArea dataOnly="0" labelOnly="1" grandRow="1" outline="0" fieldPosition="0"/>
    </format>
    <format dxfId="4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en-US</v>
    <v>ave8h7</v>
    <v>268435456</v>
    <v>1</v>
    <v>Powered by Refinitiv</v>
    <v>0</v>
    <v>JPY/USD</v>
    <v>2</v>
    <v>3</v>
    <v>Finance</v>
    <v>4</v>
    <v>8.8380000000000004E-3</v>
    <v>6.5799999999999999E-3</v>
    <v>3.0000000000000001E-5</v>
    <v>4.0679999999999996E-3</v>
    <v>USD</v>
    <v>JPY</v>
    <v>7.4289999999999998E-3</v>
    <v>Currency Pair</v>
    <v>44909.728043981479</v>
    <v>7.3680000000000004E-3</v>
    <v>Japanese Yen/US Dollar FX Cross Rate</v>
    <v>7.3749999999999996E-3</v>
    <v>7.3749999999999996E-3</v>
    <v>7.4050000000000001E-3</v>
    <v>JPYUSD</v>
    <v>JPY/USD</v>
  </rv>
  <rv s="1">
    <v>0</v>
  </rv>
  <rv s="0">
    <v>en-US</v>
    <v>avffww</v>
    <v>268435456</v>
    <v>1</v>
    <v>Powered by Refinitiv</v>
    <v>0</v>
    <v>KRW/USD</v>
    <v>2</v>
    <v>3</v>
    <v>Finance</v>
    <v>4</v>
    <v>8.5280000000000002E-4</v>
    <v>6.9090000000000004E-4</v>
    <v>-3.3500000000000001E-6</v>
    <v>-4.3219999999999995E-3</v>
    <v>USD</v>
    <v>KRW</v>
    <v>7.7550000000000004E-4</v>
    <v>Currency Pair</v>
    <v>44909.727916666663</v>
    <v>7.6880000000000004E-4</v>
    <v>Korean Won/US Dollar FX Cross Rate</v>
    <v>7.7519999999999998E-4</v>
    <v>7.7519999999999998E-4</v>
    <v>7.718E-4</v>
    <v>KRWUSD</v>
    <v>KRW/USD</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CBC0E3-DBE3-410C-AE35-D79B57EB35CC}" name="Donation" displayName="Donation" ref="A5:AC200" totalsRowShown="0" headerRowDxfId="159" dataDxfId="158" tableBorderDxfId="157">
  <autoFilter ref="A5:AC200" xr:uid="{52CBC0E3-DBE3-410C-AE35-D79B57EB35CC}"/>
  <sortState xmlns:xlrd2="http://schemas.microsoft.com/office/spreadsheetml/2017/richdata2" ref="A6:AC664">
    <sortCondition ref="A5:A664"/>
  </sortState>
  <tableColumns count="29">
    <tableColumn id="1" xr3:uid="{D81E40CE-D985-4517-BB0C-6065A464FD57}" name="PO#" dataDxfId="156"/>
    <tableColumn id="3" xr3:uid="{207A4FB8-E769-4452-BA8D-8980550BD4CA}" name="Priority" dataDxfId="155"/>
    <tableColumn id="4" xr3:uid="{398898F3-A048-426B-AE2A-CDF1B456BFB8}" name="Requester" dataDxfId="154"/>
    <tableColumn id="5" xr3:uid="{2E4933B4-1F76-4EEA-BFBB-A3987053C1B2}" name="To Circ for Pickup" dataDxfId="153"/>
    <tableColumn id="6" xr3:uid="{4C3EEF23-3CD5-409E-98EC-952B149AE3EF}" name="Prof. Dev Funds?" dataDxfId="152"/>
    <tableColumn id="2" xr3:uid="{F9D229F3-CFA6-489F-A45F-0AE2D33A3D7C}" name="Pref. Vendor" dataDxfId="151"/>
    <tableColumn id="7" xr3:uid="{15AF4CA7-AA8A-41B8-8426-498DC9166F51}" name="Note for Acq" dataDxfId="150"/>
    <tableColumn id="8" xr3:uid="{C8117656-131C-491A-B09F-D3ACFDCC5CD7}" name="URL for Price Check" dataDxfId="149"/>
    <tableColumn id="9" xr3:uid="{9934EBF9-63E9-49B9-9BCF-CE727E48B33F}" name="Collection" dataDxfId="3"/>
    <tableColumn id="10" xr3:uid="{C1880AEC-B3D2-44CA-B4AD-6E99AB08135A}" name="Volume #" dataDxfId="2"/>
    <tableColumn id="11" xr3:uid="{82C39321-9B8F-4983-84A2-75C629EBDC71}" name="Dupe_x000a_ISBN_x000a_Check" dataDxfId="1"/>
    <tableColumn id="12" xr3:uid="{0C7ADA8E-FCA2-489D-BC5C-CE31E6124C4E}" name="Dupe_x000a_Title_x000a_Check" dataDxfId="148"/>
    <tableColumn id="13" xr3:uid="{A896DC71-0A7D-4568-9EB7-5F5256815B19}" name="Dupe Check in WC / FS" dataDxfId="0"/>
    <tableColumn id="14" xr3:uid="{1366D349-A031-4F45-A417-3AD905F1494E}" name="ISBN13#/_x000a_ISSN#" dataDxfId="147"/>
    <tableColumn id="15" xr3:uid="{D16A51C9-5934-4CF4-9D39-C61F6BE68445}" name="ISBN10#/_x000a_ISSN#" dataDxfId="146"/>
    <tableColumn id="16" xr3:uid="{90F130C0-7993-4534-A8CB-0EB3DE3B9BAE}" name="OCLC#" dataDxfId="145"/>
    <tableColumn id="17" xr3:uid="{2E7B0064-BBB3-48F0-8E10-31F0F854831C}" name="Title (R/E)" dataDxfId="144"/>
    <tableColumn id="18" xr3:uid="{22F24C81-9CBB-47F5-9C0A-FCB5C26470FF}" name="Title (N)" dataDxfId="143"/>
    <tableColumn id="19" xr3:uid="{68D91129-9076-42DE-98EA-0899BFA79FE4}" name="Creator (R/E)" dataDxfId="142"/>
    <tableColumn id="20" xr3:uid="{8DA1683F-F3BE-4BC0-BC16-A425EA4F9D4C}" name="Creator (N)" dataDxfId="141"/>
    <tableColumn id="21" xr3:uid="{15B92BA3-A3D3-41B9-8977-B8DDF4CC0865}" name="Series (R/E)" dataDxfId="140"/>
    <tableColumn id="31" xr3:uid="{DCD6400C-178C-43D6-B3B0-4473A95AAD9A}" name="Series (N)" dataDxfId="139"/>
    <tableColumn id="22" xr3:uid="{12EAC821-F7E7-4155-99EE-CDD7A7109A09}" name="Publisher (R/E)" dataDxfId="138"/>
    <tableColumn id="23" xr3:uid="{DBD4EA94-FAC5-4364-865C-F41975F554AC}" name="Publisher (N)" dataDxfId="137"/>
    <tableColumn id="24" xr3:uid="{D85F4E25-7BB4-4E43-9C6C-CA85EA1892FB}" name="Pub Date" dataDxfId="136"/>
    <tableColumn id="30" xr3:uid="{3C9E2392-8EB4-441F-92A7-19E605F64542}" name="Subject_x000a_Headings" dataDxfId="135"/>
    <tableColumn id="25" xr3:uid="{2C8043B3-3DEF-4DC4-915C-88BBA411C889}" name="Value (Estimate)_x000a_$USD" dataDxfId="134"/>
    <tableColumn id="27" xr3:uid="{DE2559B4-6485-4927-9E60-ED86038A6C1C}" name="$_x000a_¥_x000a_₩" dataDxfId="133"/>
    <tableColumn id="28" xr3:uid="{BC838B1E-7DE1-4931-9ACA-C1B143781380}" name="Value (Estimate)_x000a_¥ or ₩" dataDxfId="132"/>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FE880D2-576F-4873-9004-DB0FF4378C6E}" name="Debugging" displayName="Debugging" ref="AH5:AH200" totalsRowShown="0" headerRowDxfId="131" dataDxfId="130" tableBorderDxfId="129">
  <autoFilter ref="AH5:AH200" xr:uid="{4FE880D2-576F-4873-9004-DB0FF4378C6E}"/>
  <tableColumns count="1">
    <tableColumn id="1" xr3:uid="{6A8E9F2D-2427-495E-937A-CEF5FA58FE5B}" name="Issues to think about_x000a_including debugging macro" dataDxfId="128"/>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951CF8E-E579-40C4-85EC-4B247B192B25}" name="Tutorial" displayName="Tutorial" ref="B8:AD201" totalsRowShown="0" headerRowDxfId="117" dataDxfId="116" tableBorderDxfId="115">
  <sortState xmlns:xlrd2="http://schemas.microsoft.com/office/spreadsheetml/2017/richdata2" ref="B9:AD91">
    <sortCondition ref="B8:B91"/>
  </sortState>
  <tableColumns count="29">
    <tableColumn id="1" xr3:uid="{72A31FDF-DD1B-4654-AF40-B6AEE94D569C}" name="Key" dataDxfId="114"/>
    <tableColumn id="3" xr3:uid="{E8F2FB2D-7ADA-4C36-A3BF-B5C59C4C228A}" name="Volume # / Issue# / Sequence #" dataDxfId="113"/>
    <tableColumn id="4" xr3:uid="{CFF907F5-9611-4461-8F23-8DA40C5BA323}" name="上_x000a_中_x000a_下" dataDxfId="112"/>
    <tableColumn id="5" xr3:uid="{D3172E69-D24F-4283-9361-AAEE231DBDF1}" name="of Total Volumes " dataDxfId="111"/>
    <tableColumn id="6" xr3:uid="{375FFA84-3733-4BDA-86E9-9141A5B39580}" name="Cross Ref_x000a_to Key #" dataDxfId="110"/>
    <tableColumn id="2" xr3:uid="{87F45DCD-7B0B-452F-9D2D-EBFE9642F396}" name="Format" dataDxfId="109"/>
    <tableColumn id="7" xr3:uid="{4004E7F1-9D16-4375-8B32-BECFB94F488A}" name="Note" dataDxfId="108"/>
    <tableColumn id="8" xr3:uid="{E43FFD13-7133-419F-A2D0-081116491029}" name="URL for Price Check" dataDxfId="107"/>
    <tableColumn id="9" xr3:uid="{AE50A42F-A158-4AC6-93F3-1E093697E369}" name="Collection" dataDxfId="106"/>
    <tableColumn id="10" xr3:uid="{2D8F9111-1214-4387-A362-BD92E8E611C0}" name="j" dataDxfId="105"/>
    <tableColumn id="11" xr3:uid="{A056C40D-41C8-445A-9490-6E90D907CD51}" name="Dupe_x000a_ISBN_x000a_Check" dataDxfId="104"/>
    <tableColumn id="12" xr3:uid="{CB7B98A4-83BE-4061-9D5C-45DBBEE3E4D1}" name="Dupe_x000a_Title_x000a_Check" dataDxfId="103"/>
    <tableColumn id="13" xr3:uid="{2C2A93CF-A8AC-489E-A261-39581572EDC6}" name="Dupe_x000a_WorldCat_x000a_Check" dataDxfId="102"/>
    <tableColumn id="14" xr3:uid="{FF85C4AD-D2B2-4268-9024-E64E322BF8E6}" name="ISBN13#/_x000a_ISSN#" dataDxfId="101"/>
    <tableColumn id="15" xr3:uid="{CCF807BF-34CB-4B7B-B213-2F2408CF394B}" name="ISBN10#/_x000a_ISSN#" dataDxfId="100"/>
    <tableColumn id="16" xr3:uid="{9D446075-4F49-4A1B-8A28-EE3360DE3A06}" name="OCLC#" dataDxfId="99"/>
    <tableColumn id="17" xr3:uid="{13ABF60F-3B8E-4B06-85F1-F305321DBBC7}" name="Title (V)" dataDxfId="98"/>
    <tableColumn id="18" xr3:uid="{6DA77F92-853D-4433-8370-9DFBA0975E90}" name="Title (R/E)" dataDxfId="97"/>
    <tableColumn id="19" xr3:uid="{A9B3A70C-9385-4C7D-B875-F48F53916A5B}" name="Creator (R/E)" dataDxfId="96"/>
    <tableColumn id="20" xr3:uid="{532EB834-CF45-4948-B315-D132A8CB814F}" name="Creator (V)" dataDxfId="95"/>
    <tableColumn id="21" xr3:uid="{B1623EC9-C75C-4389-A8DF-410D7C83FE26}" name="Series" dataDxfId="94"/>
    <tableColumn id="22" xr3:uid="{2FE4EB17-9FF8-4C22-B33C-7D7C664D7D45}" name="Publisher (R/E)" dataDxfId="93"/>
    <tableColumn id="23" xr3:uid="{564DAC20-BBA8-4BBE-8A49-93CE230FF7F8}" name="Publisher (V)" dataDxfId="92"/>
    <tableColumn id="24" xr3:uid="{D668AE8E-DE2A-4438-97F5-E81200F5F07F}" name="Pub Date" dataDxfId="91"/>
    <tableColumn id="25" xr3:uid="{390F2415-CAC4-42C0-8609-21E43CB92F06}" name="Value (Estimate)_x000a_$USD" dataDxfId="90"/>
    <tableColumn id="26" xr3:uid="{7F5FC397-149C-4C73-A0F8-0178B99175E2}" name="⇄" dataDxfId="89"/>
    <tableColumn id="27" xr3:uid="{58121A17-DD5A-4973-BDCE-62F04E2D9EE8}" name="$_x000a_¥_x000a_₩" dataDxfId="88"/>
    <tableColumn id="28" xr3:uid="{9544716D-B4BE-4459-87AD-052447911EC3}" name="Value (Estimate)_x000a_¥ or ₩" dataDxfId="87"/>
    <tableColumn id="29" xr3:uid="{91D1C939-6E5F-42C7-AE51-FFC203FB2E3B}" name="Subject_x000a_Headings" dataDxfId="86"/>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E57184-8BB0-4267-9B0F-D3C7CAE6C4C6}" name="Debugging11" displayName="Debugging11" ref="AI8:AI87" totalsRowShown="0" headerRowDxfId="85" dataDxfId="84">
  <autoFilter ref="AI8:AI87" xr:uid="{6EC7C29D-05FA-4214-8DFC-693D889E3DC0}"/>
  <tableColumns count="1">
    <tableColumn id="1" xr3:uid="{CC2A487C-6BB4-4651-B0E4-682AE29E84E7}" name="Issues to think about_x000a_including debugging macro" dataDxfId="83"/>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1D3B6CA-188A-4576-A8E8-DDD79CA3AFE2}" name="SeriesTitleCount" displayName="SeriesTitleCount" ref="A1:B10" totalsRowShown="0" headerRowDxfId="62" dataDxfId="61" tableBorderDxfId="60">
  <autoFilter ref="A1:B10" xr:uid="{41D3B6CA-188A-4576-A8E8-DDD79CA3AFE2}"/>
  <sortState xmlns:xlrd2="http://schemas.microsoft.com/office/spreadsheetml/2017/richdata2" ref="A2:B15">
    <sortCondition ref="A1:A223"/>
  </sortState>
  <tableColumns count="2">
    <tableColumn id="1" xr3:uid="{AC557862-D017-450F-A0D8-50CDC7A5DAA0}" name="Series Title" dataDxfId="59"/>
    <tableColumn id="2" xr3:uid="{6FD3AF40-92CA-4058-8FB1-94F0207F7F5F}" name="Count" dataDxfId="58">
      <calculatedColumnFormula>COUNTIF(Orders!U6:U200,SeriesTitleCount[[#This Row],[Series Title]])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7529B2-3547-429C-ABED-7A4006FF0060}" name="PubDateCount" displayName="PubDateCount" ref="A1:C11" totalsRowCount="1" headerRowDxfId="45" dataDxfId="44" totalsRowDxfId="43">
  <autoFilter ref="A1:C10" xr:uid="{4E7529B2-3547-429C-ABED-7A4006FF0060}"/>
  <sortState xmlns:xlrd2="http://schemas.microsoft.com/office/spreadsheetml/2017/richdata2" ref="A2:B91">
    <sortCondition ref="A1:A91"/>
  </sortState>
  <tableColumns count="3">
    <tableColumn id="1" xr3:uid="{2D59A3B5-6BEA-4E70-8DFA-B0B5099FB7D7}" name="PubDate" totalsRowLabel="Total" dataDxfId="42" totalsRowDxfId="41"/>
    <tableColumn id="2" xr3:uid="{C9BC3191-1802-48DF-8807-7A1AD98FA87B}" name="Count" totalsRowFunction="sum" dataDxfId="40" totalsRowDxfId="39"/>
    <tableColumn id="3" xr3:uid="{D9913512-5831-4189-B5DF-29BB1E01C47F}" name="%" dataDxfId="38" totalsRowDxfId="37"/>
  </tableColumns>
  <tableStyleInfo name="TableStyleMedium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C95E50-D40D-4A59-A98A-8052093EE610}" name="PubDate_by_Decade" displayName="PubDate_by_Decade" ref="X1:AB8" totalsRowCount="1" headerRowDxfId="36" dataDxfId="35" totalsRowDxfId="33" tableBorderDxfId="34">
  <autoFilter ref="X1:AB7" xr:uid="{1EC95E50-D40D-4A59-A98A-8052093EE610}"/>
  <sortState xmlns:xlrd2="http://schemas.microsoft.com/office/spreadsheetml/2017/richdata2" ref="X2:AB8">
    <sortCondition ref="AA1:AA8"/>
  </sortState>
  <tableColumns count="5">
    <tableColumn id="1" xr3:uid="{47938F4B-E510-4CC2-8419-8FBFBF047168}" name="Start of Decade" totalsRowLabel="Total" dataDxfId="32" totalsRowDxfId="31"/>
    <tableColumn id="2" xr3:uid="{05F8ECCA-2942-4B49-8538-810C2EA94E3A}" name="End of Decade" dataDxfId="30" totalsRowDxfId="29"/>
    <tableColumn id="3" xr3:uid="{89C00457-EA83-428E-B2E2-9AE8FDB4584D}" name="Labels" dataDxfId="28" totalsRowDxfId="27">
      <calculatedColumnFormula>CONCATENATE(PubDate_by_Decade[[#This Row],[Start of Decade]],"-",PubDate_by_Decade[[#This Row],[End of Decade]])</calculatedColumnFormula>
    </tableColumn>
    <tableColumn id="5" xr3:uid="{2758DAB8-1DF8-43B7-B4CA-562F1DC0A486}" name="Count" totalsRowFunction="sum" dataDxfId="26" totalsRowDxfId="25">
      <calculatedColumnFormula>SUMIFS(PubDateCount[Count],PubDateCount[PubDate],"&gt;="&amp;PubDate_by_Decade[[#This Row],[Start of Decade]],PubDateCount[PubDate],"&lt;="&amp;PubDate_by_Decade[[#This Row],[End of Decade]])</calculatedColumnFormula>
    </tableColumn>
    <tableColumn id="4" xr3:uid="{B1393D65-2F53-40F5-B44F-83E2EDAEBD62}" name="%" dataDxfId="24" totalsRowDxfId="23">
      <calculatedColumnFormula>PubDate_by_Decade[[#This Row],[Count]]/PubDate_by_Decade[[#Totals],[Count]]</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D3FA1-0B13-4835-8066-CAE7CDC06BB4}" name="Subject_Analysis_Steps" displayName="Subject_Analysis_Steps" ref="A2:D32" totalsRowShown="0" headerRowDxfId="22" dataDxfId="21">
  <tableColumns count="4">
    <tableColumn id="1" xr3:uid="{4040453C-7E8E-43B7-B310-68241F53925A}" name="Step" dataDxfId="20"/>
    <tableColumn id="3" xr3:uid="{D090C9B1-7917-4E16-B5A6-12A31C6E0053}" name="b" dataDxfId="19"/>
    <tableColumn id="2" xr3:uid="{47E925EF-3D52-42E2-8A09-1F507B971DC4}" name="What to Do" dataDxfId="18"/>
    <tableColumn id="4" xr3:uid="{B97E4F4C-483D-4FB8-A3BB-5CD44B818F09}" name="What it Does" dataDxfId="17"/>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7CABD46-5F42-466C-B100-6E0AD9EC3E30}" name="Locations" displayName="Locations" ref="A1:A11" totalsRowShown="0" headerRowDxfId="16" dataDxfId="15" tableBorderDxfId="14">
  <autoFilter ref="A1:A11" xr:uid="{D7CABD46-5F42-466C-B100-6E0AD9EC3E30}"/>
  <sortState xmlns:xlrd2="http://schemas.microsoft.com/office/spreadsheetml/2017/richdata2" ref="A2:A10">
    <sortCondition ref="A1:A10"/>
  </sortState>
  <tableColumns count="1">
    <tableColumn id="1" xr3:uid="{F6DF05C3-5057-4C5D-A034-6433D364599C}" name="Collection_x000a_Locations" dataDxfId="13"/>
  </tableColumns>
  <tableStyleInfo name="TableStyleMedium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D16B2FC-FC41-4109-8AD2-233E821FF13F}" name="Formats" displayName="Formats" ref="C1:C20" totalsRowShown="0" headerRowDxfId="12" dataDxfId="11" tableBorderDxfId="10">
  <autoFilter ref="C1:C20" xr:uid="{ED16B2FC-FC41-4109-8AD2-233E821FF13F}"/>
  <sortState xmlns:xlrd2="http://schemas.microsoft.com/office/spreadsheetml/2017/richdata2" ref="C2:C20">
    <sortCondition ref="C1:C20"/>
  </sortState>
  <tableColumns count="1">
    <tableColumn id="1" xr3:uid="{006700A6-B444-4807-9CBA-72DDA2B347A3}" name="Material_x000a_Formats" dataDxfId="9"/>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C6FBBE-F7A7-46FE-8A52-0349B3DDB9CE}" name="上中下" displayName="上中下" ref="E1:E4" totalsRowShown="0" headerRowDxfId="8" dataDxfId="6" headerRowBorderDxfId="7" tableBorderDxfId="5">
  <autoFilter ref="E1:E4" xr:uid="{BDC6FBBE-F7A7-46FE-8A52-0349B3DDB9CE}"/>
  <tableColumns count="1">
    <tableColumn id="1" xr3:uid="{CB547F85-9AAF-4D63-9AA8-052E905E2F3A}" name="Asian Style Volume Count" dataDxfId="4"/>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github.com/ahlisbon/CJKmaterialProcessing" TargetMode="External"/><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drawing" Target="../drawings/drawing6.xml"/><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sheetPr>
  <dimension ref="A1:AH664"/>
  <sheetViews>
    <sheetView tabSelected="1" topLeftCell="O1" zoomScaleNormal="100" workbookViewId="0">
      <pane ySplit="5" topLeftCell="A175" activePane="bottomLeft" state="frozen"/>
      <selection pane="bottomLeft" activeCell="AA2" sqref="AA2"/>
    </sheetView>
  </sheetViews>
  <sheetFormatPr defaultRowHeight="17.100000000000001" customHeight="1" x14ac:dyDescent="0.25"/>
  <cols>
    <col min="1" max="1" width="7.7109375" style="309" customWidth="1"/>
    <col min="2" max="2" width="9.140625" style="192"/>
    <col min="3" max="3" width="15.7109375" style="175" customWidth="1"/>
    <col min="4" max="4" width="7.7109375" style="173" customWidth="1"/>
    <col min="5" max="5" width="7.7109375" style="313" customWidth="1"/>
    <col min="6" max="6" width="6.7109375" style="174" customWidth="1"/>
    <col min="7" max="7" width="20.7109375" style="175" customWidth="1"/>
    <col min="8" max="8" width="8.7109375" style="143" customWidth="1"/>
    <col min="9" max="9" width="8.7109375" style="175" customWidth="1"/>
    <col min="10" max="10" width="6.7109375" style="194" customWidth="1"/>
    <col min="11" max="11" width="8.7109375" style="175" customWidth="1"/>
    <col min="12" max="13" width="8.7109375" style="173" customWidth="1"/>
    <col min="14" max="14" width="13.7109375" style="173" customWidth="1"/>
    <col min="15" max="15" width="13.7109375" style="315" customWidth="1"/>
    <col min="16" max="16" width="13.7109375" style="323" customWidth="1"/>
    <col min="17" max="17" width="25.7109375" style="315" customWidth="1"/>
    <col min="18" max="18" width="25.7109375" style="169" customWidth="1"/>
    <col min="19" max="24" width="15.7109375" style="169" customWidth="1"/>
    <col min="25" max="25" width="7.7109375" style="251" customWidth="1"/>
    <col min="26" max="26" width="20.7109375" style="193" customWidth="1"/>
    <col min="27" max="27" width="10.7109375" style="72" customWidth="1"/>
    <col min="28" max="28" width="3.7109375" style="194" customWidth="1"/>
    <col min="29" max="29" width="10.7109375" style="195" customWidth="1"/>
    <col min="30" max="30" width="3.7109375" style="191" customWidth="1"/>
    <col min="31" max="31" width="12.7109375" style="189" customWidth="1"/>
    <col min="32" max="32" width="12.7109375" style="190" customWidth="1"/>
    <col min="33" max="33" width="3.7109375" style="190" customWidth="1"/>
    <col min="34" max="34" width="20.7109375" style="5" customWidth="1"/>
    <col min="35" max="16384" width="9.140625" style="5"/>
  </cols>
  <sheetData>
    <row r="1" spans="1:34" ht="20.100000000000001" customHeight="1" x14ac:dyDescent="0.25">
      <c r="A1" s="334" t="s">
        <v>299</v>
      </c>
      <c r="B1" s="334"/>
      <c r="C1" s="334"/>
      <c r="D1" s="334"/>
      <c r="E1" s="334"/>
      <c r="F1" s="334"/>
      <c r="G1" s="334"/>
      <c r="H1" s="334"/>
      <c r="I1" s="334"/>
      <c r="J1" s="334"/>
      <c r="K1" s="334"/>
      <c r="L1" s="334"/>
      <c r="M1" s="334"/>
      <c r="N1" s="334"/>
      <c r="O1" s="334"/>
      <c r="P1" s="334"/>
      <c r="Q1" s="334"/>
      <c r="R1" s="334"/>
      <c r="S1" s="334"/>
      <c r="T1" s="334"/>
      <c r="U1" s="334"/>
      <c r="V1" s="334"/>
      <c r="W1" s="334"/>
      <c r="X1" s="334"/>
      <c r="Y1" s="334"/>
      <c r="Z1" s="335"/>
      <c r="AA1" s="331" t="s">
        <v>241</v>
      </c>
      <c r="AB1" s="332"/>
      <c r="AC1" s="333"/>
      <c r="AD1" s="39"/>
      <c r="AE1" s="329" t="s">
        <v>0</v>
      </c>
      <c r="AF1" s="330"/>
      <c r="AG1" s="5"/>
      <c r="AH1" s="139"/>
    </row>
    <row r="2" spans="1:34" ht="20.100000000000001" customHeight="1" x14ac:dyDescent="0.25">
      <c r="A2" s="336"/>
      <c r="B2" s="336"/>
      <c r="C2" s="336"/>
      <c r="D2" s="336"/>
      <c r="E2" s="336"/>
      <c r="F2" s="336"/>
      <c r="G2" s="336"/>
      <c r="H2" s="336"/>
      <c r="I2" s="336"/>
      <c r="J2" s="336"/>
      <c r="K2" s="336"/>
      <c r="L2" s="336"/>
      <c r="M2" s="336"/>
      <c r="N2" s="336"/>
      <c r="O2" s="336"/>
      <c r="P2" s="336"/>
      <c r="Q2" s="337"/>
      <c r="R2" s="337"/>
      <c r="S2" s="337"/>
      <c r="T2" s="337"/>
      <c r="U2" s="337"/>
      <c r="V2" s="337"/>
      <c r="W2" s="337"/>
      <c r="X2" s="337"/>
      <c r="Y2" s="337"/>
      <c r="Z2" s="338"/>
      <c r="AA2" s="147">
        <f>SUM(AA6:AA200)</f>
        <v>0</v>
      </c>
      <c r="AB2" s="144"/>
      <c r="AC2" s="145"/>
      <c r="AD2" s="39"/>
      <c r="AE2" s="9" t="e" vm="1">
        <v>#VALUE!</v>
      </c>
      <c r="AF2" s="10" cm="1">
        <f t="array" ref="AF2">_FV(AE2,"Price",TRUE)</f>
        <v>7.4050000000000001E-3</v>
      </c>
      <c r="AG2" s="5"/>
      <c r="AH2" s="139"/>
    </row>
    <row r="3" spans="1:34" ht="20.100000000000001" customHeight="1" x14ac:dyDescent="0.25">
      <c r="A3" s="325"/>
      <c r="B3" s="339" t="s">
        <v>307</v>
      </c>
      <c r="C3" s="328"/>
      <c r="D3" s="328"/>
      <c r="E3" s="340"/>
      <c r="F3" s="326"/>
      <c r="G3" s="326"/>
      <c r="H3" s="339" t="s">
        <v>309</v>
      </c>
      <c r="I3" s="328"/>
      <c r="J3" s="328"/>
      <c r="K3" s="328"/>
      <c r="L3" s="328"/>
      <c r="M3" s="328"/>
      <c r="N3" s="328"/>
      <c r="O3" s="328"/>
      <c r="P3" s="340"/>
      <c r="Q3" s="328" t="s">
        <v>7</v>
      </c>
      <c r="R3" s="328"/>
      <c r="S3" s="328"/>
      <c r="T3" s="328"/>
      <c r="U3" s="328"/>
      <c r="V3" s="328"/>
      <c r="W3" s="328"/>
      <c r="X3" s="328"/>
      <c r="Y3" s="328"/>
      <c r="Z3" s="327"/>
      <c r="AA3" s="339" t="s">
        <v>310</v>
      </c>
      <c r="AB3" s="328"/>
      <c r="AC3" s="341"/>
      <c r="AD3" s="39"/>
      <c r="AE3" s="11" t="e" vm="2">
        <v>#VALUE!</v>
      </c>
      <c r="AF3" s="12" cm="1">
        <f t="array" ref="AF3">_FV(AE3,"Price",TRUE)</f>
        <v>7.718E-4</v>
      </c>
      <c r="AG3" s="5"/>
      <c r="AH3" s="139"/>
    </row>
    <row r="4" spans="1:34" ht="14.1" customHeight="1" x14ac:dyDescent="0.25">
      <c r="A4" s="181">
        <v>1</v>
      </c>
      <c r="B4" s="141" t="s">
        <v>85</v>
      </c>
      <c r="C4" s="180" t="s">
        <v>237</v>
      </c>
      <c r="D4" s="180" t="s">
        <v>238</v>
      </c>
      <c r="E4" s="181" t="s">
        <v>239</v>
      </c>
      <c r="F4" s="180" t="s">
        <v>240</v>
      </c>
      <c r="G4" s="180">
        <v>7</v>
      </c>
      <c r="H4" s="141">
        <v>8</v>
      </c>
      <c r="I4" s="180">
        <v>9</v>
      </c>
      <c r="J4" s="180">
        <v>10</v>
      </c>
      <c r="K4" s="354" t="s">
        <v>8</v>
      </c>
      <c r="L4" s="180">
        <v>12</v>
      </c>
      <c r="M4" s="357">
        <v>13</v>
      </c>
      <c r="N4" s="180">
        <v>14</v>
      </c>
      <c r="O4" s="180">
        <v>15</v>
      </c>
      <c r="P4" s="181">
        <v>16</v>
      </c>
      <c r="Q4" s="180" t="s">
        <v>246</v>
      </c>
      <c r="R4" s="179" t="s">
        <v>245</v>
      </c>
      <c r="S4" s="179" t="s">
        <v>247</v>
      </c>
      <c r="T4" s="179" t="s">
        <v>248</v>
      </c>
      <c r="U4" s="179" t="s">
        <v>249</v>
      </c>
      <c r="V4" s="179" t="s">
        <v>250</v>
      </c>
      <c r="W4" s="179" t="s">
        <v>251</v>
      </c>
      <c r="X4" s="179" t="s">
        <v>252</v>
      </c>
      <c r="Y4" s="180" t="s">
        <v>242</v>
      </c>
      <c r="Z4" s="181" t="s">
        <v>243</v>
      </c>
      <c r="AA4" s="180" t="s">
        <v>244</v>
      </c>
      <c r="AB4" s="180" t="s">
        <v>257</v>
      </c>
      <c r="AC4" s="182" t="s">
        <v>258</v>
      </c>
      <c r="AD4" s="39"/>
      <c r="AE4" s="5"/>
      <c r="AF4" s="5"/>
      <c r="AG4" s="5"/>
      <c r="AH4" s="139"/>
    </row>
    <row r="5" spans="1:34" ht="39.950000000000003" customHeight="1" x14ac:dyDescent="0.25">
      <c r="A5" s="307" t="s">
        <v>300</v>
      </c>
      <c r="B5" s="310" t="s">
        <v>301</v>
      </c>
      <c r="C5" s="146" t="s">
        <v>302</v>
      </c>
      <c r="D5" s="146" t="s">
        <v>303</v>
      </c>
      <c r="E5" s="311" t="s">
        <v>304</v>
      </c>
      <c r="F5" s="148" t="s">
        <v>308</v>
      </c>
      <c r="G5" s="146" t="s">
        <v>305</v>
      </c>
      <c r="H5" s="142" t="s">
        <v>15</v>
      </c>
      <c r="I5" s="304" t="s">
        <v>16</v>
      </c>
      <c r="J5" s="316" t="s">
        <v>306</v>
      </c>
      <c r="K5" s="355" t="s">
        <v>18</v>
      </c>
      <c r="L5" s="146" t="s">
        <v>19</v>
      </c>
      <c r="M5" s="358" t="s">
        <v>262</v>
      </c>
      <c r="N5" s="146" t="s">
        <v>21</v>
      </c>
      <c r="O5" s="146" t="s">
        <v>22</v>
      </c>
      <c r="P5" s="307" t="s">
        <v>23</v>
      </c>
      <c r="Q5" s="304" t="s">
        <v>25</v>
      </c>
      <c r="R5" s="183" t="s">
        <v>253</v>
      </c>
      <c r="S5" s="19" t="s">
        <v>26</v>
      </c>
      <c r="T5" s="184" t="s">
        <v>254</v>
      </c>
      <c r="U5" s="19" t="s">
        <v>259</v>
      </c>
      <c r="V5" s="184" t="s">
        <v>256</v>
      </c>
      <c r="W5" s="19" t="s">
        <v>29</v>
      </c>
      <c r="X5" s="184" t="s">
        <v>255</v>
      </c>
      <c r="Y5" s="146" t="s">
        <v>76</v>
      </c>
      <c r="Z5" s="272" t="s">
        <v>35</v>
      </c>
      <c r="AA5" s="146" t="s">
        <v>31</v>
      </c>
      <c r="AB5" s="17" t="s">
        <v>33</v>
      </c>
      <c r="AC5" s="137" t="s">
        <v>34</v>
      </c>
      <c r="AD5" s="39"/>
      <c r="AE5" s="5"/>
      <c r="AF5" s="5"/>
      <c r="AG5" s="5"/>
      <c r="AH5" s="302" t="s">
        <v>36</v>
      </c>
    </row>
    <row r="6" spans="1:34" ht="17.100000000000001" customHeight="1" x14ac:dyDescent="0.25">
      <c r="A6" s="308">
        <v>1</v>
      </c>
      <c r="B6" s="149"/>
      <c r="C6" s="176"/>
      <c r="D6" s="151"/>
      <c r="E6" s="312"/>
      <c r="F6" s="156"/>
      <c r="G6" s="306"/>
      <c r="H6" s="162"/>
      <c r="I6" s="305"/>
      <c r="J6" s="353"/>
      <c r="K6" s="356"/>
      <c r="L6" s="318"/>
      <c r="M6" s="359"/>
      <c r="N6" s="155">
        <v>9784329100139</v>
      </c>
      <c r="O6" s="155"/>
      <c r="P6" s="320"/>
      <c r="Q6" s="156"/>
      <c r="R6" s="152"/>
      <c r="S6" s="152"/>
      <c r="T6" s="152"/>
      <c r="U6" s="152"/>
      <c r="V6" s="152"/>
      <c r="W6" s="152"/>
      <c r="X6" s="152"/>
      <c r="Y6" s="157"/>
      <c r="Z6" s="158"/>
      <c r="AA6" s="159"/>
      <c r="AB6" s="160"/>
      <c r="AC6" s="161"/>
      <c r="AD6" s="185" t="s">
        <v>4</v>
      </c>
      <c r="AE6" s="186"/>
      <c r="AF6" s="186"/>
      <c r="AG6" s="5"/>
      <c r="AH6" s="139"/>
    </row>
    <row r="7" spans="1:34" ht="17.100000000000001" customHeight="1" x14ac:dyDescent="0.25">
      <c r="A7" s="308">
        <v>2</v>
      </c>
      <c r="B7" s="149"/>
      <c r="C7" s="176"/>
      <c r="D7" s="151"/>
      <c r="E7" s="312"/>
      <c r="F7" s="156"/>
      <c r="G7" s="306"/>
      <c r="H7" s="162"/>
      <c r="I7" s="305"/>
      <c r="J7" s="353"/>
      <c r="K7" s="356"/>
      <c r="L7" s="318"/>
      <c r="M7" s="359"/>
      <c r="N7" s="155">
        <v>9784422300818</v>
      </c>
      <c r="O7" s="155"/>
      <c r="P7" s="320"/>
      <c r="Q7" s="156"/>
      <c r="R7" s="156"/>
      <c r="S7" s="152"/>
      <c r="T7" s="152"/>
      <c r="U7" s="152"/>
      <c r="V7" s="152"/>
      <c r="W7" s="152"/>
      <c r="X7" s="152"/>
      <c r="Y7" s="163"/>
      <c r="Z7" s="158"/>
      <c r="AA7" s="159"/>
      <c r="AB7" s="160"/>
      <c r="AC7" s="161"/>
      <c r="AD7" s="185" t="s">
        <v>4</v>
      </c>
      <c r="AE7" s="186"/>
      <c r="AF7" s="186"/>
      <c r="AG7" s="5"/>
      <c r="AH7" s="139"/>
    </row>
    <row r="8" spans="1:34" ht="17.100000000000001" customHeight="1" x14ac:dyDescent="0.25">
      <c r="A8" s="308">
        <v>3</v>
      </c>
      <c r="B8" s="149"/>
      <c r="C8" s="176"/>
      <c r="D8" s="151"/>
      <c r="E8" s="312"/>
      <c r="F8" s="156"/>
      <c r="G8" s="306"/>
      <c r="H8" s="162"/>
      <c r="I8" s="305"/>
      <c r="J8" s="353"/>
      <c r="K8" s="356"/>
      <c r="L8" s="318"/>
      <c r="M8" s="359"/>
      <c r="N8" s="155">
        <v>9784560088685</v>
      </c>
      <c r="O8" s="155"/>
      <c r="P8" s="320"/>
      <c r="Q8" s="156"/>
      <c r="R8" s="152"/>
      <c r="S8" s="152"/>
      <c r="T8" s="152"/>
      <c r="U8" s="152"/>
      <c r="V8" s="152"/>
      <c r="W8" s="152"/>
      <c r="X8" s="152"/>
      <c r="Y8" s="157"/>
      <c r="Z8" s="158"/>
      <c r="AA8" s="159"/>
      <c r="AB8" s="160"/>
      <c r="AC8" s="161"/>
      <c r="AD8" s="185" t="s">
        <v>4</v>
      </c>
      <c r="AE8" s="186"/>
      <c r="AF8" s="186"/>
      <c r="AG8" s="5"/>
      <c r="AH8" s="139"/>
    </row>
    <row r="9" spans="1:34" ht="17.100000000000001" customHeight="1" x14ac:dyDescent="0.25">
      <c r="A9" s="308"/>
      <c r="B9" s="149"/>
      <c r="C9" s="176"/>
      <c r="D9" s="151"/>
      <c r="E9" s="312"/>
      <c r="F9" s="156"/>
      <c r="G9" s="306"/>
      <c r="H9" s="162"/>
      <c r="I9" s="305"/>
      <c r="J9" s="353"/>
      <c r="K9" s="356"/>
      <c r="L9" s="318"/>
      <c r="M9" s="359"/>
      <c r="N9" s="155">
        <v>9784575244649</v>
      </c>
      <c r="O9" s="155"/>
      <c r="P9" s="320"/>
      <c r="Q9" s="156"/>
      <c r="R9" s="152"/>
      <c r="S9" s="152"/>
      <c r="T9" s="152"/>
      <c r="U9" s="152"/>
      <c r="V9" s="152"/>
      <c r="X9" s="152"/>
      <c r="Y9" s="163"/>
      <c r="Z9" s="158"/>
      <c r="AA9" s="159"/>
      <c r="AB9" s="160"/>
      <c r="AC9" s="161"/>
      <c r="AD9" s="185" t="s">
        <v>4</v>
      </c>
      <c r="AE9" s="186"/>
      <c r="AF9" s="186"/>
      <c r="AG9" s="5"/>
      <c r="AH9" s="139"/>
    </row>
    <row r="10" spans="1:34" ht="17.100000000000001" customHeight="1" x14ac:dyDescent="0.25">
      <c r="A10" s="308"/>
      <c r="B10" s="149"/>
      <c r="C10" s="176"/>
      <c r="D10" s="151"/>
      <c r="E10" s="312"/>
      <c r="F10" s="156"/>
      <c r="G10" s="306"/>
      <c r="H10" s="324"/>
      <c r="I10" s="305"/>
      <c r="J10" s="353"/>
      <c r="K10" s="356"/>
      <c r="L10" s="318"/>
      <c r="M10" s="359"/>
      <c r="N10" s="319"/>
      <c r="O10" s="319">
        <v>4582747132</v>
      </c>
      <c r="P10" s="320"/>
      <c r="Q10" s="187"/>
      <c r="R10" s="187"/>
      <c r="S10" s="187"/>
      <c r="T10" s="187"/>
      <c r="U10" s="152"/>
      <c r="V10" s="152"/>
      <c r="X10" s="187"/>
      <c r="Y10" s="273"/>
      <c r="Z10" s="158"/>
      <c r="AA10" s="159"/>
      <c r="AB10" s="160"/>
      <c r="AC10" s="161"/>
      <c r="AD10" s="185" t="s">
        <v>4</v>
      </c>
      <c r="AE10" s="186"/>
      <c r="AF10" s="186"/>
      <c r="AG10" s="5"/>
      <c r="AH10" s="139"/>
    </row>
    <row r="11" spans="1:34" ht="17.100000000000001" customHeight="1" x14ac:dyDescent="0.25">
      <c r="A11" s="308"/>
      <c r="B11" s="149"/>
      <c r="C11" s="176"/>
      <c r="D11" s="151"/>
      <c r="E11" s="312"/>
      <c r="F11" s="156"/>
      <c r="G11" s="306"/>
      <c r="H11" s="162"/>
      <c r="I11" s="305"/>
      <c r="J11" s="353"/>
      <c r="K11" s="356"/>
      <c r="L11" s="318"/>
      <c r="M11" s="359"/>
      <c r="N11" s="155"/>
      <c r="O11" s="155">
        <v>4585325093</v>
      </c>
      <c r="P11" s="320"/>
      <c r="Q11" s="156"/>
      <c r="R11" s="152"/>
      <c r="S11" s="152"/>
      <c r="T11" s="152"/>
      <c r="U11" s="152"/>
      <c r="V11" s="152"/>
      <c r="W11" s="152"/>
      <c r="X11" s="152"/>
      <c r="Y11" s="163"/>
      <c r="Z11" s="158"/>
      <c r="AA11" s="159"/>
      <c r="AB11" s="160"/>
      <c r="AC11" s="161"/>
      <c r="AD11" s="185" t="s">
        <v>4</v>
      </c>
      <c r="AE11" s="186"/>
      <c r="AF11" s="186"/>
      <c r="AG11" s="5"/>
      <c r="AH11" s="139"/>
    </row>
    <row r="12" spans="1:34" ht="17.100000000000001" customHeight="1" x14ac:dyDescent="0.25">
      <c r="A12" s="308"/>
      <c r="B12" s="149"/>
      <c r="C12" s="176"/>
      <c r="D12" s="151"/>
      <c r="E12" s="312"/>
      <c r="F12" s="156"/>
      <c r="G12" s="306"/>
      <c r="H12" s="162"/>
      <c r="I12" s="305"/>
      <c r="J12" s="353"/>
      <c r="K12" s="356"/>
      <c r="L12" s="318"/>
      <c r="M12" s="359"/>
      <c r="N12" s="155"/>
      <c r="O12" s="155">
        <v>4585390049</v>
      </c>
      <c r="P12" s="320"/>
      <c r="Q12" s="156"/>
      <c r="R12" s="152"/>
      <c r="S12" s="152"/>
      <c r="T12" s="152"/>
      <c r="U12" s="152"/>
      <c r="V12" s="152"/>
      <c r="X12" s="152"/>
      <c r="Y12" s="163"/>
      <c r="Z12" s="158"/>
      <c r="AA12" s="159"/>
      <c r="AB12" s="160"/>
      <c r="AC12" s="161"/>
      <c r="AD12" s="185" t="s">
        <v>4</v>
      </c>
      <c r="AE12" s="186"/>
      <c r="AF12" s="186"/>
      <c r="AG12" s="5"/>
      <c r="AH12" s="139"/>
    </row>
    <row r="13" spans="1:34" ht="17.100000000000001" customHeight="1" x14ac:dyDescent="0.25">
      <c r="A13" s="308"/>
      <c r="B13" s="149"/>
      <c r="C13" s="176"/>
      <c r="D13" s="151"/>
      <c r="E13" s="312"/>
      <c r="F13" s="156"/>
      <c r="G13" s="306"/>
      <c r="H13" s="162"/>
      <c r="I13" s="305"/>
      <c r="J13" s="353"/>
      <c r="K13" s="356"/>
      <c r="L13" s="318"/>
      <c r="M13" s="359"/>
      <c r="N13" s="155"/>
      <c r="O13" s="155">
        <v>4620326941</v>
      </c>
      <c r="P13" s="320"/>
      <c r="Q13" s="156"/>
      <c r="R13" s="152"/>
      <c r="S13" s="152"/>
      <c r="T13" s="152"/>
      <c r="U13" s="152"/>
      <c r="V13" s="152"/>
      <c r="W13" s="152"/>
      <c r="X13" s="152"/>
      <c r="Y13" s="163"/>
      <c r="Z13" s="158"/>
      <c r="AA13" s="159"/>
      <c r="AB13" s="160"/>
      <c r="AC13" s="161"/>
      <c r="AD13" s="185" t="s">
        <v>4</v>
      </c>
      <c r="AE13" s="186"/>
      <c r="AF13" s="186"/>
      <c r="AG13" s="5"/>
      <c r="AH13" s="139"/>
    </row>
    <row r="14" spans="1:34" ht="17.100000000000001" customHeight="1" x14ac:dyDescent="0.25">
      <c r="A14" s="308"/>
      <c r="B14" s="149"/>
      <c r="C14" s="176"/>
      <c r="D14" s="151"/>
      <c r="E14" s="312"/>
      <c r="F14" s="156"/>
      <c r="G14" s="306"/>
      <c r="H14" s="162"/>
      <c r="I14" s="305"/>
      <c r="J14" s="353"/>
      <c r="K14" s="356"/>
      <c r="L14" s="318"/>
      <c r="M14" s="359"/>
      <c r="N14" s="155"/>
      <c r="O14" s="155"/>
      <c r="P14" s="320">
        <v>1280977021</v>
      </c>
      <c r="Q14" s="156"/>
      <c r="R14" s="152"/>
      <c r="S14" s="152"/>
      <c r="T14" s="152"/>
      <c r="U14" s="152"/>
      <c r="V14" s="152"/>
      <c r="W14" s="152"/>
      <c r="X14" s="152"/>
      <c r="Y14" s="163"/>
      <c r="Z14" s="158"/>
      <c r="AA14" s="159"/>
      <c r="AB14" s="160"/>
      <c r="AC14" s="161"/>
      <c r="AD14" s="185" t="s">
        <v>4</v>
      </c>
      <c r="AE14" s="186"/>
      <c r="AF14" s="186"/>
      <c r="AG14" s="5"/>
      <c r="AH14" s="139"/>
    </row>
    <row r="15" spans="1:34" ht="17.100000000000001" customHeight="1" x14ac:dyDescent="0.25">
      <c r="A15" s="308"/>
      <c r="B15" s="149"/>
      <c r="C15" s="176"/>
      <c r="D15" s="151"/>
      <c r="E15" s="312"/>
      <c r="F15" s="156"/>
      <c r="G15" s="306"/>
      <c r="H15" s="200"/>
      <c r="I15" s="305"/>
      <c r="J15" s="353"/>
      <c r="K15" s="356"/>
      <c r="L15" s="318"/>
      <c r="M15" s="359"/>
      <c r="N15" s="155"/>
      <c r="O15" s="155"/>
      <c r="P15" s="320">
        <v>1257754194</v>
      </c>
      <c r="Q15" s="156"/>
      <c r="R15" s="152"/>
      <c r="S15" s="152"/>
      <c r="T15" s="152"/>
      <c r="U15" s="152"/>
      <c r="V15" s="152"/>
      <c r="W15" s="152"/>
      <c r="X15" s="152"/>
      <c r="Y15" s="163"/>
      <c r="Z15" s="158"/>
      <c r="AA15" s="159"/>
      <c r="AB15" s="160"/>
      <c r="AC15" s="161"/>
      <c r="AD15" s="185" t="s">
        <v>4</v>
      </c>
      <c r="AE15" s="186"/>
      <c r="AF15" s="186"/>
      <c r="AG15" s="5"/>
      <c r="AH15" s="139"/>
    </row>
    <row r="16" spans="1:34" ht="17.100000000000001" customHeight="1" x14ac:dyDescent="0.25">
      <c r="A16" s="308"/>
      <c r="B16" s="149"/>
      <c r="C16" s="176"/>
      <c r="D16" s="151"/>
      <c r="E16" s="312"/>
      <c r="F16" s="156"/>
      <c r="G16" s="306"/>
      <c r="H16" s="200"/>
      <c r="I16" s="305"/>
      <c r="J16" s="353"/>
      <c r="K16" s="356"/>
      <c r="L16" s="318"/>
      <c r="M16" s="359"/>
      <c r="N16" s="155"/>
      <c r="O16" s="155"/>
      <c r="P16" s="320">
        <v>1267332686</v>
      </c>
      <c r="Q16" s="156"/>
      <c r="R16" s="152"/>
      <c r="S16" s="152"/>
      <c r="T16" s="152"/>
      <c r="U16" s="152"/>
      <c r="V16" s="152"/>
      <c r="W16" s="152"/>
      <c r="X16" s="152"/>
      <c r="Y16" s="157"/>
      <c r="Z16" s="158"/>
      <c r="AA16" s="159"/>
      <c r="AB16" s="160"/>
      <c r="AC16" s="161"/>
      <c r="AD16" s="185" t="s">
        <v>4</v>
      </c>
      <c r="AE16" s="186"/>
      <c r="AF16" s="186"/>
      <c r="AG16" s="5"/>
      <c r="AH16" s="139"/>
    </row>
    <row r="17" spans="1:34" ht="17.100000000000001" customHeight="1" x14ac:dyDescent="0.25">
      <c r="A17" s="308"/>
      <c r="B17" s="149"/>
      <c r="C17" s="176"/>
      <c r="D17" s="151"/>
      <c r="E17" s="312"/>
      <c r="F17" s="156"/>
      <c r="G17" s="306"/>
      <c r="H17" s="162"/>
      <c r="I17" s="305"/>
      <c r="J17" s="353"/>
      <c r="K17" s="356"/>
      <c r="L17" s="318"/>
      <c r="M17" s="359"/>
      <c r="N17" s="155"/>
      <c r="O17" s="155"/>
      <c r="P17" s="320">
        <v>1290156573</v>
      </c>
      <c r="Q17" s="156"/>
      <c r="R17" s="152"/>
      <c r="S17" s="152"/>
      <c r="T17" s="152"/>
      <c r="U17" s="152"/>
      <c r="V17" s="152"/>
      <c r="W17" s="152"/>
      <c r="X17" s="152"/>
      <c r="Y17" s="163"/>
      <c r="Z17" s="158"/>
      <c r="AA17" s="159"/>
      <c r="AB17" s="160"/>
      <c r="AC17" s="161"/>
      <c r="AD17" s="185" t="s">
        <v>4</v>
      </c>
      <c r="AE17" s="186"/>
      <c r="AF17" s="186"/>
      <c r="AG17" s="5"/>
      <c r="AH17" s="139"/>
    </row>
    <row r="18" spans="1:34" ht="17.100000000000001" customHeight="1" x14ac:dyDescent="0.25">
      <c r="A18" s="308"/>
      <c r="B18" s="149"/>
      <c r="C18" s="176"/>
      <c r="D18" s="151"/>
      <c r="E18" s="312"/>
      <c r="F18" s="156"/>
      <c r="G18" s="306"/>
      <c r="H18" s="162"/>
      <c r="I18" s="305"/>
      <c r="J18" s="353"/>
      <c r="K18" s="356"/>
      <c r="L18" s="318"/>
      <c r="M18" s="359"/>
      <c r="N18" s="155"/>
      <c r="O18" s="155"/>
      <c r="P18" s="320"/>
      <c r="Q18" s="314" t="s">
        <v>287</v>
      </c>
      <c r="R18" s="152"/>
      <c r="S18" s="152"/>
      <c r="T18" s="152"/>
      <c r="U18" s="152"/>
      <c r="V18" s="152"/>
      <c r="W18" s="152"/>
      <c r="X18" s="152"/>
      <c r="Y18" s="163"/>
      <c r="Z18" s="158"/>
      <c r="AA18" s="159"/>
      <c r="AB18" s="160"/>
      <c r="AC18" s="161"/>
      <c r="AD18" s="185" t="s">
        <v>4</v>
      </c>
      <c r="AE18" s="186"/>
      <c r="AF18" s="186"/>
      <c r="AG18" s="5"/>
      <c r="AH18" s="139"/>
    </row>
    <row r="19" spans="1:34" ht="17.100000000000001" customHeight="1" x14ac:dyDescent="0.25">
      <c r="A19" s="308"/>
      <c r="B19" s="149"/>
      <c r="C19" s="176"/>
      <c r="D19" s="151"/>
      <c r="E19" s="312"/>
      <c r="F19" s="156"/>
      <c r="G19" s="306"/>
      <c r="H19" s="162"/>
      <c r="I19" s="305"/>
      <c r="J19" s="353"/>
      <c r="K19" s="356"/>
      <c r="L19" s="318"/>
      <c r="M19" s="359"/>
      <c r="N19" s="155"/>
      <c r="O19" s="155"/>
      <c r="P19" s="320"/>
      <c r="Q19" s="314" t="s">
        <v>288</v>
      </c>
      <c r="R19" s="152"/>
      <c r="S19" s="152"/>
      <c r="T19" s="152"/>
      <c r="U19" s="152"/>
      <c r="V19" s="152"/>
      <c r="W19" s="152"/>
      <c r="X19" s="152"/>
      <c r="Y19" s="163"/>
      <c r="Z19" s="158"/>
      <c r="AA19" s="159"/>
      <c r="AB19" s="160"/>
      <c r="AC19" s="161"/>
      <c r="AD19" s="185" t="s">
        <v>4</v>
      </c>
      <c r="AE19" s="186"/>
      <c r="AF19" s="186"/>
      <c r="AG19" s="5"/>
      <c r="AH19" s="139"/>
    </row>
    <row r="20" spans="1:34" ht="17.100000000000001" customHeight="1" x14ac:dyDescent="0.25">
      <c r="A20" s="308"/>
      <c r="B20" s="149"/>
      <c r="C20" s="176"/>
      <c r="D20" s="151"/>
      <c r="E20" s="312"/>
      <c r="F20" s="156"/>
      <c r="G20" s="306"/>
      <c r="H20" s="162"/>
      <c r="I20" s="305"/>
      <c r="J20" s="353"/>
      <c r="K20" s="356"/>
      <c r="L20" s="318"/>
      <c r="M20" s="359"/>
      <c r="N20" s="155"/>
      <c r="O20" s="155"/>
      <c r="P20" s="320"/>
      <c r="Q20" s="314" t="s">
        <v>289</v>
      </c>
      <c r="R20" s="152"/>
      <c r="S20" s="152"/>
      <c r="T20" s="152"/>
      <c r="U20" s="152"/>
      <c r="V20" s="152"/>
      <c r="W20" s="152"/>
      <c r="X20" s="152"/>
      <c r="Y20" s="163"/>
      <c r="Z20" s="158"/>
      <c r="AA20" s="159"/>
      <c r="AB20" s="160"/>
      <c r="AC20" s="161"/>
      <c r="AD20" s="185" t="s">
        <v>4</v>
      </c>
      <c r="AE20" s="186"/>
      <c r="AF20" s="186"/>
      <c r="AG20" s="5"/>
      <c r="AH20" s="139"/>
    </row>
    <row r="21" spans="1:34" ht="17.100000000000001" customHeight="1" x14ac:dyDescent="0.25">
      <c r="A21" s="308"/>
      <c r="B21" s="149"/>
      <c r="C21" s="176"/>
      <c r="D21" s="151"/>
      <c r="E21" s="312"/>
      <c r="F21" s="156"/>
      <c r="G21" s="306"/>
      <c r="H21" s="162"/>
      <c r="I21" s="305"/>
      <c r="J21" s="353"/>
      <c r="K21" s="356"/>
      <c r="L21" s="318"/>
      <c r="M21" s="359"/>
      <c r="N21" s="155"/>
      <c r="O21" s="155"/>
      <c r="P21" s="320"/>
      <c r="Q21" s="314" t="s">
        <v>290</v>
      </c>
      <c r="R21" s="152"/>
      <c r="S21" s="152"/>
      <c r="T21" s="152"/>
      <c r="U21" s="152"/>
      <c r="V21" s="152"/>
      <c r="W21" s="152"/>
      <c r="X21" s="152"/>
      <c r="Y21" s="157"/>
      <c r="Z21" s="158"/>
      <c r="AA21" s="159"/>
      <c r="AB21" s="160"/>
      <c r="AC21" s="161"/>
      <c r="AD21" s="185" t="s">
        <v>4</v>
      </c>
      <c r="AE21" s="186"/>
      <c r="AF21" s="186"/>
      <c r="AG21" s="5"/>
      <c r="AH21" s="139"/>
    </row>
    <row r="22" spans="1:34" ht="17.100000000000001" customHeight="1" x14ac:dyDescent="0.25">
      <c r="A22" s="308"/>
      <c r="B22" s="149"/>
      <c r="C22" s="176"/>
      <c r="D22" s="151"/>
      <c r="E22" s="312"/>
      <c r="F22" s="156"/>
      <c r="G22" s="306"/>
      <c r="H22" s="162"/>
      <c r="I22" s="305"/>
      <c r="J22" s="353"/>
      <c r="K22" s="356"/>
      <c r="L22" s="318"/>
      <c r="M22" s="359"/>
      <c r="N22" s="155"/>
      <c r="O22" s="155"/>
      <c r="P22" s="320"/>
      <c r="Q22" s="156"/>
      <c r="R22" s="152" t="s">
        <v>291</v>
      </c>
      <c r="S22" s="152"/>
      <c r="T22" s="152"/>
      <c r="U22" s="152"/>
      <c r="V22" s="152"/>
      <c r="W22" s="152"/>
      <c r="X22" s="152"/>
      <c r="Y22" s="157"/>
      <c r="Z22" s="158"/>
      <c r="AA22" s="159"/>
      <c r="AB22" s="160"/>
      <c r="AC22" s="161"/>
      <c r="AD22" s="185" t="s">
        <v>4</v>
      </c>
      <c r="AE22" s="186"/>
      <c r="AF22" s="186"/>
      <c r="AG22" s="5"/>
      <c r="AH22" s="139"/>
    </row>
    <row r="23" spans="1:34" ht="17.100000000000001" customHeight="1" x14ac:dyDescent="0.25">
      <c r="A23" s="308"/>
      <c r="B23" s="149"/>
      <c r="C23" s="173"/>
      <c r="D23" s="166"/>
      <c r="E23" s="312"/>
      <c r="G23" s="306"/>
      <c r="H23" s="162"/>
      <c r="I23" s="305"/>
      <c r="J23" s="353"/>
      <c r="K23" s="356"/>
      <c r="L23" s="318"/>
      <c r="M23" s="359"/>
      <c r="N23" s="168"/>
      <c r="O23" s="168"/>
      <c r="P23" s="321"/>
      <c r="Q23" s="175"/>
      <c r="R23" s="169" t="s">
        <v>292</v>
      </c>
      <c r="Y23" s="72"/>
      <c r="Z23" s="170"/>
      <c r="AA23" s="159"/>
      <c r="AB23" s="171"/>
      <c r="AC23" s="172"/>
      <c r="AD23" s="185" t="s">
        <v>4</v>
      </c>
      <c r="AE23" s="186"/>
      <c r="AF23" s="188"/>
      <c r="AG23" s="5"/>
      <c r="AH23" s="139"/>
    </row>
    <row r="24" spans="1:34" ht="17.100000000000001" customHeight="1" x14ac:dyDescent="0.25">
      <c r="A24" s="308"/>
      <c r="B24" s="149"/>
      <c r="C24" s="173"/>
      <c r="D24" s="166"/>
      <c r="E24" s="312"/>
      <c r="G24" s="306"/>
      <c r="H24" s="162"/>
      <c r="I24" s="305"/>
      <c r="J24" s="353"/>
      <c r="K24" s="356"/>
      <c r="L24" s="318"/>
      <c r="M24" s="359"/>
      <c r="N24" s="168"/>
      <c r="O24" s="168"/>
      <c r="P24" s="321"/>
      <c r="Q24" s="175"/>
      <c r="R24" s="169" t="s">
        <v>293</v>
      </c>
      <c r="Y24" s="72"/>
      <c r="Z24" s="170"/>
      <c r="AA24" s="159"/>
      <c r="AB24" s="171"/>
      <c r="AC24" s="172"/>
      <c r="AD24" s="185" t="s">
        <v>4</v>
      </c>
      <c r="AE24" s="186"/>
      <c r="AF24" s="186"/>
      <c r="AG24" s="5"/>
      <c r="AH24" s="139"/>
    </row>
    <row r="25" spans="1:34" ht="17.100000000000001" customHeight="1" x14ac:dyDescent="0.25">
      <c r="A25" s="308"/>
      <c r="B25" s="149"/>
      <c r="C25" s="176"/>
      <c r="D25" s="151"/>
      <c r="E25" s="312"/>
      <c r="F25" s="156"/>
      <c r="G25" s="306"/>
      <c r="H25" s="162"/>
      <c r="I25" s="305"/>
      <c r="J25" s="353"/>
      <c r="K25" s="356"/>
      <c r="L25" s="318"/>
      <c r="M25" s="359"/>
      <c r="N25" s="155"/>
      <c r="O25" s="155"/>
      <c r="P25" s="320"/>
      <c r="Q25" s="156"/>
      <c r="R25" s="152" t="s">
        <v>294</v>
      </c>
      <c r="S25" s="152"/>
      <c r="T25" s="152"/>
      <c r="U25" s="152"/>
      <c r="V25" s="152"/>
      <c r="W25" s="152"/>
      <c r="X25" s="152"/>
      <c r="Y25" s="163"/>
      <c r="Z25" s="158"/>
      <c r="AA25" s="159"/>
      <c r="AB25" s="160"/>
      <c r="AC25" s="161"/>
      <c r="AD25" s="185" t="s">
        <v>4</v>
      </c>
      <c r="AE25" s="186"/>
      <c r="AF25" s="186"/>
      <c r="AG25" s="5"/>
      <c r="AH25" s="139"/>
    </row>
    <row r="26" spans="1:34" ht="17.100000000000001" customHeight="1" x14ac:dyDescent="0.25">
      <c r="A26" s="308"/>
      <c r="B26" s="149"/>
      <c r="C26" s="176"/>
      <c r="D26" s="151"/>
      <c r="E26" s="312"/>
      <c r="F26" s="156"/>
      <c r="G26" s="306"/>
      <c r="H26" s="162"/>
      <c r="I26" s="305"/>
      <c r="J26" s="353"/>
      <c r="K26" s="356"/>
      <c r="L26" s="318"/>
      <c r="M26" s="359"/>
      <c r="N26" s="155"/>
      <c r="O26" s="155"/>
      <c r="P26" s="320"/>
      <c r="Q26" s="156"/>
      <c r="R26" s="303" t="s">
        <v>295</v>
      </c>
      <c r="S26" s="152"/>
      <c r="T26" s="152"/>
      <c r="U26" s="152"/>
      <c r="V26" s="152"/>
      <c r="W26" s="152"/>
      <c r="X26" s="152"/>
      <c r="Y26" s="163"/>
      <c r="Z26" s="158"/>
      <c r="AA26" s="159"/>
      <c r="AB26" s="160"/>
      <c r="AC26" s="161"/>
      <c r="AD26" s="185" t="s">
        <v>4</v>
      </c>
      <c r="AE26" s="186"/>
      <c r="AF26" s="186"/>
      <c r="AG26" s="5"/>
      <c r="AH26" s="139"/>
    </row>
    <row r="27" spans="1:34" ht="17.100000000000001" customHeight="1" x14ac:dyDescent="0.25">
      <c r="A27" s="308"/>
      <c r="B27" s="149"/>
      <c r="C27" s="176"/>
      <c r="D27" s="151"/>
      <c r="E27" s="312"/>
      <c r="F27" s="156"/>
      <c r="G27" s="306"/>
      <c r="H27" s="162"/>
      <c r="I27" s="305"/>
      <c r="J27" s="353"/>
      <c r="K27" s="356"/>
      <c r="L27" s="318"/>
      <c r="M27" s="359"/>
      <c r="N27" s="155"/>
      <c r="O27" s="155"/>
      <c r="P27" s="320"/>
      <c r="Q27" s="156"/>
      <c r="R27" s="303" t="s">
        <v>296</v>
      </c>
      <c r="S27" s="152"/>
      <c r="T27" s="152"/>
      <c r="U27" s="152"/>
      <c r="V27" s="152"/>
      <c r="W27" s="152"/>
      <c r="X27" s="152"/>
      <c r="Y27" s="163"/>
      <c r="Z27" s="158"/>
      <c r="AA27" s="159"/>
      <c r="AB27" s="160"/>
      <c r="AC27" s="161"/>
      <c r="AD27" s="185" t="s">
        <v>4</v>
      </c>
      <c r="AE27" s="186"/>
      <c r="AF27" s="186"/>
      <c r="AG27" s="5"/>
      <c r="AH27" s="139"/>
    </row>
    <row r="28" spans="1:34" ht="17.100000000000001" customHeight="1" x14ac:dyDescent="0.25">
      <c r="A28" s="308"/>
      <c r="B28" s="149"/>
      <c r="C28" s="176"/>
      <c r="D28" s="151"/>
      <c r="E28" s="312"/>
      <c r="F28" s="156"/>
      <c r="G28" s="306"/>
      <c r="H28" s="162"/>
      <c r="I28" s="305"/>
      <c r="J28" s="353"/>
      <c r="K28" s="356"/>
      <c r="L28" s="318"/>
      <c r="M28" s="359"/>
      <c r="N28" s="155"/>
      <c r="O28" s="155"/>
      <c r="P28" s="320"/>
      <c r="Q28" s="156"/>
      <c r="R28" s="303" t="s">
        <v>297</v>
      </c>
      <c r="S28" s="152"/>
      <c r="T28" s="152"/>
      <c r="U28" s="152"/>
      <c r="V28" s="152"/>
      <c r="W28" s="152"/>
      <c r="X28" s="152"/>
      <c r="Y28" s="163"/>
      <c r="Z28" s="158"/>
      <c r="AA28" s="159"/>
      <c r="AB28" s="160"/>
      <c r="AC28" s="161"/>
      <c r="AD28" s="185" t="s">
        <v>4</v>
      </c>
      <c r="AE28" s="186"/>
      <c r="AF28" s="186"/>
      <c r="AG28" s="5"/>
      <c r="AH28" s="139"/>
    </row>
    <row r="29" spans="1:34" ht="17.100000000000001" customHeight="1" x14ac:dyDescent="0.25">
      <c r="A29" s="308"/>
      <c r="B29" s="149"/>
      <c r="C29" s="176"/>
      <c r="D29" s="151"/>
      <c r="E29" s="312"/>
      <c r="F29" s="156"/>
      <c r="G29" s="306"/>
      <c r="H29" s="162"/>
      <c r="I29" s="305"/>
      <c r="J29" s="353"/>
      <c r="K29" s="356"/>
      <c r="L29" s="318"/>
      <c r="M29" s="359"/>
      <c r="N29" s="155"/>
      <c r="O29" s="155"/>
      <c r="P29" s="320"/>
      <c r="Q29" s="156"/>
      <c r="R29" s="303" t="s">
        <v>298</v>
      </c>
      <c r="S29" s="152"/>
      <c r="T29" s="152"/>
      <c r="U29" s="152"/>
      <c r="V29" s="152"/>
      <c r="W29" s="152"/>
      <c r="X29" s="152"/>
      <c r="Y29" s="157"/>
      <c r="Z29" s="158"/>
      <c r="AA29" s="159"/>
      <c r="AB29" s="160"/>
      <c r="AC29" s="161"/>
      <c r="AD29" s="185" t="s">
        <v>4</v>
      </c>
      <c r="AE29" s="186"/>
      <c r="AF29" s="186"/>
      <c r="AG29" s="5"/>
      <c r="AH29" s="139"/>
    </row>
    <row r="30" spans="1:34" ht="17.100000000000001" customHeight="1" x14ac:dyDescent="0.25">
      <c r="A30" s="308"/>
      <c r="B30" s="149"/>
      <c r="C30" s="173"/>
      <c r="D30" s="166"/>
      <c r="E30" s="312"/>
      <c r="G30" s="306"/>
      <c r="H30" s="162"/>
      <c r="I30" s="305"/>
      <c r="J30" s="353"/>
      <c r="K30" s="356"/>
      <c r="L30" s="318"/>
      <c r="M30" s="359"/>
      <c r="N30" s="168"/>
      <c r="O30" s="168"/>
      <c r="P30" s="321"/>
      <c r="Q30" s="175"/>
      <c r="Y30" s="72"/>
      <c r="Z30" s="170"/>
      <c r="AA30" s="159"/>
      <c r="AB30" s="171"/>
      <c r="AC30" s="172"/>
      <c r="AD30" s="185" t="s">
        <v>4</v>
      </c>
      <c r="AE30" s="186"/>
      <c r="AF30" s="186"/>
      <c r="AG30" s="5"/>
      <c r="AH30" s="139"/>
    </row>
    <row r="31" spans="1:34" ht="17.100000000000001" customHeight="1" x14ac:dyDescent="0.25">
      <c r="A31" s="308"/>
      <c r="B31" s="149"/>
      <c r="C31" s="173"/>
      <c r="D31" s="166"/>
      <c r="E31" s="312"/>
      <c r="G31" s="306"/>
      <c r="H31" s="162"/>
      <c r="I31" s="305"/>
      <c r="J31" s="353"/>
      <c r="K31" s="356"/>
      <c r="L31" s="318"/>
      <c r="M31" s="359"/>
      <c r="N31" s="168"/>
      <c r="O31" s="168"/>
      <c r="P31" s="321"/>
      <c r="Q31" s="175"/>
      <c r="R31" s="175"/>
      <c r="S31" s="175"/>
      <c r="T31" s="175"/>
      <c r="U31" s="175"/>
      <c r="V31" s="175"/>
      <c r="W31" s="175"/>
      <c r="X31" s="175"/>
      <c r="Y31" s="72"/>
      <c r="Z31" s="170"/>
      <c r="AA31" s="159"/>
      <c r="AB31" s="171"/>
      <c r="AC31" s="172"/>
      <c r="AD31" s="185" t="s">
        <v>4</v>
      </c>
      <c r="AE31" s="186"/>
      <c r="AF31" s="186"/>
      <c r="AG31" s="5"/>
      <c r="AH31" s="139"/>
    </row>
    <row r="32" spans="1:34" ht="17.100000000000001" customHeight="1" x14ac:dyDescent="0.25">
      <c r="A32" s="308"/>
      <c r="B32" s="149"/>
      <c r="C32" s="173"/>
      <c r="D32" s="166"/>
      <c r="E32" s="312"/>
      <c r="G32" s="306"/>
      <c r="H32" s="162"/>
      <c r="I32" s="305"/>
      <c r="J32" s="353"/>
      <c r="K32" s="356"/>
      <c r="L32" s="318"/>
      <c r="M32" s="359"/>
      <c r="N32" s="168"/>
      <c r="O32" s="168"/>
      <c r="P32" s="321"/>
      <c r="Q32" s="175"/>
      <c r="Y32" s="72"/>
      <c r="Z32" s="170"/>
      <c r="AA32" s="159"/>
      <c r="AB32" s="171"/>
      <c r="AC32" s="172"/>
      <c r="AD32" s="185" t="s">
        <v>4</v>
      </c>
      <c r="AE32" s="186"/>
      <c r="AF32" s="186"/>
      <c r="AG32" s="5"/>
      <c r="AH32" s="139"/>
    </row>
    <row r="33" spans="1:34" ht="17.100000000000001" customHeight="1" x14ac:dyDescent="0.25">
      <c r="A33" s="308"/>
      <c r="B33" s="149"/>
      <c r="C33" s="173"/>
      <c r="D33" s="166"/>
      <c r="E33" s="312"/>
      <c r="G33" s="306"/>
      <c r="H33" s="162"/>
      <c r="I33" s="305"/>
      <c r="J33" s="353"/>
      <c r="K33" s="356"/>
      <c r="L33" s="318"/>
      <c r="M33" s="359"/>
      <c r="N33" s="168"/>
      <c r="O33" s="168"/>
      <c r="P33" s="321"/>
      <c r="Q33" s="175"/>
      <c r="Y33" s="72"/>
      <c r="Z33" s="170"/>
      <c r="AA33" s="159"/>
      <c r="AB33" s="171"/>
      <c r="AC33" s="172"/>
      <c r="AD33" s="185" t="s">
        <v>4</v>
      </c>
      <c r="AE33" s="186"/>
      <c r="AF33" s="186"/>
      <c r="AG33" s="5"/>
      <c r="AH33" s="139"/>
    </row>
    <row r="34" spans="1:34" ht="17.100000000000001" customHeight="1" x14ac:dyDescent="0.25">
      <c r="A34" s="308"/>
      <c r="B34" s="149"/>
      <c r="C34" s="173"/>
      <c r="D34" s="166"/>
      <c r="E34" s="312"/>
      <c r="G34" s="306"/>
      <c r="H34" s="162"/>
      <c r="I34" s="305"/>
      <c r="J34" s="353"/>
      <c r="K34" s="356"/>
      <c r="L34" s="318"/>
      <c r="M34" s="359"/>
      <c r="N34" s="168"/>
      <c r="O34" s="168"/>
      <c r="P34" s="321"/>
      <c r="Q34" s="156"/>
      <c r="Y34" s="72"/>
      <c r="Z34" s="170"/>
      <c r="AA34" s="159"/>
      <c r="AB34" s="171"/>
      <c r="AC34" s="172"/>
      <c r="AD34" s="185" t="s">
        <v>4</v>
      </c>
      <c r="AE34" s="186"/>
      <c r="AF34" s="186"/>
      <c r="AG34" s="5"/>
      <c r="AH34" s="139"/>
    </row>
    <row r="35" spans="1:34" ht="17.100000000000001" customHeight="1" x14ac:dyDescent="0.25">
      <c r="A35" s="308"/>
      <c r="B35" s="149"/>
      <c r="C35" s="176"/>
      <c r="D35" s="151"/>
      <c r="E35" s="312"/>
      <c r="F35" s="156"/>
      <c r="G35" s="306"/>
      <c r="H35" s="162"/>
      <c r="I35" s="305"/>
      <c r="J35" s="353"/>
      <c r="K35" s="356"/>
      <c r="L35" s="318"/>
      <c r="M35" s="359"/>
      <c r="N35" s="155"/>
      <c r="O35" s="155"/>
      <c r="P35" s="320"/>
      <c r="Q35" s="156"/>
      <c r="R35" s="156"/>
      <c r="S35" s="156"/>
      <c r="T35" s="152"/>
      <c r="U35" s="152"/>
      <c r="V35" s="152"/>
      <c r="W35" s="152"/>
      <c r="X35" s="156"/>
      <c r="Y35" s="157"/>
      <c r="Z35" s="158"/>
      <c r="AA35" s="159"/>
      <c r="AB35" s="160"/>
      <c r="AC35" s="161"/>
      <c r="AD35" s="185" t="s">
        <v>4</v>
      </c>
      <c r="AE35" s="186"/>
      <c r="AF35" s="186"/>
      <c r="AG35" s="5"/>
      <c r="AH35" s="139"/>
    </row>
    <row r="36" spans="1:34" ht="17.100000000000001" customHeight="1" x14ac:dyDescent="0.25">
      <c r="A36" s="308"/>
      <c r="B36" s="149"/>
      <c r="C36" s="176"/>
      <c r="D36" s="151"/>
      <c r="E36" s="312"/>
      <c r="F36" s="156"/>
      <c r="G36" s="306"/>
      <c r="H36" s="162"/>
      <c r="I36" s="305"/>
      <c r="J36" s="353"/>
      <c r="K36" s="356"/>
      <c r="L36" s="318"/>
      <c r="M36" s="359"/>
      <c r="N36" s="155"/>
      <c r="O36" s="155"/>
      <c r="P36" s="320"/>
      <c r="Q36" s="156"/>
      <c r="R36" s="152"/>
      <c r="S36" s="152"/>
      <c r="T36" s="152"/>
      <c r="U36" s="152"/>
      <c r="V36" s="152"/>
      <c r="W36" s="152"/>
      <c r="X36" s="152"/>
      <c r="Y36" s="157"/>
      <c r="Z36" s="158"/>
      <c r="AA36" s="159"/>
      <c r="AB36" s="160"/>
      <c r="AC36" s="161"/>
      <c r="AD36" s="185" t="s">
        <v>4</v>
      </c>
      <c r="AE36" s="186"/>
      <c r="AF36" s="186"/>
      <c r="AG36" s="5"/>
      <c r="AH36" s="139"/>
    </row>
    <row r="37" spans="1:34" ht="17.100000000000001" customHeight="1" x14ac:dyDescent="0.25">
      <c r="A37" s="308"/>
      <c r="B37" s="149"/>
      <c r="C37" s="176"/>
      <c r="D37" s="151"/>
      <c r="E37" s="312"/>
      <c r="F37" s="156"/>
      <c r="G37" s="306"/>
      <c r="H37" s="162"/>
      <c r="I37" s="305"/>
      <c r="J37" s="353"/>
      <c r="K37" s="356"/>
      <c r="L37" s="318"/>
      <c r="M37" s="359"/>
      <c r="N37" s="155"/>
      <c r="O37" s="155"/>
      <c r="P37" s="320"/>
      <c r="Q37" s="156"/>
      <c r="R37" s="152"/>
      <c r="S37" s="152"/>
      <c r="T37" s="152"/>
      <c r="U37" s="152"/>
      <c r="V37" s="152"/>
      <c r="W37" s="152"/>
      <c r="X37" s="152"/>
      <c r="Y37" s="163"/>
      <c r="Z37" s="158"/>
      <c r="AA37" s="159"/>
      <c r="AB37" s="160"/>
      <c r="AC37" s="161"/>
      <c r="AD37" s="185" t="s">
        <v>4</v>
      </c>
      <c r="AE37" s="186"/>
      <c r="AF37" s="186"/>
      <c r="AG37" s="5"/>
      <c r="AH37" s="139"/>
    </row>
    <row r="38" spans="1:34" ht="17.100000000000001" customHeight="1" x14ac:dyDescent="0.25">
      <c r="A38" s="308"/>
      <c r="B38" s="149"/>
      <c r="C38" s="176"/>
      <c r="D38" s="151"/>
      <c r="E38" s="312"/>
      <c r="F38" s="156"/>
      <c r="G38" s="306"/>
      <c r="H38" s="162"/>
      <c r="I38" s="305"/>
      <c r="J38" s="353"/>
      <c r="K38" s="356"/>
      <c r="L38" s="318"/>
      <c r="M38" s="359"/>
      <c r="N38" s="155"/>
      <c r="O38" s="155"/>
      <c r="P38" s="320"/>
      <c r="Q38" s="156"/>
      <c r="R38" s="152"/>
      <c r="S38" s="152"/>
      <c r="T38" s="152"/>
      <c r="U38" s="152"/>
      <c r="V38" s="152"/>
      <c r="W38" s="152"/>
      <c r="X38" s="152"/>
      <c r="Y38" s="163"/>
      <c r="Z38" s="158"/>
      <c r="AA38" s="159"/>
      <c r="AB38" s="160"/>
      <c r="AC38" s="161"/>
      <c r="AD38" s="185" t="s">
        <v>4</v>
      </c>
      <c r="AE38" s="186"/>
      <c r="AF38" s="186"/>
      <c r="AG38" s="5"/>
      <c r="AH38" s="139"/>
    </row>
    <row r="39" spans="1:34" ht="17.100000000000001" customHeight="1" x14ac:dyDescent="0.25">
      <c r="A39" s="308"/>
      <c r="B39" s="149"/>
      <c r="C39" s="173"/>
      <c r="D39" s="166"/>
      <c r="E39" s="312"/>
      <c r="G39" s="306"/>
      <c r="H39" s="162"/>
      <c r="I39" s="305"/>
      <c r="J39" s="353"/>
      <c r="K39" s="356"/>
      <c r="L39" s="318"/>
      <c r="M39" s="359"/>
      <c r="N39" s="168"/>
      <c r="O39" s="168"/>
      <c r="P39" s="321"/>
      <c r="Q39" s="175"/>
      <c r="Y39" s="72"/>
      <c r="Z39" s="170"/>
      <c r="AA39" s="159"/>
      <c r="AB39" s="171"/>
      <c r="AC39" s="172"/>
      <c r="AD39" s="185" t="s">
        <v>4</v>
      </c>
      <c r="AE39" s="186"/>
      <c r="AF39" s="186"/>
      <c r="AG39" s="5"/>
      <c r="AH39" s="139"/>
    </row>
    <row r="40" spans="1:34" ht="17.100000000000001" customHeight="1" x14ac:dyDescent="0.25">
      <c r="A40" s="308"/>
      <c r="B40" s="149"/>
      <c r="C40" s="173"/>
      <c r="D40" s="166"/>
      <c r="E40" s="312"/>
      <c r="G40" s="306"/>
      <c r="H40" s="162"/>
      <c r="I40" s="305"/>
      <c r="J40" s="353"/>
      <c r="K40" s="356"/>
      <c r="L40" s="318"/>
      <c r="M40" s="359"/>
      <c r="N40" s="168"/>
      <c r="O40" s="168"/>
      <c r="P40" s="321"/>
      <c r="Q40" s="175"/>
      <c r="Y40" s="72"/>
      <c r="Z40" s="170"/>
      <c r="AA40" s="159"/>
      <c r="AB40" s="171"/>
      <c r="AC40" s="172"/>
      <c r="AD40" s="185" t="s">
        <v>4</v>
      </c>
      <c r="AE40" s="186"/>
      <c r="AF40" s="186"/>
      <c r="AG40" s="5"/>
      <c r="AH40" s="139"/>
    </row>
    <row r="41" spans="1:34" ht="17.100000000000001" customHeight="1" x14ac:dyDescent="0.25">
      <c r="A41" s="308"/>
      <c r="B41" s="149"/>
      <c r="C41" s="173"/>
      <c r="D41" s="166"/>
      <c r="E41" s="312"/>
      <c r="G41" s="306"/>
      <c r="H41" s="162"/>
      <c r="I41" s="305"/>
      <c r="J41" s="353"/>
      <c r="K41" s="356"/>
      <c r="L41" s="318"/>
      <c r="M41" s="359"/>
      <c r="N41" s="168"/>
      <c r="O41" s="168"/>
      <c r="P41" s="321"/>
      <c r="Q41" s="175"/>
      <c r="Y41" s="72"/>
      <c r="Z41" s="170"/>
      <c r="AA41" s="159"/>
      <c r="AB41" s="171"/>
      <c r="AC41" s="172"/>
      <c r="AD41" s="185" t="s">
        <v>4</v>
      </c>
      <c r="AE41" s="186"/>
      <c r="AF41" s="186"/>
      <c r="AG41" s="5"/>
      <c r="AH41" s="139"/>
    </row>
    <row r="42" spans="1:34" ht="17.100000000000001" customHeight="1" x14ac:dyDescent="0.25">
      <c r="A42" s="308"/>
      <c r="B42" s="149"/>
      <c r="C42" s="173"/>
      <c r="D42" s="166"/>
      <c r="E42" s="312"/>
      <c r="G42" s="306"/>
      <c r="H42" s="162"/>
      <c r="I42" s="305"/>
      <c r="J42" s="353"/>
      <c r="K42" s="356"/>
      <c r="L42" s="318"/>
      <c r="M42" s="359"/>
      <c r="N42" s="168"/>
      <c r="O42" s="168"/>
      <c r="P42" s="321"/>
      <c r="Q42" s="175"/>
      <c r="Y42" s="72"/>
      <c r="Z42" s="170"/>
      <c r="AA42" s="159"/>
      <c r="AB42" s="171"/>
      <c r="AC42" s="172"/>
      <c r="AD42" s="185" t="s">
        <v>4</v>
      </c>
      <c r="AE42" s="186"/>
      <c r="AF42" s="186"/>
      <c r="AG42" s="5"/>
      <c r="AH42" s="139"/>
    </row>
    <row r="43" spans="1:34" ht="17.100000000000001" customHeight="1" x14ac:dyDescent="0.25">
      <c r="A43" s="308"/>
      <c r="B43" s="149"/>
      <c r="C43" s="173"/>
      <c r="D43" s="166"/>
      <c r="E43" s="312"/>
      <c r="G43" s="306"/>
      <c r="H43" s="162"/>
      <c r="I43" s="305"/>
      <c r="J43" s="353"/>
      <c r="K43" s="356"/>
      <c r="L43" s="318"/>
      <c r="M43" s="359"/>
      <c r="N43" s="168"/>
      <c r="O43" s="168"/>
      <c r="P43" s="321"/>
      <c r="Q43" s="175"/>
      <c r="Y43" s="72"/>
      <c r="Z43" s="170"/>
      <c r="AA43" s="159"/>
      <c r="AB43" s="171"/>
      <c r="AC43" s="172"/>
      <c r="AD43" s="185" t="s">
        <v>4</v>
      </c>
      <c r="AE43" s="186"/>
      <c r="AF43" s="186"/>
      <c r="AG43" s="5"/>
      <c r="AH43" s="139"/>
    </row>
    <row r="44" spans="1:34" ht="17.100000000000001" customHeight="1" x14ac:dyDescent="0.25">
      <c r="A44" s="308"/>
      <c r="B44" s="149"/>
      <c r="C44" s="173"/>
      <c r="D44" s="166"/>
      <c r="E44" s="312"/>
      <c r="G44" s="306"/>
      <c r="H44" s="162"/>
      <c r="I44" s="305"/>
      <c r="J44" s="353"/>
      <c r="K44" s="356"/>
      <c r="L44" s="318"/>
      <c r="M44" s="359"/>
      <c r="N44" s="168"/>
      <c r="O44" s="168"/>
      <c r="P44" s="321"/>
      <c r="Q44" s="175"/>
      <c r="Y44" s="72"/>
      <c r="Z44" s="170"/>
      <c r="AA44" s="159"/>
      <c r="AB44" s="171"/>
      <c r="AC44" s="172"/>
      <c r="AD44" s="185" t="s">
        <v>4</v>
      </c>
      <c r="AE44" s="186"/>
      <c r="AF44" s="186"/>
      <c r="AG44" s="5"/>
      <c r="AH44" s="139"/>
    </row>
    <row r="45" spans="1:34" ht="17.100000000000001" customHeight="1" x14ac:dyDescent="0.25">
      <c r="A45" s="308"/>
      <c r="B45" s="149"/>
      <c r="C45" s="173"/>
      <c r="D45" s="166"/>
      <c r="E45" s="312"/>
      <c r="G45" s="306"/>
      <c r="H45" s="162"/>
      <c r="I45" s="305"/>
      <c r="J45" s="353"/>
      <c r="K45" s="356"/>
      <c r="L45" s="318"/>
      <c r="M45" s="359"/>
      <c r="N45" s="168"/>
      <c r="O45" s="168"/>
      <c r="P45" s="321"/>
      <c r="Q45" s="175"/>
      <c r="Y45" s="72"/>
      <c r="Z45" s="170"/>
      <c r="AA45" s="159"/>
      <c r="AB45" s="171"/>
      <c r="AC45" s="172"/>
      <c r="AD45" s="185" t="s">
        <v>4</v>
      </c>
      <c r="AE45" s="186"/>
      <c r="AF45" s="186"/>
      <c r="AG45" s="5"/>
      <c r="AH45" s="139"/>
    </row>
    <row r="46" spans="1:34" ht="17.100000000000001" customHeight="1" x14ac:dyDescent="0.25">
      <c r="A46" s="308"/>
      <c r="B46" s="149"/>
      <c r="C46" s="173"/>
      <c r="D46" s="166"/>
      <c r="E46" s="312"/>
      <c r="G46" s="306"/>
      <c r="H46" s="162"/>
      <c r="I46" s="305"/>
      <c r="J46" s="353"/>
      <c r="K46" s="356"/>
      <c r="L46" s="318"/>
      <c r="M46" s="359"/>
      <c r="N46" s="168"/>
      <c r="O46" s="168"/>
      <c r="P46" s="321"/>
      <c r="Q46" s="175"/>
      <c r="Y46" s="72"/>
      <c r="Z46" s="170"/>
      <c r="AA46" s="159"/>
      <c r="AB46" s="171"/>
      <c r="AC46" s="172"/>
      <c r="AD46" s="185" t="s">
        <v>4</v>
      </c>
      <c r="AE46" s="186"/>
      <c r="AF46" s="186"/>
      <c r="AG46" s="5"/>
      <c r="AH46" s="139"/>
    </row>
    <row r="47" spans="1:34" ht="17.100000000000001" customHeight="1" x14ac:dyDescent="0.25">
      <c r="A47" s="308"/>
      <c r="B47" s="149"/>
      <c r="C47" s="173"/>
      <c r="D47" s="166"/>
      <c r="E47" s="312"/>
      <c r="G47" s="306"/>
      <c r="H47" s="162"/>
      <c r="I47" s="305"/>
      <c r="J47" s="353"/>
      <c r="K47" s="356"/>
      <c r="L47" s="318"/>
      <c r="M47" s="359"/>
      <c r="N47" s="168"/>
      <c r="O47" s="168"/>
      <c r="P47" s="321"/>
      <c r="Q47" s="175"/>
      <c r="Y47" s="72"/>
      <c r="Z47" s="170"/>
      <c r="AA47" s="159"/>
      <c r="AB47" s="171"/>
      <c r="AC47" s="172"/>
      <c r="AD47" s="185" t="s">
        <v>4</v>
      </c>
      <c r="AE47" s="186"/>
      <c r="AF47" s="186"/>
      <c r="AG47" s="5"/>
      <c r="AH47" s="139"/>
    </row>
    <row r="48" spans="1:34" ht="17.100000000000001" customHeight="1" x14ac:dyDescent="0.25">
      <c r="A48" s="308"/>
      <c r="B48" s="149"/>
      <c r="C48" s="173"/>
      <c r="D48" s="166"/>
      <c r="E48" s="312"/>
      <c r="G48" s="306"/>
      <c r="H48" s="162"/>
      <c r="I48" s="305"/>
      <c r="J48" s="353"/>
      <c r="K48" s="356"/>
      <c r="L48" s="318"/>
      <c r="M48" s="359"/>
      <c r="N48" s="168"/>
      <c r="O48" s="168"/>
      <c r="P48" s="321"/>
      <c r="Q48" s="175"/>
      <c r="Y48" s="72"/>
      <c r="Z48" s="170"/>
      <c r="AA48" s="159"/>
      <c r="AB48" s="171"/>
      <c r="AC48" s="172"/>
      <c r="AD48" s="185" t="s">
        <v>4</v>
      </c>
      <c r="AE48" s="186"/>
      <c r="AF48" s="186"/>
      <c r="AG48" s="5"/>
      <c r="AH48" s="139"/>
    </row>
    <row r="49" spans="1:34" ht="17.100000000000001" customHeight="1" x14ac:dyDescent="0.25">
      <c r="A49" s="308"/>
      <c r="B49" s="149"/>
      <c r="C49" s="173"/>
      <c r="D49" s="166"/>
      <c r="E49" s="312"/>
      <c r="G49" s="306"/>
      <c r="H49" s="162"/>
      <c r="I49" s="305"/>
      <c r="J49" s="353"/>
      <c r="K49" s="356"/>
      <c r="L49" s="318"/>
      <c r="M49" s="359"/>
      <c r="N49" s="168"/>
      <c r="O49" s="168"/>
      <c r="P49" s="321"/>
      <c r="Q49" s="175"/>
      <c r="Y49" s="72"/>
      <c r="Z49" s="170"/>
      <c r="AA49" s="159"/>
      <c r="AB49" s="171"/>
      <c r="AC49" s="172"/>
      <c r="AD49" s="185" t="s">
        <v>4</v>
      </c>
      <c r="AE49" s="186"/>
      <c r="AF49" s="186"/>
      <c r="AG49" s="5"/>
      <c r="AH49" s="139"/>
    </row>
    <row r="50" spans="1:34" ht="17.100000000000001" customHeight="1" x14ac:dyDescent="0.25">
      <c r="A50" s="308"/>
      <c r="B50" s="149"/>
      <c r="C50" s="173"/>
      <c r="D50" s="166"/>
      <c r="E50" s="312"/>
      <c r="G50" s="306"/>
      <c r="H50" s="162"/>
      <c r="I50" s="305"/>
      <c r="J50" s="353"/>
      <c r="K50" s="356"/>
      <c r="L50" s="318"/>
      <c r="M50" s="359"/>
      <c r="N50" s="168"/>
      <c r="O50" s="168"/>
      <c r="P50" s="321"/>
      <c r="Q50" s="175"/>
      <c r="R50" s="175"/>
      <c r="Y50" s="72"/>
      <c r="Z50" s="170"/>
      <c r="AA50" s="159"/>
      <c r="AB50" s="171"/>
      <c r="AC50" s="172"/>
      <c r="AD50" s="185" t="s">
        <v>4</v>
      </c>
      <c r="AE50" s="186"/>
      <c r="AF50" s="186"/>
      <c r="AG50" s="5"/>
      <c r="AH50" s="139"/>
    </row>
    <row r="51" spans="1:34" ht="17.100000000000001" customHeight="1" x14ac:dyDescent="0.25">
      <c r="A51" s="308"/>
      <c r="B51" s="149"/>
      <c r="C51" s="173"/>
      <c r="D51" s="166"/>
      <c r="E51" s="312"/>
      <c r="G51" s="306"/>
      <c r="H51" s="162"/>
      <c r="I51" s="305"/>
      <c r="J51" s="353"/>
      <c r="K51" s="356"/>
      <c r="L51" s="318"/>
      <c r="M51" s="359"/>
      <c r="N51" s="168"/>
      <c r="O51" s="168"/>
      <c r="P51" s="321"/>
      <c r="Q51" s="175"/>
      <c r="R51" s="175"/>
      <c r="Y51" s="72"/>
      <c r="Z51" s="170"/>
      <c r="AA51" s="159"/>
      <c r="AB51" s="171"/>
      <c r="AC51" s="172"/>
      <c r="AD51" s="185" t="s">
        <v>4</v>
      </c>
      <c r="AE51" s="186"/>
      <c r="AF51" s="186"/>
      <c r="AG51" s="5"/>
      <c r="AH51" s="139"/>
    </row>
    <row r="52" spans="1:34" ht="17.100000000000001" customHeight="1" x14ac:dyDescent="0.25">
      <c r="A52" s="308"/>
      <c r="B52" s="149"/>
      <c r="C52" s="173"/>
      <c r="D52" s="166"/>
      <c r="E52" s="312"/>
      <c r="G52" s="306"/>
      <c r="H52" s="162"/>
      <c r="I52" s="305"/>
      <c r="J52" s="353"/>
      <c r="K52" s="356"/>
      <c r="L52" s="318"/>
      <c r="M52" s="359"/>
      <c r="N52" s="168"/>
      <c r="O52" s="168"/>
      <c r="P52" s="321"/>
      <c r="Q52" s="175"/>
      <c r="Y52" s="72"/>
      <c r="Z52" s="170"/>
      <c r="AA52" s="159"/>
      <c r="AB52" s="171"/>
      <c r="AC52" s="172"/>
      <c r="AD52" s="185" t="s">
        <v>4</v>
      </c>
      <c r="AE52" s="186"/>
      <c r="AF52" s="186"/>
      <c r="AG52" s="5"/>
      <c r="AH52" s="139"/>
    </row>
    <row r="53" spans="1:34" ht="17.100000000000001" customHeight="1" x14ac:dyDescent="0.25">
      <c r="A53" s="308"/>
      <c r="B53" s="149"/>
      <c r="C53" s="173"/>
      <c r="D53" s="166"/>
      <c r="E53" s="312"/>
      <c r="G53" s="306"/>
      <c r="H53" s="162"/>
      <c r="I53" s="305"/>
      <c r="J53" s="353"/>
      <c r="K53" s="356"/>
      <c r="L53" s="318"/>
      <c r="M53" s="359"/>
      <c r="N53" s="168"/>
      <c r="O53" s="168"/>
      <c r="P53" s="321"/>
      <c r="Q53" s="156"/>
      <c r="R53" s="175"/>
      <c r="Y53" s="72"/>
      <c r="Z53" s="170"/>
      <c r="AA53" s="159"/>
      <c r="AB53" s="171"/>
      <c r="AC53" s="172"/>
      <c r="AD53" s="185" t="s">
        <v>4</v>
      </c>
      <c r="AE53" s="186"/>
      <c r="AF53" s="186"/>
      <c r="AG53" s="5"/>
      <c r="AH53" s="139"/>
    </row>
    <row r="54" spans="1:34" ht="17.100000000000001" customHeight="1" x14ac:dyDescent="0.25">
      <c r="A54" s="308"/>
      <c r="B54" s="149"/>
      <c r="C54" s="173"/>
      <c r="D54" s="166"/>
      <c r="E54" s="312"/>
      <c r="G54" s="306"/>
      <c r="H54" s="162"/>
      <c r="I54" s="305"/>
      <c r="J54" s="353"/>
      <c r="K54" s="356"/>
      <c r="L54" s="318"/>
      <c r="M54" s="359"/>
      <c r="N54" s="168"/>
      <c r="O54" s="168"/>
      <c r="P54" s="321"/>
      <c r="Q54" s="175"/>
      <c r="Y54" s="72"/>
      <c r="Z54" s="170"/>
      <c r="AA54" s="159"/>
      <c r="AB54" s="171"/>
      <c r="AC54" s="172"/>
      <c r="AD54" s="185" t="s">
        <v>4</v>
      </c>
      <c r="AE54" s="186"/>
      <c r="AF54" s="186"/>
      <c r="AG54" s="5"/>
      <c r="AH54" s="139"/>
    </row>
    <row r="55" spans="1:34" ht="17.100000000000001" customHeight="1" x14ac:dyDescent="0.25">
      <c r="A55" s="308"/>
      <c r="B55" s="149"/>
      <c r="C55" s="173"/>
      <c r="D55" s="166"/>
      <c r="E55" s="312"/>
      <c r="G55" s="306"/>
      <c r="H55" s="162"/>
      <c r="I55" s="305"/>
      <c r="J55" s="353"/>
      <c r="K55" s="356"/>
      <c r="L55" s="318"/>
      <c r="M55" s="359"/>
      <c r="N55" s="168"/>
      <c r="O55" s="168"/>
      <c r="P55" s="321"/>
      <c r="Q55" s="175"/>
      <c r="Y55" s="72"/>
      <c r="Z55" s="170"/>
      <c r="AA55" s="159"/>
      <c r="AB55" s="171"/>
      <c r="AC55" s="172"/>
      <c r="AD55" s="185" t="s">
        <v>4</v>
      </c>
      <c r="AE55" s="186"/>
      <c r="AF55" s="186"/>
      <c r="AG55" s="5"/>
      <c r="AH55" s="139"/>
    </row>
    <row r="56" spans="1:34" ht="17.100000000000001" customHeight="1" x14ac:dyDescent="0.25">
      <c r="A56" s="308"/>
      <c r="B56" s="149"/>
      <c r="C56" s="176"/>
      <c r="D56" s="151"/>
      <c r="E56" s="312"/>
      <c r="F56" s="156"/>
      <c r="G56" s="306"/>
      <c r="H56" s="162"/>
      <c r="I56" s="305"/>
      <c r="J56" s="353"/>
      <c r="K56" s="356"/>
      <c r="L56" s="318"/>
      <c r="M56" s="359"/>
      <c r="N56" s="155"/>
      <c r="O56" s="155"/>
      <c r="P56" s="320"/>
      <c r="Q56" s="156"/>
      <c r="R56" s="152"/>
      <c r="S56" s="152"/>
      <c r="T56" s="152"/>
      <c r="U56" s="152"/>
      <c r="V56" s="152"/>
      <c r="W56" s="152"/>
      <c r="X56" s="152"/>
      <c r="Y56" s="157"/>
      <c r="Z56" s="158"/>
      <c r="AA56" s="159"/>
      <c r="AB56" s="160"/>
      <c r="AC56" s="161"/>
      <c r="AD56" s="185" t="s">
        <v>4</v>
      </c>
      <c r="AE56" s="186"/>
      <c r="AF56" s="186"/>
      <c r="AG56" s="5"/>
      <c r="AH56" s="139"/>
    </row>
    <row r="57" spans="1:34" ht="17.100000000000001" customHeight="1" x14ac:dyDescent="0.25">
      <c r="A57" s="308"/>
      <c r="B57" s="149"/>
      <c r="C57" s="173"/>
      <c r="D57" s="166"/>
      <c r="E57" s="312"/>
      <c r="G57" s="306"/>
      <c r="H57" s="162"/>
      <c r="I57" s="305"/>
      <c r="J57" s="353"/>
      <c r="K57" s="356"/>
      <c r="L57" s="318"/>
      <c r="M57" s="359"/>
      <c r="N57" s="168"/>
      <c r="O57" s="168"/>
      <c r="P57" s="321"/>
      <c r="Q57" s="175"/>
      <c r="Y57" s="72"/>
      <c r="Z57" s="170"/>
      <c r="AA57" s="159"/>
      <c r="AB57" s="171"/>
      <c r="AC57" s="172"/>
      <c r="AD57" s="185" t="s">
        <v>4</v>
      </c>
      <c r="AE57" s="186"/>
      <c r="AF57" s="186"/>
      <c r="AG57" s="5"/>
      <c r="AH57" s="139"/>
    </row>
    <row r="58" spans="1:34" ht="17.100000000000001" customHeight="1" x14ac:dyDescent="0.25">
      <c r="A58" s="308"/>
      <c r="B58" s="149"/>
      <c r="C58" s="173"/>
      <c r="D58" s="166"/>
      <c r="E58" s="312"/>
      <c r="G58" s="306"/>
      <c r="H58" s="162"/>
      <c r="I58" s="305"/>
      <c r="J58" s="353"/>
      <c r="K58" s="356"/>
      <c r="L58" s="318"/>
      <c r="M58" s="359"/>
      <c r="N58" s="168"/>
      <c r="O58" s="168"/>
      <c r="P58" s="321"/>
      <c r="Q58" s="175"/>
      <c r="Y58" s="72"/>
      <c r="Z58" s="170"/>
      <c r="AA58" s="159"/>
      <c r="AB58" s="171"/>
      <c r="AC58" s="172"/>
      <c r="AD58" s="185" t="s">
        <v>4</v>
      </c>
      <c r="AE58" s="186"/>
      <c r="AF58" s="186"/>
      <c r="AG58" s="5"/>
      <c r="AH58" s="139"/>
    </row>
    <row r="59" spans="1:34" ht="17.100000000000001" customHeight="1" x14ac:dyDescent="0.25">
      <c r="A59" s="308"/>
      <c r="B59" s="149"/>
      <c r="C59" s="173"/>
      <c r="D59" s="166"/>
      <c r="E59" s="312"/>
      <c r="G59" s="306"/>
      <c r="H59" s="162"/>
      <c r="I59" s="305"/>
      <c r="J59" s="353"/>
      <c r="K59" s="356"/>
      <c r="L59" s="318"/>
      <c r="M59" s="359"/>
      <c r="N59" s="168"/>
      <c r="O59" s="168"/>
      <c r="P59" s="321"/>
      <c r="Q59" s="175"/>
      <c r="Y59" s="72"/>
      <c r="Z59" s="170"/>
      <c r="AA59" s="159"/>
      <c r="AB59" s="171"/>
      <c r="AC59" s="172"/>
      <c r="AD59" s="185" t="s">
        <v>4</v>
      </c>
      <c r="AE59" s="186"/>
      <c r="AF59" s="186"/>
      <c r="AG59" s="5"/>
      <c r="AH59" s="139"/>
    </row>
    <row r="60" spans="1:34" ht="17.100000000000001" customHeight="1" x14ac:dyDescent="0.25">
      <c r="A60" s="308"/>
      <c r="B60" s="149"/>
      <c r="C60" s="173"/>
      <c r="D60" s="166"/>
      <c r="E60" s="312"/>
      <c r="G60" s="306"/>
      <c r="H60" s="162"/>
      <c r="I60" s="305"/>
      <c r="J60" s="353"/>
      <c r="K60" s="356"/>
      <c r="L60" s="318"/>
      <c r="M60" s="359"/>
      <c r="N60" s="168"/>
      <c r="O60" s="168"/>
      <c r="P60" s="321"/>
      <c r="Q60" s="175"/>
      <c r="Y60" s="72"/>
      <c r="Z60" s="170"/>
      <c r="AA60" s="159"/>
      <c r="AB60" s="171"/>
      <c r="AC60" s="172"/>
      <c r="AD60" s="185" t="s">
        <v>4</v>
      </c>
      <c r="AE60" s="186"/>
      <c r="AF60" s="186"/>
      <c r="AG60" s="5"/>
      <c r="AH60" s="139"/>
    </row>
    <row r="61" spans="1:34" ht="17.100000000000001" customHeight="1" x14ac:dyDescent="0.25">
      <c r="A61" s="308"/>
      <c r="B61" s="149"/>
      <c r="C61" s="173"/>
      <c r="D61" s="166"/>
      <c r="E61" s="312"/>
      <c r="G61" s="306"/>
      <c r="H61" s="162"/>
      <c r="I61" s="305"/>
      <c r="J61" s="353"/>
      <c r="K61" s="356"/>
      <c r="L61" s="318"/>
      <c r="M61" s="359"/>
      <c r="N61" s="168"/>
      <c r="O61" s="168"/>
      <c r="P61" s="321"/>
      <c r="Q61" s="175"/>
      <c r="R61" s="175"/>
      <c r="Y61" s="72"/>
      <c r="Z61" s="170"/>
      <c r="AA61" s="159"/>
      <c r="AB61" s="171"/>
      <c r="AC61" s="172"/>
      <c r="AD61" s="185" t="s">
        <v>4</v>
      </c>
      <c r="AE61" s="186"/>
      <c r="AF61" s="186"/>
      <c r="AG61" s="5"/>
      <c r="AH61" s="139"/>
    </row>
    <row r="62" spans="1:34" ht="17.100000000000001" customHeight="1" x14ac:dyDescent="0.25">
      <c r="A62" s="308"/>
      <c r="B62" s="149"/>
      <c r="C62" s="173"/>
      <c r="D62" s="166"/>
      <c r="E62" s="312"/>
      <c r="G62" s="306"/>
      <c r="H62" s="162"/>
      <c r="I62" s="305"/>
      <c r="J62" s="353"/>
      <c r="K62" s="356"/>
      <c r="L62" s="318"/>
      <c r="M62" s="359"/>
      <c r="N62" s="168"/>
      <c r="O62" s="168"/>
      <c r="P62" s="321"/>
      <c r="Q62" s="175"/>
      <c r="Y62" s="72"/>
      <c r="Z62" s="170"/>
      <c r="AA62" s="159"/>
      <c r="AB62" s="171"/>
      <c r="AC62" s="172"/>
      <c r="AD62" s="185" t="s">
        <v>4</v>
      </c>
      <c r="AE62" s="186"/>
      <c r="AF62" s="186"/>
      <c r="AG62" s="5"/>
      <c r="AH62" s="139"/>
    </row>
    <row r="63" spans="1:34" ht="17.100000000000001" customHeight="1" x14ac:dyDescent="0.25">
      <c r="A63" s="308"/>
      <c r="B63" s="149"/>
      <c r="C63" s="173"/>
      <c r="D63" s="166"/>
      <c r="E63" s="312"/>
      <c r="G63" s="306"/>
      <c r="H63" s="162"/>
      <c r="I63" s="305"/>
      <c r="J63" s="353"/>
      <c r="K63" s="356"/>
      <c r="L63" s="318"/>
      <c r="M63" s="359"/>
      <c r="N63" s="168"/>
      <c r="O63" s="168"/>
      <c r="P63" s="321"/>
      <c r="Q63" s="175"/>
      <c r="Y63" s="72"/>
      <c r="Z63" s="170"/>
      <c r="AA63" s="159"/>
      <c r="AB63" s="171"/>
      <c r="AC63" s="172"/>
      <c r="AD63" s="185" t="s">
        <v>4</v>
      </c>
      <c r="AE63" s="186"/>
      <c r="AF63" s="186"/>
      <c r="AG63" s="5"/>
      <c r="AH63" s="139"/>
    </row>
    <row r="64" spans="1:34" ht="17.100000000000001" customHeight="1" x14ac:dyDescent="0.25">
      <c r="A64" s="308"/>
      <c r="B64" s="149"/>
      <c r="C64" s="173"/>
      <c r="D64" s="166"/>
      <c r="E64" s="312"/>
      <c r="G64" s="306"/>
      <c r="H64" s="162"/>
      <c r="I64" s="305"/>
      <c r="J64" s="353"/>
      <c r="K64" s="356"/>
      <c r="L64" s="318"/>
      <c r="M64" s="359"/>
      <c r="N64" s="168"/>
      <c r="O64" s="168"/>
      <c r="P64" s="321"/>
      <c r="Q64" s="175"/>
      <c r="Y64" s="72"/>
      <c r="Z64" s="170"/>
      <c r="AA64" s="159"/>
      <c r="AB64" s="171"/>
      <c r="AC64" s="172"/>
      <c r="AD64" s="185" t="s">
        <v>4</v>
      </c>
      <c r="AE64" s="186"/>
      <c r="AF64" s="186"/>
      <c r="AG64" s="5"/>
      <c r="AH64" s="139"/>
    </row>
    <row r="65" spans="1:34" ht="17.100000000000001" customHeight="1" x14ac:dyDescent="0.25">
      <c r="A65" s="308"/>
      <c r="B65" s="149"/>
      <c r="C65" s="173"/>
      <c r="D65" s="166"/>
      <c r="E65" s="312"/>
      <c r="G65" s="306"/>
      <c r="H65" s="162"/>
      <c r="I65" s="305"/>
      <c r="J65" s="353"/>
      <c r="K65" s="356"/>
      <c r="L65" s="318"/>
      <c r="M65" s="359"/>
      <c r="N65" s="168"/>
      <c r="O65" s="168"/>
      <c r="P65" s="321"/>
      <c r="Q65" s="175"/>
      <c r="Y65" s="72"/>
      <c r="Z65" s="170"/>
      <c r="AA65" s="159"/>
      <c r="AB65" s="171"/>
      <c r="AC65" s="172"/>
      <c r="AD65" s="185" t="s">
        <v>4</v>
      </c>
      <c r="AE65" s="186"/>
      <c r="AF65" s="186"/>
      <c r="AG65" s="5"/>
      <c r="AH65" s="139"/>
    </row>
    <row r="66" spans="1:34" ht="17.100000000000001" customHeight="1" x14ac:dyDescent="0.25">
      <c r="A66" s="308"/>
      <c r="B66" s="149"/>
      <c r="C66" s="173"/>
      <c r="D66" s="166"/>
      <c r="E66" s="312"/>
      <c r="G66" s="306"/>
      <c r="H66" s="162"/>
      <c r="I66" s="305"/>
      <c r="J66" s="353"/>
      <c r="K66" s="356"/>
      <c r="L66" s="318"/>
      <c r="M66" s="359"/>
      <c r="N66" s="168"/>
      <c r="O66" s="168"/>
      <c r="P66" s="321"/>
      <c r="Q66" s="175"/>
      <c r="Y66" s="72"/>
      <c r="Z66" s="170"/>
      <c r="AA66" s="159"/>
      <c r="AB66" s="171"/>
      <c r="AC66" s="172"/>
      <c r="AD66" s="185" t="s">
        <v>4</v>
      </c>
      <c r="AE66" s="186"/>
      <c r="AF66" s="186"/>
      <c r="AG66" s="5"/>
      <c r="AH66" s="139"/>
    </row>
    <row r="67" spans="1:34" ht="17.100000000000001" customHeight="1" x14ac:dyDescent="0.25">
      <c r="A67" s="308"/>
      <c r="B67" s="149"/>
      <c r="C67" s="173"/>
      <c r="D67" s="166"/>
      <c r="E67" s="312"/>
      <c r="G67" s="306"/>
      <c r="H67" s="162"/>
      <c r="I67" s="305"/>
      <c r="J67" s="353"/>
      <c r="K67" s="356"/>
      <c r="L67" s="318"/>
      <c r="M67" s="359"/>
      <c r="N67" s="168"/>
      <c r="O67" s="168"/>
      <c r="P67" s="321"/>
      <c r="Q67" s="175"/>
      <c r="Y67" s="72"/>
      <c r="Z67" s="170"/>
      <c r="AA67" s="159"/>
      <c r="AB67" s="171"/>
      <c r="AC67" s="172"/>
      <c r="AD67" s="185" t="s">
        <v>4</v>
      </c>
      <c r="AE67" s="186"/>
      <c r="AF67" s="186"/>
      <c r="AG67" s="5"/>
      <c r="AH67" s="139"/>
    </row>
    <row r="68" spans="1:34" ht="17.100000000000001" customHeight="1" x14ac:dyDescent="0.25">
      <c r="A68" s="308"/>
      <c r="B68" s="149"/>
      <c r="C68" s="173"/>
      <c r="D68" s="166"/>
      <c r="E68" s="312"/>
      <c r="G68" s="306"/>
      <c r="H68" s="162"/>
      <c r="I68" s="305"/>
      <c r="J68" s="353"/>
      <c r="K68" s="356"/>
      <c r="L68" s="318"/>
      <c r="M68" s="359"/>
      <c r="N68" s="168"/>
      <c r="O68" s="168"/>
      <c r="P68" s="321"/>
      <c r="Q68" s="175"/>
      <c r="Y68" s="72"/>
      <c r="Z68" s="170"/>
      <c r="AA68" s="159"/>
      <c r="AB68" s="171"/>
      <c r="AC68" s="172"/>
      <c r="AD68" s="185" t="s">
        <v>4</v>
      </c>
      <c r="AE68" s="186"/>
      <c r="AF68" s="186"/>
      <c r="AG68" s="5"/>
      <c r="AH68" s="139"/>
    </row>
    <row r="69" spans="1:34" ht="17.100000000000001" customHeight="1" x14ac:dyDescent="0.25">
      <c r="A69" s="308"/>
      <c r="B69" s="149"/>
      <c r="C69" s="173"/>
      <c r="D69" s="166"/>
      <c r="E69" s="312"/>
      <c r="G69" s="306"/>
      <c r="H69" s="162"/>
      <c r="I69" s="305"/>
      <c r="J69" s="353"/>
      <c r="K69" s="356"/>
      <c r="L69" s="318"/>
      <c r="M69" s="359"/>
      <c r="N69" s="168"/>
      <c r="O69" s="168"/>
      <c r="P69" s="321"/>
      <c r="Q69" s="175"/>
      <c r="Y69" s="72"/>
      <c r="Z69" s="170"/>
      <c r="AA69" s="159"/>
      <c r="AB69" s="171"/>
      <c r="AC69" s="172"/>
      <c r="AD69" s="185" t="s">
        <v>4</v>
      </c>
      <c r="AE69" s="186"/>
      <c r="AF69" s="186"/>
      <c r="AG69" s="5"/>
      <c r="AH69" s="139"/>
    </row>
    <row r="70" spans="1:34" ht="17.100000000000001" customHeight="1" x14ac:dyDescent="0.25">
      <c r="A70" s="308"/>
      <c r="B70" s="149"/>
      <c r="C70" s="173"/>
      <c r="D70" s="166"/>
      <c r="E70" s="312"/>
      <c r="G70" s="306"/>
      <c r="H70" s="162"/>
      <c r="I70" s="305"/>
      <c r="J70" s="353"/>
      <c r="K70" s="356"/>
      <c r="L70" s="318"/>
      <c r="M70" s="359"/>
      <c r="N70" s="168"/>
      <c r="O70" s="168"/>
      <c r="P70" s="321"/>
      <c r="Q70" s="175"/>
      <c r="Y70" s="72"/>
      <c r="Z70" s="170"/>
      <c r="AA70" s="159"/>
      <c r="AB70" s="171"/>
      <c r="AC70" s="172"/>
      <c r="AD70" s="185" t="s">
        <v>4</v>
      </c>
      <c r="AE70" s="186"/>
      <c r="AF70" s="186"/>
      <c r="AG70" s="5"/>
      <c r="AH70" s="139"/>
    </row>
    <row r="71" spans="1:34" ht="17.100000000000001" customHeight="1" x14ac:dyDescent="0.25">
      <c r="A71" s="308"/>
      <c r="B71" s="149"/>
      <c r="C71" s="173"/>
      <c r="D71" s="166"/>
      <c r="E71" s="312"/>
      <c r="G71" s="306"/>
      <c r="H71" s="162"/>
      <c r="I71" s="305"/>
      <c r="J71" s="353"/>
      <c r="K71" s="356"/>
      <c r="L71" s="318"/>
      <c r="M71" s="359"/>
      <c r="N71" s="168"/>
      <c r="O71" s="168"/>
      <c r="P71" s="321"/>
      <c r="Q71" s="175"/>
      <c r="Y71" s="72"/>
      <c r="Z71" s="170"/>
      <c r="AA71" s="159"/>
      <c r="AB71" s="171"/>
      <c r="AC71" s="172"/>
      <c r="AD71" s="185" t="s">
        <v>4</v>
      </c>
      <c r="AE71" s="186"/>
      <c r="AF71" s="186"/>
      <c r="AG71" s="5"/>
      <c r="AH71" s="139"/>
    </row>
    <row r="72" spans="1:34" ht="17.100000000000001" customHeight="1" x14ac:dyDescent="0.25">
      <c r="A72" s="308"/>
      <c r="B72" s="149"/>
      <c r="C72" s="173"/>
      <c r="D72" s="166"/>
      <c r="E72" s="312"/>
      <c r="G72" s="306"/>
      <c r="H72" s="162"/>
      <c r="I72" s="305"/>
      <c r="J72" s="353"/>
      <c r="K72" s="356"/>
      <c r="L72" s="318"/>
      <c r="M72" s="359"/>
      <c r="N72" s="168"/>
      <c r="O72" s="168"/>
      <c r="P72" s="321"/>
      <c r="Q72" s="175"/>
      <c r="Y72" s="72"/>
      <c r="Z72" s="170"/>
      <c r="AA72" s="159"/>
      <c r="AB72" s="171"/>
      <c r="AC72" s="172"/>
      <c r="AD72" s="185" t="s">
        <v>4</v>
      </c>
      <c r="AE72" s="186"/>
      <c r="AF72" s="186"/>
      <c r="AG72" s="5"/>
      <c r="AH72" s="139"/>
    </row>
    <row r="73" spans="1:34" ht="17.100000000000001" customHeight="1" x14ac:dyDescent="0.25">
      <c r="A73" s="308"/>
      <c r="B73" s="149"/>
      <c r="C73" s="173"/>
      <c r="D73" s="166"/>
      <c r="E73" s="312"/>
      <c r="G73" s="306"/>
      <c r="H73" s="162"/>
      <c r="I73" s="305"/>
      <c r="J73" s="353"/>
      <c r="K73" s="356"/>
      <c r="L73" s="318"/>
      <c r="M73" s="359"/>
      <c r="N73" s="168"/>
      <c r="O73" s="168"/>
      <c r="P73" s="321"/>
      <c r="Q73" s="175"/>
      <c r="Y73" s="72"/>
      <c r="Z73" s="170"/>
      <c r="AA73" s="159"/>
      <c r="AB73" s="171"/>
      <c r="AC73" s="172"/>
      <c r="AD73" s="185" t="s">
        <v>4</v>
      </c>
      <c r="AE73" s="186"/>
      <c r="AF73" s="186"/>
      <c r="AG73" s="5"/>
      <c r="AH73" s="139"/>
    </row>
    <row r="74" spans="1:34" ht="17.100000000000001" customHeight="1" x14ac:dyDescent="0.25">
      <c r="A74" s="308"/>
      <c r="B74" s="149"/>
      <c r="C74" s="173"/>
      <c r="D74" s="166"/>
      <c r="E74" s="312"/>
      <c r="G74" s="306"/>
      <c r="H74" s="162"/>
      <c r="I74" s="305"/>
      <c r="J74" s="353"/>
      <c r="K74" s="356"/>
      <c r="L74" s="318"/>
      <c r="M74" s="359"/>
      <c r="N74" s="168"/>
      <c r="O74" s="168"/>
      <c r="P74" s="321"/>
      <c r="Q74" s="175"/>
      <c r="Y74" s="72"/>
      <c r="Z74" s="170"/>
      <c r="AA74" s="159"/>
      <c r="AB74" s="171"/>
      <c r="AC74" s="172"/>
      <c r="AD74" s="185" t="s">
        <v>4</v>
      </c>
      <c r="AE74" s="186"/>
      <c r="AF74" s="186"/>
      <c r="AG74" s="5"/>
      <c r="AH74" s="139"/>
    </row>
    <row r="75" spans="1:34" ht="17.100000000000001" customHeight="1" x14ac:dyDescent="0.25">
      <c r="A75" s="308"/>
      <c r="B75" s="149"/>
      <c r="C75" s="173"/>
      <c r="D75" s="166"/>
      <c r="E75" s="312"/>
      <c r="G75" s="306"/>
      <c r="H75" s="162"/>
      <c r="I75" s="305"/>
      <c r="J75" s="353"/>
      <c r="K75" s="356"/>
      <c r="L75" s="318"/>
      <c r="M75" s="359"/>
      <c r="N75" s="168"/>
      <c r="O75" s="168"/>
      <c r="P75" s="321"/>
      <c r="Q75" s="175"/>
      <c r="Y75" s="72"/>
      <c r="Z75" s="170"/>
      <c r="AA75" s="159"/>
      <c r="AB75" s="171"/>
      <c r="AC75" s="172"/>
      <c r="AD75" s="185" t="s">
        <v>4</v>
      </c>
      <c r="AE75" s="186"/>
      <c r="AF75" s="186"/>
      <c r="AG75" s="5"/>
      <c r="AH75" s="139"/>
    </row>
    <row r="76" spans="1:34" ht="17.100000000000001" customHeight="1" x14ac:dyDescent="0.25">
      <c r="A76" s="308"/>
      <c r="B76" s="149"/>
      <c r="C76" s="173"/>
      <c r="D76" s="166"/>
      <c r="E76" s="312"/>
      <c r="G76" s="306"/>
      <c r="H76" s="162"/>
      <c r="I76" s="305"/>
      <c r="J76" s="353"/>
      <c r="K76" s="356"/>
      <c r="L76" s="318"/>
      <c r="M76" s="359"/>
      <c r="N76" s="168"/>
      <c r="O76" s="168"/>
      <c r="P76" s="321"/>
      <c r="Q76" s="175"/>
      <c r="R76" s="175"/>
      <c r="Y76" s="72"/>
      <c r="Z76" s="170"/>
      <c r="AA76" s="159"/>
      <c r="AB76" s="171"/>
      <c r="AC76" s="172"/>
      <c r="AD76" s="185" t="s">
        <v>4</v>
      </c>
      <c r="AE76" s="186"/>
      <c r="AF76" s="186"/>
      <c r="AG76" s="5"/>
      <c r="AH76" s="139"/>
    </row>
    <row r="77" spans="1:34" ht="17.100000000000001" customHeight="1" x14ac:dyDescent="0.25">
      <c r="A77" s="308"/>
      <c r="B77" s="149"/>
      <c r="C77" s="173"/>
      <c r="D77" s="166"/>
      <c r="E77" s="312"/>
      <c r="G77" s="306"/>
      <c r="H77" s="162"/>
      <c r="I77" s="305"/>
      <c r="J77" s="353"/>
      <c r="K77" s="356"/>
      <c r="L77" s="318"/>
      <c r="M77" s="359"/>
      <c r="N77" s="168"/>
      <c r="O77" s="168"/>
      <c r="P77" s="321"/>
      <c r="Q77" s="175"/>
      <c r="Y77" s="72"/>
      <c r="Z77" s="170"/>
      <c r="AA77" s="159"/>
      <c r="AB77" s="171"/>
      <c r="AC77" s="172"/>
      <c r="AD77" s="185" t="s">
        <v>4</v>
      </c>
      <c r="AE77" s="186"/>
      <c r="AF77" s="186"/>
      <c r="AG77" s="5"/>
      <c r="AH77" s="139"/>
    </row>
    <row r="78" spans="1:34" ht="17.100000000000001" customHeight="1" x14ac:dyDescent="0.25">
      <c r="A78" s="308"/>
      <c r="B78" s="149"/>
      <c r="C78" s="173"/>
      <c r="D78" s="166"/>
      <c r="E78" s="312"/>
      <c r="G78" s="306"/>
      <c r="H78" s="162"/>
      <c r="I78" s="305"/>
      <c r="J78" s="353"/>
      <c r="K78" s="356"/>
      <c r="L78" s="318"/>
      <c r="M78" s="359"/>
      <c r="N78" s="168"/>
      <c r="O78" s="168"/>
      <c r="P78" s="321"/>
      <c r="Q78" s="175"/>
      <c r="Y78" s="72"/>
      <c r="Z78" s="170"/>
      <c r="AA78" s="159"/>
      <c r="AB78" s="171"/>
      <c r="AC78" s="172"/>
      <c r="AD78" s="185" t="s">
        <v>4</v>
      </c>
      <c r="AE78" s="186"/>
      <c r="AF78" s="186"/>
      <c r="AG78" s="5"/>
      <c r="AH78" s="139"/>
    </row>
    <row r="79" spans="1:34" ht="17.100000000000001" customHeight="1" x14ac:dyDescent="0.25">
      <c r="A79" s="308"/>
      <c r="B79" s="149"/>
      <c r="C79" s="173"/>
      <c r="D79" s="166"/>
      <c r="E79" s="312"/>
      <c r="G79" s="306"/>
      <c r="H79" s="162"/>
      <c r="I79" s="305"/>
      <c r="J79" s="353"/>
      <c r="K79" s="356"/>
      <c r="L79" s="318"/>
      <c r="M79" s="359"/>
      <c r="N79" s="168"/>
      <c r="O79" s="168"/>
      <c r="P79" s="321"/>
      <c r="Q79" s="175"/>
      <c r="Y79" s="72"/>
      <c r="Z79" s="170"/>
      <c r="AA79" s="159"/>
      <c r="AB79" s="171"/>
      <c r="AC79" s="172"/>
      <c r="AD79" s="185" t="s">
        <v>4</v>
      </c>
      <c r="AE79" s="186"/>
      <c r="AF79" s="186"/>
      <c r="AG79" s="5"/>
      <c r="AH79" s="139"/>
    </row>
    <row r="80" spans="1:34" ht="17.100000000000001" customHeight="1" x14ac:dyDescent="0.25">
      <c r="A80" s="308"/>
      <c r="B80" s="149"/>
      <c r="C80" s="173"/>
      <c r="D80" s="166"/>
      <c r="E80" s="312"/>
      <c r="G80" s="306"/>
      <c r="H80" s="162"/>
      <c r="I80" s="305"/>
      <c r="J80" s="353"/>
      <c r="K80" s="356"/>
      <c r="L80" s="318"/>
      <c r="M80" s="359"/>
      <c r="N80" s="168"/>
      <c r="O80" s="168"/>
      <c r="P80" s="321"/>
      <c r="Q80" s="175"/>
      <c r="Y80" s="72"/>
      <c r="Z80" s="170"/>
      <c r="AA80" s="159"/>
      <c r="AB80" s="171"/>
      <c r="AC80" s="172"/>
      <c r="AD80" s="185" t="s">
        <v>4</v>
      </c>
      <c r="AE80" s="186"/>
      <c r="AF80" s="186"/>
      <c r="AG80" s="5"/>
      <c r="AH80" s="139"/>
    </row>
    <row r="81" spans="1:34" ht="17.100000000000001" customHeight="1" x14ac:dyDescent="0.25">
      <c r="A81" s="308"/>
      <c r="B81" s="149"/>
      <c r="C81" s="173"/>
      <c r="D81" s="166"/>
      <c r="E81" s="312"/>
      <c r="G81" s="306"/>
      <c r="H81" s="162"/>
      <c r="I81" s="305"/>
      <c r="J81" s="353"/>
      <c r="K81" s="356"/>
      <c r="L81" s="318"/>
      <c r="M81" s="359"/>
      <c r="N81" s="168"/>
      <c r="O81" s="168"/>
      <c r="P81" s="321"/>
      <c r="Q81" s="175"/>
      <c r="R81" s="175"/>
      <c r="Y81" s="72"/>
      <c r="Z81" s="170"/>
      <c r="AA81" s="159"/>
      <c r="AB81" s="171"/>
      <c r="AC81" s="172"/>
      <c r="AD81" s="185" t="s">
        <v>4</v>
      </c>
      <c r="AE81" s="186"/>
      <c r="AF81" s="186"/>
      <c r="AG81" s="5"/>
      <c r="AH81" s="139"/>
    </row>
    <row r="82" spans="1:34" ht="17.100000000000001" customHeight="1" x14ac:dyDescent="0.25">
      <c r="A82" s="308"/>
      <c r="B82" s="149"/>
      <c r="C82" s="173"/>
      <c r="D82" s="166"/>
      <c r="E82" s="312"/>
      <c r="G82" s="306"/>
      <c r="H82" s="162"/>
      <c r="I82" s="305"/>
      <c r="J82" s="353"/>
      <c r="K82" s="356"/>
      <c r="L82" s="318"/>
      <c r="M82" s="359"/>
      <c r="N82" s="168"/>
      <c r="O82" s="168"/>
      <c r="P82" s="321"/>
      <c r="Q82" s="175"/>
      <c r="Y82" s="72"/>
      <c r="Z82" s="170"/>
      <c r="AA82" s="159"/>
      <c r="AB82" s="171"/>
      <c r="AC82" s="172"/>
      <c r="AD82" s="185" t="s">
        <v>4</v>
      </c>
      <c r="AE82" s="186"/>
      <c r="AF82" s="186"/>
      <c r="AG82" s="5"/>
      <c r="AH82" s="139"/>
    </row>
    <row r="83" spans="1:34" ht="17.100000000000001" customHeight="1" x14ac:dyDescent="0.25">
      <c r="A83" s="308"/>
      <c r="B83" s="149"/>
      <c r="C83" s="173"/>
      <c r="D83" s="166"/>
      <c r="E83" s="312"/>
      <c r="G83" s="306"/>
      <c r="H83" s="162"/>
      <c r="I83" s="305"/>
      <c r="J83" s="353"/>
      <c r="K83" s="356"/>
      <c r="L83" s="318"/>
      <c r="M83" s="359"/>
      <c r="N83" s="168"/>
      <c r="O83" s="168"/>
      <c r="P83" s="321"/>
      <c r="Q83" s="175"/>
      <c r="Y83" s="72"/>
      <c r="Z83" s="170"/>
      <c r="AA83" s="159"/>
      <c r="AB83" s="171"/>
      <c r="AC83" s="172"/>
      <c r="AD83" s="185" t="s">
        <v>4</v>
      </c>
      <c r="AE83" s="186"/>
      <c r="AF83" s="186"/>
      <c r="AG83" s="5"/>
      <c r="AH83" s="139"/>
    </row>
    <row r="84" spans="1:34" ht="17.100000000000001" customHeight="1" x14ac:dyDescent="0.25">
      <c r="A84" s="308"/>
      <c r="B84" s="149"/>
      <c r="C84" s="173"/>
      <c r="D84" s="166"/>
      <c r="E84" s="312"/>
      <c r="G84" s="306"/>
      <c r="H84" s="162"/>
      <c r="I84" s="305"/>
      <c r="J84" s="353"/>
      <c r="K84" s="356"/>
      <c r="L84" s="318"/>
      <c r="M84" s="359"/>
      <c r="N84" s="168"/>
      <c r="O84" s="168"/>
      <c r="P84" s="321"/>
      <c r="Q84" s="175"/>
      <c r="Y84" s="72"/>
      <c r="Z84" s="170"/>
      <c r="AA84" s="159"/>
      <c r="AB84" s="171"/>
      <c r="AC84" s="172"/>
      <c r="AD84" s="185" t="s">
        <v>4</v>
      </c>
      <c r="AE84" s="186"/>
      <c r="AF84" s="186"/>
      <c r="AG84" s="5"/>
      <c r="AH84" s="139"/>
    </row>
    <row r="85" spans="1:34" ht="17.100000000000001" customHeight="1" x14ac:dyDescent="0.25">
      <c r="A85" s="308"/>
      <c r="B85" s="149"/>
      <c r="C85" s="173"/>
      <c r="D85" s="166"/>
      <c r="E85" s="312"/>
      <c r="G85" s="306"/>
      <c r="H85" s="162"/>
      <c r="I85" s="305"/>
      <c r="J85" s="353"/>
      <c r="K85" s="356"/>
      <c r="L85" s="318"/>
      <c r="M85" s="359"/>
      <c r="N85" s="168"/>
      <c r="O85" s="168"/>
      <c r="P85" s="321"/>
      <c r="Q85" s="175"/>
      <c r="Y85" s="72"/>
      <c r="Z85" s="170"/>
      <c r="AA85" s="159"/>
      <c r="AB85" s="171"/>
      <c r="AC85" s="172"/>
      <c r="AD85" s="185" t="s">
        <v>4</v>
      </c>
      <c r="AE85" s="186"/>
      <c r="AF85" s="186"/>
      <c r="AG85" s="5"/>
      <c r="AH85" s="139"/>
    </row>
    <row r="86" spans="1:34" ht="17.100000000000001" customHeight="1" x14ac:dyDescent="0.25">
      <c r="A86" s="308"/>
      <c r="B86" s="149"/>
      <c r="C86" s="173"/>
      <c r="D86" s="166"/>
      <c r="E86" s="312"/>
      <c r="G86" s="306"/>
      <c r="H86" s="162"/>
      <c r="I86" s="305"/>
      <c r="J86" s="353"/>
      <c r="K86" s="356"/>
      <c r="L86" s="318"/>
      <c r="M86" s="359"/>
      <c r="N86" s="168"/>
      <c r="O86" s="168"/>
      <c r="P86" s="321"/>
      <c r="Q86" s="175"/>
      <c r="Y86" s="72"/>
      <c r="Z86" s="170"/>
      <c r="AA86" s="159"/>
      <c r="AB86" s="171"/>
      <c r="AC86" s="172"/>
      <c r="AD86" s="185" t="s">
        <v>4</v>
      </c>
      <c r="AE86" s="186"/>
      <c r="AF86" s="186"/>
      <c r="AG86" s="5"/>
      <c r="AH86" s="139"/>
    </row>
    <row r="87" spans="1:34" ht="17.100000000000001" customHeight="1" x14ac:dyDescent="0.25">
      <c r="A87" s="308"/>
      <c r="B87" s="149"/>
      <c r="C87" s="173"/>
      <c r="D87" s="166"/>
      <c r="E87" s="312"/>
      <c r="G87" s="306"/>
      <c r="H87" s="162"/>
      <c r="I87" s="305"/>
      <c r="J87" s="353"/>
      <c r="K87" s="356"/>
      <c r="L87" s="318"/>
      <c r="M87" s="359"/>
      <c r="N87" s="168"/>
      <c r="O87" s="168"/>
      <c r="P87" s="321"/>
      <c r="Q87" s="175"/>
      <c r="Y87" s="72"/>
      <c r="Z87" s="170"/>
      <c r="AA87" s="159"/>
      <c r="AB87" s="171"/>
      <c r="AC87" s="172"/>
      <c r="AD87" s="185" t="s">
        <v>4</v>
      </c>
      <c r="AE87" s="186"/>
      <c r="AF87" s="186"/>
      <c r="AG87" s="5"/>
      <c r="AH87" s="139"/>
    </row>
    <row r="88" spans="1:34" ht="17.100000000000001" customHeight="1" x14ac:dyDescent="0.25">
      <c r="A88" s="308"/>
      <c r="B88" s="149"/>
      <c r="C88" s="176"/>
      <c r="D88" s="151"/>
      <c r="E88" s="312"/>
      <c r="F88" s="156"/>
      <c r="G88" s="306"/>
      <c r="H88" s="162"/>
      <c r="I88" s="305"/>
      <c r="J88" s="353"/>
      <c r="K88" s="356"/>
      <c r="L88" s="318"/>
      <c r="M88" s="359"/>
      <c r="N88" s="155"/>
      <c r="O88" s="155"/>
      <c r="P88" s="320"/>
      <c r="Q88" s="156"/>
      <c r="R88" s="152"/>
      <c r="S88" s="152"/>
      <c r="T88" s="152"/>
      <c r="U88" s="152"/>
      <c r="V88" s="152"/>
      <c r="W88" s="152"/>
      <c r="X88" s="152"/>
      <c r="Y88" s="157"/>
      <c r="Z88" s="158"/>
      <c r="AA88" s="159"/>
      <c r="AB88" s="160"/>
      <c r="AC88" s="161"/>
      <c r="AD88" s="185" t="s">
        <v>4</v>
      </c>
      <c r="AE88" s="186"/>
      <c r="AF88" s="186"/>
      <c r="AG88" s="5"/>
      <c r="AH88" s="139"/>
    </row>
    <row r="89" spans="1:34" ht="17.100000000000001" customHeight="1" x14ac:dyDescent="0.25">
      <c r="A89" s="308"/>
      <c r="B89" s="149"/>
      <c r="C89" s="173"/>
      <c r="D89" s="166"/>
      <c r="E89" s="312"/>
      <c r="G89" s="306"/>
      <c r="H89" s="162"/>
      <c r="I89" s="305"/>
      <c r="J89" s="353"/>
      <c r="K89" s="356"/>
      <c r="L89" s="318"/>
      <c r="M89" s="359"/>
      <c r="N89" s="168"/>
      <c r="O89" s="168"/>
      <c r="P89" s="321"/>
      <c r="Q89" s="175"/>
      <c r="Y89" s="72"/>
      <c r="Z89" s="170"/>
      <c r="AA89" s="159"/>
      <c r="AB89" s="171"/>
      <c r="AC89" s="172"/>
      <c r="AD89" s="185" t="s">
        <v>4</v>
      </c>
      <c r="AH89" s="139"/>
    </row>
    <row r="90" spans="1:34" ht="17.100000000000001" customHeight="1" x14ac:dyDescent="0.25">
      <c r="A90" s="308"/>
      <c r="B90" s="149"/>
      <c r="C90" s="173"/>
      <c r="D90" s="166"/>
      <c r="E90" s="312"/>
      <c r="G90" s="306"/>
      <c r="H90" s="162"/>
      <c r="I90" s="305"/>
      <c r="J90" s="353"/>
      <c r="K90" s="356"/>
      <c r="L90" s="318"/>
      <c r="M90" s="359"/>
      <c r="N90" s="168"/>
      <c r="O90" s="168"/>
      <c r="P90" s="321"/>
      <c r="Q90" s="175"/>
      <c r="Y90" s="72"/>
      <c r="Z90" s="170"/>
      <c r="AA90" s="159"/>
      <c r="AB90" s="171"/>
      <c r="AC90" s="172"/>
      <c r="AD90" s="185" t="s">
        <v>4</v>
      </c>
      <c r="AH90" s="139"/>
    </row>
    <row r="91" spans="1:34" ht="17.100000000000001" customHeight="1" x14ac:dyDescent="0.25">
      <c r="A91" s="308"/>
      <c r="B91" s="149"/>
      <c r="C91" s="173"/>
      <c r="D91" s="166"/>
      <c r="E91" s="312"/>
      <c r="G91" s="306"/>
      <c r="H91" s="162"/>
      <c r="I91" s="305"/>
      <c r="J91" s="353"/>
      <c r="K91" s="356"/>
      <c r="L91" s="318"/>
      <c r="M91" s="359"/>
      <c r="N91" s="168"/>
      <c r="O91" s="168"/>
      <c r="P91" s="321"/>
      <c r="Q91" s="175"/>
      <c r="Y91" s="72"/>
      <c r="Z91" s="170"/>
      <c r="AA91" s="159"/>
      <c r="AB91" s="171"/>
      <c r="AC91" s="172"/>
      <c r="AD91" s="185" t="s">
        <v>4</v>
      </c>
      <c r="AH91" s="139"/>
    </row>
    <row r="92" spans="1:34" ht="17.100000000000001" customHeight="1" x14ac:dyDescent="0.25">
      <c r="A92" s="308"/>
      <c r="B92" s="149"/>
      <c r="C92" s="173"/>
      <c r="D92" s="166"/>
      <c r="E92" s="312"/>
      <c r="G92" s="306"/>
      <c r="H92" s="162"/>
      <c r="I92" s="305"/>
      <c r="J92" s="353"/>
      <c r="K92" s="356"/>
      <c r="L92" s="318"/>
      <c r="M92" s="359"/>
      <c r="N92" s="168"/>
      <c r="O92" s="168"/>
      <c r="P92" s="321"/>
      <c r="Q92" s="175"/>
      <c r="Y92" s="72"/>
      <c r="Z92" s="170"/>
      <c r="AA92" s="159"/>
      <c r="AB92" s="171"/>
      <c r="AC92" s="172"/>
      <c r="AD92" s="185" t="s">
        <v>4</v>
      </c>
      <c r="AH92" s="139"/>
    </row>
    <row r="93" spans="1:34" ht="17.100000000000001" customHeight="1" x14ac:dyDescent="0.25">
      <c r="A93" s="308"/>
      <c r="B93" s="149"/>
      <c r="C93" s="173"/>
      <c r="D93" s="166"/>
      <c r="E93" s="312"/>
      <c r="G93" s="306"/>
      <c r="H93" s="162"/>
      <c r="I93" s="305"/>
      <c r="J93" s="353"/>
      <c r="K93" s="356"/>
      <c r="L93" s="318"/>
      <c r="M93" s="359"/>
      <c r="N93" s="168"/>
      <c r="O93" s="168"/>
      <c r="P93" s="321"/>
      <c r="Q93" s="175"/>
      <c r="Y93" s="72"/>
      <c r="Z93" s="170"/>
      <c r="AA93" s="159"/>
      <c r="AB93" s="171"/>
      <c r="AC93" s="172"/>
      <c r="AD93" s="185" t="s">
        <v>4</v>
      </c>
      <c r="AH93" s="139"/>
    </row>
    <row r="94" spans="1:34" ht="17.100000000000001" customHeight="1" x14ac:dyDescent="0.25">
      <c r="A94" s="308"/>
      <c r="B94" s="149"/>
      <c r="C94" s="173"/>
      <c r="D94" s="166"/>
      <c r="E94" s="312"/>
      <c r="G94" s="306"/>
      <c r="H94" s="162"/>
      <c r="I94" s="305"/>
      <c r="J94" s="353"/>
      <c r="K94" s="356"/>
      <c r="L94" s="318"/>
      <c r="M94" s="359"/>
      <c r="N94" s="168"/>
      <c r="O94" s="168"/>
      <c r="P94" s="321"/>
      <c r="Q94" s="175"/>
      <c r="Y94" s="72"/>
      <c r="Z94" s="170"/>
      <c r="AA94" s="159"/>
      <c r="AB94" s="171"/>
      <c r="AC94" s="172"/>
      <c r="AD94" s="185" t="s">
        <v>4</v>
      </c>
      <c r="AH94" s="139"/>
    </row>
    <row r="95" spans="1:34" ht="17.100000000000001" customHeight="1" x14ac:dyDescent="0.25">
      <c r="A95" s="308"/>
      <c r="B95" s="149"/>
      <c r="C95" s="173"/>
      <c r="D95" s="166"/>
      <c r="E95" s="312"/>
      <c r="G95" s="306"/>
      <c r="H95" s="162"/>
      <c r="I95" s="305"/>
      <c r="J95" s="353"/>
      <c r="K95" s="356"/>
      <c r="L95" s="318"/>
      <c r="M95" s="359"/>
      <c r="N95" s="168"/>
      <c r="O95" s="168"/>
      <c r="P95" s="321"/>
      <c r="Q95" s="175"/>
      <c r="Y95" s="72"/>
      <c r="Z95" s="170"/>
      <c r="AA95" s="159"/>
      <c r="AB95" s="171"/>
      <c r="AC95" s="172"/>
      <c r="AD95" s="185" t="s">
        <v>4</v>
      </c>
      <c r="AH95" s="139"/>
    </row>
    <row r="96" spans="1:34" ht="17.100000000000001" customHeight="1" x14ac:dyDescent="0.25">
      <c r="A96" s="308"/>
      <c r="B96" s="149"/>
      <c r="C96" s="173"/>
      <c r="D96" s="166"/>
      <c r="E96" s="312"/>
      <c r="G96" s="306"/>
      <c r="H96" s="162"/>
      <c r="I96" s="305"/>
      <c r="J96" s="353"/>
      <c r="K96" s="356"/>
      <c r="L96" s="318"/>
      <c r="M96" s="359"/>
      <c r="N96" s="168"/>
      <c r="O96" s="168"/>
      <c r="P96" s="321"/>
      <c r="Q96" s="175"/>
      <c r="Y96" s="72"/>
      <c r="Z96" s="170"/>
      <c r="AA96" s="159"/>
      <c r="AB96" s="171"/>
      <c r="AC96" s="172"/>
      <c r="AD96" s="185" t="s">
        <v>4</v>
      </c>
      <c r="AH96" s="139"/>
    </row>
    <row r="97" spans="1:34" ht="17.100000000000001" customHeight="1" x14ac:dyDescent="0.25">
      <c r="A97" s="308"/>
      <c r="B97" s="149"/>
      <c r="C97" s="173"/>
      <c r="D97" s="166"/>
      <c r="E97" s="312"/>
      <c r="G97" s="306"/>
      <c r="H97" s="162"/>
      <c r="I97" s="305"/>
      <c r="J97" s="353"/>
      <c r="K97" s="356"/>
      <c r="L97" s="318"/>
      <c r="M97" s="359"/>
      <c r="N97" s="168"/>
      <c r="O97" s="168"/>
      <c r="P97" s="321"/>
      <c r="Q97" s="175"/>
      <c r="Y97" s="72"/>
      <c r="Z97" s="170"/>
      <c r="AA97" s="159"/>
      <c r="AB97" s="171"/>
      <c r="AC97" s="172"/>
      <c r="AD97" s="185" t="s">
        <v>4</v>
      </c>
      <c r="AH97" s="139"/>
    </row>
    <row r="98" spans="1:34" ht="17.100000000000001" customHeight="1" x14ac:dyDescent="0.25">
      <c r="A98" s="308"/>
      <c r="B98" s="149"/>
      <c r="C98" s="173"/>
      <c r="D98" s="166"/>
      <c r="E98" s="312"/>
      <c r="G98" s="306"/>
      <c r="H98" s="162"/>
      <c r="I98" s="305"/>
      <c r="J98" s="353"/>
      <c r="K98" s="356"/>
      <c r="L98" s="318"/>
      <c r="M98" s="359"/>
      <c r="N98" s="168"/>
      <c r="O98" s="168"/>
      <c r="P98" s="321"/>
      <c r="Q98" s="175"/>
      <c r="Y98" s="72"/>
      <c r="Z98" s="170"/>
      <c r="AA98" s="159"/>
      <c r="AB98" s="171"/>
      <c r="AC98" s="172"/>
      <c r="AD98" s="185" t="s">
        <v>4</v>
      </c>
      <c r="AH98" s="139"/>
    </row>
    <row r="99" spans="1:34" ht="17.100000000000001" customHeight="1" x14ac:dyDescent="0.25">
      <c r="A99" s="308"/>
      <c r="B99" s="149"/>
      <c r="C99" s="173"/>
      <c r="D99" s="166"/>
      <c r="E99" s="312"/>
      <c r="G99" s="306"/>
      <c r="H99" s="162"/>
      <c r="I99" s="305"/>
      <c r="J99" s="353"/>
      <c r="K99" s="356"/>
      <c r="L99" s="318"/>
      <c r="M99" s="359"/>
      <c r="N99" s="168"/>
      <c r="O99" s="168"/>
      <c r="P99" s="321"/>
      <c r="Q99" s="175"/>
      <c r="Y99" s="72"/>
      <c r="Z99" s="170"/>
      <c r="AA99" s="159"/>
      <c r="AB99" s="171"/>
      <c r="AC99" s="172"/>
      <c r="AD99" s="185" t="s">
        <v>4</v>
      </c>
      <c r="AH99" s="139"/>
    </row>
    <row r="100" spans="1:34" ht="17.100000000000001" customHeight="1" x14ac:dyDescent="0.25">
      <c r="A100" s="308"/>
      <c r="B100" s="149"/>
      <c r="C100" s="173"/>
      <c r="D100" s="166"/>
      <c r="E100" s="312"/>
      <c r="G100" s="306"/>
      <c r="H100" s="162"/>
      <c r="I100" s="305"/>
      <c r="J100" s="353"/>
      <c r="K100" s="356"/>
      <c r="L100" s="318"/>
      <c r="M100" s="359"/>
      <c r="N100" s="168"/>
      <c r="O100" s="168"/>
      <c r="P100" s="321"/>
      <c r="Q100" s="175"/>
      <c r="Y100" s="72"/>
      <c r="Z100" s="170"/>
      <c r="AA100" s="159"/>
      <c r="AB100" s="171"/>
      <c r="AC100" s="172"/>
      <c r="AD100" s="185" t="s">
        <v>4</v>
      </c>
      <c r="AH100" s="139"/>
    </row>
    <row r="101" spans="1:34" ht="17.100000000000001" customHeight="1" x14ac:dyDescent="0.25">
      <c r="A101" s="308"/>
      <c r="B101" s="149"/>
      <c r="C101" s="173"/>
      <c r="D101" s="166"/>
      <c r="E101" s="312"/>
      <c r="G101" s="306"/>
      <c r="H101" s="162"/>
      <c r="I101" s="305"/>
      <c r="J101" s="353"/>
      <c r="K101" s="356"/>
      <c r="L101" s="318"/>
      <c r="M101" s="359"/>
      <c r="N101" s="168"/>
      <c r="O101" s="168"/>
      <c r="P101" s="321"/>
      <c r="Q101" s="175"/>
      <c r="Y101" s="72"/>
      <c r="Z101" s="170"/>
      <c r="AA101" s="159"/>
      <c r="AB101" s="171"/>
      <c r="AC101" s="172"/>
      <c r="AD101" s="185" t="s">
        <v>4</v>
      </c>
      <c r="AH101" s="139"/>
    </row>
    <row r="102" spans="1:34" ht="17.100000000000001" customHeight="1" x14ac:dyDescent="0.25">
      <c r="A102" s="308"/>
      <c r="B102" s="149"/>
      <c r="C102" s="173"/>
      <c r="D102" s="166"/>
      <c r="E102" s="312"/>
      <c r="G102" s="306"/>
      <c r="H102" s="162"/>
      <c r="I102" s="305"/>
      <c r="J102" s="353"/>
      <c r="K102" s="356"/>
      <c r="L102" s="318"/>
      <c r="M102" s="359"/>
      <c r="N102" s="168"/>
      <c r="O102" s="168"/>
      <c r="P102" s="321"/>
      <c r="Q102" s="175"/>
      <c r="Y102" s="72"/>
      <c r="Z102" s="170"/>
      <c r="AA102" s="159"/>
      <c r="AB102" s="171"/>
      <c r="AC102" s="172"/>
      <c r="AD102" s="185" t="s">
        <v>4</v>
      </c>
      <c r="AH102" s="139"/>
    </row>
    <row r="103" spans="1:34" ht="17.100000000000001" customHeight="1" x14ac:dyDescent="0.25">
      <c r="A103" s="308"/>
      <c r="B103" s="149"/>
      <c r="C103" s="176"/>
      <c r="D103" s="151"/>
      <c r="E103" s="312"/>
      <c r="F103" s="156"/>
      <c r="G103" s="306"/>
      <c r="H103" s="200"/>
      <c r="I103" s="305"/>
      <c r="J103" s="353"/>
      <c r="K103" s="356"/>
      <c r="L103" s="318"/>
      <c r="M103" s="359"/>
      <c r="N103" s="155"/>
      <c r="O103" s="155"/>
      <c r="P103" s="320"/>
      <c r="Q103" s="156"/>
      <c r="R103" s="152"/>
      <c r="S103" s="152"/>
      <c r="T103" s="152"/>
      <c r="U103" s="152"/>
      <c r="V103" s="152"/>
      <c r="W103" s="152"/>
      <c r="X103" s="152"/>
      <c r="Y103" s="157"/>
      <c r="Z103" s="158"/>
      <c r="AA103" s="159"/>
      <c r="AB103" s="160"/>
      <c r="AC103" s="161"/>
      <c r="AD103" s="185" t="s">
        <v>4</v>
      </c>
      <c r="AH103" s="139"/>
    </row>
    <row r="104" spans="1:34" ht="17.100000000000001" customHeight="1" x14ac:dyDescent="0.25">
      <c r="A104" s="308"/>
      <c r="B104" s="149"/>
      <c r="C104" s="173"/>
      <c r="D104" s="166"/>
      <c r="E104" s="312"/>
      <c r="G104" s="306"/>
      <c r="H104" s="162"/>
      <c r="I104" s="305"/>
      <c r="J104" s="353"/>
      <c r="K104" s="356"/>
      <c r="L104" s="318"/>
      <c r="M104" s="359"/>
      <c r="N104" s="168"/>
      <c r="O104" s="168"/>
      <c r="P104" s="321"/>
      <c r="Q104" s="175"/>
      <c r="Y104" s="72"/>
      <c r="Z104" s="170"/>
      <c r="AA104" s="159"/>
      <c r="AB104" s="171"/>
      <c r="AC104" s="172"/>
      <c r="AD104" s="185" t="s">
        <v>4</v>
      </c>
      <c r="AH104" s="139"/>
    </row>
    <row r="105" spans="1:34" ht="17.100000000000001" customHeight="1" x14ac:dyDescent="0.25">
      <c r="A105" s="308"/>
      <c r="B105" s="149"/>
      <c r="C105" s="173"/>
      <c r="D105" s="166"/>
      <c r="E105" s="312"/>
      <c r="G105" s="306"/>
      <c r="H105" s="162"/>
      <c r="I105" s="305"/>
      <c r="J105" s="353"/>
      <c r="K105" s="356"/>
      <c r="L105" s="318"/>
      <c r="M105" s="359"/>
      <c r="N105" s="168"/>
      <c r="O105" s="168"/>
      <c r="P105" s="321"/>
      <c r="Q105" s="175"/>
      <c r="Y105" s="72"/>
      <c r="Z105" s="170"/>
      <c r="AA105" s="159"/>
      <c r="AB105" s="171"/>
      <c r="AC105" s="172"/>
      <c r="AD105" s="185" t="s">
        <v>4</v>
      </c>
      <c r="AH105" s="139"/>
    </row>
    <row r="106" spans="1:34" ht="17.100000000000001" customHeight="1" x14ac:dyDescent="0.25">
      <c r="A106" s="308"/>
      <c r="B106" s="149"/>
      <c r="C106" s="173"/>
      <c r="D106" s="166"/>
      <c r="E106" s="312"/>
      <c r="G106" s="306"/>
      <c r="H106" s="162"/>
      <c r="I106" s="305"/>
      <c r="J106" s="353"/>
      <c r="K106" s="356"/>
      <c r="L106" s="318"/>
      <c r="M106" s="359"/>
      <c r="N106" s="168"/>
      <c r="O106" s="168"/>
      <c r="P106" s="321"/>
      <c r="Q106" s="175"/>
      <c r="Y106" s="72"/>
      <c r="Z106" s="170"/>
      <c r="AA106" s="159"/>
      <c r="AB106" s="171"/>
      <c r="AC106" s="172"/>
      <c r="AD106" s="185" t="s">
        <v>4</v>
      </c>
      <c r="AH106" s="139"/>
    </row>
    <row r="107" spans="1:34" ht="17.100000000000001" customHeight="1" x14ac:dyDescent="0.25">
      <c r="A107" s="308"/>
      <c r="B107" s="149"/>
      <c r="C107" s="173"/>
      <c r="D107" s="166"/>
      <c r="E107" s="312"/>
      <c r="G107" s="306"/>
      <c r="H107" s="162"/>
      <c r="I107" s="305"/>
      <c r="J107" s="353"/>
      <c r="K107" s="356"/>
      <c r="L107" s="318"/>
      <c r="M107" s="359"/>
      <c r="N107" s="168"/>
      <c r="O107" s="168"/>
      <c r="P107" s="321"/>
      <c r="Q107" s="175"/>
      <c r="Y107" s="72"/>
      <c r="Z107" s="170"/>
      <c r="AA107" s="159"/>
      <c r="AB107" s="171"/>
      <c r="AC107" s="172"/>
      <c r="AD107" s="185" t="s">
        <v>4</v>
      </c>
      <c r="AH107" s="139"/>
    </row>
    <row r="108" spans="1:34" ht="17.100000000000001" customHeight="1" x14ac:dyDescent="0.25">
      <c r="A108" s="308"/>
      <c r="B108" s="149"/>
      <c r="C108" s="173"/>
      <c r="D108" s="166"/>
      <c r="E108" s="312"/>
      <c r="G108" s="306"/>
      <c r="H108" s="162"/>
      <c r="I108" s="305"/>
      <c r="J108" s="353"/>
      <c r="K108" s="356"/>
      <c r="L108" s="318"/>
      <c r="M108" s="359"/>
      <c r="N108" s="168"/>
      <c r="O108" s="168"/>
      <c r="P108" s="321"/>
      <c r="Q108" s="175"/>
      <c r="Y108" s="72"/>
      <c r="Z108" s="170"/>
      <c r="AA108" s="159"/>
      <c r="AB108" s="171"/>
      <c r="AC108" s="172"/>
      <c r="AD108" s="185" t="s">
        <v>4</v>
      </c>
      <c r="AH108" s="139"/>
    </row>
    <row r="109" spans="1:34" ht="17.100000000000001" customHeight="1" x14ac:dyDescent="0.25">
      <c r="A109" s="308"/>
      <c r="B109" s="149"/>
      <c r="C109" s="173"/>
      <c r="D109" s="166"/>
      <c r="E109" s="312"/>
      <c r="G109" s="306"/>
      <c r="H109" s="162"/>
      <c r="I109" s="305"/>
      <c r="J109" s="353"/>
      <c r="K109" s="356"/>
      <c r="L109" s="318"/>
      <c r="M109" s="359"/>
      <c r="N109" s="168"/>
      <c r="O109" s="168"/>
      <c r="P109" s="321"/>
      <c r="Q109" s="175"/>
      <c r="Y109" s="72"/>
      <c r="Z109" s="170"/>
      <c r="AA109" s="159"/>
      <c r="AB109" s="171"/>
      <c r="AC109" s="172"/>
      <c r="AD109" s="185" t="s">
        <v>4</v>
      </c>
      <c r="AH109" s="139"/>
    </row>
    <row r="110" spans="1:34" ht="17.100000000000001" customHeight="1" x14ac:dyDescent="0.25">
      <c r="A110" s="308"/>
      <c r="B110" s="149"/>
      <c r="C110" s="173"/>
      <c r="D110" s="166"/>
      <c r="E110" s="312"/>
      <c r="G110" s="306"/>
      <c r="H110" s="162"/>
      <c r="I110" s="305"/>
      <c r="J110" s="353"/>
      <c r="K110" s="356"/>
      <c r="L110" s="318"/>
      <c r="M110" s="359"/>
      <c r="N110" s="168"/>
      <c r="O110" s="168"/>
      <c r="P110" s="321"/>
      <c r="Q110" s="175"/>
      <c r="Y110" s="72"/>
      <c r="Z110" s="170"/>
      <c r="AA110" s="159"/>
      <c r="AB110" s="171"/>
      <c r="AC110" s="172"/>
      <c r="AD110" s="185" t="s">
        <v>4</v>
      </c>
      <c r="AH110" s="139"/>
    </row>
    <row r="111" spans="1:34" ht="17.100000000000001" customHeight="1" x14ac:dyDescent="0.25">
      <c r="A111" s="308"/>
      <c r="B111" s="149"/>
      <c r="C111" s="173"/>
      <c r="D111" s="166"/>
      <c r="E111" s="312"/>
      <c r="G111" s="306"/>
      <c r="H111" s="162"/>
      <c r="I111" s="305"/>
      <c r="J111" s="353"/>
      <c r="K111" s="356"/>
      <c r="L111" s="318"/>
      <c r="M111" s="359"/>
      <c r="N111" s="168"/>
      <c r="O111" s="168"/>
      <c r="P111" s="321"/>
      <c r="Q111" s="175"/>
      <c r="Y111" s="72"/>
      <c r="Z111" s="170"/>
      <c r="AA111" s="159"/>
      <c r="AB111" s="171"/>
      <c r="AC111" s="172"/>
      <c r="AD111" s="185" t="s">
        <v>4</v>
      </c>
      <c r="AH111" s="139"/>
    </row>
    <row r="112" spans="1:34" ht="17.100000000000001" customHeight="1" x14ac:dyDescent="0.25">
      <c r="A112" s="308"/>
      <c r="B112" s="149"/>
      <c r="C112" s="173"/>
      <c r="D112" s="166"/>
      <c r="E112" s="312"/>
      <c r="G112" s="306"/>
      <c r="H112" s="162"/>
      <c r="I112" s="305"/>
      <c r="J112" s="353"/>
      <c r="K112" s="356"/>
      <c r="L112" s="318"/>
      <c r="M112" s="359"/>
      <c r="N112" s="168"/>
      <c r="O112" s="168"/>
      <c r="P112" s="321"/>
      <c r="Q112" s="175"/>
      <c r="Y112" s="72"/>
      <c r="Z112" s="170"/>
      <c r="AA112" s="159"/>
      <c r="AB112" s="171"/>
      <c r="AC112" s="172"/>
      <c r="AD112" s="185" t="s">
        <v>4</v>
      </c>
      <c r="AH112" s="139"/>
    </row>
    <row r="113" spans="1:34" ht="17.100000000000001" customHeight="1" x14ac:dyDescent="0.25">
      <c r="A113" s="308"/>
      <c r="B113" s="149"/>
      <c r="C113" s="173"/>
      <c r="D113" s="166"/>
      <c r="E113" s="312"/>
      <c r="G113" s="306"/>
      <c r="H113" s="162"/>
      <c r="I113" s="305"/>
      <c r="J113" s="353"/>
      <c r="K113" s="356"/>
      <c r="L113" s="318"/>
      <c r="M113" s="359"/>
      <c r="N113" s="168"/>
      <c r="O113" s="168"/>
      <c r="P113" s="321"/>
      <c r="Q113" s="175"/>
      <c r="Y113" s="72"/>
      <c r="Z113" s="170"/>
      <c r="AA113" s="159"/>
      <c r="AB113" s="171"/>
      <c r="AC113" s="172"/>
      <c r="AD113" s="185" t="s">
        <v>4</v>
      </c>
      <c r="AH113" s="139"/>
    </row>
    <row r="114" spans="1:34" ht="17.100000000000001" customHeight="1" x14ac:dyDescent="0.25">
      <c r="A114" s="308"/>
      <c r="B114" s="149"/>
      <c r="C114" s="173"/>
      <c r="D114" s="166"/>
      <c r="E114" s="312"/>
      <c r="G114" s="306"/>
      <c r="H114" s="162"/>
      <c r="I114" s="305"/>
      <c r="J114" s="353"/>
      <c r="K114" s="356"/>
      <c r="L114" s="318"/>
      <c r="M114" s="359"/>
      <c r="N114" s="168"/>
      <c r="O114" s="168"/>
      <c r="P114" s="321"/>
      <c r="Q114" s="175"/>
      <c r="Y114" s="72"/>
      <c r="Z114" s="170"/>
      <c r="AA114" s="159"/>
      <c r="AB114" s="171"/>
      <c r="AC114" s="172"/>
      <c r="AD114" s="185" t="s">
        <v>4</v>
      </c>
      <c r="AH114" s="139"/>
    </row>
    <row r="115" spans="1:34" ht="17.100000000000001" customHeight="1" x14ac:dyDescent="0.25">
      <c r="A115" s="308"/>
      <c r="B115" s="149"/>
      <c r="C115" s="173"/>
      <c r="D115" s="166"/>
      <c r="E115" s="312"/>
      <c r="G115" s="306"/>
      <c r="H115" s="162"/>
      <c r="I115" s="305"/>
      <c r="J115" s="353"/>
      <c r="K115" s="356"/>
      <c r="L115" s="318"/>
      <c r="M115" s="359"/>
      <c r="N115" s="168"/>
      <c r="O115" s="168"/>
      <c r="P115" s="321"/>
      <c r="Q115" s="175"/>
      <c r="Y115" s="72"/>
      <c r="Z115" s="170"/>
      <c r="AA115" s="159"/>
      <c r="AB115" s="171"/>
      <c r="AC115" s="172"/>
      <c r="AD115" s="185" t="s">
        <v>4</v>
      </c>
      <c r="AH115" s="139"/>
    </row>
    <row r="116" spans="1:34" ht="17.100000000000001" customHeight="1" x14ac:dyDescent="0.25">
      <c r="A116" s="308"/>
      <c r="B116" s="149"/>
      <c r="C116" s="173"/>
      <c r="D116" s="166"/>
      <c r="E116" s="312"/>
      <c r="G116" s="306"/>
      <c r="H116" s="162"/>
      <c r="I116" s="305"/>
      <c r="J116" s="353"/>
      <c r="K116" s="356"/>
      <c r="L116" s="318"/>
      <c r="M116" s="359"/>
      <c r="N116" s="168"/>
      <c r="O116" s="168"/>
      <c r="P116" s="321"/>
      <c r="Q116" s="175"/>
      <c r="Y116" s="72"/>
      <c r="Z116" s="170"/>
      <c r="AA116" s="159"/>
      <c r="AB116" s="171"/>
      <c r="AC116" s="172"/>
      <c r="AD116" s="185" t="s">
        <v>4</v>
      </c>
      <c r="AH116" s="139"/>
    </row>
    <row r="117" spans="1:34" ht="17.100000000000001" customHeight="1" x14ac:dyDescent="0.25">
      <c r="A117" s="308"/>
      <c r="B117" s="149"/>
      <c r="C117" s="173"/>
      <c r="D117" s="166"/>
      <c r="E117" s="312"/>
      <c r="G117" s="306"/>
      <c r="H117" s="162"/>
      <c r="I117" s="305"/>
      <c r="J117" s="353"/>
      <c r="K117" s="356"/>
      <c r="L117" s="318"/>
      <c r="M117" s="359"/>
      <c r="N117" s="168"/>
      <c r="O117" s="168"/>
      <c r="P117" s="321"/>
      <c r="Q117" s="175"/>
      <c r="Y117" s="72"/>
      <c r="Z117" s="170"/>
      <c r="AA117" s="159"/>
      <c r="AB117" s="171"/>
      <c r="AC117" s="172"/>
      <c r="AD117" s="185" t="s">
        <v>4</v>
      </c>
      <c r="AH117" s="139"/>
    </row>
    <row r="118" spans="1:34" ht="17.100000000000001" customHeight="1" x14ac:dyDescent="0.25">
      <c r="A118" s="308"/>
      <c r="B118" s="149"/>
      <c r="C118" s="176"/>
      <c r="D118" s="151"/>
      <c r="E118" s="312"/>
      <c r="F118" s="156"/>
      <c r="G118" s="306"/>
      <c r="H118" s="162"/>
      <c r="I118" s="305"/>
      <c r="J118" s="353"/>
      <c r="K118" s="356"/>
      <c r="L118" s="318"/>
      <c r="M118" s="359"/>
      <c r="N118" s="155"/>
      <c r="O118" s="155"/>
      <c r="P118" s="320"/>
      <c r="Q118" s="156"/>
      <c r="R118" s="152"/>
      <c r="S118" s="152"/>
      <c r="T118" s="152"/>
      <c r="U118" s="152"/>
      <c r="V118" s="152"/>
      <c r="W118" s="152"/>
      <c r="X118" s="152"/>
      <c r="Y118" s="157"/>
      <c r="Z118" s="158"/>
      <c r="AA118" s="159"/>
      <c r="AB118" s="160"/>
      <c r="AC118" s="161"/>
      <c r="AD118" s="185" t="s">
        <v>4</v>
      </c>
      <c r="AH118" s="139"/>
    </row>
    <row r="119" spans="1:34" ht="17.100000000000001" customHeight="1" x14ac:dyDescent="0.25">
      <c r="A119" s="308"/>
      <c r="B119" s="149"/>
      <c r="C119" s="173"/>
      <c r="D119" s="166"/>
      <c r="E119" s="312"/>
      <c r="G119" s="306"/>
      <c r="H119" s="162"/>
      <c r="I119" s="305"/>
      <c r="J119" s="353"/>
      <c r="K119" s="356"/>
      <c r="L119" s="318"/>
      <c r="M119" s="359"/>
      <c r="N119" s="168"/>
      <c r="O119" s="168"/>
      <c r="P119" s="321"/>
      <c r="Q119" s="175"/>
      <c r="R119" s="175"/>
      <c r="Y119" s="72"/>
      <c r="Z119" s="170"/>
      <c r="AA119" s="159"/>
      <c r="AB119" s="171"/>
      <c r="AC119" s="172"/>
      <c r="AD119" s="185" t="s">
        <v>4</v>
      </c>
      <c r="AH119" s="139"/>
    </row>
    <row r="120" spans="1:34" ht="17.100000000000001" customHeight="1" x14ac:dyDescent="0.25">
      <c r="A120" s="308"/>
      <c r="B120" s="149"/>
      <c r="C120" s="173"/>
      <c r="D120" s="166"/>
      <c r="E120" s="312"/>
      <c r="G120" s="306"/>
      <c r="H120" s="162"/>
      <c r="I120" s="305"/>
      <c r="J120" s="353"/>
      <c r="K120" s="356"/>
      <c r="L120" s="318"/>
      <c r="M120" s="359"/>
      <c r="N120" s="168"/>
      <c r="O120" s="168"/>
      <c r="P120" s="321"/>
      <c r="Q120" s="175"/>
      <c r="Y120" s="72"/>
      <c r="Z120" s="170"/>
      <c r="AA120" s="159"/>
      <c r="AB120" s="171"/>
      <c r="AC120" s="172"/>
      <c r="AD120" s="185" t="s">
        <v>4</v>
      </c>
      <c r="AH120" s="139"/>
    </row>
    <row r="121" spans="1:34" ht="17.100000000000001" customHeight="1" x14ac:dyDescent="0.25">
      <c r="A121" s="308"/>
      <c r="B121" s="149"/>
      <c r="C121" s="173"/>
      <c r="D121" s="166"/>
      <c r="E121" s="312"/>
      <c r="G121" s="306"/>
      <c r="H121" s="162"/>
      <c r="I121" s="305"/>
      <c r="J121" s="353"/>
      <c r="K121" s="356"/>
      <c r="L121" s="318"/>
      <c r="M121" s="359"/>
      <c r="N121" s="168"/>
      <c r="O121" s="168"/>
      <c r="P121" s="321"/>
      <c r="Q121" s="175"/>
      <c r="Y121" s="72"/>
      <c r="Z121" s="170"/>
      <c r="AA121" s="159"/>
      <c r="AB121" s="171"/>
      <c r="AC121" s="172"/>
      <c r="AD121" s="185" t="s">
        <v>4</v>
      </c>
      <c r="AH121" s="139"/>
    </row>
    <row r="122" spans="1:34" ht="17.100000000000001" customHeight="1" x14ac:dyDescent="0.25">
      <c r="A122" s="308"/>
      <c r="B122" s="149"/>
      <c r="C122" s="176"/>
      <c r="D122" s="151"/>
      <c r="E122" s="312"/>
      <c r="F122" s="156"/>
      <c r="G122" s="306"/>
      <c r="H122" s="162"/>
      <c r="I122" s="305"/>
      <c r="J122" s="353"/>
      <c r="K122" s="356"/>
      <c r="L122" s="318"/>
      <c r="M122" s="359"/>
      <c r="N122" s="155"/>
      <c r="O122" s="155"/>
      <c r="P122" s="320"/>
      <c r="Q122" s="156"/>
      <c r="R122" s="152"/>
      <c r="S122" s="152"/>
      <c r="T122" s="152"/>
      <c r="U122" s="152"/>
      <c r="V122" s="152"/>
      <c r="W122" s="152"/>
      <c r="X122" s="152"/>
      <c r="Y122" s="157"/>
      <c r="Z122" s="158"/>
      <c r="AA122" s="159"/>
      <c r="AB122" s="160"/>
      <c r="AC122" s="161"/>
      <c r="AD122" s="185" t="s">
        <v>4</v>
      </c>
      <c r="AH122" s="139"/>
    </row>
    <row r="123" spans="1:34" ht="17.100000000000001" customHeight="1" x14ac:dyDescent="0.25">
      <c r="A123" s="308"/>
      <c r="B123" s="149"/>
      <c r="C123" s="173"/>
      <c r="D123" s="166"/>
      <c r="E123" s="312"/>
      <c r="G123" s="306"/>
      <c r="H123" s="162"/>
      <c r="I123" s="305"/>
      <c r="J123" s="353"/>
      <c r="K123" s="356"/>
      <c r="L123" s="318"/>
      <c r="M123" s="359"/>
      <c r="N123" s="168"/>
      <c r="O123" s="168"/>
      <c r="P123" s="321"/>
      <c r="Q123" s="175"/>
      <c r="Y123" s="72"/>
      <c r="Z123" s="170"/>
      <c r="AA123" s="159"/>
      <c r="AB123" s="171"/>
      <c r="AC123" s="172"/>
      <c r="AD123" s="185" t="s">
        <v>4</v>
      </c>
      <c r="AH123" s="139"/>
    </row>
    <row r="124" spans="1:34" ht="17.100000000000001" customHeight="1" x14ac:dyDescent="0.25">
      <c r="A124" s="308"/>
      <c r="B124" s="149"/>
      <c r="C124" s="173"/>
      <c r="D124" s="166"/>
      <c r="E124" s="312"/>
      <c r="G124" s="306"/>
      <c r="H124" s="162"/>
      <c r="I124" s="305"/>
      <c r="J124" s="353"/>
      <c r="K124" s="356"/>
      <c r="L124" s="318"/>
      <c r="M124" s="359"/>
      <c r="N124" s="168"/>
      <c r="O124" s="168"/>
      <c r="P124" s="321"/>
      <c r="Q124" s="175"/>
      <c r="Y124" s="72"/>
      <c r="Z124" s="170"/>
      <c r="AA124" s="159"/>
      <c r="AB124" s="171"/>
      <c r="AC124" s="172"/>
      <c r="AD124" s="185" t="s">
        <v>4</v>
      </c>
      <c r="AH124" s="139"/>
    </row>
    <row r="125" spans="1:34" ht="17.100000000000001" customHeight="1" x14ac:dyDescent="0.25">
      <c r="A125" s="308"/>
      <c r="B125" s="149"/>
      <c r="C125" s="173"/>
      <c r="D125" s="166"/>
      <c r="E125" s="312"/>
      <c r="G125" s="306"/>
      <c r="H125" s="162"/>
      <c r="I125" s="305"/>
      <c r="J125" s="353"/>
      <c r="K125" s="356"/>
      <c r="L125" s="318"/>
      <c r="M125" s="359"/>
      <c r="N125" s="168"/>
      <c r="O125" s="168"/>
      <c r="P125" s="321"/>
      <c r="Q125" s="175"/>
      <c r="Y125" s="72"/>
      <c r="Z125" s="170"/>
      <c r="AA125" s="159"/>
      <c r="AB125" s="171"/>
      <c r="AC125" s="172"/>
      <c r="AD125" s="185" t="s">
        <v>4</v>
      </c>
      <c r="AH125" s="139"/>
    </row>
    <row r="126" spans="1:34" ht="17.100000000000001" customHeight="1" x14ac:dyDescent="0.25">
      <c r="A126" s="308"/>
      <c r="B126" s="149"/>
      <c r="C126" s="173"/>
      <c r="D126" s="166"/>
      <c r="E126" s="312"/>
      <c r="G126" s="306"/>
      <c r="H126" s="162"/>
      <c r="I126" s="305"/>
      <c r="J126" s="353"/>
      <c r="K126" s="356"/>
      <c r="L126" s="318"/>
      <c r="M126" s="359"/>
      <c r="N126" s="168"/>
      <c r="O126" s="168"/>
      <c r="P126" s="321"/>
      <c r="Q126" s="175"/>
      <c r="Y126" s="72"/>
      <c r="Z126" s="170"/>
      <c r="AA126" s="159"/>
      <c r="AB126" s="171"/>
      <c r="AC126" s="172"/>
      <c r="AD126" s="185" t="s">
        <v>4</v>
      </c>
      <c r="AH126" s="139"/>
    </row>
    <row r="127" spans="1:34" ht="17.100000000000001" customHeight="1" x14ac:dyDescent="0.25">
      <c r="A127" s="308"/>
      <c r="B127" s="149"/>
      <c r="C127" s="173"/>
      <c r="D127" s="166"/>
      <c r="E127" s="312"/>
      <c r="G127" s="306"/>
      <c r="H127" s="162"/>
      <c r="I127" s="305"/>
      <c r="J127" s="353"/>
      <c r="K127" s="356"/>
      <c r="L127" s="318"/>
      <c r="M127" s="359"/>
      <c r="N127" s="168"/>
      <c r="O127" s="168"/>
      <c r="P127" s="321"/>
      <c r="Q127" s="175"/>
      <c r="Y127" s="72"/>
      <c r="Z127" s="170"/>
      <c r="AA127" s="159"/>
      <c r="AB127" s="171"/>
      <c r="AC127" s="172"/>
      <c r="AD127" s="185" t="s">
        <v>4</v>
      </c>
      <c r="AH127" s="139"/>
    </row>
    <row r="128" spans="1:34" ht="17.100000000000001" customHeight="1" x14ac:dyDescent="0.25">
      <c r="A128" s="308"/>
      <c r="B128" s="149"/>
      <c r="C128" s="173"/>
      <c r="D128" s="166"/>
      <c r="E128" s="312"/>
      <c r="G128" s="306"/>
      <c r="H128" s="162"/>
      <c r="I128" s="305"/>
      <c r="J128" s="353"/>
      <c r="K128" s="356"/>
      <c r="L128" s="318"/>
      <c r="M128" s="359"/>
      <c r="N128" s="168"/>
      <c r="O128" s="168"/>
      <c r="P128" s="321"/>
      <c r="Q128" s="175"/>
      <c r="Y128" s="72"/>
      <c r="Z128" s="170"/>
      <c r="AA128" s="159"/>
      <c r="AB128" s="171"/>
      <c r="AC128" s="172"/>
      <c r="AD128" s="185" t="s">
        <v>4</v>
      </c>
      <c r="AH128" s="139"/>
    </row>
    <row r="129" spans="1:34" ht="17.100000000000001" customHeight="1" x14ac:dyDescent="0.25">
      <c r="A129" s="308"/>
      <c r="B129" s="149"/>
      <c r="C129" s="173"/>
      <c r="D129" s="166"/>
      <c r="E129" s="312"/>
      <c r="G129" s="306"/>
      <c r="H129" s="162"/>
      <c r="I129" s="305"/>
      <c r="J129" s="353"/>
      <c r="K129" s="356"/>
      <c r="L129" s="318"/>
      <c r="M129" s="359"/>
      <c r="N129" s="168"/>
      <c r="O129" s="168"/>
      <c r="P129" s="321"/>
      <c r="Q129" s="175"/>
      <c r="Y129" s="72"/>
      <c r="Z129" s="170"/>
      <c r="AA129" s="159"/>
      <c r="AB129" s="171"/>
      <c r="AC129" s="172"/>
      <c r="AD129" s="185" t="s">
        <v>4</v>
      </c>
      <c r="AH129" s="139"/>
    </row>
    <row r="130" spans="1:34" ht="17.100000000000001" customHeight="1" x14ac:dyDescent="0.25">
      <c r="A130" s="308"/>
      <c r="B130" s="149"/>
      <c r="C130" s="173"/>
      <c r="D130" s="166"/>
      <c r="E130" s="312"/>
      <c r="G130" s="306"/>
      <c r="H130" s="162"/>
      <c r="I130" s="305"/>
      <c r="J130" s="353"/>
      <c r="K130" s="356"/>
      <c r="L130" s="318"/>
      <c r="M130" s="359"/>
      <c r="N130" s="168"/>
      <c r="O130" s="168"/>
      <c r="P130" s="321"/>
      <c r="Q130" s="175"/>
      <c r="Y130" s="72"/>
      <c r="Z130" s="170"/>
      <c r="AA130" s="159"/>
      <c r="AB130" s="171"/>
      <c r="AC130" s="172"/>
      <c r="AD130" s="185" t="s">
        <v>4</v>
      </c>
      <c r="AH130" s="139"/>
    </row>
    <row r="131" spans="1:34" ht="17.100000000000001" customHeight="1" x14ac:dyDescent="0.25">
      <c r="A131" s="308"/>
      <c r="B131" s="149"/>
      <c r="C131" s="173"/>
      <c r="D131" s="166"/>
      <c r="E131" s="312"/>
      <c r="G131" s="306"/>
      <c r="H131" s="162"/>
      <c r="I131" s="305"/>
      <c r="J131" s="353"/>
      <c r="K131" s="356"/>
      <c r="L131" s="318"/>
      <c r="M131" s="359"/>
      <c r="N131" s="168"/>
      <c r="O131" s="168"/>
      <c r="P131" s="321"/>
      <c r="Q131" s="175"/>
      <c r="R131" s="175"/>
      <c r="Y131" s="72"/>
      <c r="Z131" s="170"/>
      <c r="AA131" s="159"/>
      <c r="AB131" s="171"/>
      <c r="AC131" s="172"/>
      <c r="AD131" s="185" t="s">
        <v>4</v>
      </c>
      <c r="AH131" s="139"/>
    </row>
    <row r="132" spans="1:34" ht="17.100000000000001" customHeight="1" x14ac:dyDescent="0.25">
      <c r="A132" s="308"/>
      <c r="B132" s="149"/>
      <c r="C132" s="173"/>
      <c r="D132" s="166"/>
      <c r="E132" s="312"/>
      <c r="G132" s="306"/>
      <c r="H132" s="162"/>
      <c r="I132" s="305"/>
      <c r="J132" s="353"/>
      <c r="K132" s="356"/>
      <c r="L132" s="318"/>
      <c r="M132" s="359"/>
      <c r="N132" s="168"/>
      <c r="O132" s="168"/>
      <c r="P132" s="321"/>
      <c r="Q132" s="175"/>
      <c r="R132" s="175"/>
      <c r="Y132" s="72"/>
      <c r="Z132" s="170"/>
      <c r="AA132" s="159"/>
      <c r="AB132" s="171"/>
      <c r="AC132" s="172"/>
      <c r="AD132" s="185" t="s">
        <v>4</v>
      </c>
      <c r="AH132" s="139"/>
    </row>
    <row r="133" spans="1:34" ht="17.100000000000001" customHeight="1" x14ac:dyDescent="0.25">
      <c r="A133" s="308"/>
      <c r="B133" s="149"/>
      <c r="C133" s="173"/>
      <c r="D133" s="166"/>
      <c r="E133" s="312"/>
      <c r="G133" s="306"/>
      <c r="H133" s="162"/>
      <c r="I133" s="305"/>
      <c r="J133" s="353"/>
      <c r="K133" s="356"/>
      <c r="L133" s="318"/>
      <c r="M133" s="359"/>
      <c r="N133" s="168"/>
      <c r="O133" s="168"/>
      <c r="P133" s="321"/>
      <c r="Q133" s="175"/>
      <c r="Y133" s="72"/>
      <c r="Z133" s="170"/>
      <c r="AA133" s="159"/>
      <c r="AB133" s="171"/>
      <c r="AC133" s="172"/>
      <c r="AD133" s="185" t="s">
        <v>4</v>
      </c>
      <c r="AH133" s="139"/>
    </row>
    <row r="134" spans="1:34" ht="17.100000000000001" customHeight="1" x14ac:dyDescent="0.25">
      <c r="A134" s="308"/>
      <c r="B134" s="149"/>
      <c r="C134" s="173"/>
      <c r="D134" s="166"/>
      <c r="E134" s="312"/>
      <c r="G134" s="306"/>
      <c r="H134" s="162"/>
      <c r="I134" s="305"/>
      <c r="J134" s="353"/>
      <c r="K134" s="356"/>
      <c r="L134" s="318"/>
      <c r="M134" s="359"/>
      <c r="N134" s="168"/>
      <c r="O134" s="168"/>
      <c r="P134" s="321"/>
      <c r="Q134" s="175"/>
      <c r="Y134" s="72"/>
      <c r="Z134" s="170"/>
      <c r="AA134" s="159"/>
      <c r="AB134" s="171"/>
      <c r="AC134" s="172"/>
      <c r="AD134" s="185" t="s">
        <v>4</v>
      </c>
      <c r="AH134" s="139"/>
    </row>
    <row r="135" spans="1:34" ht="17.100000000000001" customHeight="1" x14ac:dyDescent="0.25">
      <c r="A135" s="308"/>
      <c r="B135" s="149"/>
      <c r="C135" s="173"/>
      <c r="D135" s="166"/>
      <c r="E135" s="312"/>
      <c r="G135" s="306"/>
      <c r="H135" s="162"/>
      <c r="I135" s="305"/>
      <c r="J135" s="353"/>
      <c r="K135" s="356"/>
      <c r="L135" s="318"/>
      <c r="M135" s="359"/>
      <c r="N135" s="168"/>
      <c r="O135" s="168"/>
      <c r="P135" s="321"/>
      <c r="Q135" s="175"/>
      <c r="Y135" s="72"/>
      <c r="Z135" s="170"/>
      <c r="AA135" s="159"/>
      <c r="AB135" s="171"/>
      <c r="AC135" s="172"/>
      <c r="AD135" s="185" t="s">
        <v>4</v>
      </c>
      <c r="AH135" s="139"/>
    </row>
    <row r="136" spans="1:34" ht="17.100000000000001" customHeight="1" x14ac:dyDescent="0.25">
      <c r="A136" s="308"/>
      <c r="B136" s="149"/>
      <c r="C136" s="176"/>
      <c r="D136" s="151"/>
      <c r="E136" s="312"/>
      <c r="F136" s="156"/>
      <c r="G136" s="306"/>
      <c r="H136" s="162"/>
      <c r="I136" s="305"/>
      <c r="J136" s="353"/>
      <c r="K136" s="356"/>
      <c r="L136" s="318"/>
      <c r="M136" s="359"/>
      <c r="N136" s="155"/>
      <c r="O136" s="155"/>
      <c r="P136" s="320"/>
      <c r="Q136" s="156"/>
      <c r="R136" s="152"/>
      <c r="S136" s="152"/>
      <c r="T136" s="152"/>
      <c r="U136" s="152"/>
      <c r="V136" s="152"/>
      <c r="W136" s="152"/>
      <c r="X136" s="152"/>
      <c r="Y136" s="157"/>
      <c r="Z136" s="158"/>
      <c r="AA136" s="159"/>
      <c r="AB136" s="160"/>
      <c r="AC136" s="161"/>
      <c r="AD136" s="185" t="s">
        <v>4</v>
      </c>
      <c r="AH136" s="139"/>
    </row>
    <row r="137" spans="1:34" ht="17.100000000000001" customHeight="1" x14ac:dyDescent="0.25">
      <c r="A137" s="308"/>
      <c r="B137" s="149"/>
      <c r="C137" s="173"/>
      <c r="D137" s="166"/>
      <c r="E137" s="312"/>
      <c r="G137" s="306"/>
      <c r="H137" s="162"/>
      <c r="I137" s="305"/>
      <c r="J137" s="353"/>
      <c r="K137" s="356"/>
      <c r="L137" s="318"/>
      <c r="M137" s="359"/>
      <c r="N137" s="168"/>
      <c r="O137" s="168"/>
      <c r="P137" s="321"/>
      <c r="Q137" s="175"/>
      <c r="Y137" s="72"/>
      <c r="Z137" s="170"/>
      <c r="AA137" s="159"/>
      <c r="AB137" s="171"/>
      <c r="AC137" s="172"/>
      <c r="AD137" s="185" t="s">
        <v>4</v>
      </c>
      <c r="AH137" s="139"/>
    </row>
    <row r="138" spans="1:34" ht="17.100000000000001" customHeight="1" x14ac:dyDescent="0.25">
      <c r="A138" s="308"/>
      <c r="B138" s="149"/>
      <c r="C138" s="173"/>
      <c r="D138" s="166"/>
      <c r="E138" s="312"/>
      <c r="G138" s="306"/>
      <c r="H138" s="162"/>
      <c r="I138" s="305"/>
      <c r="J138" s="353"/>
      <c r="K138" s="356"/>
      <c r="L138" s="318"/>
      <c r="M138" s="359"/>
      <c r="N138" s="168"/>
      <c r="O138" s="168"/>
      <c r="P138" s="321"/>
      <c r="Q138" s="175"/>
      <c r="Y138" s="72"/>
      <c r="Z138" s="170"/>
      <c r="AA138" s="159"/>
      <c r="AB138" s="171"/>
      <c r="AC138" s="172"/>
      <c r="AD138" s="185" t="s">
        <v>4</v>
      </c>
      <c r="AH138" s="139"/>
    </row>
    <row r="139" spans="1:34" ht="17.100000000000001" customHeight="1" x14ac:dyDescent="0.25">
      <c r="A139" s="308"/>
      <c r="B139" s="149"/>
      <c r="C139" s="173"/>
      <c r="D139" s="166"/>
      <c r="E139" s="312"/>
      <c r="G139" s="306"/>
      <c r="H139" s="162"/>
      <c r="I139" s="305"/>
      <c r="J139" s="353"/>
      <c r="K139" s="356"/>
      <c r="L139" s="318"/>
      <c r="M139" s="359"/>
      <c r="N139" s="168"/>
      <c r="O139" s="168"/>
      <c r="P139" s="321"/>
      <c r="Q139" s="175"/>
      <c r="Y139" s="72"/>
      <c r="Z139" s="170"/>
      <c r="AA139" s="159"/>
      <c r="AB139" s="171"/>
      <c r="AC139" s="172"/>
      <c r="AD139" s="185" t="s">
        <v>4</v>
      </c>
      <c r="AH139" s="139"/>
    </row>
    <row r="140" spans="1:34" ht="17.100000000000001" customHeight="1" x14ac:dyDescent="0.25">
      <c r="A140" s="308"/>
      <c r="B140" s="149"/>
      <c r="C140" s="173"/>
      <c r="D140" s="166"/>
      <c r="E140" s="312"/>
      <c r="G140" s="306"/>
      <c r="H140" s="162"/>
      <c r="I140" s="305"/>
      <c r="J140" s="353"/>
      <c r="K140" s="356"/>
      <c r="L140" s="318"/>
      <c r="M140" s="359"/>
      <c r="N140" s="168"/>
      <c r="O140" s="168"/>
      <c r="P140" s="321"/>
      <c r="Q140" s="156"/>
      <c r="Y140" s="72"/>
      <c r="Z140" s="170"/>
      <c r="AA140" s="159"/>
      <c r="AB140" s="171"/>
      <c r="AC140" s="172"/>
      <c r="AD140" s="185" t="s">
        <v>4</v>
      </c>
      <c r="AH140" s="139"/>
    </row>
    <row r="141" spans="1:34" ht="17.100000000000001" customHeight="1" x14ac:dyDescent="0.25">
      <c r="A141" s="308"/>
      <c r="B141" s="149"/>
      <c r="C141" s="173"/>
      <c r="D141" s="166"/>
      <c r="E141" s="312"/>
      <c r="G141" s="306"/>
      <c r="H141" s="162"/>
      <c r="I141" s="305"/>
      <c r="J141" s="353"/>
      <c r="K141" s="356"/>
      <c r="L141" s="318"/>
      <c r="M141" s="359"/>
      <c r="N141" s="168"/>
      <c r="O141" s="168"/>
      <c r="P141" s="321"/>
      <c r="Q141" s="156"/>
      <c r="Y141" s="72"/>
      <c r="Z141" s="170"/>
      <c r="AA141" s="159"/>
      <c r="AB141" s="171"/>
      <c r="AC141" s="172"/>
      <c r="AD141" s="185" t="s">
        <v>4</v>
      </c>
      <c r="AH141" s="139"/>
    </row>
    <row r="142" spans="1:34" ht="17.100000000000001" customHeight="1" x14ac:dyDescent="0.25">
      <c r="A142" s="308"/>
      <c r="B142" s="149"/>
      <c r="C142" s="173"/>
      <c r="D142" s="166"/>
      <c r="E142" s="312"/>
      <c r="G142" s="306"/>
      <c r="H142" s="162"/>
      <c r="I142" s="305"/>
      <c r="J142" s="353"/>
      <c r="K142" s="356"/>
      <c r="L142" s="318"/>
      <c r="M142" s="359"/>
      <c r="N142" s="168"/>
      <c r="O142" s="168"/>
      <c r="P142" s="321"/>
      <c r="Q142" s="156"/>
      <c r="Y142" s="72"/>
      <c r="Z142" s="170"/>
      <c r="AA142" s="159"/>
      <c r="AB142" s="171"/>
      <c r="AC142" s="172"/>
      <c r="AD142" s="185" t="s">
        <v>4</v>
      </c>
      <c r="AH142" s="139"/>
    </row>
    <row r="143" spans="1:34" ht="17.100000000000001" customHeight="1" x14ac:dyDescent="0.25">
      <c r="A143" s="308"/>
      <c r="B143" s="149"/>
      <c r="C143" s="173"/>
      <c r="D143" s="166"/>
      <c r="E143" s="312"/>
      <c r="G143" s="306"/>
      <c r="H143" s="162"/>
      <c r="I143" s="305"/>
      <c r="J143" s="353"/>
      <c r="K143" s="356"/>
      <c r="L143" s="318"/>
      <c r="M143" s="359"/>
      <c r="N143" s="168"/>
      <c r="O143" s="168"/>
      <c r="P143" s="321"/>
      <c r="Q143" s="175"/>
      <c r="Y143" s="72"/>
      <c r="Z143" s="170"/>
      <c r="AA143" s="159"/>
      <c r="AB143" s="171"/>
      <c r="AC143" s="172"/>
      <c r="AD143" s="185" t="s">
        <v>4</v>
      </c>
      <c r="AH143" s="139"/>
    </row>
    <row r="144" spans="1:34" ht="17.100000000000001" customHeight="1" x14ac:dyDescent="0.25">
      <c r="A144" s="308"/>
      <c r="B144" s="149"/>
      <c r="C144" s="173"/>
      <c r="D144" s="166"/>
      <c r="E144" s="312"/>
      <c r="G144" s="306"/>
      <c r="H144" s="162"/>
      <c r="I144" s="305"/>
      <c r="J144" s="353"/>
      <c r="K144" s="356"/>
      <c r="L144" s="318"/>
      <c r="M144" s="359"/>
      <c r="N144" s="168"/>
      <c r="O144" s="168"/>
      <c r="P144" s="321"/>
      <c r="Q144" s="175"/>
      <c r="Y144" s="72"/>
      <c r="Z144" s="170"/>
      <c r="AA144" s="159"/>
      <c r="AB144" s="160"/>
      <c r="AC144" s="172"/>
      <c r="AD144" s="185" t="s">
        <v>4</v>
      </c>
      <c r="AH144" s="139"/>
    </row>
    <row r="145" spans="1:34" ht="17.100000000000001" customHeight="1" x14ac:dyDescent="0.25">
      <c r="A145" s="308"/>
      <c r="B145" s="149"/>
      <c r="C145" s="173"/>
      <c r="D145" s="166"/>
      <c r="E145" s="312"/>
      <c r="G145" s="306"/>
      <c r="H145" s="162"/>
      <c r="I145" s="305"/>
      <c r="J145" s="353"/>
      <c r="K145" s="356"/>
      <c r="L145" s="318"/>
      <c r="M145" s="359"/>
      <c r="N145" s="168"/>
      <c r="O145" s="168"/>
      <c r="P145" s="321"/>
      <c r="Q145" s="175"/>
      <c r="Y145" s="72"/>
      <c r="Z145" s="170"/>
      <c r="AA145" s="159"/>
      <c r="AB145" s="160"/>
      <c r="AC145" s="172"/>
      <c r="AD145" s="185" t="s">
        <v>4</v>
      </c>
      <c r="AH145" s="139"/>
    </row>
    <row r="146" spans="1:34" ht="17.100000000000001" customHeight="1" x14ac:dyDescent="0.25">
      <c r="A146" s="308"/>
      <c r="B146" s="149"/>
      <c r="C146" s="173"/>
      <c r="D146" s="166"/>
      <c r="E146" s="312"/>
      <c r="G146" s="306"/>
      <c r="H146" s="162"/>
      <c r="I146" s="305"/>
      <c r="J146" s="353"/>
      <c r="K146" s="356"/>
      <c r="L146" s="318"/>
      <c r="M146" s="359"/>
      <c r="N146" s="168"/>
      <c r="O146" s="168"/>
      <c r="P146" s="321"/>
      <c r="Q146" s="175"/>
      <c r="Y146" s="72"/>
      <c r="Z146" s="170"/>
      <c r="AA146" s="159"/>
      <c r="AB146" s="160"/>
      <c r="AC146" s="172"/>
      <c r="AD146" s="185" t="s">
        <v>4</v>
      </c>
      <c r="AH146" s="139"/>
    </row>
    <row r="147" spans="1:34" ht="17.100000000000001" customHeight="1" x14ac:dyDescent="0.25">
      <c r="A147" s="308"/>
      <c r="B147" s="149"/>
      <c r="C147" s="173"/>
      <c r="D147" s="166"/>
      <c r="E147" s="312"/>
      <c r="G147" s="306"/>
      <c r="H147" s="162"/>
      <c r="I147" s="305"/>
      <c r="J147" s="353"/>
      <c r="K147" s="356"/>
      <c r="L147" s="318"/>
      <c r="M147" s="359"/>
      <c r="N147" s="168"/>
      <c r="O147" s="168"/>
      <c r="P147" s="321"/>
      <c r="Q147" s="175"/>
      <c r="Y147" s="72"/>
      <c r="Z147" s="170"/>
      <c r="AA147" s="159"/>
      <c r="AB147" s="160"/>
      <c r="AC147" s="172"/>
      <c r="AD147" s="185" t="s">
        <v>4</v>
      </c>
      <c r="AH147" s="139"/>
    </row>
    <row r="148" spans="1:34" ht="17.100000000000001" customHeight="1" x14ac:dyDescent="0.25">
      <c r="A148" s="308"/>
      <c r="B148" s="149"/>
      <c r="C148" s="173"/>
      <c r="D148" s="166"/>
      <c r="E148" s="312"/>
      <c r="G148" s="306"/>
      <c r="H148" s="162"/>
      <c r="I148" s="305"/>
      <c r="J148" s="353"/>
      <c r="K148" s="356"/>
      <c r="L148" s="318"/>
      <c r="M148" s="359"/>
      <c r="N148" s="168"/>
      <c r="O148" s="168"/>
      <c r="P148" s="321"/>
      <c r="Q148" s="175"/>
      <c r="Y148" s="72"/>
      <c r="Z148" s="170"/>
      <c r="AA148" s="159"/>
      <c r="AB148" s="160"/>
      <c r="AC148" s="172"/>
      <c r="AD148" s="185" t="s">
        <v>4</v>
      </c>
      <c r="AH148" s="139"/>
    </row>
    <row r="149" spans="1:34" ht="17.100000000000001" customHeight="1" x14ac:dyDescent="0.25">
      <c r="A149" s="308"/>
      <c r="B149" s="149"/>
      <c r="C149" s="173"/>
      <c r="D149" s="166"/>
      <c r="E149" s="312"/>
      <c r="G149" s="306"/>
      <c r="H149" s="162"/>
      <c r="I149" s="305"/>
      <c r="J149" s="353"/>
      <c r="K149" s="356"/>
      <c r="L149" s="318"/>
      <c r="M149" s="359"/>
      <c r="N149" s="168"/>
      <c r="O149" s="168"/>
      <c r="P149" s="321"/>
      <c r="Q149" s="175"/>
      <c r="Y149" s="72"/>
      <c r="Z149" s="170"/>
      <c r="AA149" s="159"/>
      <c r="AB149" s="160"/>
      <c r="AC149" s="172"/>
      <c r="AD149" s="185" t="s">
        <v>4</v>
      </c>
      <c r="AH149" s="139"/>
    </row>
    <row r="150" spans="1:34" ht="17.100000000000001" customHeight="1" x14ac:dyDescent="0.25">
      <c r="A150" s="308"/>
      <c r="B150" s="149"/>
      <c r="C150" s="173"/>
      <c r="D150" s="166"/>
      <c r="E150" s="312"/>
      <c r="G150" s="306"/>
      <c r="H150" s="162"/>
      <c r="I150" s="305"/>
      <c r="J150" s="353"/>
      <c r="K150" s="356"/>
      <c r="L150" s="318"/>
      <c r="M150" s="359"/>
      <c r="N150" s="168"/>
      <c r="O150" s="168"/>
      <c r="P150" s="321"/>
      <c r="Q150" s="175"/>
      <c r="Y150" s="72"/>
      <c r="Z150" s="170"/>
      <c r="AA150" s="159"/>
      <c r="AB150" s="160"/>
      <c r="AC150" s="172"/>
      <c r="AD150" s="185" t="s">
        <v>4</v>
      </c>
      <c r="AH150" s="139"/>
    </row>
    <row r="151" spans="1:34" ht="17.100000000000001" customHeight="1" x14ac:dyDescent="0.25">
      <c r="A151" s="308"/>
      <c r="B151" s="149"/>
      <c r="C151" s="173"/>
      <c r="D151" s="166"/>
      <c r="E151" s="312"/>
      <c r="G151" s="306"/>
      <c r="H151" s="162"/>
      <c r="I151" s="305"/>
      <c r="J151" s="353"/>
      <c r="K151" s="356"/>
      <c r="L151" s="318"/>
      <c r="M151" s="359"/>
      <c r="N151" s="168"/>
      <c r="O151" s="168"/>
      <c r="P151" s="321"/>
      <c r="Q151" s="175"/>
      <c r="Y151" s="72"/>
      <c r="Z151" s="170"/>
      <c r="AA151" s="159"/>
      <c r="AB151" s="160"/>
      <c r="AC151" s="172"/>
      <c r="AD151" s="185" t="s">
        <v>4</v>
      </c>
      <c r="AH151" s="139"/>
    </row>
    <row r="152" spans="1:34" ht="17.100000000000001" customHeight="1" x14ac:dyDescent="0.25">
      <c r="A152" s="308"/>
      <c r="B152" s="149"/>
      <c r="C152" s="173"/>
      <c r="D152" s="166"/>
      <c r="E152" s="312"/>
      <c r="G152" s="306"/>
      <c r="H152" s="162"/>
      <c r="I152" s="305"/>
      <c r="J152" s="353"/>
      <c r="K152" s="356"/>
      <c r="L152" s="318"/>
      <c r="M152" s="359"/>
      <c r="N152" s="168"/>
      <c r="O152" s="168"/>
      <c r="P152" s="321"/>
      <c r="Q152" s="175"/>
      <c r="Y152" s="72"/>
      <c r="Z152" s="170"/>
      <c r="AA152" s="159"/>
      <c r="AB152" s="160"/>
      <c r="AC152" s="172"/>
      <c r="AD152" s="185" t="s">
        <v>4</v>
      </c>
      <c r="AH152" s="139"/>
    </row>
    <row r="153" spans="1:34" ht="17.100000000000001" customHeight="1" x14ac:dyDescent="0.25">
      <c r="A153" s="308"/>
      <c r="B153" s="149"/>
      <c r="C153" s="173"/>
      <c r="D153" s="166"/>
      <c r="E153" s="312"/>
      <c r="G153" s="306"/>
      <c r="H153" s="162"/>
      <c r="I153" s="305"/>
      <c r="J153" s="353"/>
      <c r="K153" s="356"/>
      <c r="L153" s="318"/>
      <c r="M153" s="359"/>
      <c r="N153" s="168"/>
      <c r="O153" s="168"/>
      <c r="P153" s="321"/>
      <c r="Q153" s="175"/>
      <c r="Y153" s="72"/>
      <c r="Z153" s="170"/>
      <c r="AA153" s="159"/>
      <c r="AB153" s="160"/>
      <c r="AC153" s="172"/>
      <c r="AD153" s="185" t="s">
        <v>4</v>
      </c>
      <c r="AH153" s="139"/>
    </row>
    <row r="154" spans="1:34" ht="17.100000000000001" customHeight="1" x14ac:dyDescent="0.25">
      <c r="A154" s="308"/>
      <c r="B154" s="149"/>
      <c r="C154" s="173"/>
      <c r="D154" s="166"/>
      <c r="E154" s="312"/>
      <c r="G154" s="306"/>
      <c r="H154" s="162"/>
      <c r="I154" s="305"/>
      <c r="J154" s="353"/>
      <c r="K154" s="356"/>
      <c r="L154" s="318"/>
      <c r="M154" s="359"/>
      <c r="N154" s="168"/>
      <c r="O154" s="168"/>
      <c r="P154" s="321"/>
      <c r="Q154" s="175"/>
      <c r="Y154" s="72"/>
      <c r="Z154" s="170"/>
      <c r="AA154" s="159"/>
      <c r="AB154" s="171"/>
      <c r="AC154" s="172"/>
      <c r="AD154" s="185" t="s">
        <v>4</v>
      </c>
      <c r="AH154" s="139"/>
    </row>
    <row r="155" spans="1:34" ht="17.100000000000001" customHeight="1" x14ac:dyDescent="0.25">
      <c r="A155" s="308"/>
      <c r="B155" s="149"/>
      <c r="C155" s="173"/>
      <c r="D155" s="166"/>
      <c r="E155" s="312"/>
      <c r="G155" s="306"/>
      <c r="H155" s="162"/>
      <c r="I155" s="305"/>
      <c r="J155" s="353"/>
      <c r="K155" s="356"/>
      <c r="L155" s="318"/>
      <c r="M155" s="359"/>
      <c r="N155" s="168"/>
      <c r="O155" s="168"/>
      <c r="P155" s="321"/>
      <c r="Q155" s="175"/>
      <c r="Y155" s="72"/>
      <c r="Z155" s="170"/>
      <c r="AA155" s="159"/>
      <c r="AB155" s="160"/>
      <c r="AC155" s="172"/>
      <c r="AD155" s="185" t="s">
        <v>4</v>
      </c>
      <c r="AH155" s="139"/>
    </row>
    <row r="156" spans="1:34" ht="17.100000000000001" customHeight="1" x14ac:dyDescent="0.25">
      <c r="A156" s="308"/>
      <c r="B156" s="149"/>
      <c r="C156" s="173"/>
      <c r="D156" s="166"/>
      <c r="E156" s="312"/>
      <c r="G156" s="306"/>
      <c r="H156" s="162"/>
      <c r="I156" s="305"/>
      <c r="J156" s="353"/>
      <c r="K156" s="356"/>
      <c r="L156" s="318"/>
      <c r="M156" s="359"/>
      <c r="N156" s="168"/>
      <c r="O156" s="168"/>
      <c r="P156" s="321"/>
      <c r="Q156" s="175"/>
      <c r="Y156" s="72"/>
      <c r="Z156" s="170"/>
      <c r="AA156" s="159"/>
      <c r="AB156" s="171"/>
      <c r="AC156" s="172"/>
      <c r="AD156" s="185" t="s">
        <v>4</v>
      </c>
      <c r="AH156" s="139"/>
    </row>
    <row r="157" spans="1:34" ht="17.100000000000001" customHeight="1" x14ac:dyDescent="0.25">
      <c r="A157" s="308"/>
      <c r="B157" s="149"/>
      <c r="C157" s="173"/>
      <c r="D157" s="166"/>
      <c r="E157" s="312"/>
      <c r="G157" s="306"/>
      <c r="H157" s="162"/>
      <c r="I157" s="305"/>
      <c r="J157" s="353"/>
      <c r="K157" s="356"/>
      <c r="L157" s="318"/>
      <c r="M157" s="359"/>
      <c r="N157" s="168"/>
      <c r="O157" s="168"/>
      <c r="P157" s="321"/>
      <c r="Q157" s="175"/>
      <c r="Y157" s="72"/>
      <c r="Z157" s="170"/>
      <c r="AA157" s="159"/>
      <c r="AB157" s="171"/>
      <c r="AC157" s="172"/>
      <c r="AD157" s="185" t="s">
        <v>4</v>
      </c>
      <c r="AH157" s="139"/>
    </row>
    <row r="158" spans="1:34" ht="17.100000000000001" customHeight="1" x14ac:dyDescent="0.25">
      <c r="A158" s="308"/>
      <c r="B158" s="149"/>
      <c r="C158" s="173"/>
      <c r="D158" s="166"/>
      <c r="E158" s="312"/>
      <c r="G158" s="306"/>
      <c r="H158" s="162"/>
      <c r="I158" s="305"/>
      <c r="J158" s="353"/>
      <c r="K158" s="356"/>
      <c r="L158" s="318"/>
      <c r="M158" s="359"/>
      <c r="N158" s="168"/>
      <c r="O158" s="168"/>
      <c r="P158" s="321"/>
      <c r="Q158" s="175"/>
      <c r="Y158" s="72"/>
      <c r="Z158" s="170"/>
      <c r="AA158" s="159"/>
      <c r="AB158" s="171"/>
      <c r="AC158" s="172"/>
      <c r="AD158" s="185" t="s">
        <v>4</v>
      </c>
      <c r="AH158" s="139"/>
    </row>
    <row r="159" spans="1:34" ht="17.100000000000001" customHeight="1" x14ac:dyDescent="0.25">
      <c r="A159" s="308"/>
      <c r="B159" s="149"/>
      <c r="C159" s="176"/>
      <c r="D159" s="151"/>
      <c r="E159" s="312"/>
      <c r="F159" s="156"/>
      <c r="G159" s="306"/>
      <c r="H159" s="162"/>
      <c r="I159" s="305"/>
      <c r="J159" s="353"/>
      <c r="K159" s="356"/>
      <c r="L159" s="318"/>
      <c r="M159" s="359"/>
      <c r="N159" s="155"/>
      <c r="O159" s="155"/>
      <c r="P159" s="320"/>
      <c r="Q159" s="156"/>
      <c r="R159" s="152"/>
      <c r="S159" s="152"/>
      <c r="T159" s="152"/>
      <c r="U159" s="152"/>
      <c r="V159" s="152"/>
      <c r="W159" s="152"/>
      <c r="X159" s="152"/>
      <c r="Y159" s="157"/>
      <c r="Z159" s="158"/>
      <c r="AA159" s="159"/>
      <c r="AB159" s="160"/>
      <c r="AC159" s="161"/>
      <c r="AD159" s="185" t="s">
        <v>4</v>
      </c>
      <c r="AH159" s="139"/>
    </row>
    <row r="160" spans="1:34" ht="17.100000000000001" customHeight="1" x14ac:dyDescent="0.25">
      <c r="A160" s="308"/>
      <c r="B160" s="149"/>
      <c r="C160" s="173"/>
      <c r="D160" s="166"/>
      <c r="E160" s="312"/>
      <c r="G160" s="306"/>
      <c r="H160" s="162"/>
      <c r="I160" s="305"/>
      <c r="J160" s="353"/>
      <c r="K160" s="356"/>
      <c r="L160" s="318"/>
      <c r="M160" s="359"/>
      <c r="N160" s="168"/>
      <c r="O160" s="168"/>
      <c r="P160" s="321"/>
      <c r="Q160" s="175"/>
      <c r="Y160" s="72"/>
      <c r="Z160" s="170"/>
      <c r="AA160" s="159"/>
      <c r="AB160" s="171"/>
      <c r="AC160" s="172"/>
      <c r="AD160" s="185" t="s">
        <v>4</v>
      </c>
      <c r="AH160" s="139"/>
    </row>
    <row r="161" spans="1:34" ht="17.100000000000001" customHeight="1" x14ac:dyDescent="0.25">
      <c r="A161" s="308"/>
      <c r="B161" s="149"/>
      <c r="C161" s="173"/>
      <c r="D161" s="166"/>
      <c r="E161" s="312"/>
      <c r="G161" s="306"/>
      <c r="H161" s="162"/>
      <c r="I161" s="305"/>
      <c r="J161" s="353"/>
      <c r="K161" s="356"/>
      <c r="L161" s="318"/>
      <c r="M161" s="359"/>
      <c r="N161" s="168"/>
      <c r="O161" s="168"/>
      <c r="P161" s="321"/>
      <c r="Q161" s="175"/>
      <c r="R161" s="175"/>
      <c r="Y161" s="72"/>
      <c r="Z161" s="170"/>
      <c r="AA161" s="159"/>
      <c r="AB161" s="171"/>
      <c r="AC161" s="172"/>
      <c r="AD161" s="185" t="s">
        <v>4</v>
      </c>
      <c r="AH161" s="139"/>
    </row>
    <row r="162" spans="1:34" ht="17.100000000000001" customHeight="1" x14ac:dyDescent="0.25">
      <c r="A162" s="308"/>
      <c r="B162" s="149"/>
      <c r="C162" s="173"/>
      <c r="D162" s="166"/>
      <c r="E162" s="312"/>
      <c r="G162" s="306"/>
      <c r="H162" s="162"/>
      <c r="I162" s="305"/>
      <c r="J162" s="353"/>
      <c r="K162" s="356"/>
      <c r="L162" s="318"/>
      <c r="M162" s="359"/>
      <c r="N162" s="168"/>
      <c r="O162" s="168"/>
      <c r="P162" s="321"/>
      <c r="Q162" s="156"/>
      <c r="R162" s="175"/>
      <c r="Y162" s="72"/>
      <c r="Z162" s="170"/>
      <c r="AA162" s="159"/>
      <c r="AB162" s="171"/>
      <c r="AC162" s="172"/>
      <c r="AD162" s="185" t="s">
        <v>4</v>
      </c>
      <c r="AH162" s="139"/>
    </row>
    <row r="163" spans="1:34" ht="17.100000000000001" customHeight="1" x14ac:dyDescent="0.25">
      <c r="A163" s="308"/>
      <c r="B163" s="149"/>
      <c r="C163" s="173"/>
      <c r="D163" s="166"/>
      <c r="E163" s="312"/>
      <c r="G163" s="306"/>
      <c r="H163" s="162"/>
      <c r="I163" s="305"/>
      <c r="J163" s="353"/>
      <c r="K163" s="356"/>
      <c r="L163" s="318"/>
      <c r="M163" s="359"/>
      <c r="N163" s="168"/>
      <c r="O163" s="168"/>
      <c r="P163" s="321"/>
      <c r="Q163" s="175"/>
      <c r="Y163" s="72"/>
      <c r="Z163" s="170"/>
      <c r="AA163" s="159"/>
      <c r="AB163" s="171"/>
      <c r="AC163" s="172"/>
      <c r="AD163" s="185" t="s">
        <v>4</v>
      </c>
      <c r="AH163" s="139"/>
    </row>
    <row r="164" spans="1:34" ht="17.100000000000001" customHeight="1" x14ac:dyDescent="0.25">
      <c r="A164" s="308"/>
      <c r="B164" s="149"/>
      <c r="C164" s="173"/>
      <c r="D164" s="166"/>
      <c r="E164" s="312"/>
      <c r="G164" s="306"/>
      <c r="H164" s="162"/>
      <c r="I164" s="305"/>
      <c r="J164" s="353"/>
      <c r="K164" s="356"/>
      <c r="L164" s="318"/>
      <c r="M164" s="359"/>
      <c r="N164" s="168"/>
      <c r="O164" s="168"/>
      <c r="P164" s="321"/>
      <c r="Q164" s="175"/>
      <c r="Y164" s="72"/>
      <c r="Z164" s="170"/>
      <c r="AA164" s="159"/>
      <c r="AB164" s="171"/>
      <c r="AC164" s="172"/>
      <c r="AD164" s="185" t="s">
        <v>4</v>
      </c>
      <c r="AH164" s="139"/>
    </row>
    <row r="165" spans="1:34" ht="17.100000000000001" customHeight="1" x14ac:dyDescent="0.25">
      <c r="A165" s="308"/>
      <c r="B165" s="149"/>
      <c r="C165" s="173"/>
      <c r="D165" s="166"/>
      <c r="E165" s="312"/>
      <c r="G165" s="306"/>
      <c r="H165" s="162"/>
      <c r="I165" s="305"/>
      <c r="J165" s="353"/>
      <c r="K165" s="356"/>
      <c r="L165" s="318"/>
      <c r="M165" s="359"/>
      <c r="N165" s="168"/>
      <c r="O165" s="168"/>
      <c r="P165" s="321"/>
      <c r="Q165" s="175"/>
      <c r="Y165" s="72"/>
      <c r="Z165" s="170"/>
      <c r="AA165" s="159"/>
      <c r="AB165" s="171"/>
      <c r="AC165" s="172"/>
      <c r="AD165" s="185" t="s">
        <v>4</v>
      </c>
      <c r="AH165" s="139"/>
    </row>
    <row r="166" spans="1:34" ht="17.100000000000001" customHeight="1" x14ac:dyDescent="0.25">
      <c r="A166" s="308"/>
      <c r="B166" s="149"/>
      <c r="C166" s="173"/>
      <c r="D166" s="166"/>
      <c r="E166" s="312"/>
      <c r="G166" s="306"/>
      <c r="H166" s="162"/>
      <c r="I166" s="305"/>
      <c r="J166" s="353"/>
      <c r="K166" s="356"/>
      <c r="L166" s="318"/>
      <c r="M166" s="359"/>
      <c r="N166" s="168"/>
      <c r="O166" s="168"/>
      <c r="P166" s="321"/>
      <c r="Q166" s="175"/>
      <c r="Y166" s="72"/>
      <c r="Z166" s="170"/>
      <c r="AA166" s="159"/>
      <c r="AB166" s="171"/>
      <c r="AC166" s="172"/>
      <c r="AD166" s="185" t="s">
        <v>4</v>
      </c>
      <c r="AH166" s="139"/>
    </row>
    <row r="167" spans="1:34" ht="17.100000000000001" customHeight="1" x14ac:dyDescent="0.25">
      <c r="A167" s="308"/>
      <c r="B167" s="149"/>
      <c r="C167" s="176"/>
      <c r="D167" s="151"/>
      <c r="E167" s="312"/>
      <c r="F167" s="156"/>
      <c r="G167" s="306"/>
      <c r="H167" s="162"/>
      <c r="I167" s="305"/>
      <c r="J167" s="353"/>
      <c r="K167" s="356"/>
      <c r="L167" s="318"/>
      <c r="M167" s="359"/>
      <c r="N167" s="155"/>
      <c r="O167" s="155"/>
      <c r="P167" s="320"/>
      <c r="Q167" s="156"/>
      <c r="R167" s="152"/>
      <c r="S167" s="152"/>
      <c r="T167" s="152"/>
      <c r="U167" s="152"/>
      <c r="V167" s="152"/>
      <c r="W167" s="152"/>
      <c r="X167" s="152"/>
      <c r="Y167" s="157"/>
      <c r="Z167" s="158"/>
      <c r="AA167" s="159"/>
      <c r="AB167" s="160"/>
      <c r="AC167" s="161"/>
      <c r="AD167" s="185" t="s">
        <v>4</v>
      </c>
      <c r="AH167" s="139"/>
    </row>
    <row r="168" spans="1:34" ht="17.100000000000001" customHeight="1" x14ac:dyDescent="0.25">
      <c r="A168" s="308"/>
      <c r="B168" s="149"/>
      <c r="C168" s="173"/>
      <c r="D168" s="166"/>
      <c r="E168" s="312"/>
      <c r="G168" s="306"/>
      <c r="H168" s="162"/>
      <c r="I168" s="305"/>
      <c r="J168" s="353"/>
      <c r="K168" s="356"/>
      <c r="L168" s="318"/>
      <c r="M168" s="359"/>
      <c r="N168" s="168"/>
      <c r="O168" s="168"/>
      <c r="P168" s="321"/>
      <c r="Q168" s="175"/>
      <c r="Y168" s="72"/>
      <c r="Z168" s="170"/>
      <c r="AA168" s="159"/>
      <c r="AB168" s="171"/>
      <c r="AC168" s="172"/>
      <c r="AD168" s="185" t="s">
        <v>4</v>
      </c>
      <c r="AH168" s="139"/>
    </row>
    <row r="169" spans="1:34" ht="17.100000000000001" customHeight="1" x14ac:dyDescent="0.25">
      <c r="A169" s="308"/>
      <c r="B169" s="149"/>
      <c r="C169" s="173"/>
      <c r="D169" s="166"/>
      <c r="E169" s="312"/>
      <c r="G169" s="306"/>
      <c r="H169" s="162"/>
      <c r="I169" s="305"/>
      <c r="J169" s="353"/>
      <c r="K169" s="356"/>
      <c r="L169" s="318"/>
      <c r="M169" s="359"/>
      <c r="N169" s="168"/>
      <c r="O169" s="168"/>
      <c r="P169" s="321"/>
      <c r="Q169" s="175"/>
      <c r="Y169" s="72"/>
      <c r="Z169" s="170"/>
      <c r="AA169" s="159"/>
      <c r="AB169" s="171"/>
      <c r="AC169" s="172"/>
      <c r="AD169" s="185" t="s">
        <v>4</v>
      </c>
      <c r="AH169" s="139"/>
    </row>
    <row r="170" spans="1:34" ht="17.100000000000001" customHeight="1" x14ac:dyDescent="0.25">
      <c r="A170" s="308"/>
      <c r="B170" s="149"/>
      <c r="C170" s="173"/>
      <c r="D170" s="166"/>
      <c r="E170" s="312"/>
      <c r="G170" s="306"/>
      <c r="H170" s="162"/>
      <c r="I170" s="305"/>
      <c r="J170" s="353"/>
      <c r="K170" s="356"/>
      <c r="L170" s="318"/>
      <c r="M170" s="359"/>
      <c r="N170" s="168"/>
      <c r="O170" s="168"/>
      <c r="P170" s="321"/>
      <c r="Q170" s="175"/>
      <c r="Y170" s="72"/>
      <c r="Z170" s="170"/>
      <c r="AA170" s="159"/>
      <c r="AB170" s="171"/>
      <c r="AC170" s="172"/>
      <c r="AD170" s="185" t="s">
        <v>4</v>
      </c>
      <c r="AH170" s="139"/>
    </row>
    <row r="171" spans="1:34" ht="17.100000000000001" customHeight="1" x14ac:dyDescent="0.25">
      <c r="A171" s="308"/>
      <c r="B171" s="149"/>
      <c r="C171" s="173"/>
      <c r="D171" s="166"/>
      <c r="E171" s="312"/>
      <c r="G171" s="306"/>
      <c r="H171" s="162"/>
      <c r="I171" s="305"/>
      <c r="J171" s="353"/>
      <c r="K171" s="356"/>
      <c r="L171" s="318"/>
      <c r="M171" s="359"/>
      <c r="N171" s="168"/>
      <c r="O171" s="168"/>
      <c r="P171" s="321"/>
      <c r="Q171" s="175"/>
      <c r="Y171" s="72"/>
      <c r="Z171" s="170"/>
      <c r="AA171" s="159"/>
      <c r="AB171" s="171"/>
      <c r="AC171" s="172"/>
      <c r="AD171" s="185" t="s">
        <v>4</v>
      </c>
      <c r="AH171" s="139"/>
    </row>
    <row r="172" spans="1:34" ht="17.100000000000001" customHeight="1" x14ac:dyDescent="0.25">
      <c r="A172" s="308"/>
      <c r="B172" s="149"/>
      <c r="C172" s="173"/>
      <c r="D172" s="166"/>
      <c r="E172" s="312"/>
      <c r="G172" s="306"/>
      <c r="H172" s="162"/>
      <c r="I172" s="305"/>
      <c r="J172" s="353"/>
      <c r="K172" s="356"/>
      <c r="L172" s="318"/>
      <c r="M172" s="359"/>
      <c r="N172" s="168"/>
      <c r="O172" s="168"/>
      <c r="P172" s="321"/>
      <c r="Q172" s="175"/>
      <c r="Y172" s="72"/>
      <c r="Z172" s="170"/>
      <c r="AA172" s="159"/>
      <c r="AB172" s="171"/>
      <c r="AC172" s="172"/>
      <c r="AD172" s="185" t="s">
        <v>4</v>
      </c>
      <c r="AH172" s="139"/>
    </row>
    <row r="173" spans="1:34" ht="17.100000000000001" customHeight="1" x14ac:dyDescent="0.25">
      <c r="A173" s="308"/>
      <c r="B173" s="149"/>
      <c r="C173" s="173"/>
      <c r="D173" s="166"/>
      <c r="E173" s="312"/>
      <c r="G173" s="306"/>
      <c r="H173" s="162"/>
      <c r="I173" s="305"/>
      <c r="J173" s="353"/>
      <c r="K173" s="356"/>
      <c r="L173" s="318"/>
      <c r="M173" s="359"/>
      <c r="N173" s="168"/>
      <c r="O173" s="168"/>
      <c r="P173" s="321"/>
      <c r="Q173" s="175"/>
      <c r="Y173" s="72"/>
      <c r="Z173" s="170"/>
      <c r="AA173" s="159"/>
      <c r="AB173" s="171"/>
      <c r="AC173" s="172"/>
      <c r="AD173" s="185" t="s">
        <v>4</v>
      </c>
      <c r="AH173" s="139"/>
    </row>
    <row r="174" spans="1:34" ht="17.100000000000001" customHeight="1" x14ac:dyDescent="0.25">
      <c r="A174" s="308"/>
      <c r="B174" s="149"/>
      <c r="C174" s="173"/>
      <c r="D174" s="166"/>
      <c r="E174" s="312"/>
      <c r="G174" s="306"/>
      <c r="H174" s="162"/>
      <c r="I174" s="305"/>
      <c r="J174" s="353"/>
      <c r="K174" s="356"/>
      <c r="L174" s="318"/>
      <c r="M174" s="359"/>
      <c r="N174" s="168"/>
      <c r="O174" s="168"/>
      <c r="P174" s="321"/>
      <c r="Q174" s="175"/>
      <c r="Y174" s="72"/>
      <c r="Z174" s="170"/>
      <c r="AA174" s="159"/>
      <c r="AB174" s="171"/>
      <c r="AC174" s="172"/>
      <c r="AD174" s="185" t="s">
        <v>4</v>
      </c>
      <c r="AH174" s="139"/>
    </row>
    <row r="175" spans="1:34" ht="17.100000000000001" customHeight="1" x14ac:dyDescent="0.25">
      <c r="A175" s="308"/>
      <c r="B175" s="149"/>
      <c r="C175" s="173"/>
      <c r="D175" s="166"/>
      <c r="E175" s="312"/>
      <c r="G175" s="306"/>
      <c r="H175" s="162"/>
      <c r="I175" s="305"/>
      <c r="J175" s="353"/>
      <c r="K175" s="356"/>
      <c r="L175" s="318"/>
      <c r="M175" s="359"/>
      <c r="N175" s="168"/>
      <c r="O175" s="168"/>
      <c r="P175" s="321"/>
      <c r="Q175" s="175"/>
      <c r="Y175" s="72"/>
      <c r="Z175" s="170"/>
      <c r="AA175" s="159"/>
      <c r="AB175" s="171"/>
      <c r="AC175" s="172"/>
      <c r="AD175" s="185" t="s">
        <v>4</v>
      </c>
      <c r="AH175" s="139"/>
    </row>
    <row r="176" spans="1:34" ht="17.100000000000001" customHeight="1" x14ac:dyDescent="0.25">
      <c r="A176" s="308"/>
      <c r="B176" s="149"/>
      <c r="C176" s="173"/>
      <c r="D176" s="166"/>
      <c r="E176" s="312"/>
      <c r="G176" s="306"/>
      <c r="H176" s="162"/>
      <c r="I176" s="305"/>
      <c r="J176" s="353"/>
      <c r="K176" s="356"/>
      <c r="L176" s="318"/>
      <c r="M176" s="359"/>
      <c r="N176" s="168"/>
      <c r="O176" s="168"/>
      <c r="P176" s="321"/>
      <c r="Q176" s="175"/>
      <c r="Y176" s="72"/>
      <c r="Z176" s="170"/>
      <c r="AA176" s="159"/>
      <c r="AB176" s="171"/>
      <c r="AC176" s="172"/>
      <c r="AD176" s="185" t="s">
        <v>4</v>
      </c>
      <c r="AH176" s="139"/>
    </row>
    <row r="177" spans="1:34" ht="17.100000000000001" customHeight="1" x14ac:dyDescent="0.25">
      <c r="A177" s="308"/>
      <c r="B177" s="149"/>
      <c r="C177" s="173"/>
      <c r="D177" s="166"/>
      <c r="E177" s="312"/>
      <c r="G177" s="306"/>
      <c r="H177" s="162"/>
      <c r="I177" s="305"/>
      <c r="J177" s="353"/>
      <c r="K177" s="356"/>
      <c r="L177" s="318"/>
      <c r="M177" s="359"/>
      <c r="N177" s="168"/>
      <c r="O177" s="168"/>
      <c r="P177" s="321"/>
      <c r="Q177" s="175"/>
      <c r="Y177" s="72"/>
      <c r="Z177" s="170"/>
      <c r="AA177" s="159"/>
      <c r="AB177" s="171"/>
      <c r="AC177" s="172"/>
      <c r="AD177" s="185" t="s">
        <v>4</v>
      </c>
      <c r="AH177" s="139"/>
    </row>
    <row r="178" spans="1:34" ht="17.100000000000001" customHeight="1" x14ac:dyDescent="0.25">
      <c r="A178" s="308"/>
      <c r="B178" s="149"/>
      <c r="C178" s="173"/>
      <c r="D178" s="166"/>
      <c r="E178" s="312"/>
      <c r="G178" s="306"/>
      <c r="H178" s="162"/>
      <c r="I178" s="305"/>
      <c r="J178" s="353"/>
      <c r="K178" s="356"/>
      <c r="L178" s="318"/>
      <c r="M178" s="359"/>
      <c r="N178" s="168"/>
      <c r="O178" s="168"/>
      <c r="P178" s="321"/>
      <c r="Q178" s="175"/>
      <c r="Y178" s="72"/>
      <c r="Z178" s="170"/>
      <c r="AA178" s="159"/>
      <c r="AB178" s="171"/>
      <c r="AC178" s="172"/>
      <c r="AD178" s="185" t="s">
        <v>4</v>
      </c>
      <c r="AH178" s="139"/>
    </row>
    <row r="179" spans="1:34" ht="17.100000000000001" customHeight="1" x14ac:dyDescent="0.25">
      <c r="A179" s="308"/>
      <c r="B179" s="149"/>
      <c r="C179" s="176"/>
      <c r="D179" s="151"/>
      <c r="E179" s="312"/>
      <c r="F179" s="156"/>
      <c r="G179" s="306"/>
      <c r="H179" s="162"/>
      <c r="I179" s="305"/>
      <c r="J179" s="353"/>
      <c r="K179" s="356"/>
      <c r="L179" s="318"/>
      <c r="M179" s="359"/>
      <c r="N179" s="155"/>
      <c r="O179" s="155"/>
      <c r="P179" s="320"/>
      <c r="Q179" s="156"/>
      <c r="R179" s="156"/>
      <c r="S179" s="152"/>
      <c r="T179" s="152"/>
      <c r="U179" s="152"/>
      <c r="V179" s="152"/>
      <c r="W179" s="152"/>
      <c r="X179" s="152"/>
      <c r="Y179" s="157"/>
      <c r="Z179" s="158"/>
      <c r="AA179" s="159"/>
      <c r="AB179" s="160"/>
      <c r="AC179" s="161"/>
      <c r="AD179" s="185" t="s">
        <v>4</v>
      </c>
      <c r="AH179" s="139"/>
    </row>
    <row r="180" spans="1:34" ht="17.100000000000001" customHeight="1" x14ac:dyDescent="0.25">
      <c r="A180" s="308"/>
      <c r="B180" s="149"/>
      <c r="C180" s="173"/>
      <c r="D180" s="166"/>
      <c r="E180" s="312"/>
      <c r="G180" s="306"/>
      <c r="H180" s="162"/>
      <c r="I180" s="305"/>
      <c r="J180" s="353"/>
      <c r="K180" s="356"/>
      <c r="L180" s="318"/>
      <c r="M180" s="359"/>
      <c r="N180" s="168"/>
      <c r="O180" s="168"/>
      <c r="P180" s="321"/>
      <c r="Q180" s="175"/>
      <c r="R180" s="175"/>
      <c r="Y180" s="72"/>
      <c r="Z180" s="170"/>
      <c r="AA180" s="159"/>
      <c r="AB180" s="171"/>
      <c r="AC180" s="172"/>
      <c r="AD180" s="185" t="s">
        <v>4</v>
      </c>
      <c r="AH180" s="139"/>
    </row>
    <row r="181" spans="1:34" ht="17.100000000000001" customHeight="1" x14ac:dyDescent="0.25">
      <c r="A181" s="308"/>
      <c r="B181" s="149"/>
      <c r="C181" s="173"/>
      <c r="D181" s="166"/>
      <c r="E181" s="312"/>
      <c r="G181" s="306"/>
      <c r="H181" s="162"/>
      <c r="I181" s="305"/>
      <c r="J181" s="353"/>
      <c r="K181" s="356"/>
      <c r="L181" s="318"/>
      <c r="M181" s="359"/>
      <c r="N181" s="168"/>
      <c r="O181" s="168"/>
      <c r="P181" s="321"/>
      <c r="Q181" s="175"/>
      <c r="Y181" s="72"/>
      <c r="Z181" s="170"/>
      <c r="AA181" s="159"/>
      <c r="AB181" s="171"/>
      <c r="AC181" s="172"/>
      <c r="AD181" s="185" t="s">
        <v>4</v>
      </c>
      <c r="AH181" s="139"/>
    </row>
    <row r="182" spans="1:34" ht="17.100000000000001" customHeight="1" x14ac:dyDescent="0.25">
      <c r="A182" s="308"/>
      <c r="B182" s="149"/>
      <c r="C182" s="173"/>
      <c r="D182" s="166"/>
      <c r="E182" s="312"/>
      <c r="G182" s="306"/>
      <c r="H182" s="162"/>
      <c r="I182" s="305"/>
      <c r="J182" s="353"/>
      <c r="K182" s="356"/>
      <c r="L182" s="318"/>
      <c r="M182" s="359"/>
      <c r="N182" s="168"/>
      <c r="O182" s="168"/>
      <c r="P182" s="321"/>
      <c r="Q182" s="175"/>
      <c r="Y182" s="72"/>
      <c r="Z182" s="170"/>
      <c r="AA182" s="159"/>
      <c r="AB182" s="171"/>
      <c r="AC182" s="172"/>
      <c r="AD182" s="185" t="s">
        <v>4</v>
      </c>
      <c r="AH182" s="139"/>
    </row>
    <row r="183" spans="1:34" ht="17.100000000000001" customHeight="1" x14ac:dyDescent="0.25">
      <c r="A183" s="308"/>
      <c r="B183" s="149"/>
      <c r="C183" s="173"/>
      <c r="D183" s="166"/>
      <c r="E183" s="312"/>
      <c r="G183" s="306"/>
      <c r="H183" s="162"/>
      <c r="I183" s="305"/>
      <c r="J183" s="353"/>
      <c r="K183" s="356"/>
      <c r="L183" s="318"/>
      <c r="M183" s="359"/>
      <c r="N183" s="168"/>
      <c r="O183" s="168"/>
      <c r="P183" s="321"/>
      <c r="Q183" s="175"/>
      <c r="Y183" s="72"/>
      <c r="Z183" s="170"/>
      <c r="AA183" s="159"/>
      <c r="AB183" s="171"/>
      <c r="AC183" s="172"/>
      <c r="AD183" s="185" t="s">
        <v>4</v>
      </c>
      <c r="AH183" s="139"/>
    </row>
    <row r="184" spans="1:34" ht="17.100000000000001" customHeight="1" x14ac:dyDescent="0.25">
      <c r="A184" s="308"/>
      <c r="B184" s="149"/>
      <c r="C184" s="173"/>
      <c r="D184" s="166"/>
      <c r="E184" s="312"/>
      <c r="G184" s="306"/>
      <c r="H184" s="162"/>
      <c r="I184" s="305"/>
      <c r="J184" s="353"/>
      <c r="K184" s="356"/>
      <c r="L184" s="318"/>
      <c r="M184" s="359"/>
      <c r="N184" s="168"/>
      <c r="O184" s="168"/>
      <c r="P184" s="321"/>
      <c r="Q184" s="175"/>
      <c r="Y184" s="72"/>
      <c r="Z184" s="170"/>
      <c r="AA184" s="159"/>
      <c r="AB184" s="171"/>
      <c r="AC184" s="172"/>
      <c r="AD184" s="185" t="s">
        <v>4</v>
      </c>
      <c r="AH184" s="139"/>
    </row>
    <row r="185" spans="1:34" ht="17.100000000000001" customHeight="1" x14ac:dyDescent="0.25">
      <c r="A185" s="308"/>
      <c r="B185" s="149"/>
      <c r="C185" s="173"/>
      <c r="D185" s="166"/>
      <c r="E185" s="312"/>
      <c r="G185" s="306"/>
      <c r="H185" s="162"/>
      <c r="I185" s="305"/>
      <c r="J185" s="353"/>
      <c r="K185" s="356"/>
      <c r="L185" s="318"/>
      <c r="M185" s="359"/>
      <c r="N185" s="168"/>
      <c r="O185" s="168"/>
      <c r="P185" s="321"/>
      <c r="Q185" s="175"/>
      <c r="Y185" s="72"/>
      <c r="Z185" s="170"/>
      <c r="AA185" s="159"/>
      <c r="AB185" s="171"/>
      <c r="AC185" s="172"/>
      <c r="AD185" s="185" t="s">
        <v>4</v>
      </c>
      <c r="AH185" s="139"/>
    </row>
    <row r="186" spans="1:34" ht="17.100000000000001" customHeight="1" x14ac:dyDescent="0.25">
      <c r="A186" s="308"/>
      <c r="B186" s="149"/>
      <c r="C186" s="173"/>
      <c r="D186" s="166"/>
      <c r="E186" s="312"/>
      <c r="G186" s="306"/>
      <c r="H186" s="162"/>
      <c r="I186" s="305"/>
      <c r="J186" s="353"/>
      <c r="K186" s="356"/>
      <c r="L186" s="318"/>
      <c r="M186" s="359"/>
      <c r="N186" s="168"/>
      <c r="O186" s="168"/>
      <c r="P186" s="321"/>
      <c r="Q186" s="175"/>
      <c r="Y186" s="72"/>
      <c r="Z186" s="170"/>
      <c r="AA186" s="159"/>
      <c r="AB186" s="171"/>
      <c r="AC186" s="172"/>
      <c r="AD186" s="185" t="s">
        <v>4</v>
      </c>
      <c r="AH186" s="139"/>
    </row>
    <row r="187" spans="1:34" ht="17.100000000000001" customHeight="1" x14ac:dyDescent="0.25">
      <c r="A187" s="308"/>
      <c r="B187" s="149"/>
      <c r="C187" s="173"/>
      <c r="D187" s="166"/>
      <c r="E187" s="312"/>
      <c r="G187" s="306"/>
      <c r="H187" s="162"/>
      <c r="I187" s="305"/>
      <c r="J187" s="353"/>
      <c r="K187" s="356"/>
      <c r="L187" s="318"/>
      <c r="M187" s="359"/>
      <c r="N187" s="168"/>
      <c r="O187" s="168"/>
      <c r="P187" s="321"/>
      <c r="Q187" s="156"/>
      <c r="R187" s="175"/>
      <c r="Y187" s="72"/>
      <c r="Z187" s="170"/>
      <c r="AA187" s="159"/>
      <c r="AB187" s="171"/>
      <c r="AC187" s="172"/>
      <c r="AD187" s="185" t="s">
        <v>4</v>
      </c>
      <c r="AH187" s="139"/>
    </row>
    <row r="188" spans="1:34" ht="17.100000000000001" customHeight="1" x14ac:dyDescent="0.25">
      <c r="A188" s="308"/>
      <c r="B188" s="149"/>
      <c r="C188" s="173"/>
      <c r="D188" s="166"/>
      <c r="E188" s="312"/>
      <c r="G188" s="306"/>
      <c r="H188" s="162"/>
      <c r="I188" s="305"/>
      <c r="J188" s="353"/>
      <c r="K188" s="356"/>
      <c r="L188" s="318"/>
      <c r="M188" s="359"/>
      <c r="N188" s="168"/>
      <c r="O188" s="168"/>
      <c r="P188" s="321"/>
      <c r="Q188" s="175"/>
      <c r="Y188" s="72"/>
      <c r="Z188" s="170"/>
      <c r="AA188" s="159"/>
      <c r="AB188" s="171"/>
      <c r="AC188" s="172"/>
      <c r="AD188" s="185" t="s">
        <v>4</v>
      </c>
      <c r="AH188" s="139"/>
    </row>
    <row r="189" spans="1:34" ht="17.100000000000001" customHeight="1" x14ac:dyDescent="0.25">
      <c r="A189" s="308"/>
      <c r="B189" s="149"/>
      <c r="C189" s="173"/>
      <c r="D189" s="166"/>
      <c r="E189" s="312"/>
      <c r="G189" s="306"/>
      <c r="H189" s="162"/>
      <c r="I189" s="305"/>
      <c r="J189" s="353"/>
      <c r="K189" s="356"/>
      <c r="L189" s="318"/>
      <c r="M189" s="359"/>
      <c r="N189" s="168"/>
      <c r="O189" s="168"/>
      <c r="P189" s="321"/>
      <c r="Q189" s="175"/>
      <c r="Y189" s="72"/>
      <c r="Z189" s="170"/>
      <c r="AA189" s="159"/>
      <c r="AB189" s="171"/>
      <c r="AC189" s="172"/>
      <c r="AD189" s="185" t="s">
        <v>4</v>
      </c>
      <c r="AH189" s="139"/>
    </row>
    <row r="190" spans="1:34" ht="17.100000000000001" customHeight="1" x14ac:dyDescent="0.25">
      <c r="A190" s="308"/>
      <c r="B190" s="149"/>
      <c r="C190" s="173"/>
      <c r="D190" s="166"/>
      <c r="E190" s="312"/>
      <c r="G190" s="306"/>
      <c r="H190" s="162"/>
      <c r="I190" s="305"/>
      <c r="J190" s="353"/>
      <c r="K190" s="356"/>
      <c r="L190" s="318"/>
      <c r="M190" s="359"/>
      <c r="N190" s="168"/>
      <c r="O190" s="168"/>
      <c r="P190" s="321"/>
      <c r="Q190" s="175"/>
      <c r="Y190" s="72"/>
      <c r="Z190" s="170"/>
      <c r="AA190" s="159"/>
      <c r="AB190" s="171"/>
      <c r="AC190" s="172"/>
      <c r="AD190" s="185" t="s">
        <v>4</v>
      </c>
      <c r="AH190" s="139"/>
    </row>
    <row r="191" spans="1:34" ht="17.100000000000001" customHeight="1" x14ac:dyDescent="0.25">
      <c r="A191" s="308"/>
      <c r="B191" s="149"/>
      <c r="C191" s="176"/>
      <c r="D191" s="151"/>
      <c r="E191" s="312"/>
      <c r="F191" s="156"/>
      <c r="G191" s="306"/>
      <c r="H191" s="162"/>
      <c r="I191" s="305"/>
      <c r="J191" s="353"/>
      <c r="K191" s="356"/>
      <c r="L191" s="318"/>
      <c r="M191" s="359"/>
      <c r="N191" s="155"/>
      <c r="O191" s="155"/>
      <c r="P191" s="320"/>
      <c r="Q191" s="156"/>
      <c r="R191" s="156"/>
      <c r="S191" s="156"/>
      <c r="T191" s="152"/>
      <c r="U191" s="152"/>
      <c r="V191" s="152"/>
      <c r="W191" s="152"/>
      <c r="X191" s="156"/>
      <c r="Y191" s="157"/>
      <c r="Z191" s="158"/>
      <c r="AA191" s="159"/>
      <c r="AB191" s="160"/>
      <c r="AC191" s="161"/>
      <c r="AD191" s="185" t="s">
        <v>4</v>
      </c>
      <c r="AH191" s="139"/>
    </row>
    <row r="192" spans="1:34" ht="17.100000000000001" customHeight="1" x14ac:dyDescent="0.25">
      <c r="A192" s="308"/>
      <c r="B192" s="149"/>
      <c r="C192" s="173"/>
      <c r="D192" s="166"/>
      <c r="E192" s="312"/>
      <c r="G192" s="306"/>
      <c r="H192" s="162"/>
      <c r="I192" s="305"/>
      <c r="J192" s="353"/>
      <c r="K192" s="356"/>
      <c r="L192" s="318"/>
      <c r="M192" s="359"/>
      <c r="N192" s="168"/>
      <c r="O192" s="168"/>
      <c r="P192" s="321"/>
      <c r="Q192" s="175"/>
      <c r="Y192" s="72"/>
      <c r="Z192" s="170"/>
      <c r="AA192" s="159"/>
      <c r="AB192" s="171"/>
      <c r="AC192" s="172"/>
      <c r="AD192" s="185" t="s">
        <v>4</v>
      </c>
      <c r="AH192" s="139"/>
    </row>
    <row r="193" spans="1:34" ht="17.100000000000001" customHeight="1" x14ac:dyDescent="0.25">
      <c r="A193" s="308"/>
      <c r="B193" s="149"/>
      <c r="C193" s="176"/>
      <c r="D193" s="151"/>
      <c r="E193" s="312"/>
      <c r="F193" s="156"/>
      <c r="G193" s="306"/>
      <c r="H193" s="162"/>
      <c r="I193" s="305"/>
      <c r="J193" s="353"/>
      <c r="K193" s="356"/>
      <c r="L193" s="318"/>
      <c r="M193" s="359"/>
      <c r="N193" s="155"/>
      <c r="O193" s="155"/>
      <c r="P193" s="320"/>
      <c r="Q193" s="156"/>
      <c r="R193" s="152"/>
      <c r="S193" s="152"/>
      <c r="T193" s="152"/>
      <c r="U193" s="152"/>
      <c r="V193" s="152"/>
      <c r="W193" s="152"/>
      <c r="X193" s="152"/>
      <c r="Y193" s="157"/>
      <c r="Z193" s="158"/>
      <c r="AA193" s="159"/>
      <c r="AB193" s="160"/>
      <c r="AC193" s="161"/>
      <c r="AD193" s="185" t="s">
        <v>4</v>
      </c>
      <c r="AH193" s="139"/>
    </row>
    <row r="194" spans="1:34" ht="17.100000000000001" customHeight="1" x14ac:dyDescent="0.25">
      <c r="A194" s="308"/>
      <c r="B194" s="149"/>
      <c r="C194" s="173"/>
      <c r="D194" s="166"/>
      <c r="E194" s="312"/>
      <c r="G194" s="306"/>
      <c r="H194" s="162"/>
      <c r="I194" s="305"/>
      <c r="J194" s="353"/>
      <c r="K194" s="356"/>
      <c r="L194" s="318"/>
      <c r="M194" s="359"/>
      <c r="N194" s="168"/>
      <c r="O194" s="168"/>
      <c r="P194" s="321"/>
      <c r="Q194" s="175"/>
      <c r="Y194" s="72"/>
      <c r="Z194" s="170"/>
      <c r="AA194" s="159"/>
      <c r="AB194" s="171"/>
      <c r="AC194" s="172"/>
      <c r="AD194" s="185" t="s">
        <v>4</v>
      </c>
      <c r="AH194" s="139"/>
    </row>
    <row r="195" spans="1:34" ht="17.100000000000001" customHeight="1" x14ac:dyDescent="0.25">
      <c r="A195" s="308"/>
      <c r="B195" s="149"/>
      <c r="C195" s="176"/>
      <c r="D195" s="151"/>
      <c r="E195" s="312"/>
      <c r="F195" s="156"/>
      <c r="G195" s="306"/>
      <c r="H195" s="162"/>
      <c r="I195" s="305"/>
      <c r="J195" s="353"/>
      <c r="K195" s="356"/>
      <c r="L195" s="318"/>
      <c r="M195" s="359"/>
      <c r="N195" s="155"/>
      <c r="O195" s="155"/>
      <c r="P195" s="320"/>
      <c r="Q195" s="156"/>
      <c r="R195" s="152"/>
      <c r="S195" s="152"/>
      <c r="T195" s="152"/>
      <c r="U195" s="152"/>
      <c r="V195" s="152"/>
      <c r="W195" s="152"/>
      <c r="X195" s="152"/>
      <c r="Y195" s="157"/>
      <c r="Z195" s="158"/>
      <c r="AA195" s="159"/>
      <c r="AB195" s="160"/>
      <c r="AC195" s="161"/>
      <c r="AD195" s="185" t="s">
        <v>4</v>
      </c>
      <c r="AH195" s="139"/>
    </row>
    <row r="196" spans="1:34" ht="17.100000000000001" customHeight="1" x14ac:dyDescent="0.25">
      <c r="A196" s="308"/>
      <c r="B196" s="149"/>
      <c r="C196" s="173"/>
      <c r="D196" s="166"/>
      <c r="E196" s="312"/>
      <c r="G196" s="306"/>
      <c r="H196" s="162"/>
      <c r="I196" s="305"/>
      <c r="J196" s="353"/>
      <c r="K196" s="356"/>
      <c r="L196" s="318"/>
      <c r="M196" s="359"/>
      <c r="N196" s="168"/>
      <c r="O196" s="168"/>
      <c r="P196" s="321"/>
      <c r="Q196" s="175"/>
      <c r="Y196" s="72"/>
      <c r="Z196" s="170"/>
      <c r="AA196" s="159"/>
      <c r="AB196" s="171"/>
      <c r="AC196" s="172"/>
      <c r="AD196" s="185" t="s">
        <v>4</v>
      </c>
      <c r="AH196" s="139"/>
    </row>
    <row r="197" spans="1:34" ht="17.100000000000001" customHeight="1" x14ac:dyDescent="0.25">
      <c r="A197" s="308"/>
      <c r="B197" s="149"/>
      <c r="C197" s="173"/>
      <c r="D197" s="166"/>
      <c r="E197" s="312"/>
      <c r="G197" s="306"/>
      <c r="H197" s="162"/>
      <c r="I197" s="305"/>
      <c r="J197" s="353"/>
      <c r="K197" s="356"/>
      <c r="L197" s="318"/>
      <c r="M197" s="359"/>
      <c r="N197" s="168"/>
      <c r="O197" s="168"/>
      <c r="P197" s="321"/>
      <c r="Q197" s="175"/>
      <c r="Y197" s="72"/>
      <c r="Z197" s="170"/>
      <c r="AA197" s="159"/>
      <c r="AB197" s="171"/>
      <c r="AC197" s="172"/>
      <c r="AD197" s="185" t="s">
        <v>4</v>
      </c>
      <c r="AH197" s="139"/>
    </row>
    <row r="198" spans="1:34" ht="17.100000000000001" customHeight="1" x14ac:dyDescent="0.25">
      <c r="A198" s="308"/>
      <c r="B198" s="149"/>
      <c r="C198" s="173"/>
      <c r="D198" s="166"/>
      <c r="E198" s="312"/>
      <c r="G198" s="306"/>
      <c r="H198" s="162"/>
      <c r="I198" s="305"/>
      <c r="J198" s="353"/>
      <c r="K198" s="356"/>
      <c r="L198" s="318"/>
      <c r="M198" s="359"/>
      <c r="N198" s="168"/>
      <c r="O198" s="168"/>
      <c r="P198" s="321"/>
      <c r="Q198" s="175"/>
      <c r="Y198" s="72"/>
      <c r="Z198" s="170"/>
      <c r="AA198" s="159"/>
      <c r="AB198" s="171"/>
      <c r="AC198" s="172"/>
      <c r="AD198" s="185" t="s">
        <v>4</v>
      </c>
      <c r="AH198" s="139"/>
    </row>
    <row r="199" spans="1:34" ht="17.100000000000001" customHeight="1" x14ac:dyDescent="0.25">
      <c r="A199" s="308"/>
      <c r="B199" s="149"/>
      <c r="C199" s="173"/>
      <c r="D199" s="166"/>
      <c r="E199" s="312"/>
      <c r="G199" s="306"/>
      <c r="H199" s="162"/>
      <c r="I199" s="305"/>
      <c r="J199" s="353"/>
      <c r="K199" s="356"/>
      <c r="L199" s="318"/>
      <c r="M199" s="359"/>
      <c r="N199" s="168"/>
      <c r="O199" s="168"/>
      <c r="P199" s="321"/>
      <c r="Q199" s="175"/>
      <c r="Y199" s="72"/>
      <c r="Z199" s="170"/>
      <c r="AA199" s="159"/>
      <c r="AB199" s="171"/>
      <c r="AC199" s="172"/>
      <c r="AD199" s="185" t="s">
        <v>4</v>
      </c>
      <c r="AH199" s="139"/>
    </row>
    <row r="200" spans="1:34" ht="17.100000000000001" customHeight="1" x14ac:dyDescent="0.25">
      <c r="A200" s="308"/>
      <c r="B200" s="149"/>
      <c r="C200" s="176"/>
      <c r="D200" s="151"/>
      <c r="E200" s="312"/>
      <c r="F200" s="156"/>
      <c r="G200" s="306"/>
      <c r="H200" s="162"/>
      <c r="I200" s="305"/>
      <c r="J200" s="353"/>
      <c r="K200" s="356"/>
      <c r="L200" s="318"/>
      <c r="M200" s="359"/>
      <c r="N200" s="155"/>
      <c r="O200" s="155"/>
      <c r="P200" s="320"/>
      <c r="Q200" s="156"/>
      <c r="R200" s="152"/>
      <c r="S200" s="152"/>
      <c r="T200" s="152"/>
      <c r="U200" s="152"/>
      <c r="V200" s="152"/>
      <c r="W200" s="152"/>
      <c r="X200" s="152"/>
      <c r="Y200" s="157"/>
      <c r="Z200" s="158"/>
      <c r="AA200" s="159"/>
      <c r="AB200" s="160"/>
      <c r="AC200" s="161"/>
      <c r="AD200" s="185" t="s">
        <v>4</v>
      </c>
      <c r="AH200" s="139"/>
    </row>
    <row r="201" spans="1:34" ht="17.100000000000001" customHeight="1" x14ac:dyDescent="0.25">
      <c r="A201" s="308"/>
      <c r="B201" s="149"/>
      <c r="C201" s="173"/>
      <c r="D201" s="166"/>
      <c r="E201" s="312"/>
      <c r="G201" s="306"/>
      <c r="H201" s="162"/>
      <c r="I201" s="305"/>
      <c r="J201" s="317"/>
      <c r="K201" s="318"/>
      <c r="L201" s="318"/>
      <c r="M201" s="318"/>
      <c r="N201" s="168"/>
      <c r="O201" s="168"/>
      <c r="P201" s="321"/>
      <c r="Q201" s="175"/>
      <c r="R201" s="175"/>
      <c r="Y201" s="72"/>
      <c r="Z201" s="170"/>
      <c r="AA201" s="159"/>
      <c r="AB201" s="171"/>
      <c r="AC201" s="172"/>
      <c r="AD201" s="185" t="s">
        <v>4</v>
      </c>
    </row>
    <row r="202" spans="1:34" ht="17.100000000000001" customHeight="1" x14ac:dyDescent="0.25">
      <c r="A202" s="308"/>
      <c r="B202" s="149"/>
      <c r="C202" s="173"/>
      <c r="D202" s="166"/>
      <c r="E202" s="312"/>
      <c r="G202" s="306"/>
      <c r="H202" s="162"/>
      <c r="I202" s="305"/>
      <c r="J202" s="317"/>
      <c r="K202" s="318"/>
      <c r="L202" s="318"/>
      <c r="M202" s="318"/>
      <c r="N202" s="168"/>
      <c r="O202" s="168"/>
      <c r="P202" s="321"/>
      <c r="Q202" s="175"/>
      <c r="Y202" s="72"/>
      <c r="Z202" s="170"/>
      <c r="AA202" s="159"/>
      <c r="AB202" s="171"/>
      <c r="AC202" s="172"/>
      <c r="AD202" s="185" t="s">
        <v>4</v>
      </c>
    </row>
    <row r="203" spans="1:34" ht="17.100000000000001" customHeight="1" x14ac:dyDescent="0.25">
      <c r="A203" s="308"/>
      <c r="B203" s="149"/>
      <c r="C203" s="173"/>
      <c r="D203" s="166"/>
      <c r="E203" s="312"/>
      <c r="G203" s="306"/>
      <c r="H203" s="162"/>
      <c r="I203" s="305"/>
      <c r="J203" s="317"/>
      <c r="K203" s="318"/>
      <c r="L203" s="318"/>
      <c r="M203" s="318"/>
      <c r="N203" s="168"/>
      <c r="O203" s="168"/>
      <c r="P203" s="321"/>
      <c r="Q203" s="156"/>
      <c r="Y203" s="72"/>
      <c r="Z203" s="170"/>
      <c r="AA203" s="159"/>
      <c r="AB203" s="171"/>
      <c r="AC203" s="172"/>
      <c r="AD203" s="185" t="s">
        <v>4</v>
      </c>
    </row>
    <row r="204" spans="1:34" ht="17.100000000000001" customHeight="1" x14ac:dyDescent="0.25">
      <c r="A204" s="308"/>
      <c r="B204" s="149"/>
      <c r="C204" s="173"/>
      <c r="D204" s="166"/>
      <c r="E204" s="312"/>
      <c r="G204" s="306"/>
      <c r="H204" s="162"/>
      <c r="I204" s="305"/>
      <c r="J204" s="317"/>
      <c r="K204" s="318"/>
      <c r="L204" s="318"/>
      <c r="M204" s="318"/>
      <c r="N204" s="168"/>
      <c r="O204" s="168"/>
      <c r="P204" s="321"/>
      <c r="Q204" s="175"/>
      <c r="Y204" s="72"/>
      <c r="Z204" s="170"/>
      <c r="AA204" s="159"/>
      <c r="AB204" s="171"/>
      <c r="AC204" s="172"/>
      <c r="AD204" s="185" t="s">
        <v>4</v>
      </c>
    </row>
    <row r="205" spans="1:34" ht="17.100000000000001" customHeight="1" x14ac:dyDescent="0.25">
      <c r="A205" s="308"/>
      <c r="B205" s="149"/>
      <c r="C205" s="173"/>
      <c r="D205" s="166"/>
      <c r="E205" s="312"/>
      <c r="G205" s="306"/>
      <c r="H205" s="162"/>
      <c r="I205" s="305"/>
      <c r="J205" s="317"/>
      <c r="K205" s="318"/>
      <c r="L205" s="318"/>
      <c r="M205" s="318"/>
      <c r="N205" s="168"/>
      <c r="O205" s="168"/>
      <c r="P205" s="321"/>
      <c r="Q205" s="175"/>
      <c r="Y205" s="72"/>
      <c r="Z205" s="170"/>
      <c r="AA205" s="159"/>
      <c r="AB205" s="171"/>
      <c r="AC205" s="172"/>
      <c r="AD205" s="185" t="s">
        <v>4</v>
      </c>
    </row>
    <row r="206" spans="1:34" ht="17.100000000000001" customHeight="1" x14ac:dyDescent="0.25">
      <c r="A206" s="308"/>
      <c r="B206" s="149"/>
      <c r="C206" s="173"/>
      <c r="D206" s="166"/>
      <c r="E206" s="312"/>
      <c r="G206" s="306"/>
      <c r="H206" s="162"/>
      <c r="I206" s="305"/>
      <c r="J206" s="317"/>
      <c r="K206" s="318"/>
      <c r="L206" s="318"/>
      <c r="M206" s="318"/>
      <c r="N206" s="168"/>
      <c r="O206" s="168"/>
      <c r="P206" s="321"/>
      <c r="Q206" s="175"/>
      <c r="Y206" s="72"/>
      <c r="Z206" s="170"/>
      <c r="AA206" s="159"/>
      <c r="AB206" s="171"/>
      <c r="AC206" s="172"/>
      <c r="AD206" s="185" t="s">
        <v>4</v>
      </c>
    </row>
    <row r="207" spans="1:34" ht="17.100000000000001" customHeight="1" x14ac:dyDescent="0.25">
      <c r="A207" s="308"/>
      <c r="B207" s="149"/>
      <c r="C207" s="173"/>
      <c r="D207" s="166"/>
      <c r="E207" s="312"/>
      <c r="G207" s="306"/>
      <c r="H207" s="162"/>
      <c r="I207" s="305"/>
      <c r="J207" s="317"/>
      <c r="K207" s="318"/>
      <c r="L207" s="318"/>
      <c r="M207" s="318"/>
      <c r="N207" s="168"/>
      <c r="O207" s="168"/>
      <c r="P207" s="321"/>
      <c r="Q207" s="175"/>
      <c r="Y207" s="72"/>
      <c r="Z207" s="170"/>
      <c r="AA207" s="159"/>
      <c r="AB207" s="171"/>
      <c r="AC207" s="172"/>
      <c r="AD207" s="185" t="s">
        <v>4</v>
      </c>
    </row>
    <row r="208" spans="1:34" ht="17.100000000000001" customHeight="1" x14ac:dyDescent="0.25">
      <c r="A208" s="308"/>
      <c r="B208" s="149"/>
      <c r="C208" s="173"/>
      <c r="D208" s="166"/>
      <c r="E208" s="312"/>
      <c r="G208" s="306"/>
      <c r="H208" s="162"/>
      <c r="I208" s="305"/>
      <c r="J208" s="317"/>
      <c r="K208" s="318"/>
      <c r="L208" s="318"/>
      <c r="M208" s="318"/>
      <c r="N208" s="168"/>
      <c r="O208" s="168"/>
      <c r="P208" s="321"/>
      <c r="Q208" s="175"/>
      <c r="Y208" s="72"/>
      <c r="Z208" s="170"/>
      <c r="AA208" s="159"/>
      <c r="AB208" s="171"/>
      <c r="AC208" s="172"/>
      <c r="AD208" s="185" t="s">
        <v>4</v>
      </c>
    </row>
    <row r="209" spans="1:30" ht="17.100000000000001" customHeight="1" x14ac:dyDescent="0.25">
      <c r="A209" s="308"/>
      <c r="B209" s="149"/>
      <c r="C209" s="173"/>
      <c r="D209" s="166"/>
      <c r="E209" s="312"/>
      <c r="G209" s="306"/>
      <c r="H209" s="162"/>
      <c r="I209" s="305"/>
      <c r="J209" s="317"/>
      <c r="K209" s="318"/>
      <c r="L209" s="318"/>
      <c r="M209" s="318"/>
      <c r="N209" s="168"/>
      <c r="O209" s="168"/>
      <c r="P209" s="321"/>
      <c r="Q209" s="175"/>
      <c r="Y209" s="72"/>
      <c r="Z209" s="170"/>
      <c r="AA209" s="159"/>
      <c r="AB209" s="171"/>
      <c r="AC209" s="172"/>
      <c r="AD209" s="185" t="s">
        <v>4</v>
      </c>
    </row>
    <row r="210" spans="1:30" ht="17.100000000000001" customHeight="1" x14ac:dyDescent="0.25">
      <c r="A210" s="308"/>
      <c r="B210" s="149"/>
      <c r="C210" s="173"/>
      <c r="D210" s="166"/>
      <c r="E210" s="312"/>
      <c r="G210" s="306"/>
      <c r="H210" s="162"/>
      <c r="I210" s="305"/>
      <c r="J210" s="317"/>
      <c r="K210" s="318"/>
      <c r="L210" s="318"/>
      <c r="M210" s="318"/>
      <c r="N210" s="168"/>
      <c r="O210" s="168"/>
      <c r="P210" s="321"/>
      <c r="Q210" s="175"/>
      <c r="Y210" s="72"/>
      <c r="Z210" s="170"/>
      <c r="AA210" s="159"/>
      <c r="AB210" s="171"/>
      <c r="AC210" s="172"/>
      <c r="AD210" s="185" t="s">
        <v>4</v>
      </c>
    </row>
    <row r="211" spans="1:30" ht="17.100000000000001" customHeight="1" x14ac:dyDescent="0.25">
      <c r="A211" s="308"/>
      <c r="B211" s="149"/>
      <c r="C211" s="173"/>
      <c r="D211" s="166"/>
      <c r="E211" s="312"/>
      <c r="G211" s="306"/>
      <c r="H211" s="162"/>
      <c r="I211" s="305"/>
      <c r="J211" s="317"/>
      <c r="K211" s="318"/>
      <c r="L211" s="318"/>
      <c r="M211" s="318"/>
      <c r="N211" s="168"/>
      <c r="O211" s="168"/>
      <c r="P211" s="321"/>
      <c r="Q211" s="175"/>
      <c r="Y211" s="72"/>
      <c r="Z211" s="170"/>
      <c r="AA211" s="159"/>
      <c r="AB211" s="171"/>
      <c r="AC211" s="172"/>
      <c r="AD211" s="185" t="s">
        <v>4</v>
      </c>
    </row>
    <row r="212" spans="1:30" ht="17.100000000000001" customHeight="1" x14ac:dyDescent="0.25">
      <c r="A212" s="308"/>
      <c r="B212" s="149"/>
      <c r="C212" s="173"/>
      <c r="D212" s="166"/>
      <c r="E212" s="312"/>
      <c r="G212" s="306"/>
      <c r="H212" s="162"/>
      <c r="I212" s="305"/>
      <c r="J212" s="317"/>
      <c r="K212" s="318"/>
      <c r="L212" s="318"/>
      <c r="M212" s="318"/>
      <c r="N212" s="168"/>
      <c r="O212" s="168"/>
      <c r="P212" s="321"/>
      <c r="Q212" s="175"/>
      <c r="Y212" s="72"/>
      <c r="Z212" s="170"/>
      <c r="AA212" s="159"/>
      <c r="AB212" s="171"/>
      <c r="AC212" s="172"/>
      <c r="AD212" s="185" t="s">
        <v>4</v>
      </c>
    </row>
    <row r="213" spans="1:30" ht="17.100000000000001" customHeight="1" x14ac:dyDescent="0.25">
      <c r="A213" s="308"/>
      <c r="B213" s="149"/>
      <c r="C213" s="173"/>
      <c r="D213" s="166"/>
      <c r="E213" s="312"/>
      <c r="G213" s="306"/>
      <c r="H213" s="162"/>
      <c r="I213" s="305"/>
      <c r="J213" s="317"/>
      <c r="K213" s="318"/>
      <c r="L213" s="318"/>
      <c r="M213" s="318"/>
      <c r="N213" s="168"/>
      <c r="O213" s="168"/>
      <c r="P213" s="321"/>
      <c r="Q213" s="175"/>
      <c r="Y213" s="72"/>
      <c r="Z213" s="170"/>
      <c r="AA213" s="159"/>
      <c r="AB213" s="171"/>
      <c r="AC213" s="172"/>
      <c r="AD213" s="185" t="s">
        <v>4</v>
      </c>
    </row>
    <row r="214" spans="1:30" ht="17.100000000000001" customHeight="1" x14ac:dyDescent="0.25">
      <c r="A214" s="308"/>
      <c r="B214" s="149"/>
      <c r="C214" s="173"/>
      <c r="D214" s="166"/>
      <c r="E214" s="312"/>
      <c r="G214" s="306"/>
      <c r="H214" s="162"/>
      <c r="I214" s="305"/>
      <c r="J214" s="317"/>
      <c r="K214" s="318"/>
      <c r="L214" s="318"/>
      <c r="M214" s="318"/>
      <c r="N214" s="168"/>
      <c r="O214" s="168"/>
      <c r="P214" s="321"/>
      <c r="Q214" s="175"/>
      <c r="Y214" s="72"/>
      <c r="Z214" s="170"/>
      <c r="AA214" s="159"/>
      <c r="AB214" s="171"/>
      <c r="AC214" s="172"/>
      <c r="AD214" s="185" t="s">
        <v>4</v>
      </c>
    </row>
    <row r="215" spans="1:30" ht="17.100000000000001" customHeight="1" x14ac:dyDescent="0.25">
      <c r="A215" s="308"/>
      <c r="B215" s="149"/>
      <c r="C215" s="173"/>
      <c r="D215" s="166"/>
      <c r="E215" s="312"/>
      <c r="G215" s="306"/>
      <c r="H215" s="162"/>
      <c r="I215" s="305"/>
      <c r="J215" s="317"/>
      <c r="K215" s="318"/>
      <c r="L215" s="318"/>
      <c r="M215" s="318"/>
      <c r="N215" s="168"/>
      <c r="O215" s="168"/>
      <c r="P215" s="321"/>
      <c r="Q215" s="175"/>
      <c r="Y215" s="72"/>
      <c r="Z215" s="170"/>
      <c r="AA215" s="159"/>
      <c r="AB215" s="171"/>
      <c r="AC215" s="172"/>
      <c r="AD215" s="185" t="s">
        <v>4</v>
      </c>
    </row>
    <row r="216" spans="1:30" ht="17.100000000000001" customHeight="1" x14ac:dyDescent="0.25">
      <c r="A216" s="308"/>
      <c r="B216" s="149"/>
      <c r="C216" s="173"/>
      <c r="D216" s="166"/>
      <c r="E216" s="312"/>
      <c r="G216" s="306"/>
      <c r="H216" s="162"/>
      <c r="I216" s="305"/>
      <c r="J216" s="317"/>
      <c r="K216" s="318"/>
      <c r="L216" s="318"/>
      <c r="M216" s="318"/>
      <c r="N216" s="168"/>
      <c r="O216" s="168"/>
      <c r="P216" s="321"/>
      <c r="Q216" s="175"/>
      <c r="Y216" s="72"/>
      <c r="Z216" s="170"/>
      <c r="AA216" s="159"/>
      <c r="AB216" s="171"/>
      <c r="AC216" s="172"/>
      <c r="AD216" s="185" t="s">
        <v>4</v>
      </c>
    </row>
    <row r="217" spans="1:30" ht="17.100000000000001" customHeight="1" x14ac:dyDescent="0.25">
      <c r="A217" s="308"/>
      <c r="B217" s="149"/>
      <c r="C217" s="173"/>
      <c r="D217" s="166"/>
      <c r="E217" s="312"/>
      <c r="G217" s="306"/>
      <c r="H217" s="162"/>
      <c r="I217" s="305"/>
      <c r="J217" s="317"/>
      <c r="K217" s="318"/>
      <c r="L217" s="318"/>
      <c r="M217" s="318"/>
      <c r="N217" s="168"/>
      <c r="O217" s="168"/>
      <c r="P217" s="321"/>
      <c r="Q217" s="175"/>
      <c r="Y217" s="72"/>
      <c r="Z217" s="170"/>
      <c r="AA217" s="159"/>
      <c r="AB217" s="171"/>
      <c r="AC217" s="172"/>
      <c r="AD217" s="185" t="s">
        <v>4</v>
      </c>
    </row>
    <row r="218" spans="1:30" ht="17.100000000000001" customHeight="1" x14ac:dyDescent="0.25">
      <c r="A218" s="308"/>
      <c r="B218" s="149"/>
      <c r="C218" s="173"/>
      <c r="D218" s="166"/>
      <c r="E218" s="312"/>
      <c r="G218" s="306"/>
      <c r="H218" s="162"/>
      <c r="I218" s="305"/>
      <c r="J218" s="317"/>
      <c r="K218" s="318"/>
      <c r="L218" s="318"/>
      <c r="M218" s="318"/>
      <c r="N218" s="168"/>
      <c r="O218" s="168"/>
      <c r="P218" s="321"/>
      <c r="Q218" s="175"/>
      <c r="Y218" s="72"/>
      <c r="Z218" s="170"/>
      <c r="AA218" s="159"/>
      <c r="AB218" s="171"/>
      <c r="AC218" s="172"/>
      <c r="AD218" s="185" t="s">
        <v>4</v>
      </c>
    </row>
    <row r="219" spans="1:30" ht="17.100000000000001" customHeight="1" x14ac:dyDescent="0.25">
      <c r="A219" s="308"/>
      <c r="B219" s="149"/>
      <c r="C219" s="173"/>
      <c r="D219" s="166"/>
      <c r="E219" s="312"/>
      <c r="G219" s="306"/>
      <c r="H219" s="162"/>
      <c r="I219" s="305"/>
      <c r="J219" s="317"/>
      <c r="K219" s="318"/>
      <c r="L219" s="318"/>
      <c r="M219" s="318"/>
      <c r="N219" s="168"/>
      <c r="O219" s="168"/>
      <c r="P219" s="321"/>
      <c r="Q219" s="175"/>
      <c r="Y219" s="72"/>
      <c r="Z219" s="170"/>
      <c r="AA219" s="159"/>
      <c r="AB219" s="171"/>
      <c r="AC219" s="172"/>
      <c r="AD219" s="185" t="s">
        <v>4</v>
      </c>
    </row>
    <row r="220" spans="1:30" ht="17.100000000000001" customHeight="1" x14ac:dyDescent="0.25">
      <c r="A220" s="308"/>
      <c r="B220" s="149"/>
      <c r="C220" s="173"/>
      <c r="D220" s="166"/>
      <c r="E220" s="312"/>
      <c r="G220" s="306"/>
      <c r="H220" s="162"/>
      <c r="I220" s="305"/>
      <c r="J220" s="317"/>
      <c r="K220" s="318"/>
      <c r="L220" s="318"/>
      <c r="M220" s="318"/>
      <c r="N220" s="168"/>
      <c r="O220" s="168"/>
      <c r="P220" s="321"/>
      <c r="Q220" s="175"/>
      <c r="Y220" s="72"/>
      <c r="Z220" s="170"/>
      <c r="AA220" s="159"/>
      <c r="AB220" s="171"/>
      <c r="AC220" s="172"/>
      <c r="AD220" s="185" t="s">
        <v>4</v>
      </c>
    </row>
    <row r="221" spans="1:30" ht="17.100000000000001" customHeight="1" x14ac:dyDescent="0.25">
      <c r="A221" s="308"/>
      <c r="B221" s="149"/>
      <c r="C221" s="176"/>
      <c r="D221" s="151"/>
      <c r="E221" s="312"/>
      <c r="F221" s="156"/>
      <c r="G221" s="306"/>
      <c r="H221" s="162"/>
      <c r="I221" s="305"/>
      <c r="J221" s="317"/>
      <c r="K221" s="318"/>
      <c r="L221" s="318"/>
      <c r="M221" s="318"/>
      <c r="N221" s="155"/>
      <c r="O221" s="155"/>
      <c r="P221" s="320"/>
      <c r="Q221" s="156"/>
      <c r="R221" s="152"/>
      <c r="S221" s="152"/>
      <c r="T221" s="152"/>
      <c r="U221" s="152"/>
      <c r="V221" s="152"/>
      <c r="W221" s="152"/>
      <c r="X221" s="152"/>
      <c r="Y221" s="157"/>
      <c r="Z221" s="158"/>
      <c r="AA221" s="159"/>
      <c r="AB221" s="160"/>
      <c r="AC221" s="161"/>
      <c r="AD221" s="185" t="s">
        <v>4</v>
      </c>
    </row>
    <row r="222" spans="1:30" ht="17.100000000000001" customHeight="1" x14ac:dyDescent="0.25">
      <c r="A222" s="308"/>
      <c r="B222" s="149"/>
      <c r="C222" s="173"/>
      <c r="D222" s="166"/>
      <c r="E222" s="312"/>
      <c r="G222" s="306"/>
      <c r="H222" s="162"/>
      <c r="I222" s="305"/>
      <c r="J222" s="317"/>
      <c r="K222" s="318"/>
      <c r="L222" s="318"/>
      <c r="M222" s="318"/>
      <c r="N222" s="168"/>
      <c r="O222" s="168"/>
      <c r="P222" s="321"/>
      <c r="Q222" s="156"/>
      <c r="Y222" s="72"/>
      <c r="Z222" s="170"/>
      <c r="AA222" s="159"/>
      <c r="AB222" s="171"/>
      <c r="AC222" s="172"/>
      <c r="AD222" s="185" t="s">
        <v>4</v>
      </c>
    </row>
    <row r="223" spans="1:30" ht="17.100000000000001" customHeight="1" x14ac:dyDescent="0.25">
      <c r="A223" s="308"/>
      <c r="B223" s="149"/>
      <c r="C223" s="173"/>
      <c r="D223" s="166"/>
      <c r="E223" s="312"/>
      <c r="G223" s="306"/>
      <c r="H223" s="162"/>
      <c r="I223" s="305"/>
      <c r="J223" s="317"/>
      <c r="K223" s="318"/>
      <c r="L223" s="318"/>
      <c r="M223" s="318"/>
      <c r="N223" s="168"/>
      <c r="O223" s="168"/>
      <c r="P223" s="321"/>
      <c r="Q223" s="156"/>
      <c r="Y223" s="72"/>
      <c r="Z223" s="170"/>
      <c r="AA223" s="159"/>
      <c r="AB223" s="171"/>
      <c r="AC223" s="172"/>
      <c r="AD223" s="185" t="s">
        <v>4</v>
      </c>
    </row>
    <row r="224" spans="1:30" ht="17.100000000000001" customHeight="1" x14ac:dyDescent="0.25">
      <c r="A224" s="308"/>
      <c r="B224" s="149"/>
      <c r="C224" s="173"/>
      <c r="D224" s="166"/>
      <c r="E224" s="312"/>
      <c r="G224" s="306"/>
      <c r="H224" s="162"/>
      <c r="I224" s="305"/>
      <c r="J224" s="317"/>
      <c r="K224" s="318"/>
      <c r="L224" s="318"/>
      <c r="M224" s="318"/>
      <c r="N224" s="168"/>
      <c r="O224" s="168"/>
      <c r="P224" s="321"/>
      <c r="Q224" s="175"/>
      <c r="Y224" s="72"/>
      <c r="Z224" s="170"/>
      <c r="AA224" s="159"/>
      <c r="AB224" s="171"/>
      <c r="AC224" s="172"/>
      <c r="AD224" s="185" t="s">
        <v>4</v>
      </c>
    </row>
    <row r="225" spans="1:30" ht="17.100000000000001" customHeight="1" x14ac:dyDescent="0.25">
      <c r="A225" s="308"/>
      <c r="B225" s="149"/>
      <c r="C225" s="173"/>
      <c r="D225" s="166"/>
      <c r="E225" s="312"/>
      <c r="G225" s="306"/>
      <c r="H225" s="162"/>
      <c r="I225" s="305"/>
      <c r="J225" s="317"/>
      <c r="K225" s="318"/>
      <c r="L225" s="318"/>
      <c r="M225" s="318"/>
      <c r="N225" s="168"/>
      <c r="O225" s="168"/>
      <c r="P225" s="321"/>
      <c r="Q225" s="175"/>
      <c r="R225" s="175"/>
      <c r="Y225" s="72"/>
      <c r="Z225" s="170"/>
      <c r="AA225" s="159"/>
      <c r="AB225" s="171"/>
      <c r="AC225" s="172"/>
      <c r="AD225" s="185" t="s">
        <v>4</v>
      </c>
    </row>
    <row r="226" spans="1:30" ht="17.100000000000001" customHeight="1" x14ac:dyDescent="0.25">
      <c r="A226" s="308"/>
      <c r="B226" s="149"/>
      <c r="C226" s="173"/>
      <c r="D226" s="166"/>
      <c r="E226" s="312"/>
      <c r="G226" s="306"/>
      <c r="H226" s="162"/>
      <c r="I226" s="305"/>
      <c r="J226" s="317"/>
      <c r="K226" s="318"/>
      <c r="L226" s="318"/>
      <c r="M226" s="318"/>
      <c r="N226" s="168"/>
      <c r="O226" s="168"/>
      <c r="P226" s="321"/>
      <c r="Q226" s="175"/>
      <c r="Y226" s="72"/>
      <c r="Z226" s="170"/>
      <c r="AA226" s="159"/>
      <c r="AB226" s="171"/>
      <c r="AC226" s="172"/>
      <c r="AD226" s="185" t="s">
        <v>4</v>
      </c>
    </row>
    <row r="227" spans="1:30" ht="17.100000000000001" customHeight="1" x14ac:dyDescent="0.25">
      <c r="A227" s="308"/>
      <c r="B227" s="149"/>
      <c r="C227" s="173"/>
      <c r="D227" s="166"/>
      <c r="E227" s="312"/>
      <c r="G227" s="306"/>
      <c r="H227" s="162"/>
      <c r="I227" s="305"/>
      <c r="J227" s="317"/>
      <c r="K227" s="318"/>
      <c r="L227" s="318"/>
      <c r="M227" s="318"/>
      <c r="N227" s="168"/>
      <c r="O227" s="168"/>
      <c r="P227" s="321"/>
      <c r="Q227" s="175"/>
      <c r="Y227" s="72"/>
      <c r="Z227" s="170"/>
      <c r="AA227" s="159"/>
      <c r="AB227" s="171"/>
      <c r="AC227" s="172"/>
      <c r="AD227" s="185" t="s">
        <v>4</v>
      </c>
    </row>
    <row r="228" spans="1:30" ht="17.100000000000001" customHeight="1" x14ac:dyDescent="0.25">
      <c r="A228" s="308"/>
      <c r="B228" s="149"/>
      <c r="C228" s="173"/>
      <c r="D228" s="166"/>
      <c r="E228" s="312"/>
      <c r="G228" s="306"/>
      <c r="H228" s="162"/>
      <c r="I228" s="305"/>
      <c r="J228" s="317"/>
      <c r="K228" s="318"/>
      <c r="L228" s="318"/>
      <c r="M228" s="318"/>
      <c r="N228" s="168"/>
      <c r="O228" s="168"/>
      <c r="P228" s="321"/>
      <c r="Q228" s="175"/>
      <c r="Y228" s="72"/>
      <c r="Z228" s="170"/>
      <c r="AA228" s="159"/>
      <c r="AB228" s="171"/>
      <c r="AC228" s="172"/>
      <c r="AD228" s="185" t="s">
        <v>4</v>
      </c>
    </row>
    <row r="229" spans="1:30" ht="17.100000000000001" customHeight="1" x14ac:dyDescent="0.25">
      <c r="A229" s="308"/>
      <c r="B229" s="149"/>
      <c r="C229" s="173"/>
      <c r="D229" s="166"/>
      <c r="E229" s="312"/>
      <c r="G229" s="306"/>
      <c r="H229" s="162"/>
      <c r="I229" s="305"/>
      <c r="J229" s="317"/>
      <c r="K229" s="318"/>
      <c r="L229" s="318"/>
      <c r="M229" s="318"/>
      <c r="N229" s="168"/>
      <c r="O229" s="168"/>
      <c r="P229" s="321"/>
      <c r="Q229" s="175"/>
      <c r="Y229" s="72"/>
      <c r="Z229" s="170"/>
      <c r="AA229" s="159"/>
      <c r="AB229" s="171"/>
      <c r="AC229" s="172"/>
      <c r="AD229" s="185" t="s">
        <v>4</v>
      </c>
    </row>
    <row r="230" spans="1:30" ht="17.100000000000001" customHeight="1" x14ac:dyDescent="0.25">
      <c r="A230" s="308"/>
      <c r="B230" s="149"/>
      <c r="C230" s="173"/>
      <c r="D230" s="166"/>
      <c r="E230" s="312"/>
      <c r="G230" s="306"/>
      <c r="H230" s="162"/>
      <c r="I230" s="305"/>
      <c r="J230" s="317"/>
      <c r="K230" s="318"/>
      <c r="L230" s="318"/>
      <c r="M230" s="318"/>
      <c r="N230" s="168"/>
      <c r="O230" s="168"/>
      <c r="P230" s="321"/>
      <c r="Q230" s="175"/>
      <c r="Y230" s="72"/>
      <c r="Z230" s="170"/>
      <c r="AA230" s="159"/>
      <c r="AB230" s="171"/>
      <c r="AC230" s="172"/>
      <c r="AD230" s="185" t="s">
        <v>4</v>
      </c>
    </row>
    <row r="231" spans="1:30" ht="17.100000000000001" customHeight="1" x14ac:dyDescent="0.25">
      <c r="A231" s="308"/>
      <c r="B231" s="149"/>
      <c r="C231" s="173"/>
      <c r="D231" s="166"/>
      <c r="E231" s="312"/>
      <c r="G231" s="306"/>
      <c r="H231" s="162"/>
      <c r="I231" s="305"/>
      <c r="J231" s="317"/>
      <c r="K231" s="318"/>
      <c r="L231" s="318"/>
      <c r="M231" s="318"/>
      <c r="N231" s="168"/>
      <c r="O231" s="168"/>
      <c r="P231" s="321"/>
      <c r="Q231" s="175"/>
      <c r="Y231" s="72"/>
      <c r="Z231" s="170"/>
      <c r="AA231" s="159"/>
      <c r="AB231" s="171"/>
      <c r="AC231" s="172"/>
      <c r="AD231" s="185" t="s">
        <v>4</v>
      </c>
    </row>
    <row r="232" spans="1:30" ht="17.100000000000001" customHeight="1" x14ac:dyDescent="0.25">
      <c r="A232" s="308"/>
      <c r="B232" s="149"/>
      <c r="C232" s="173"/>
      <c r="D232" s="166"/>
      <c r="E232" s="312"/>
      <c r="G232" s="306"/>
      <c r="H232" s="162"/>
      <c r="I232" s="305"/>
      <c r="J232" s="317"/>
      <c r="K232" s="318"/>
      <c r="L232" s="318"/>
      <c r="M232" s="318"/>
      <c r="N232" s="168"/>
      <c r="O232" s="168"/>
      <c r="P232" s="321"/>
      <c r="Q232" s="175"/>
      <c r="Y232" s="72"/>
      <c r="Z232" s="170"/>
      <c r="AA232" s="159"/>
      <c r="AB232" s="171"/>
      <c r="AC232" s="172"/>
      <c r="AD232" s="185" t="s">
        <v>4</v>
      </c>
    </row>
    <row r="233" spans="1:30" ht="17.100000000000001" customHeight="1" x14ac:dyDescent="0.25">
      <c r="A233" s="308"/>
      <c r="B233" s="149"/>
      <c r="C233" s="176"/>
      <c r="D233" s="151"/>
      <c r="E233" s="312"/>
      <c r="F233" s="156"/>
      <c r="G233" s="306"/>
      <c r="H233" s="162"/>
      <c r="I233" s="305"/>
      <c r="J233" s="317"/>
      <c r="K233" s="318"/>
      <c r="L233" s="318"/>
      <c r="M233" s="318"/>
      <c r="N233" s="155"/>
      <c r="O233" s="155"/>
      <c r="P233" s="320"/>
      <c r="Q233" s="156"/>
      <c r="R233" s="152"/>
      <c r="S233" s="152"/>
      <c r="T233" s="152"/>
      <c r="U233" s="152"/>
      <c r="V233" s="152"/>
      <c r="W233" s="152"/>
      <c r="X233" s="152"/>
      <c r="Y233" s="157"/>
      <c r="Z233" s="158"/>
      <c r="AA233" s="159"/>
      <c r="AB233" s="160"/>
      <c r="AC233" s="161"/>
      <c r="AD233" s="185" t="s">
        <v>4</v>
      </c>
    </row>
    <row r="234" spans="1:30" ht="17.100000000000001" customHeight="1" x14ac:dyDescent="0.25">
      <c r="A234" s="308"/>
      <c r="B234" s="149"/>
      <c r="C234" s="173"/>
      <c r="D234" s="166"/>
      <c r="E234" s="312"/>
      <c r="G234" s="306"/>
      <c r="H234" s="162"/>
      <c r="I234" s="305"/>
      <c r="J234" s="317"/>
      <c r="K234" s="318"/>
      <c r="L234" s="318"/>
      <c r="M234" s="318"/>
      <c r="N234" s="168"/>
      <c r="O234" s="168"/>
      <c r="P234" s="321"/>
      <c r="Q234" s="156"/>
      <c r="R234" s="175"/>
      <c r="Y234" s="72"/>
      <c r="Z234" s="170"/>
      <c r="AA234" s="159"/>
      <c r="AB234" s="171"/>
      <c r="AC234" s="172"/>
      <c r="AD234" s="185" t="s">
        <v>4</v>
      </c>
    </row>
    <row r="235" spans="1:30" ht="17.100000000000001" customHeight="1" x14ac:dyDescent="0.25">
      <c r="A235" s="308"/>
      <c r="B235" s="149"/>
      <c r="C235" s="176"/>
      <c r="D235" s="151"/>
      <c r="E235" s="312"/>
      <c r="F235" s="156"/>
      <c r="G235" s="306"/>
      <c r="H235" s="162"/>
      <c r="I235" s="305"/>
      <c r="J235" s="317"/>
      <c r="K235" s="318"/>
      <c r="L235" s="318"/>
      <c r="M235" s="318"/>
      <c r="N235" s="155"/>
      <c r="O235" s="155"/>
      <c r="P235" s="320"/>
      <c r="Q235" s="156"/>
      <c r="R235" s="152"/>
      <c r="S235" s="152"/>
      <c r="T235" s="152"/>
      <c r="U235" s="152"/>
      <c r="V235" s="152"/>
      <c r="W235" s="152"/>
      <c r="X235" s="152"/>
      <c r="Y235" s="157"/>
      <c r="Z235" s="158"/>
      <c r="AA235" s="159"/>
      <c r="AB235" s="160"/>
      <c r="AC235" s="161"/>
      <c r="AD235" s="185" t="s">
        <v>4</v>
      </c>
    </row>
    <row r="236" spans="1:30" ht="17.100000000000001" customHeight="1" x14ac:dyDescent="0.25">
      <c r="A236" s="308"/>
      <c r="B236" s="149"/>
      <c r="C236" s="173"/>
      <c r="D236" s="166"/>
      <c r="E236" s="312"/>
      <c r="G236" s="306"/>
      <c r="H236" s="162"/>
      <c r="I236" s="305"/>
      <c r="J236" s="317"/>
      <c r="K236" s="318"/>
      <c r="L236" s="318"/>
      <c r="M236" s="318"/>
      <c r="N236" s="168"/>
      <c r="O236" s="168"/>
      <c r="P236" s="321"/>
      <c r="Q236" s="175"/>
      <c r="R236" s="175"/>
      <c r="Y236" s="72"/>
      <c r="Z236" s="170"/>
      <c r="AA236" s="159"/>
      <c r="AB236" s="171"/>
      <c r="AC236" s="172"/>
      <c r="AD236" s="185" t="s">
        <v>4</v>
      </c>
    </row>
    <row r="237" spans="1:30" ht="17.100000000000001" customHeight="1" x14ac:dyDescent="0.25">
      <c r="A237" s="308"/>
      <c r="B237" s="149"/>
      <c r="C237" s="173"/>
      <c r="D237" s="166"/>
      <c r="E237" s="312"/>
      <c r="G237" s="306"/>
      <c r="H237" s="162"/>
      <c r="I237" s="305"/>
      <c r="J237" s="317"/>
      <c r="K237" s="318"/>
      <c r="L237" s="318"/>
      <c r="M237" s="318"/>
      <c r="N237" s="168"/>
      <c r="O237" s="168"/>
      <c r="P237" s="321"/>
      <c r="Q237" s="175"/>
      <c r="Y237" s="72"/>
      <c r="Z237" s="170"/>
      <c r="AA237" s="159"/>
      <c r="AB237" s="171"/>
      <c r="AC237" s="172"/>
      <c r="AD237" s="185" t="s">
        <v>4</v>
      </c>
    </row>
    <row r="238" spans="1:30" ht="17.100000000000001" customHeight="1" x14ac:dyDescent="0.25">
      <c r="A238" s="308"/>
      <c r="B238" s="149"/>
      <c r="C238" s="173"/>
      <c r="D238" s="166"/>
      <c r="E238" s="312"/>
      <c r="G238" s="306"/>
      <c r="H238" s="162"/>
      <c r="I238" s="305"/>
      <c r="J238" s="317"/>
      <c r="K238" s="318"/>
      <c r="L238" s="318"/>
      <c r="M238" s="318"/>
      <c r="N238" s="168"/>
      <c r="O238" s="168"/>
      <c r="P238" s="321"/>
      <c r="Q238" s="175"/>
      <c r="Y238" s="72"/>
      <c r="Z238" s="170"/>
      <c r="AA238" s="159"/>
      <c r="AB238" s="171"/>
      <c r="AC238" s="172"/>
      <c r="AD238" s="185" t="s">
        <v>4</v>
      </c>
    </row>
    <row r="239" spans="1:30" ht="17.100000000000001" customHeight="1" x14ac:dyDescent="0.25">
      <c r="A239" s="308"/>
      <c r="B239" s="149"/>
      <c r="C239" s="173"/>
      <c r="D239" s="166"/>
      <c r="E239" s="312"/>
      <c r="G239" s="306"/>
      <c r="H239" s="162"/>
      <c r="I239" s="305"/>
      <c r="J239" s="317"/>
      <c r="K239" s="318"/>
      <c r="L239" s="318"/>
      <c r="M239" s="318"/>
      <c r="N239" s="168"/>
      <c r="O239" s="168"/>
      <c r="P239" s="321"/>
      <c r="Q239" s="156"/>
      <c r="Y239" s="72"/>
      <c r="Z239" s="170"/>
      <c r="AA239" s="159"/>
      <c r="AB239" s="171"/>
      <c r="AC239" s="172"/>
      <c r="AD239" s="185" t="s">
        <v>4</v>
      </c>
    </row>
    <row r="240" spans="1:30" ht="17.100000000000001" customHeight="1" x14ac:dyDescent="0.25">
      <c r="A240" s="308"/>
      <c r="B240" s="149"/>
      <c r="C240" s="173"/>
      <c r="D240" s="166"/>
      <c r="E240" s="312"/>
      <c r="G240" s="306"/>
      <c r="H240" s="162"/>
      <c r="I240" s="305"/>
      <c r="J240" s="317"/>
      <c r="K240" s="318"/>
      <c r="L240" s="318"/>
      <c r="M240" s="318"/>
      <c r="N240" s="168"/>
      <c r="O240" s="168"/>
      <c r="P240" s="321"/>
      <c r="Q240" s="175"/>
      <c r="Y240" s="72"/>
      <c r="Z240" s="170"/>
      <c r="AA240" s="159"/>
      <c r="AB240" s="171"/>
      <c r="AC240" s="172"/>
      <c r="AD240" s="185" t="s">
        <v>4</v>
      </c>
    </row>
    <row r="241" spans="1:30" ht="17.100000000000001" customHeight="1" x14ac:dyDescent="0.25">
      <c r="A241" s="308"/>
      <c r="B241" s="149"/>
      <c r="C241" s="173"/>
      <c r="D241" s="166"/>
      <c r="E241" s="312"/>
      <c r="G241" s="306"/>
      <c r="H241" s="162"/>
      <c r="I241" s="305"/>
      <c r="J241" s="317"/>
      <c r="K241" s="318"/>
      <c r="L241" s="318"/>
      <c r="M241" s="318"/>
      <c r="N241" s="168"/>
      <c r="O241" s="168"/>
      <c r="P241" s="321"/>
      <c r="Q241" s="175"/>
      <c r="R241" s="175"/>
      <c r="Y241" s="72"/>
      <c r="Z241" s="170"/>
      <c r="AA241" s="159"/>
      <c r="AB241" s="171"/>
      <c r="AC241" s="172"/>
      <c r="AD241" s="185" t="s">
        <v>4</v>
      </c>
    </row>
    <row r="242" spans="1:30" ht="17.100000000000001" customHeight="1" x14ac:dyDescent="0.25">
      <c r="A242" s="308"/>
      <c r="B242" s="149"/>
      <c r="C242" s="176"/>
      <c r="D242" s="151"/>
      <c r="E242" s="312"/>
      <c r="F242" s="156"/>
      <c r="G242" s="306"/>
      <c r="H242" s="162"/>
      <c r="I242" s="305"/>
      <c r="J242" s="317"/>
      <c r="K242" s="318"/>
      <c r="L242" s="318"/>
      <c r="M242" s="318"/>
      <c r="N242" s="155"/>
      <c r="O242" s="155"/>
      <c r="P242" s="320"/>
      <c r="Q242" s="156"/>
      <c r="R242" s="152"/>
      <c r="S242" s="152"/>
      <c r="T242" s="152"/>
      <c r="U242" s="152"/>
      <c r="V242" s="152"/>
      <c r="W242" s="152"/>
      <c r="X242" s="152"/>
      <c r="Y242" s="157"/>
      <c r="Z242" s="158"/>
      <c r="AA242" s="159"/>
      <c r="AB242" s="160"/>
      <c r="AC242" s="161"/>
      <c r="AD242" s="185" t="s">
        <v>4</v>
      </c>
    </row>
    <row r="243" spans="1:30" ht="17.100000000000001" customHeight="1" x14ac:dyDescent="0.25">
      <c r="A243" s="308"/>
      <c r="B243" s="149"/>
      <c r="C243" s="173"/>
      <c r="D243" s="166"/>
      <c r="E243" s="312"/>
      <c r="G243" s="306"/>
      <c r="H243" s="162"/>
      <c r="I243" s="305"/>
      <c r="J243" s="317"/>
      <c r="K243" s="318"/>
      <c r="L243" s="318"/>
      <c r="M243" s="318"/>
      <c r="N243" s="168"/>
      <c r="O243" s="168"/>
      <c r="P243" s="321"/>
      <c r="Q243" s="175"/>
      <c r="Y243" s="72"/>
      <c r="Z243" s="170"/>
      <c r="AA243" s="159"/>
      <c r="AB243" s="171"/>
      <c r="AC243" s="172"/>
      <c r="AD243" s="185" t="s">
        <v>4</v>
      </c>
    </row>
    <row r="244" spans="1:30" ht="17.100000000000001" customHeight="1" x14ac:dyDescent="0.25">
      <c r="A244" s="308"/>
      <c r="B244" s="149"/>
      <c r="C244" s="173"/>
      <c r="D244" s="166"/>
      <c r="E244" s="312"/>
      <c r="G244" s="306"/>
      <c r="H244" s="162"/>
      <c r="I244" s="305"/>
      <c r="J244" s="317"/>
      <c r="K244" s="318"/>
      <c r="L244" s="318"/>
      <c r="M244" s="318"/>
      <c r="N244" s="168"/>
      <c r="O244" s="168"/>
      <c r="P244" s="321"/>
      <c r="Q244" s="175"/>
      <c r="R244" s="175"/>
      <c r="Y244" s="72"/>
      <c r="Z244" s="170"/>
      <c r="AA244" s="159"/>
      <c r="AB244" s="171"/>
      <c r="AC244" s="172"/>
      <c r="AD244" s="185" t="s">
        <v>4</v>
      </c>
    </row>
    <row r="245" spans="1:30" ht="17.100000000000001" customHeight="1" x14ac:dyDescent="0.25">
      <c r="A245" s="308"/>
      <c r="B245" s="149"/>
      <c r="C245" s="173"/>
      <c r="D245" s="166"/>
      <c r="E245" s="312"/>
      <c r="G245" s="306"/>
      <c r="H245" s="162"/>
      <c r="I245" s="305"/>
      <c r="J245" s="317"/>
      <c r="K245" s="318"/>
      <c r="L245" s="318"/>
      <c r="M245" s="318"/>
      <c r="N245" s="168"/>
      <c r="O245" s="168"/>
      <c r="P245" s="321"/>
      <c r="Q245" s="175"/>
      <c r="Y245" s="72"/>
      <c r="Z245" s="170"/>
      <c r="AA245" s="159"/>
      <c r="AB245" s="171"/>
      <c r="AC245" s="172"/>
      <c r="AD245" s="185" t="s">
        <v>4</v>
      </c>
    </row>
    <row r="246" spans="1:30" ht="17.100000000000001" customHeight="1" x14ac:dyDescent="0.25">
      <c r="A246" s="308"/>
      <c r="B246" s="149"/>
      <c r="C246" s="173"/>
      <c r="D246" s="166"/>
      <c r="E246" s="312"/>
      <c r="G246" s="306"/>
      <c r="H246" s="162"/>
      <c r="I246" s="305"/>
      <c r="J246" s="317"/>
      <c r="K246" s="318"/>
      <c r="L246" s="318"/>
      <c r="M246" s="318"/>
      <c r="N246" s="168"/>
      <c r="O246" s="168"/>
      <c r="P246" s="321"/>
      <c r="Q246" s="175"/>
      <c r="Y246" s="72"/>
      <c r="Z246" s="170"/>
      <c r="AA246" s="159"/>
      <c r="AB246" s="171"/>
      <c r="AC246" s="172"/>
      <c r="AD246" s="185" t="s">
        <v>4</v>
      </c>
    </row>
    <row r="247" spans="1:30" ht="17.100000000000001" customHeight="1" x14ac:dyDescent="0.25">
      <c r="A247" s="308"/>
      <c r="B247" s="149"/>
      <c r="C247" s="173"/>
      <c r="D247" s="166"/>
      <c r="E247" s="312"/>
      <c r="G247" s="306"/>
      <c r="H247" s="162"/>
      <c r="I247" s="305"/>
      <c r="J247" s="317"/>
      <c r="K247" s="318"/>
      <c r="L247" s="318"/>
      <c r="M247" s="318"/>
      <c r="N247" s="168"/>
      <c r="O247" s="168"/>
      <c r="P247" s="321"/>
      <c r="Q247" s="175"/>
      <c r="Y247" s="72"/>
      <c r="Z247" s="170"/>
      <c r="AA247" s="159"/>
      <c r="AB247" s="171"/>
      <c r="AC247" s="172"/>
      <c r="AD247" s="185" t="s">
        <v>4</v>
      </c>
    </row>
    <row r="248" spans="1:30" ht="17.100000000000001" customHeight="1" x14ac:dyDescent="0.25">
      <c r="A248" s="308"/>
      <c r="B248" s="149"/>
      <c r="C248" s="173"/>
      <c r="D248" s="166"/>
      <c r="E248" s="312"/>
      <c r="G248" s="306"/>
      <c r="H248" s="162"/>
      <c r="I248" s="305"/>
      <c r="J248" s="317"/>
      <c r="K248" s="318"/>
      <c r="L248" s="318"/>
      <c r="M248" s="318"/>
      <c r="N248" s="168"/>
      <c r="O248" s="168"/>
      <c r="P248" s="321"/>
      <c r="Q248" s="156"/>
      <c r="Y248" s="72"/>
      <c r="Z248" s="170"/>
      <c r="AA248" s="159"/>
      <c r="AB248" s="171"/>
      <c r="AC248" s="172"/>
      <c r="AD248" s="185" t="s">
        <v>4</v>
      </c>
    </row>
    <row r="249" spans="1:30" ht="17.100000000000001" customHeight="1" x14ac:dyDescent="0.25">
      <c r="A249" s="308"/>
      <c r="B249" s="149"/>
      <c r="C249" s="173"/>
      <c r="D249" s="166"/>
      <c r="E249" s="312"/>
      <c r="G249" s="306"/>
      <c r="H249" s="162"/>
      <c r="I249" s="305"/>
      <c r="J249" s="317"/>
      <c r="K249" s="318"/>
      <c r="L249" s="318"/>
      <c r="M249" s="318"/>
      <c r="N249" s="168"/>
      <c r="O249" s="168"/>
      <c r="P249" s="321"/>
      <c r="Q249" s="175"/>
      <c r="Y249" s="72"/>
      <c r="Z249" s="170"/>
      <c r="AA249" s="159"/>
      <c r="AB249" s="171"/>
      <c r="AC249" s="172"/>
      <c r="AD249" s="185" t="s">
        <v>4</v>
      </c>
    </row>
    <row r="250" spans="1:30" ht="17.100000000000001" customHeight="1" x14ac:dyDescent="0.25">
      <c r="A250" s="308"/>
      <c r="B250" s="149"/>
      <c r="C250" s="173"/>
      <c r="D250" s="166"/>
      <c r="E250" s="312"/>
      <c r="G250" s="306"/>
      <c r="H250" s="162"/>
      <c r="I250" s="305"/>
      <c r="J250" s="317"/>
      <c r="K250" s="318"/>
      <c r="L250" s="318"/>
      <c r="M250" s="318"/>
      <c r="N250" s="168"/>
      <c r="O250" s="168"/>
      <c r="P250" s="321"/>
      <c r="Q250" s="175"/>
      <c r="Y250" s="72"/>
      <c r="Z250" s="170"/>
      <c r="AA250" s="159"/>
      <c r="AB250" s="171"/>
      <c r="AC250" s="172"/>
      <c r="AD250" s="185" t="s">
        <v>4</v>
      </c>
    </row>
    <row r="251" spans="1:30" ht="17.100000000000001" customHeight="1" x14ac:dyDescent="0.25">
      <c r="A251" s="308"/>
      <c r="B251" s="149"/>
      <c r="C251" s="173"/>
      <c r="D251" s="166"/>
      <c r="E251" s="312"/>
      <c r="G251" s="306"/>
      <c r="H251" s="162"/>
      <c r="I251" s="305"/>
      <c r="J251" s="317"/>
      <c r="K251" s="318"/>
      <c r="L251" s="318"/>
      <c r="M251" s="318"/>
      <c r="N251" s="168"/>
      <c r="O251" s="168"/>
      <c r="P251" s="321"/>
      <c r="Q251" s="175"/>
      <c r="Y251" s="72"/>
      <c r="Z251" s="170"/>
      <c r="AA251" s="159"/>
      <c r="AB251" s="171"/>
      <c r="AC251" s="172"/>
      <c r="AD251" s="185" t="s">
        <v>4</v>
      </c>
    </row>
    <row r="252" spans="1:30" ht="17.100000000000001" customHeight="1" x14ac:dyDescent="0.25">
      <c r="A252" s="308"/>
      <c r="B252" s="149"/>
      <c r="C252" s="173"/>
      <c r="D252" s="166"/>
      <c r="E252" s="312"/>
      <c r="G252" s="306"/>
      <c r="H252" s="162"/>
      <c r="I252" s="305"/>
      <c r="J252" s="317"/>
      <c r="K252" s="318"/>
      <c r="L252" s="318"/>
      <c r="M252" s="318"/>
      <c r="N252" s="168"/>
      <c r="O252" s="168"/>
      <c r="P252" s="321"/>
      <c r="Q252" s="175"/>
      <c r="Y252" s="72"/>
      <c r="Z252" s="170"/>
      <c r="AA252" s="159"/>
      <c r="AB252" s="171"/>
      <c r="AC252" s="172"/>
      <c r="AD252" s="185" t="s">
        <v>4</v>
      </c>
    </row>
    <row r="253" spans="1:30" ht="17.100000000000001" customHeight="1" x14ac:dyDescent="0.25">
      <c r="A253" s="308"/>
      <c r="B253" s="149"/>
      <c r="C253" s="173"/>
      <c r="D253" s="166"/>
      <c r="E253" s="312"/>
      <c r="G253" s="306"/>
      <c r="H253" s="162"/>
      <c r="I253" s="305"/>
      <c r="J253" s="317"/>
      <c r="K253" s="318"/>
      <c r="L253" s="318"/>
      <c r="M253" s="318"/>
      <c r="N253" s="168"/>
      <c r="O253" s="168"/>
      <c r="P253" s="321"/>
      <c r="Q253" s="175"/>
      <c r="Y253" s="72"/>
      <c r="Z253" s="170"/>
      <c r="AA253" s="159"/>
      <c r="AB253" s="171"/>
      <c r="AC253" s="172"/>
      <c r="AD253" s="185" t="s">
        <v>4</v>
      </c>
    </row>
    <row r="254" spans="1:30" ht="17.100000000000001" customHeight="1" x14ac:dyDescent="0.25">
      <c r="A254" s="308"/>
      <c r="B254" s="149"/>
      <c r="C254" s="173"/>
      <c r="D254" s="166"/>
      <c r="E254" s="312"/>
      <c r="G254" s="306"/>
      <c r="H254" s="162"/>
      <c r="I254" s="305"/>
      <c r="J254" s="317"/>
      <c r="K254" s="318"/>
      <c r="L254" s="318"/>
      <c r="M254" s="318"/>
      <c r="N254" s="168"/>
      <c r="O254" s="168"/>
      <c r="P254" s="321"/>
      <c r="Q254" s="175"/>
      <c r="Y254" s="72"/>
      <c r="Z254" s="170"/>
      <c r="AA254" s="159"/>
      <c r="AB254" s="171"/>
      <c r="AC254" s="172"/>
      <c r="AD254" s="185" t="s">
        <v>4</v>
      </c>
    </row>
    <row r="255" spans="1:30" ht="17.100000000000001" customHeight="1" x14ac:dyDescent="0.25">
      <c r="A255" s="308"/>
      <c r="B255" s="149"/>
      <c r="C255" s="173"/>
      <c r="D255" s="166"/>
      <c r="E255" s="312"/>
      <c r="G255" s="306"/>
      <c r="H255" s="162"/>
      <c r="I255" s="305"/>
      <c r="J255" s="317"/>
      <c r="K255" s="318"/>
      <c r="L255" s="318"/>
      <c r="M255" s="318"/>
      <c r="N255" s="168"/>
      <c r="O255" s="168"/>
      <c r="P255" s="321"/>
      <c r="Q255" s="175"/>
      <c r="Y255" s="72"/>
      <c r="Z255" s="170"/>
      <c r="AA255" s="159"/>
      <c r="AB255" s="171"/>
      <c r="AC255" s="172"/>
      <c r="AD255" s="185" t="s">
        <v>4</v>
      </c>
    </row>
    <row r="256" spans="1:30" ht="17.100000000000001" customHeight="1" x14ac:dyDescent="0.25">
      <c r="A256" s="308"/>
      <c r="B256" s="149"/>
      <c r="C256" s="173"/>
      <c r="D256" s="166"/>
      <c r="E256" s="312"/>
      <c r="G256" s="306"/>
      <c r="H256" s="162"/>
      <c r="I256" s="305"/>
      <c r="J256" s="317"/>
      <c r="K256" s="318"/>
      <c r="L256" s="318"/>
      <c r="M256" s="318"/>
      <c r="N256" s="168"/>
      <c r="O256" s="168"/>
      <c r="P256" s="321"/>
      <c r="Q256" s="175"/>
      <c r="Y256" s="72"/>
      <c r="Z256" s="170"/>
      <c r="AA256" s="159"/>
      <c r="AB256" s="171"/>
      <c r="AC256" s="172"/>
      <c r="AD256" s="185" t="s">
        <v>4</v>
      </c>
    </row>
    <row r="257" spans="1:30" ht="17.100000000000001" customHeight="1" x14ac:dyDescent="0.25">
      <c r="A257" s="308"/>
      <c r="B257" s="149"/>
      <c r="C257" s="173"/>
      <c r="D257" s="166"/>
      <c r="E257" s="312"/>
      <c r="G257" s="306"/>
      <c r="H257" s="162"/>
      <c r="I257" s="305"/>
      <c r="J257" s="317"/>
      <c r="K257" s="318"/>
      <c r="L257" s="318"/>
      <c r="M257" s="318"/>
      <c r="N257" s="168"/>
      <c r="O257" s="168"/>
      <c r="P257" s="321"/>
      <c r="Q257" s="175"/>
      <c r="Y257" s="72"/>
      <c r="Z257" s="170"/>
      <c r="AA257" s="159"/>
      <c r="AB257" s="171"/>
      <c r="AC257" s="172"/>
      <c r="AD257" s="185" t="s">
        <v>4</v>
      </c>
    </row>
    <row r="258" spans="1:30" ht="17.100000000000001" customHeight="1" x14ac:dyDescent="0.25">
      <c r="A258" s="308"/>
      <c r="B258" s="149"/>
      <c r="C258" s="173"/>
      <c r="D258" s="166"/>
      <c r="E258" s="312"/>
      <c r="G258" s="306"/>
      <c r="H258" s="162"/>
      <c r="I258" s="305"/>
      <c r="J258" s="317"/>
      <c r="K258" s="318"/>
      <c r="L258" s="318"/>
      <c r="M258" s="318"/>
      <c r="N258" s="168"/>
      <c r="O258" s="168"/>
      <c r="P258" s="321"/>
      <c r="Q258" s="175"/>
      <c r="Y258" s="72"/>
      <c r="Z258" s="170"/>
      <c r="AA258" s="159"/>
      <c r="AB258" s="171"/>
      <c r="AC258" s="172"/>
      <c r="AD258" s="185" t="s">
        <v>4</v>
      </c>
    </row>
    <row r="259" spans="1:30" ht="17.100000000000001" customHeight="1" x14ac:dyDescent="0.25">
      <c r="A259" s="308"/>
      <c r="B259" s="149"/>
      <c r="C259" s="173"/>
      <c r="D259" s="166"/>
      <c r="E259" s="312"/>
      <c r="G259" s="306"/>
      <c r="H259" s="162"/>
      <c r="I259" s="305"/>
      <c r="J259" s="317"/>
      <c r="K259" s="318"/>
      <c r="L259" s="318"/>
      <c r="M259" s="318"/>
      <c r="N259" s="168"/>
      <c r="O259" s="168"/>
      <c r="P259" s="321"/>
      <c r="Q259" s="175"/>
      <c r="Y259" s="72"/>
      <c r="Z259" s="170"/>
      <c r="AA259" s="159"/>
      <c r="AB259" s="171"/>
      <c r="AC259" s="172"/>
      <c r="AD259" s="185" t="s">
        <v>4</v>
      </c>
    </row>
    <row r="260" spans="1:30" ht="17.100000000000001" customHeight="1" x14ac:dyDescent="0.25">
      <c r="A260" s="308"/>
      <c r="B260" s="149"/>
      <c r="C260" s="173"/>
      <c r="D260" s="166"/>
      <c r="E260" s="312"/>
      <c r="G260" s="306"/>
      <c r="H260" s="162"/>
      <c r="I260" s="305"/>
      <c r="J260" s="317"/>
      <c r="K260" s="318"/>
      <c r="L260" s="318"/>
      <c r="M260" s="318"/>
      <c r="N260" s="168"/>
      <c r="O260" s="168"/>
      <c r="P260" s="321"/>
      <c r="Q260" s="156"/>
      <c r="R260" s="175"/>
      <c r="Y260" s="72"/>
      <c r="Z260" s="170"/>
      <c r="AA260" s="159"/>
      <c r="AB260" s="171"/>
      <c r="AC260" s="172"/>
      <c r="AD260" s="185" t="s">
        <v>4</v>
      </c>
    </row>
    <row r="261" spans="1:30" ht="17.100000000000001" customHeight="1" x14ac:dyDescent="0.25">
      <c r="A261" s="308"/>
      <c r="B261" s="149"/>
      <c r="C261" s="173"/>
      <c r="D261" s="166"/>
      <c r="E261" s="312"/>
      <c r="G261" s="306"/>
      <c r="H261" s="162"/>
      <c r="I261" s="305"/>
      <c r="J261" s="317"/>
      <c r="K261" s="318"/>
      <c r="L261" s="318"/>
      <c r="M261" s="318"/>
      <c r="N261" s="168"/>
      <c r="O261" s="168"/>
      <c r="P261" s="321"/>
      <c r="Q261" s="175"/>
      <c r="R261" s="175"/>
      <c r="Y261" s="72"/>
      <c r="Z261" s="170"/>
      <c r="AA261" s="159"/>
      <c r="AB261" s="171"/>
      <c r="AC261" s="172"/>
      <c r="AD261" s="185" t="s">
        <v>4</v>
      </c>
    </row>
    <row r="262" spans="1:30" ht="17.100000000000001" customHeight="1" x14ac:dyDescent="0.25">
      <c r="A262" s="308"/>
      <c r="B262" s="149"/>
      <c r="C262" s="173"/>
      <c r="D262" s="166"/>
      <c r="E262" s="312"/>
      <c r="G262" s="306"/>
      <c r="H262" s="162"/>
      <c r="I262" s="305"/>
      <c r="J262" s="317"/>
      <c r="K262" s="318"/>
      <c r="L262" s="318"/>
      <c r="M262" s="318"/>
      <c r="N262" s="168"/>
      <c r="O262" s="168"/>
      <c r="P262" s="321"/>
      <c r="Q262" s="175"/>
      <c r="R262" s="175"/>
      <c r="Y262" s="72"/>
      <c r="Z262" s="170"/>
      <c r="AA262" s="159"/>
      <c r="AB262" s="171"/>
      <c r="AC262" s="172"/>
      <c r="AD262" s="185" t="s">
        <v>4</v>
      </c>
    </row>
    <row r="263" spans="1:30" ht="17.100000000000001" customHeight="1" x14ac:dyDescent="0.25">
      <c r="A263" s="308"/>
      <c r="B263" s="149"/>
      <c r="C263" s="173"/>
      <c r="D263" s="166"/>
      <c r="E263" s="312"/>
      <c r="G263" s="306"/>
      <c r="H263" s="162"/>
      <c r="I263" s="305"/>
      <c r="J263" s="317"/>
      <c r="K263" s="318"/>
      <c r="L263" s="318"/>
      <c r="M263" s="318"/>
      <c r="N263" s="168"/>
      <c r="O263" s="168"/>
      <c r="P263" s="321"/>
      <c r="Q263" s="175"/>
      <c r="Y263" s="72"/>
      <c r="Z263" s="170"/>
      <c r="AA263" s="159"/>
      <c r="AB263" s="171"/>
      <c r="AC263" s="172"/>
      <c r="AD263" s="185" t="s">
        <v>4</v>
      </c>
    </row>
    <row r="264" spans="1:30" ht="17.100000000000001" customHeight="1" x14ac:dyDescent="0.25">
      <c r="A264" s="308"/>
      <c r="B264" s="149"/>
      <c r="C264" s="173"/>
      <c r="D264" s="166"/>
      <c r="E264" s="312"/>
      <c r="G264" s="306"/>
      <c r="H264" s="162"/>
      <c r="I264" s="305"/>
      <c r="J264" s="317"/>
      <c r="K264" s="318"/>
      <c r="L264" s="318"/>
      <c r="M264" s="318"/>
      <c r="N264" s="168"/>
      <c r="O264" s="168"/>
      <c r="P264" s="321"/>
      <c r="Q264" s="175"/>
      <c r="Y264" s="72"/>
      <c r="Z264" s="170"/>
      <c r="AA264" s="159"/>
      <c r="AB264" s="171"/>
      <c r="AC264" s="172"/>
      <c r="AD264" s="185" t="s">
        <v>4</v>
      </c>
    </row>
    <row r="265" spans="1:30" ht="17.100000000000001" customHeight="1" x14ac:dyDescent="0.25">
      <c r="A265" s="308"/>
      <c r="B265" s="149"/>
      <c r="C265" s="173"/>
      <c r="D265" s="166"/>
      <c r="E265" s="312"/>
      <c r="G265" s="306"/>
      <c r="H265" s="162"/>
      <c r="I265" s="305"/>
      <c r="J265" s="317"/>
      <c r="K265" s="318"/>
      <c r="L265" s="318"/>
      <c r="M265" s="318"/>
      <c r="N265" s="168"/>
      <c r="O265" s="168"/>
      <c r="P265" s="321"/>
      <c r="Q265" s="175"/>
      <c r="Y265" s="72"/>
      <c r="Z265" s="170"/>
      <c r="AA265" s="159"/>
      <c r="AB265" s="171"/>
      <c r="AC265" s="172"/>
      <c r="AD265" s="185" t="s">
        <v>4</v>
      </c>
    </row>
    <row r="266" spans="1:30" ht="17.100000000000001" customHeight="1" x14ac:dyDescent="0.25">
      <c r="A266" s="308"/>
      <c r="B266" s="149"/>
      <c r="C266" s="173"/>
      <c r="D266" s="166"/>
      <c r="E266" s="312"/>
      <c r="G266" s="306"/>
      <c r="H266" s="162"/>
      <c r="I266" s="305"/>
      <c r="J266" s="317"/>
      <c r="K266" s="318"/>
      <c r="L266" s="318"/>
      <c r="M266" s="318"/>
      <c r="N266" s="168"/>
      <c r="O266" s="168"/>
      <c r="P266" s="321"/>
      <c r="Q266" s="175"/>
      <c r="Y266" s="72"/>
      <c r="Z266" s="170"/>
      <c r="AA266" s="159"/>
      <c r="AB266" s="171"/>
      <c r="AC266" s="172"/>
      <c r="AD266" s="185" t="s">
        <v>4</v>
      </c>
    </row>
    <row r="267" spans="1:30" ht="17.100000000000001" customHeight="1" x14ac:dyDescent="0.25">
      <c r="A267" s="308"/>
      <c r="B267" s="149"/>
      <c r="C267" s="173"/>
      <c r="D267" s="166"/>
      <c r="E267" s="312"/>
      <c r="G267" s="306"/>
      <c r="H267" s="162"/>
      <c r="I267" s="305"/>
      <c r="J267" s="317"/>
      <c r="K267" s="318"/>
      <c r="L267" s="318"/>
      <c r="M267" s="318"/>
      <c r="N267" s="168"/>
      <c r="O267" s="168"/>
      <c r="P267" s="321"/>
      <c r="Q267" s="175"/>
      <c r="R267" s="175"/>
      <c r="Y267" s="72"/>
      <c r="Z267" s="170"/>
      <c r="AA267" s="159"/>
      <c r="AB267" s="171"/>
      <c r="AC267" s="172"/>
      <c r="AD267" s="185" t="s">
        <v>4</v>
      </c>
    </row>
    <row r="268" spans="1:30" ht="17.100000000000001" customHeight="1" x14ac:dyDescent="0.25">
      <c r="A268" s="308"/>
      <c r="B268" s="149"/>
      <c r="C268" s="173"/>
      <c r="D268" s="166"/>
      <c r="E268" s="312"/>
      <c r="G268" s="306"/>
      <c r="H268" s="162"/>
      <c r="I268" s="305"/>
      <c r="J268" s="317"/>
      <c r="K268" s="318"/>
      <c r="L268" s="318"/>
      <c r="M268" s="318"/>
      <c r="N268" s="168"/>
      <c r="O268" s="168"/>
      <c r="P268" s="321"/>
      <c r="Q268" s="175"/>
      <c r="R268" s="175"/>
      <c r="Y268" s="72"/>
      <c r="Z268" s="170"/>
      <c r="AA268" s="159"/>
      <c r="AB268" s="171"/>
      <c r="AC268" s="172"/>
      <c r="AD268" s="185" t="s">
        <v>4</v>
      </c>
    </row>
    <row r="269" spans="1:30" ht="17.100000000000001" customHeight="1" x14ac:dyDescent="0.25">
      <c r="A269" s="308"/>
      <c r="B269" s="149"/>
      <c r="C269" s="173"/>
      <c r="D269" s="166"/>
      <c r="E269" s="312"/>
      <c r="G269" s="306"/>
      <c r="H269" s="162"/>
      <c r="I269" s="305"/>
      <c r="J269" s="317"/>
      <c r="K269" s="318"/>
      <c r="L269" s="318"/>
      <c r="M269" s="318"/>
      <c r="N269" s="168"/>
      <c r="O269" s="168"/>
      <c r="P269" s="321"/>
      <c r="Q269" s="156"/>
      <c r="Y269" s="72"/>
      <c r="Z269" s="170"/>
      <c r="AA269" s="159"/>
      <c r="AB269" s="171"/>
      <c r="AC269" s="172"/>
      <c r="AD269" s="185" t="s">
        <v>4</v>
      </c>
    </row>
    <row r="270" spans="1:30" ht="17.100000000000001" customHeight="1" x14ac:dyDescent="0.25">
      <c r="A270" s="308"/>
      <c r="B270" s="149"/>
      <c r="C270" s="173"/>
      <c r="D270" s="166"/>
      <c r="E270" s="312"/>
      <c r="G270" s="306"/>
      <c r="H270" s="162"/>
      <c r="I270" s="305"/>
      <c r="J270" s="317"/>
      <c r="K270" s="318"/>
      <c r="L270" s="318"/>
      <c r="M270" s="318"/>
      <c r="N270" s="168"/>
      <c r="O270" s="168"/>
      <c r="P270" s="321"/>
      <c r="Q270" s="156"/>
      <c r="Y270" s="72"/>
      <c r="Z270" s="170"/>
      <c r="AA270" s="159"/>
      <c r="AB270" s="171"/>
      <c r="AC270" s="172"/>
      <c r="AD270" s="185" t="s">
        <v>4</v>
      </c>
    </row>
    <row r="271" spans="1:30" ht="17.100000000000001" customHeight="1" x14ac:dyDescent="0.25">
      <c r="A271" s="308"/>
      <c r="B271" s="149"/>
      <c r="C271" s="173"/>
      <c r="D271" s="166"/>
      <c r="E271" s="312"/>
      <c r="G271" s="306"/>
      <c r="H271" s="162"/>
      <c r="I271" s="305"/>
      <c r="J271" s="317"/>
      <c r="K271" s="318"/>
      <c r="L271" s="318"/>
      <c r="M271" s="318"/>
      <c r="N271" s="168"/>
      <c r="O271" s="168"/>
      <c r="P271" s="321"/>
      <c r="Q271" s="175"/>
      <c r="Y271" s="72"/>
      <c r="Z271" s="170"/>
      <c r="AA271" s="159"/>
      <c r="AB271" s="171"/>
      <c r="AC271" s="172"/>
      <c r="AD271" s="185" t="s">
        <v>4</v>
      </c>
    </row>
    <row r="272" spans="1:30" ht="17.100000000000001" customHeight="1" x14ac:dyDescent="0.25">
      <c r="A272" s="308"/>
      <c r="B272" s="149"/>
      <c r="C272" s="173"/>
      <c r="D272" s="166"/>
      <c r="E272" s="312"/>
      <c r="G272" s="306"/>
      <c r="H272" s="162"/>
      <c r="I272" s="305"/>
      <c r="J272" s="317"/>
      <c r="K272" s="318"/>
      <c r="L272" s="318"/>
      <c r="M272" s="318"/>
      <c r="N272" s="168"/>
      <c r="O272" s="168"/>
      <c r="P272" s="321"/>
      <c r="Q272" s="175"/>
      <c r="Y272" s="72"/>
      <c r="Z272" s="170"/>
      <c r="AA272" s="159"/>
      <c r="AB272" s="171"/>
      <c r="AC272" s="172"/>
      <c r="AD272" s="185" t="s">
        <v>4</v>
      </c>
    </row>
    <row r="273" spans="1:30" ht="17.100000000000001" customHeight="1" x14ac:dyDescent="0.25">
      <c r="A273" s="308"/>
      <c r="B273" s="149"/>
      <c r="C273" s="173"/>
      <c r="D273" s="166"/>
      <c r="E273" s="312"/>
      <c r="G273" s="306"/>
      <c r="H273" s="162"/>
      <c r="I273" s="305"/>
      <c r="J273" s="317"/>
      <c r="K273" s="318"/>
      <c r="L273" s="318"/>
      <c r="M273" s="318"/>
      <c r="N273" s="168"/>
      <c r="O273" s="168"/>
      <c r="P273" s="321"/>
      <c r="Q273" s="175"/>
      <c r="Y273" s="72"/>
      <c r="Z273" s="170"/>
      <c r="AA273" s="159"/>
      <c r="AB273" s="171"/>
      <c r="AC273" s="172"/>
      <c r="AD273" s="185" t="s">
        <v>4</v>
      </c>
    </row>
    <row r="274" spans="1:30" ht="17.100000000000001" customHeight="1" x14ac:dyDescent="0.25">
      <c r="A274" s="308"/>
      <c r="B274" s="149"/>
      <c r="C274" s="173"/>
      <c r="D274" s="166"/>
      <c r="E274" s="312"/>
      <c r="G274" s="306"/>
      <c r="H274" s="162"/>
      <c r="I274" s="305"/>
      <c r="J274" s="317"/>
      <c r="K274" s="318"/>
      <c r="L274" s="318"/>
      <c r="M274" s="318"/>
      <c r="N274" s="168"/>
      <c r="O274" s="168"/>
      <c r="P274" s="321"/>
      <c r="Q274" s="156"/>
      <c r="Y274" s="72"/>
      <c r="Z274" s="170"/>
      <c r="AA274" s="159"/>
      <c r="AB274" s="171"/>
      <c r="AC274" s="172"/>
      <c r="AD274" s="185" t="s">
        <v>4</v>
      </c>
    </row>
    <row r="275" spans="1:30" ht="17.100000000000001" customHeight="1" x14ac:dyDescent="0.25">
      <c r="A275" s="308"/>
      <c r="B275" s="149"/>
      <c r="C275" s="176"/>
      <c r="D275" s="151"/>
      <c r="E275" s="312"/>
      <c r="F275" s="156"/>
      <c r="G275" s="306"/>
      <c r="H275" s="162"/>
      <c r="I275" s="305"/>
      <c r="J275" s="317"/>
      <c r="K275" s="318"/>
      <c r="L275" s="318"/>
      <c r="M275" s="318"/>
      <c r="N275" s="155"/>
      <c r="O275" s="155"/>
      <c r="P275" s="320"/>
      <c r="Q275" s="156"/>
      <c r="R275" s="152"/>
      <c r="S275" s="152"/>
      <c r="T275" s="152"/>
      <c r="U275" s="152"/>
      <c r="V275" s="152"/>
      <c r="W275" s="152"/>
      <c r="X275" s="152"/>
      <c r="Y275" s="157"/>
      <c r="Z275" s="158"/>
      <c r="AA275" s="159"/>
      <c r="AB275" s="160"/>
      <c r="AC275" s="161"/>
      <c r="AD275" s="185" t="s">
        <v>4</v>
      </c>
    </row>
    <row r="276" spans="1:30" ht="17.100000000000001" customHeight="1" x14ac:dyDescent="0.25">
      <c r="A276" s="308"/>
      <c r="B276" s="149"/>
      <c r="C276" s="176"/>
      <c r="D276" s="151"/>
      <c r="E276" s="312"/>
      <c r="F276" s="156"/>
      <c r="G276" s="306"/>
      <c r="H276" s="162"/>
      <c r="I276" s="305"/>
      <c r="J276" s="317"/>
      <c r="K276" s="318"/>
      <c r="L276" s="318"/>
      <c r="M276" s="318"/>
      <c r="N276" s="155"/>
      <c r="O276" s="155"/>
      <c r="P276" s="320"/>
      <c r="Q276" s="156"/>
      <c r="R276" s="152"/>
      <c r="S276" s="152"/>
      <c r="T276" s="152"/>
      <c r="U276" s="152"/>
      <c r="V276" s="152"/>
      <c r="W276" s="152"/>
      <c r="X276" s="152"/>
      <c r="Y276" s="157"/>
      <c r="Z276" s="158"/>
      <c r="AA276" s="159"/>
      <c r="AB276" s="160"/>
      <c r="AC276" s="161"/>
      <c r="AD276" s="185" t="s">
        <v>4</v>
      </c>
    </row>
    <row r="277" spans="1:30" ht="17.100000000000001" customHeight="1" x14ac:dyDescent="0.25">
      <c r="A277" s="308"/>
      <c r="B277" s="149"/>
      <c r="C277" s="173"/>
      <c r="D277" s="166"/>
      <c r="E277" s="312"/>
      <c r="G277" s="306"/>
      <c r="H277" s="162"/>
      <c r="I277" s="305"/>
      <c r="J277" s="317"/>
      <c r="K277" s="318"/>
      <c r="L277" s="318"/>
      <c r="M277" s="318"/>
      <c r="N277" s="168"/>
      <c r="O277" s="168"/>
      <c r="P277" s="321"/>
      <c r="Q277" s="175"/>
      <c r="Y277" s="72"/>
      <c r="Z277" s="170"/>
      <c r="AA277" s="159"/>
      <c r="AB277" s="171"/>
      <c r="AC277" s="172"/>
      <c r="AD277" s="185" t="s">
        <v>4</v>
      </c>
    </row>
    <row r="278" spans="1:30" ht="17.100000000000001" customHeight="1" x14ac:dyDescent="0.25">
      <c r="A278" s="308"/>
      <c r="B278" s="149"/>
      <c r="C278" s="173"/>
      <c r="D278" s="166"/>
      <c r="E278" s="312"/>
      <c r="G278" s="306"/>
      <c r="H278" s="162"/>
      <c r="I278" s="305"/>
      <c r="J278" s="317"/>
      <c r="K278" s="318"/>
      <c r="L278" s="318"/>
      <c r="M278" s="318"/>
      <c r="N278" s="168"/>
      <c r="O278" s="168"/>
      <c r="P278" s="321"/>
      <c r="Q278" s="175"/>
      <c r="Y278" s="72"/>
      <c r="Z278" s="170"/>
      <c r="AA278" s="159"/>
      <c r="AB278" s="171"/>
      <c r="AC278" s="172"/>
      <c r="AD278" s="185" t="s">
        <v>4</v>
      </c>
    </row>
    <row r="279" spans="1:30" ht="17.100000000000001" customHeight="1" x14ac:dyDescent="0.25">
      <c r="A279" s="308"/>
      <c r="B279" s="149"/>
      <c r="C279" s="173"/>
      <c r="D279" s="166"/>
      <c r="E279" s="312"/>
      <c r="G279" s="306"/>
      <c r="H279" s="162"/>
      <c r="I279" s="305"/>
      <c r="J279" s="317"/>
      <c r="K279" s="318"/>
      <c r="L279" s="318"/>
      <c r="M279" s="318"/>
      <c r="N279" s="168"/>
      <c r="O279" s="168"/>
      <c r="P279" s="321"/>
      <c r="Q279" s="175"/>
      <c r="Y279" s="72"/>
      <c r="Z279" s="170"/>
      <c r="AA279" s="159"/>
      <c r="AB279" s="171"/>
      <c r="AC279" s="172"/>
      <c r="AD279" s="185" t="s">
        <v>4</v>
      </c>
    </row>
    <row r="280" spans="1:30" ht="17.100000000000001" customHeight="1" x14ac:dyDescent="0.25">
      <c r="A280" s="308"/>
      <c r="B280" s="149"/>
      <c r="C280" s="173"/>
      <c r="D280" s="166"/>
      <c r="E280" s="312"/>
      <c r="G280" s="306"/>
      <c r="H280" s="162"/>
      <c r="I280" s="305"/>
      <c r="J280" s="317"/>
      <c r="K280" s="318"/>
      <c r="L280" s="318"/>
      <c r="M280" s="318"/>
      <c r="N280" s="168"/>
      <c r="O280" s="168"/>
      <c r="P280" s="321"/>
      <c r="Q280" s="175"/>
      <c r="Y280" s="72"/>
      <c r="Z280" s="170"/>
      <c r="AA280" s="159"/>
      <c r="AB280" s="171"/>
      <c r="AC280" s="172"/>
      <c r="AD280" s="185" t="s">
        <v>4</v>
      </c>
    </row>
    <row r="281" spans="1:30" ht="17.100000000000001" customHeight="1" x14ac:dyDescent="0.25">
      <c r="A281" s="308"/>
      <c r="B281" s="149"/>
      <c r="C281" s="173"/>
      <c r="D281" s="166"/>
      <c r="E281" s="312"/>
      <c r="G281" s="306"/>
      <c r="H281" s="162"/>
      <c r="I281" s="305"/>
      <c r="J281" s="317"/>
      <c r="K281" s="318"/>
      <c r="L281" s="318"/>
      <c r="M281" s="318"/>
      <c r="N281" s="168"/>
      <c r="O281" s="168"/>
      <c r="P281" s="321"/>
      <c r="Q281" s="175"/>
      <c r="R281" s="175"/>
      <c r="Y281" s="72"/>
      <c r="Z281" s="170"/>
      <c r="AA281" s="159"/>
      <c r="AB281" s="171"/>
      <c r="AC281" s="172"/>
      <c r="AD281" s="185" t="s">
        <v>4</v>
      </c>
    </row>
    <row r="282" spans="1:30" ht="17.100000000000001" customHeight="1" x14ac:dyDescent="0.25">
      <c r="A282" s="308"/>
      <c r="B282" s="149"/>
      <c r="C282" s="173"/>
      <c r="D282" s="166"/>
      <c r="E282" s="312"/>
      <c r="G282" s="306"/>
      <c r="H282" s="162"/>
      <c r="I282" s="305"/>
      <c r="J282" s="317"/>
      <c r="K282" s="318"/>
      <c r="L282" s="318"/>
      <c r="M282" s="318"/>
      <c r="N282" s="168"/>
      <c r="O282" s="168"/>
      <c r="P282" s="321"/>
      <c r="Q282" s="156"/>
      <c r="R282" s="175"/>
      <c r="Y282" s="72"/>
      <c r="Z282" s="170"/>
      <c r="AA282" s="159"/>
      <c r="AB282" s="171"/>
      <c r="AC282" s="172"/>
      <c r="AD282" s="185" t="s">
        <v>4</v>
      </c>
    </row>
    <row r="283" spans="1:30" ht="17.100000000000001" customHeight="1" x14ac:dyDescent="0.25">
      <c r="A283" s="308"/>
      <c r="B283" s="149"/>
      <c r="C283" s="176"/>
      <c r="D283" s="151"/>
      <c r="E283" s="312"/>
      <c r="F283" s="156"/>
      <c r="G283" s="306"/>
      <c r="H283" s="162"/>
      <c r="I283" s="305"/>
      <c r="J283" s="317"/>
      <c r="K283" s="318"/>
      <c r="L283" s="318"/>
      <c r="M283" s="318"/>
      <c r="N283" s="155"/>
      <c r="O283" s="155"/>
      <c r="P283" s="320"/>
      <c r="Q283" s="156"/>
      <c r="R283" s="152"/>
      <c r="S283" s="152"/>
      <c r="T283" s="152"/>
      <c r="U283" s="152"/>
      <c r="V283" s="152"/>
      <c r="W283" s="152"/>
      <c r="X283" s="152"/>
      <c r="Y283" s="157"/>
      <c r="Z283" s="158"/>
      <c r="AA283" s="159"/>
      <c r="AB283" s="160"/>
      <c r="AC283" s="161"/>
      <c r="AD283" s="185" t="s">
        <v>4</v>
      </c>
    </row>
    <row r="284" spans="1:30" ht="17.100000000000001" customHeight="1" x14ac:dyDescent="0.25">
      <c r="A284" s="308"/>
      <c r="B284" s="149"/>
      <c r="C284" s="173"/>
      <c r="D284" s="166"/>
      <c r="E284" s="312"/>
      <c r="G284" s="306"/>
      <c r="H284" s="162"/>
      <c r="I284" s="305"/>
      <c r="J284" s="317"/>
      <c r="K284" s="318"/>
      <c r="L284" s="318"/>
      <c r="M284" s="318"/>
      <c r="N284" s="168"/>
      <c r="O284" s="168"/>
      <c r="P284" s="321"/>
      <c r="Q284" s="175"/>
      <c r="Y284" s="72"/>
      <c r="Z284" s="170"/>
      <c r="AA284" s="159"/>
      <c r="AB284" s="171"/>
      <c r="AC284" s="172"/>
      <c r="AD284" s="185" t="s">
        <v>4</v>
      </c>
    </row>
    <row r="285" spans="1:30" ht="17.100000000000001" customHeight="1" x14ac:dyDescent="0.25">
      <c r="A285" s="308"/>
      <c r="B285" s="149"/>
      <c r="C285" s="173"/>
      <c r="D285" s="166"/>
      <c r="E285" s="312"/>
      <c r="G285" s="306"/>
      <c r="H285" s="162"/>
      <c r="I285" s="305"/>
      <c r="J285" s="317"/>
      <c r="K285" s="318"/>
      <c r="L285" s="318"/>
      <c r="M285" s="318"/>
      <c r="N285" s="168"/>
      <c r="O285" s="168"/>
      <c r="P285" s="321"/>
      <c r="Q285" s="175"/>
      <c r="Y285" s="72"/>
      <c r="Z285" s="170"/>
      <c r="AA285" s="159"/>
      <c r="AB285" s="171"/>
      <c r="AC285" s="172"/>
      <c r="AD285" s="185" t="s">
        <v>4</v>
      </c>
    </row>
    <row r="286" spans="1:30" ht="17.100000000000001" customHeight="1" x14ac:dyDescent="0.25">
      <c r="A286" s="308"/>
      <c r="B286" s="149"/>
      <c r="C286" s="173"/>
      <c r="D286" s="166"/>
      <c r="E286" s="312"/>
      <c r="G286" s="306"/>
      <c r="H286" s="162"/>
      <c r="I286" s="305"/>
      <c r="J286" s="317"/>
      <c r="K286" s="318"/>
      <c r="L286" s="318"/>
      <c r="M286" s="318"/>
      <c r="N286" s="168"/>
      <c r="O286" s="168"/>
      <c r="P286" s="321"/>
      <c r="Q286" s="175"/>
      <c r="Y286" s="72"/>
      <c r="Z286" s="170"/>
      <c r="AA286" s="159"/>
      <c r="AB286" s="171"/>
      <c r="AC286" s="172"/>
      <c r="AD286" s="185" t="s">
        <v>4</v>
      </c>
    </row>
    <row r="287" spans="1:30" ht="17.100000000000001" customHeight="1" x14ac:dyDescent="0.25">
      <c r="A287" s="308"/>
      <c r="B287" s="149"/>
      <c r="C287" s="173"/>
      <c r="D287" s="166"/>
      <c r="E287" s="312"/>
      <c r="G287" s="306"/>
      <c r="H287" s="162"/>
      <c r="I287" s="305"/>
      <c r="J287" s="317"/>
      <c r="K287" s="318"/>
      <c r="L287" s="318"/>
      <c r="M287" s="318"/>
      <c r="N287" s="168"/>
      <c r="O287" s="168"/>
      <c r="P287" s="321"/>
      <c r="Q287" s="175"/>
      <c r="Y287" s="72"/>
      <c r="Z287" s="170"/>
      <c r="AA287" s="159"/>
      <c r="AB287" s="171"/>
      <c r="AC287" s="172"/>
      <c r="AD287" s="185" t="s">
        <v>4</v>
      </c>
    </row>
    <row r="288" spans="1:30" ht="17.100000000000001" customHeight="1" x14ac:dyDescent="0.25">
      <c r="A288" s="308"/>
      <c r="B288" s="149"/>
      <c r="C288" s="173"/>
      <c r="D288" s="166"/>
      <c r="E288" s="312"/>
      <c r="G288" s="306"/>
      <c r="H288" s="162"/>
      <c r="I288" s="305"/>
      <c r="J288" s="317"/>
      <c r="K288" s="318"/>
      <c r="L288" s="318"/>
      <c r="M288" s="318"/>
      <c r="N288" s="168"/>
      <c r="O288" s="168"/>
      <c r="P288" s="321"/>
      <c r="Q288" s="175"/>
      <c r="Y288" s="72"/>
      <c r="Z288" s="170"/>
      <c r="AA288" s="159"/>
      <c r="AB288" s="171"/>
      <c r="AC288" s="172"/>
      <c r="AD288" s="185" t="s">
        <v>4</v>
      </c>
    </row>
    <row r="289" spans="1:30" ht="17.100000000000001" customHeight="1" x14ac:dyDescent="0.25">
      <c r="A289" s="308"/>
      <c r="B289" s="149"/>
      <c r="C289" s="173"/>
      <c r="D289" s="166"/>
      <c r="E289" s="312"/>
      <c r="G289" s="306"/>
      <c r="H289" s="162"/>
      <c r="I289" s="305"/>
      <c r="J289" s="317"/>
      <c r="K289" s="318"/>
      <c r="L289" s="318"/>
      <c r="M289" s="318"/>
      <c r="N289" s="168"/>
      <c r="O289" s="168"/>
      <c r="P289" s="321"/>
      <c r="Q289" s="175"/>
      <c r="Y289" s="72"/>
      <c r="Z289" s="170"/>
      <c r="AA289" s="159"/>
      <c r="AB289" s="171"/>
      <c r="AC289" s="172"/>
      <c r="AD289" s="185" t="s">
        <v>4</v>
      </c>
    </row>
    <row r="290" spans="1:30" ht="17.100000000000001" customHeight="1" x14ac:dyDescent="0.25">
      <c r="A290" s="308"/>
      <c r="B290" s="149"/>
      <c r="C290" s="173"/>
      <c r="D290" s="166"/>
      <c r="E290" s="312"/>
      <c r="G290" s="306"/>
      <c r="H290" s="162"/>
      <c r="I290" s="305"/>
      <c r="J290" s="317"/>
      <c r="K290" s="318"/>
      <c r="L290" s="318"/>
      <c r="M290" s="318"/>
      <c r="N290" s="168"/>
      <c r="O290" s="168"/>
      <c r="P290" s="321"/>
      <c r="Q290" s="156"/>
      <c r="Y290" s="72"/>
      <c r="Z290" s="170"/>
      <c r="AA290" s="159"/>
      <c r="AB290" s="171"/>
      <c r="AC290" s="172"/>
      <c r="AD290" s="185" t="s">
        <v>4</v>
      </c>
    </row>
    <row r="291" spans="1:30" ht="17.100000000000001" customHeight="1" x14ac:dyDescent="0.25">
      <c r="A291" s="308"/>
      <c r="B291" s="149"/>
      <c r="C291" s="176"/>
      <c r="D291" s="151"/>
      <c r="E291" s="312"/>
      <c r="F291" s="156"/>
      <c r="G291" s="306"/>
      <c r="H291" s="162"/>
      <c r="I291" s="305"/>
      <c r="J291" s="317"/>
      <c r="K291" s="318"/>
      <c r="L291" s="318"/>
      <c r="M291" s="318"/>
      <c r="N291" s="155"/>
      <c r="O291" s="155"/>
      <c r="P291" s="320"/>
      <c r="Q291" s="156"/>
      <c r="R291" s="152"/>
      <c r="S291" s="152"/>
      <c r="T291" s="152"/>
      <c r="U291" s="152"/>
      <c r="V291" s="152"/>
      <c r="W291" s="152"/>
      <c r="X291" s="152"/>
      <c r="Y291" s="157"/>
      <c r="Z291" s="158"/>
      <c r="AA291" s="159"/>
      <c r="AB291" s="160"/>
      <c r="AC291" s="161"/>
      <c r="AD291" s="185" t="s">
        <v>4</v>
      </c>
    </row>
    <row r="292" spans="1:30" ht="17.100000000000001" customHeight="1" x14ac:dyDescent="0.25">
      <c r="A292" s="308"/>
      <c r="B292" s="149"/>
      <c r="C292" s="173"/>
      <c r="D292" s="166"/>
      <c r="E292" s="312"/>
      <c r="G292" s="306"/>
      <c r="H292" s="162"/>
      <c r="I292" s="305"/>
      <c r="J292" s="317"/>
      <c r="K292" s="318"/>
      <c r="L292" s="318"/>
      <c r="M292" s="318"/>
      <c r="N292" s="168"/>
      <c r="O292" s="168"/>
      <c r="P292" s="321"/>
      <c r="Q292" s="175"/>
      <c r="Y292" s="72"/>
      <c r="Z292" s="170"/>
      <c r="AA292" s="159"/>
      <c r="AB292" s="171"/>
      <c r="AC292" s="172"/>
      <c r="AD292" s="185" t="s">
        <v>4</v>
      </c>
    </row>
    <row r="293" spans="1:30" ht="17.100000000000001" customHeight="1" x14ac:dyDescent="0.25">
      <c r="A293" s="308"/>
      <c r="B293" s="149"/>
      <c r="C293" s="173"/>
      <c r="D293" s="166"/>
      <c r="E293" s="312"/>
      <c r="G293" s="306"/>
      <c r="H293" s="162"/>
      <c r="I293" s="305"/>
      <c r="J293" s="317"/>
      <c r="K293" s="318"/>
      <c r="L293" s="318"/>
      <c r="M293" s="318"/>
      <c r="N293" s="168"/>
      <c r="O293" s="168"/>
      <c r="P293" s="321"/>
      <c r="Q293" s="175"/>
      <c r="Y293" s="72"/>
      <c r="Z293" s="170"/>
      <c r="AA293" s="159"/>
      <c r="AB293" s="171"/>
      <c r="AC293" s="172"/>
      <c r="AD293" s="185" t="s">
        <v>4</v>
      </c>
    </row>
    <row r="294" spans="1:30" ht="17.100000000000001" customHeight="1" x14ac:dyDescent="0.25">
      <c r="A294" s="308"/>
      <c r="B294" s="149"/>
      <c r="C294" s="173"/>
      <c r="D294" s="166"/>
      <c r="E294" s="312"/>
      <c r="G294" s="306"/>
      <c r="H294" s="162"/>
      <c r="I294" s="305"/>
      <c r="J294" s="317"/>
      <c r="K294" s="318"/>
      <c r="L294" s="318"/>
      <c r="M294" s="318"/>
      <c r="N294" s="168"/>
      <c r="O294" s="168"/>
      <c r="P294" s="321"/>
      <c r="Q294" s="156"/>
      <c r="Y294" s="72"/>
      <c r="Z294" s="170"/>
      <c r="AA294" s="159"/>
      <c r="AB294" s="171"/>
      <c r="AC294" s="172"/>
      <c r="AD294" s="185" t="s">
        <v>4</v>
      </c>
    </row>
    <row r="295" spans="1:30" ht="17.100000000000001" customHeight="1" x14ac:dyDescent="0.25">
      <c r="A295" s="308"/>
      <c r="B295" s="149"/>
      <c r="C295" s="173"/>
      <c r="D295" s="166"/>
      <c r="E295" s="312"/>
      <c r="G295" s="306"/>
      <c r="H295" s="162"/>
      <c r="I295" s="305"/>
      <c r="J295" s="317"/>
      <c r="K295" s="318"/>
      <c r="L295" s="318"/>
      <c r="M295" s="318"/>
      <c r="N295" s="168"/>
      <c r="O295" s="168"/>
      <c r="P295" s="321"/>
      <c r="Q295" s="175"/>
      <c r="Y295" s="72"/>
      <c r="Z295" s="170"/>
      <c r="AA295" s="159"/>
      <c r="AB295" s="171"/>
      <c r="AC295" s="172"/>
      <c r="AD295" s="185" t="s">
        <v>4</v>
      </c>
    </row>
    <row r="296" spans="1:30" ht="17.100000000000001" customHeight="1" x14ac:dyDescent="0.25">
      <c r="A296" s="308"/>
      <c r="B296" s="149"/>
      <c r="C296" s="173"/>
      <c r="D296" s="166"/>
      <c r="E296" s="312"/>
      <c r="G296" s="306"/>
      <c r="H296" s="162"/>
      <c r="I296" s="305"/>
      <c r="J296" s="317"/>
      <c r="K296" s="318"/>
      <c r="L296" s="318"/>
      <c r="M296" s="318"/>
      <c r="N296" s="168"/>
      <c r="O296" s="168"/>
      <c r="P296" s="321"/>
      <c r="Q296" s="175"/>
      <c r="R296" s="175"/>
      <c r="Y296" s="72"/>
      <c r="Z296" s="170"/>
      <c r="AA296" s="159"/>
      <c r="AB296" s="171"/>
      <c r="AC296" s="172"/>
      <c r="AD296" s="185" t="s">
        <v>4</v>
      </c>
    </row>
    <row r="297" spans="1:30" ht="17.100000000000001" customHeight="1" x14ac:dyDescent="0.25">
      <c r="A297" s="308"/>
      <c r="B297" s="149"/>
      <c r="C297" s="173"/>
      <c r="D297" s="166"/>
      <c r="E297" s="312"/>
      <c r="G297" s="306"/>
      <c r="H297" s="162"/>
      <c r="I297" s="305"/>
      <c r="J297" s="317"/>
      <c r="K297" s="318"/>
      <c r="L297" s="318"/>
      <c r="M297" s="318"/>
      <c r="N297" s="168"/>
      <c r="O297" s="168"/>
      <c r="P297" s="321"/>
      <c r="Q297" s="175"/>
      <c r="Y297" s="72"/>
      <c r="Z297" s="170"/>
      <c r="AA297" s="159"/>
      <c r="AB297" s="171"/>
      <c r="AC297" s="172"/>
      <c r="AD297" s="185" t="s">
        <v>4</v>
      </c>
    </row>
    <row r="298" spans="1:30" ht="17.100000000000001" customHeight="1" x14ac:dyDescent="0.25">
      <c r="A298" s="308"/>
      <c r="B298" s="149"/>
      <c r="C298" s="173"/>
      <c r="D298" s="166"/>
      <c r="E298" s="312"/>
      <c r="G298" s="306"/>
      <c r="H298" s="162"/>
      <c r="I298" s="305"/>
      <c r="J298" s="317"/>
      <c r="K298" s="318"/>
      <c r="L298" s="318"/>
      <c r="M298" s="318"/>
      <c r="N298" s="168"/>
      <c r="O298" s="168"/>
      <c r="P298" s="321"/>
      <c r="Q298" s="175"/>
      <c r="Y298" s="72"/>
      <c r="Z298" s="170"/>
      <c r="AA298" s="159"/>
      <c r="AB298" s="171"/>
      <c r="AC298" s="172"/>
      <c r="AD298" s="185" t="s">
        <v>4</v>
      </c>
    </row>
    <row r="299" spans="1:30" ht="17.100000000000001" customHeight="1" x14ac:dyDescent="0.25">
      <c r="A299" s="308"/>
      <c r="B299" s="149"/>
      <c r="C299" s="173"/>
      <c r="D299" s="166"/>
      <c r="E299" s="312"/>
      <c r="G299" s="306"/>
      <c r="H299" s="162"/>
      <c r="I299" s="305"/>
      <c r="J299" s="317"/>
      <c r="K299" s="318"/>
      <c r="L299" s="318"/>
      <c r="M299" s="318"/>
      <c r="N299" s="168"/>
      <c r="O299" s="168"/>
      <c r="P299" s="321"/>
      <c r="Q299" s="175"/>
      <c r="Y299" s="72"/>
      <c r="Z299" s="170"/>
      <c r="AA299" s="159"/>
      <c r="AB299" s="171"/>
      <c r="AC299" s="172"/>
      <c r="AD299" s="185" t="s">
        <v>4</v>
      </c>
    </row>
    <row r="300" spans="1:30" ht="17.100000000000001" customHeight="1" x14ac:dyDescent="0.25">
      <c r="A300" s="308"/>
      <c r="B300" s="149"/>
      <c r="C300" s="173"/>
      <c r="D300" s="166"/>
      <c r="E300" s="312"/>
      <c r="G300" s="306"/>
      <c r="H300" s="162"/>
      <c r="I300" s="305"/>
      <c r="J300" s="317"/>
      <c r="K300" s="318"/>
      <c r="L300" s="318"/>
      <c r="M300" s="318"/>
      <c r="N300" s="168"/>
      <c r="O300" s="168"/>
      <c r="P300" s="321"/>
      <c r="Q300" s="175"/>
      <c r="R300" s="175"/>
      <c r="Y300" s="72"/>
      <c r="Z300" s="170"/>
      <c r="AA300" s="159"/>
      <c r="AB300" s="171"/>
      <c r="AC300" s="172"/>
      <c r="AD300" s="185" t="s">
        <v>4</v>
      </c>
    </row>
    <row r="301" spans="1:30" ht="17.100000000000001" customHeight="1" x14ac:dyDescent="0.25">
      <c r="A301" s="308"/>
      <c r="B301" s="149"/>
      <c r="C301" s="173"/>
      <c r="D301" s="166"/>
      <c r="E301" s="312"/>
      <c r="G301" s="306"/>
      <c r="H301" s="162"/>
      <c r="I301" s="305"/>
      <c r="J301" s="317"/>
      <c r="K301" s="318"/>
      <c r="L301" s="318"/>
      <c r="M301" s="318"/>
      <c r="N301" s="168"/>
      <c r="O301" s="168"/>
      <c r="P301" s="321"/>
      <c r="Q301" s="175"/>
      <c r="Y301" s="72"/>
      <c r="Z301" s="170"/>
      <c r="AA301" s="159"/>
      <c r="AB301" s="171"/>
      <c r="AC301" s="172"/>
      <c r="AD301" s="185" t="s">
        <v>4</v>
      </c>
    </row>
    <row r="302" spans="1:30" ht="17.100000000000001" customHeight="1" x14ac:dyDescent="0.25">
      <c r="A302" s="308"/>
      <c r="B302" s="149"/>
      <c r="C302" s="173"/>
      <c r="D302" s="166"/>
      <c r="E302" s="312"/>
      <c r="G302" s="306"/>
      <c r="H302" s="162"/>
      <c r="I302" s="305"/>
      <c r="J302" s="317"/>
      <c r="K302" s="318"/>
      <c r="L302" s="318"/>
      <c r="M302" s="318"/>
      <c r="N302" s="168"/>
      <c r="O302" s="168"/>
      <c r="P302" s="321"/>
      <c r="Q302" s="175"/>
      <c r="Y302" s="72"/>
      <c r="Z302" s="170"/>
      <c r="AA302" s="159"/>
      <c r="AB302" s="171"/>
      <c r="AC302" s="172"/>
      <c r="AD302" s="185" t="s">
        <v>4</v>
      </c>
    </row>
    <row r="303" spans="1:30" ht="17.100000000000001" customHeight="1" x14ac:dyDescent="0.25">
      <c r="A303" s="308"/>
      <c r="B303" s="149"/>
      <c r="C303" s="173"/>
      <c r="D303" s="166"/>
      <c r="E303" s="312"/>
      <c r="G303" s="306"/>
      <c r="H303" s="162"/>
      <c r="I303" s="305"/>
      <c r="J303" s="317"/>
      <c r="K303" s="318"/>
      <c r="L303" s="318"/>
      <c r="M303" s="318"/>
      <c r="N303" s="168"/>
      <c r="O303" s="168"/>
      <c r="P303" s="321"/>
      <c r="Q303" s="175"/>
      <c r="Y303" s="72"/>
      <c r="Z303" s="170"/>
      <c r="AA303" s="159"/>
      <c r="AB303" s="171"/>
      <c r="AC303" s="172"/>
      <c r="AD303" s="185" t="s">
        <v>4</v>
      </c>
    </row>
    <row r="304" spans="1:30" ht="17.100000000000001" customHeight="1" x14ac:dyDescent="0.25">
      <c r="A304" s="308"/>
      <c r="B304" s="149"/>
      <c r="C304" s="173"/>
      <c r="D304" s="166"/>
      <c r="E304" s="312"/>
      <c r="G304" s="306"/>
      <c r="H304" s="162"/>
      <c r="I304" s="305"/>
      <c r="J304" s="317"/>
      <c r="K304" s="318"/>
      <c r="L304" s="318"/>
      <c r="M304" s="318"/>
      <c r="N304" s="168"/>
      <c r="O304" s="168"/>
      <c r="P304" s="321"/>
      <c r="Q304" s="175"/>
      <c r="Y304" s="72"/>
      <c r="Z304" s="170"/>
      <c r="AA304" s="159"/>
      <c r="AB304" s="171"/>
      <c r="AC304" s="172"/>
      <c r="AD304" s="185" t="s">
        <v>4</v>
      </c>
    </row>
    <row r="305" spans="1:30" ht="17.100000000000001" customHeight="1" x14ac:dyDescent="0.25">
      <c r="A305" s="308"/>
      <c r="B305" s="149"/>
      <c r="C305" s="173"/>
      <c r="D305" s="166"/>
      <c r="E305" s="312"/>
      <c r="G305" s="306"/>
      <c r="H305" s="162"/>
      <c r="I305" s="305"/>
      <c r="J305" s="317"/>
      <c r="K305" s="318"/>
      <c r="L305" s="318"/>
      <c r="M305" s="318"/>
      <c r="N305" s="168"/>
      <c r="O305" s="168"/>
      <c r="P305" s="321"/>
      <c r="Q305" s="175"/>
      <c r="Y305" s="72"/>
      <c r="Z305" s="170"/>
      <c r="AA305" s="159"/>
      <c r="AB305" s="171"/>
      <c r="AC305" s="172"/>
      <c r="AD305" s="185" t="s">
        <v>4</v>
      </c>
    </row>
    <row r="306" spans="1:30" ht="17.100000000000001" customHeight="1" x14ac:dyDescent="0.25">
      <c r="A306" s="308"/>
      <c r="B306" s="149"/>
      <c r="C306" s="176"/>
      <c r="D306" s="151"/>
      <c r="E306" s="312"/>
      <c r="F306" s="156"/>
      <c r="G306" s="306"/>
      <c r="H306" s="162"/>
      <c r="I306" s="305"/>
      <c r="J306" s="317"/>
      <c r="K306" s="318"/>
      <c r="L306" s="318"/>
      <c r="M306" s="318"/>
      <c r="N306" s="155"/>
      <c r="O306" s="155"/>
      <c r="P306" s="320"/>
      <c r="Q306" s="156"/>
      <c r="R306" s="152"/>
      <c r="S306" s="152"/>
      <c r="T306" s="152"/>
      <c r="U306" s="152"/>
      <c r="V306" s="152"/>
      <c r="X306" s="152"/>
      <c r="Y306" s="157"/>
      <c r="Z306" s="158"/>
      <c r="AA306" s="159"/>
      <c r="AB306" s="160"/>
      <c r="AC306" s="161"/>
      <c r="AD306" s="185" t="s">
        <v>4</v>
      </c>
    </row>
    <row r="307" spans="1:30" ht="17.100000000000001" customHeight="1" x14ac:dyDescent="0.25">
      <c r="A307" s="308"/>
      <c r="B307" s="149"/>
      <c r="C307" s="173"/>
      <c r="D307" s="166"/>
      <c r="E307" s="312"/>
      <c r="G307" s="306"/>
      <c r="H307" s="162"/>
      <c r="I307" s="305"/>
      <c r="J307" s="317"/>
      <c r="K307" s="318"/>
      <c r="L307" s="318"/>
      <c r="M307" s="318"/>
      <c r="N307" s="168"/>
      <c r="O307" s="168"/>
      <c r="P307" s="321"/>
      <c r="Q307" s="175"/>
      <c r="Y307" s="72"/>
      <c r="Z307" s="170"/>
      <c r="AA307" s="159"/>
      <c r="AB307" s="171"/>
      <c r="AC307" s="172"/>
      <c r="AD307" s="185" t="s">
        <v>4</v>
      </c>
    </row>
    <row r="308" spans="1:30" ht="17.100000000000001" customHeight="1" x14ac:dyDescent="0.25">
      <c r="A308" s="308"/>
      <c r="B308" s="149"/>
      <c r="C308" s="173"/>
      <c r="D308" s="166"/>
      <c r="E308" s="312"/>
      <c r="G308" s="306"/>
      <c r="H308" s="162"/>
      <c r="I308" s="305"/>
      <c r="J308" s="317"/>
      <c r="K308" s="318"/>
      <c r="L308" s="318"/>
      <c r="M308" s="318"/>
      <c r="N308" s="168"/>
      <c r="O308" s="168"/>
      <c r="P308" s="321"/>
      <c r="Q308" s="175"/>
      <c r="R308" s="175"/>
      <c r="Y308" s="72"/>
      <c r="Z308" s="170"/>
      <c r="AA308" s="159"/>
      <c r="AB308" s="171"/>
      <c r="AC308" s="172"/>
      <c r="AD308" s="185" t="s">
        <v>4</v>
      </c>
    </row>
    <row r="309" spans="1:30" ht="17.100000000000001" customHeight="1" x14ac:dyDescent="0.25">
      <c r="A309" s="308"/>
      <c r="B309" s="149"/>
      <c r="C309" s="173"/>
      <c r="D309" s="166"/>
      <c r="E309" s="312"/>
      <c r="G309" s="306"/>
      <c r="H309" s="162"/>
      <c r="I309" s="305"/>
      <c r="J309" s="317"/>
      <c r="K309" s="318"/>
      <c r="L309" s="318"/>
      <c r="M309" s="318"/>
      <c r="N309" s="168"/>
      <c r="O309" s="168"/>
      <c r="P309" s="321"/>
      <c r="Q309" s="175"/>
      <c r="Y309" s="72"/>
      <c r="Z309" s="170"/>
      <c r="AA309" s="159"/>
      <c r="AB309" s="171"/>
      <c r="AC309" s="172"/>
      <c r="AD309" s="185" t="s">
        <v>4</v>
      </c>
    </row>
    <row r="310" spans="1:30" ht="17.100000000000001" customHeight="1" x14ac:dyDescent="0.25">
      <c r="A310" s="308"/>
      <c r="B310" s="149"/>
      <c r="C310" s="173"/>
      <c r="D310" s="166"/>
      <c r="E310" s="312"/>
      <c r="G310" s="306"/>
      <c r="H310" s="162"/>
      <c r="I310" s="305"/>
      <c r="J310" s="317"/>
      <c r="K310" s="318"/>
      <c r="L310" s="318"/>
      <c r="M310" s="318"/>
      <c r="N310" s="168"/>
      <c r="O310" s="168"/>
      <c r="P310" s="321"/>
      <c r="Q310" s="175"/>
      <c r="Y310" s="72"/>
      <c r="Z310" s="170"/>
      <c r="AA310" s="159"/>
      <c r="AB310" s="171"/>
      <c r="AC310" s="172"/>
      <c r="AD310" s="185" t="s">
        <v>4</v>
      </c>
    </row>
    <row r="311" spans="1:30" ht="17.100000000000001" customHeight="1" x14ac:dyDescent="0.25">
      <c r="A311" s="308"/>
      <c r="B311" s="149"/>
      <c r="C311" s="173"/>
      <c r="D311" s="166"/>
      <c r="E311" s="312"/>
      <c r="G311" s="306"/>
      <c r="H311" s="162"/>
      <c r="I311" s="305"/>
      <c r="J311" s="317"/>
      <c r="K311" s="318"/>
      <c r="L311" s="318"/>
      <c r="M311" s="318"/>
      <c r="N311" s="168"/>
      <c r="O311" s="168"/>
      <c r="P311" s="321"/>
      <c r="Q311" s="175"/>
      <c r="Y311" s="72"/>
      <c r="Z311" s="170"/>
      <c r="AA311" s="159"/>
      <c r="AB311" s="171"/>
      <c r="AC311" s="172"/>
      <c r="AD311" s="185" t="s">
        <v>4</v>
      </c>
    </row>
    <row r="312" spans="1:30" ht="17.100000000000001" customHeight="1" x14ac:dyDescent="0.25">
      <c r="A312" s="308"/>
      <c r="B312" s="149"/>
      <c r="C312" s="176"/>
      <c r="D312" s="151"/>
      <c r="E312" s="312"/>
      <c r="F312" s="156"/>
      <c r="G312" s="306"/>
      <c r="H312" s="162"/>
      <c r="I312" s="305"/>
      <c r="J312" s="317"/>
      <c r="K312" s="318"/>
      <c r="L312" s="318"/>
      <c r="M312" s="318"/>
      <c r="N312" s="155"/>
      <c r="O312" s="155"/>
      <c r="P312" s="320"/>
      <c r="Q312" s="156"/>
      <c r="R312" s="152"/>
      <c r="S312" s="152"/>
      <c r="T312" s="152"/>
      <c r="U312" s="152"/>
      <c r="V312" s="152"/>
      <c r="W312" s="152"/>
      <c r="X312" s="152"/>
      <c r="Y312" s="157"/>
      <c r="Z312" s="158"/>
      <c r="AA312" s="159"/>
      <c r="AB312" s="160"/>
      <c r="AC312" s="161"/>
      <c r="AD312" s="185" t="s">
        <v>4</v>
      </c>
    </row>
    <row r="313" spans="1:30" ht="17.100000000000001" customHeight="1" x14ac:dyDescent="0.25">
      <c r="A313" s="308"/>
      <c r="B313" s="149"/>
      <c r="C313" s="173"/>
      <c r="D313" s="166"/>
      <c r="E313" s="312"/>
      <c r="G313" s="306"/>
      <c r="H313" s="162"/>
      <c r="I313" s="305"/>
      <c r="J313" s="317"/>
      <c r="K313" s="318"/>
      <c r="L313" s="318"/>
      <c r="M313" s="318"/>
      <c r="N313" s="168"/>
      <c r="O313" s="168"/>
      <c r="P313" s="321"/>
      <c r="Q313" s="156"/>
      <c r="Y313" s="72"/>
      <c r="Z313" s="170"/>
      <c r="AA313" s="159"/>
      <c r="AB313" s="171"/>
      <c r="AC313" s="172"/>
      <c r="AD313" s="185" t="s">
        <v>4</v>
      </c>
    </row>
    <row r="314" spans="1:30" ht="17.100000000000001" customHeight="1" x14ac:dyDescent="0.25">
      <c r="A314" s="308"/>
      <c r="B314" s="149"/>
      <c r="C314" s="173"/>
      <c r="D314" s="166"/>
      <c r="E314" s="312"/>
      <c r="G314" s="306"/>
      <c r="H314" s="162"/>
      <c r="I314" s="305"/>
      <c r="J314" s="317"/>
      <c r="K314" s="318"/>
      <c r="L314" s="318"/>
      <c r="M314" s="318"/>
      <c r="N314" s="168"/>
      <c r="O314" s="168"/>
      <c r="P314" s="321"/>
      <c r="Q314" s="175"/>
      <c r="Y314" s="72"/>
      <c r="Z314" s="170"/>
      <c r="AA314" s="159"/>
      <c r="AB314" s="171"/>
      <c r="AC314" s="172"/>
      <c r="AD314" s="185" t="s">
        <v>4</v>
      </c>
    </row>
    <row r="315" spans="1:30" ht="17.100000000000001" customHeight="1" x14ac:dyDescent="0.25">
      <c r="A315" s="308"/>
      <c r="B315" s="149"/>
      <c r="C315" s="173"/>
      <c r="D315" s="166"/>
      <c r="E315" s="312"/>
      <c r="G315" s="306"/>
      <c r="H315" s="162"/>
      <c r="I315" s="305"/>
      <c r="J315" s="317"/>
      <c r="K315" s="318"/>
      <c r="L315" s="318"/>
      <c r="M315" s="318"/>
      <c r="N315" s="168"/>
      <c r="O315" s="168"/>
      <c r="P315" s="321"/>
      <c r="Q315" s="175"/>
      <c r="Y315" s="72"/>
      <c r="Z315" s="170"/>
      <c r="AA315" s="159"/>
      <c r="AB315" s="171"/>
      <c r="AC315" s="172"/>
      <c r="AD315" s="185" t="s">
        <v>4</v>
      </c>
    </row>
    <row r="316" spans="1:30" ht="17.100000000000001" customHeight="1" x14ac:dyDescent="0.25">
      <c r="A316" s="308"/>
      <c r="B316" s="149"/>
      <c r="C316" s="173"/>
      <c r="D316" s="166"/>
      <c r="E316" s="312"/>
      <c r="G316" s="306"/>
      <c r="H316" s="162"/>
      <c r="I316" s="305"/>
      <c r="J316" s="317"/>
      <c r="K316" s="318"/>
      <c r="L316" s="318"/>
      <c r="M316" s="318"/>
      <c r="N316" s="168"/>
      <c r="O316" s="168"/>
      <c r="P316" s="321"/>
      <c r="Q316" s="175"/>
      <c r="Y316" s="72"/>
      <c r="Z316" s="170"/>
      <c r="AA316" s="159"/>
      <c r="AB316" s="171"/>
      <c r="AC316" s="172"/>
      <c r="AD316" s="185" t="s">
        <v>4</v>
      </c>
    </row>
    <row r="317" spans="1:30" ht="17.100000000000001" customHeight="1" x14ac:dyDescent="0.25">
      <c r="A317" s="308"/>
      <c r="B317" s="149"/>
      <c r="C317" s="173"/>
      <c r="D317" s="166"/>
      <c r="E317" s="312"/>
      <c r="G317" s="306"/>
      <c r="H317" s="162"/>
      <c r="I317" s="305"/>
      <c r="J317" s="317"/>
      <c r="K317" s="318"/>
      <c r="L317" s="318"/>
      <c r="M317" s="318"/>
      <c r="N317" s="168"/>
      <c r="O317" s="168"/>
      <c r="P317" s="321"/>
      <c r="Q317" s="175"/>
      <c r="Y317" s="72"/>
      <c r="Z317" s="170"/>
      <c r="AA317" s="159"/>
      <c r="AB317" s="171"/>
      <c r="AC317" s="172"/>
      <c r="AD317" s="185" t="s">
        <v>4</v>
      </c>
    </row>
    <row r="318" spans="1:30" ht="17.100000000000001" customHeight="1" x14ac:dyDescent="0.25">
      <c r="A318" s="308"/>
      <c r="B318" s="149"/>
      <c r="C318" s="173"/>
      <c r="D318" s="166"/>
      <c r="E318" s="312"/>
      <c r="G318" s="306"/>
      <c r="H318" s="162"/>
      <c r="I318" s="305"/>
      <c r="J318" s="317"/>
      <c r="K318" s="318"/>
      <c r="L318" s="318"/>
      <c r="M318" s="318"/>
      <c r="N318" s="168"/>
      <c r="O318" s="168"/>
      <c r="P318" s="321"/>
      <c r="Q318" s="175"/>
      <c r="Y318" s="72"/>
      <c r="Z318" s="170"/>
      <c r="AA318" s="159"/>
      <c r="AB318" s="171"/>
      <c r="AC318" s="172"/>
      <c r="AD318" s="185" t="s">
        <v>4</v>
      </c>
    </row>
    <row r="319" spans="1:30" ht="17.100000000000001" customHeight="1" x14ac:dyDescent="0.25">
      <c r="A319" s="308"/>
      <c r="B319" s="149"/>
      <c r="C319" s="173"/>
      <c r="D319" s="166"/>
      <c r="E319" s="312"/>
      <c r="G319" s="306"/>
      <c r="H319" s="162"/>
      <c r="I319" s="305"/>
      <c r="J319" s="317"/>
      <c r="K319" s="318"/>
      <c r="L319" s="318"/>
      <c r="M319" s="318"/>
      <c r="N319" s="168"/>
      <c r="O319" s="168"/>
      <c r="P319" s="321"/>
      <c r="Q319" s="175"/>
      <c r="Y319" s="72"/>
      <c r="Z319" s="170"/>
      <c r="AA319" s="159"/>
      <c r="AB319" s="171"/>
      <c r="AC319" s="172"/>
      <c r="AD319" s="185" t="s">
        <v>4</v>
      </c>
    </row>
    <row r="320" spans="1:30" ht="17.100000000000001" customHeight="1" x14ac:dyDescent="0.25">
      <c r="A320" s="308"/>
      <c r="B320" s="149"/>
      <c r="C320" s="176"/>
      <c r="D320" s="151"/>
      <c r="E320" s="312"/>
      <c r="F320" s="156"/>
      <c r="G320" s="306"/>
      <c r="H320" s="162"/>
      <c r="I320" s="305"/>
      <c r="J320" s="317"/>
      <c r="K320" s="318"/>
      <c r="L320" s="318"/>
      <c r="M320" s="318"/>
      <c r="N320" s="155"/>
      <c r="O320" s="155"/>
      <c r="P320" s="320"/>
      <c r="Q320" s="156"/>
      <c r="R320" s="152"/>
      <c r="S320" s="152"/>
      <c r="T320" s="152"/>
      <c r="U320" s="152"/>
      <c r="V320" s="152"/>
      <c r="W320" s="152"/>
      <c r="X320" s="152"/>
      <c r="Y320" s="157"/>
      <c r="Z320" s="158"/>
      <c r="AA320" s="159"/>
      <c r="AB320" s="160"/>
      <c r="AC320" s="161"/>
      <c r="AD320" s="185" t="s">
        <v>4</v>
      </c>
    </row>
    <row r="321" spans="1:30" ht="17.100000000000001" customHeight="1" x14ac:dyDescent="0.25">
      <c r="A321" s="308"/>
      <c r="B321" s="149"/>
      <c r="C321" s="173"/>
      <c r="D321" s="166"/>
      <c r="E321" s="312"/>
      <c r="G321" s="306"/>
      <c r="H321" s="162"/>
      <c r="I321" s="305"/>
      <c r="J321" s="317"/>
      <c r="K321" s="318"/>
      <c r="L321" s="318"/>
      <c r="M321" s="318"/>
      <c r="N321" s="168"/>
      <c r="O321" s="168"/>
      <c r="P321" s="321"/>
      <c r="Q321" s="175"/>
      <c r="Y321" s="72"/>
      <c r="Z321" s="170"/>
      <c r="AA321" s="159"/>
      <c r="AB321" s="171"/>
      <c r="AC321" s="172"/>
      <c r="AD321" s="185" t="s">
        <v>4</v>
      </c>
    </row>
    <row r="322" spans="1:30" ht="17.100000000000001" customHeight="1" x14ac:dyDescent="0.25">
      <c r="A322" s="308"/>
      <c r="B322" s="149"/>
      <c r="C322" s="173"/>
      <c r="D322" s="166"/>
      <c r="E322" s="312"/>
      <c r="G322" s="306"/>
      <c r="H322" s="162"/>
      <c r="I322" s="305"/>
      <c r="J322" s="317"/>
      <c r="K322" s="318"/>
      <c r="L322" s="318"/>
      <c r="M322" s="318"/>
      <c r="N322" s="168"/>
      <c r="O322" s="168"/>
      <c r="P322" s="321"/>
      <c r="Q322" s="175"/>
      <c r="R322" s="175"/>
      <c r="Y322" s="72"/>
      <c r="Z322" s="170"/>
      <c r="AA322" s="159"/>
      <c r="AB322" s="171"/>
      <c r="AC322" s="172"/>
      <c r="AD322" s="185" t="s">
        <v>4</v>
      </c>
    </row>
    <row r="323" spans="1:30" ht="17.100000000000001" customHeight="1" x14ac:dyDescent="0.25">
      <c r="A323" s="308"/>
      <c r="B323" s="149"/>
      <c r="C323" s="173"/>
      <c r="D323" s="166"/>
      <c r="E323" s="312"/>
      <c r="G323" s="306"/>
      <c r="H323" s="162"/>
      <c r="I323" s="305"/>
      <c r="J323" s="317"/>
      <c r="K323" s="318"/>
      <c r="L323" s="318"/>
      <c r="M323" s="318"/>
      <c r="N323" s="168"/>
      <c r="O323" s="168"/>
      <c r="P323" s="321"/>
      <c r="Q323" s="175"/>
      <c r="Y323" s="72"/>
      <c r="Z323" s="170"/>
      <c r="AA323" s="159"/>
      <c r="AB323" s="171"/>
      <c r="AC323" s="172"/>
      <c r="AD323" s="185" t="s">
        <v>4</v>
      </c>
    </row>
    <row r="324" spans="1:30" ht="17.100000000000001" customHeight="1" x14ac:dyDescent="0.25">
      <c r="A324" s="308"/>
      <c r="B324" s="149"/>
      <c r="C324" s="173"/>
      <c r="D324" s="166"/>
      <c r="E324" s="312"/>
      <c r="G324" s="306"/>
      <c r="H324" s="162"/>
      <c r="I324" s="305"/>
      <c r="J324" s="317"/>
      <c r="K324" s="318"/>
      <c r="L324" s="318"/>
      <c r="M324" s="318"/>
      <c r="N324" s="168"/>
      <c r="O324" s="168"/>
      <c r="P324" s="321"/>
      <c r="Q324" s="175"/>
      <c r="Y324" s="72"/>
      <c r="Z324" s="170"/>
      <c r="AA324" s="159"/>
      <c r="AB324" s="171"/>
      <c r="AC324" s="172"/>
      <c r="AD324" s="185" t="s">
        <v>4</v>
      </c>
    </row>
    <row r="325" spans="1:30" ht="17.100000000000001" customHeight="1" x14ac:dyDescent="0.25">
      <c r="A325" s="308"/>
      <c r="B325" s="149"/>
      <c r="C325" s="173"/>
      <c r="D325" s="166"/>
      <c r="E325" s="312"/>
      <c r="G325" s="306"/>
      <c r="H325" s="162"/>
      <c r="I325" s="305"/>
      <c r="J325" s="317"/>
      <c r="K325" s="318"/>
      <c r="L325" s="318"/>
      <c r="M325" s="318"/>
      <c r="N325" s="168"/>
      <c r="O325" s="168"/>
      <c r="P325" s="321"/>
      <c r="Q325" s="175"/>
      <c r="Y325" s="72"/>
      <c r="Z325" s="170"/>
      <c r="AA325" s="159"/>
      <c r="AB325" s="171"/>
      <c r="AC325" s="172"/>
      <c r="AD325" s="185" t="s">
        <v>4</v>
      </c>
    </row>
    <row r="326" spans="1:30" ht="17.100000000000001" customHeight="1" x14ac:dyDescent="0.25">
      <c r="A326" s="308"/>
      <c r="B326" s="149"/>
      <c r="C326" s="173"/>
      <c r="D326" s="166"/>
      <c r="E326" s="312"/>
      <c r="G326" s="306"/>
      <c r="H326" s="162"/>
      <c r="I326" s="305"/>
      <c r="J326" s="317"/>
      <c r="K326" s="318"/>
      <c r="L326" s="318"/>
      <c r="M326" s="318"/>
      <c r="N326" s="168"/>
      <c r="O326" s="168"/>
      <c r="P326" s="321"/>
      <c r="Q326" s="175"/>
      <c r="Y326" s="72"/>
      <c r="Z326" s="170"/>
      <c r="AA326" s="159"/>
      <c r="AB326" s="171"/>
      <c r="AC326" s="172"/>
      <c r="AD326" s="185" t="s">
        <v>4</v>
      </c>
    </row>
    <row r="327" spans="1:30" ht="17.100000000000001" customHeight="1" x14ac:dyDescent="0.25">
      <c r="A327" s="308"/>
      <c r="B327" s="149"/>
      <c r="C327" s="173"/>
      <c r="D327" s="166"/>
      <c r="E327" s="312"/>
      <c r="G327" s="306"/>
      <c r="H327" s="162"/>
      <c r="I327" s="305"/>
      <c r="J327" s="317"/>
      <c r="K327" s="318"/>
      <c r="L327" s="318"/>
      <c r="M327" s="318"/>
      <c r="N327" s="168"/>
      <c r="O327" s="168"/>
      <c r="P327" s="321"/>
      <c r="Q327" s="175"/>
      <c r="Y327" s="72"/>
      <c r="Z327" s="170"/>
      <c r="AA327" s="159"/>
      <c r="AB327" s="171"/>
      <c r="AC327" s="172"/>
      <c r="AD327" s="185" t="s">
        <v>4</v>
      </c>
    </row>
    <row r="328" spans="1:30" ht="17.100000000000001" customHeight="1" x14ac:dyDescent="0.25">
      <c r="A328" s="308"/>
      <c r="B328" s="149"/>
      <c r="C328" s="173"/>
      <c r="D328" s="166"/>
      <c r="E328" s="312"/>
      <c r="G328" s="306"/>
      <c r="H328" s="162"/>
      <c r="I328" s="305"/>
      <c r="J328" s="317"/>
      <c r="K328" s="318"/>
      <c r="L328" s="318"/>
      <c r="M328" s="318"/>
      <c r="N328" s="168"/>
      <c r="O328" s="168"/>
      <c r="P328" s="321"/>
      <c r="Q328" s="175"/>
      <c r="Y328" s="72"/>
      <c r="Z328" s="170"/>
      <c r="AA328" s="159"/>
      <c r="AB328" s="171"/>
      <c r="AC328" s="172"/>
      <c r="AD328" s="185" t="s">
        <v>4</v>
      </c>
    </row>
    <row r="329" spans="1:30" ht="17.100000000000001" customHeight="1" x14ac:dyDescent="0.25">
      <c r="A329" s="308"/>
      <c r="B329" s="149"/>
      <c r="C329" s="173"/>
      <c r="D329" s="166"/>
      <c r="E329" s="312"/>
      <c r="G329" s="306"/>
      <c r="H329" s="162"/>
      <c r="I329" s="305"/>
      <c r="J329" s="317"/>
      <c r="K329" s="318"/>
      <c r="L329" s="318"/>
      <c r="M329" s="318"/>
      <c r="N329" s="168"/>
      <c r="O329" s="168"/>
      <c r="P329" s="321"/>
      <c r="Q329" s="175"/>
      <c r="Y329" s="72"/>
      <c r="Z329" s="170"/>
      <c r="AA329" s="159"/>
      <c r="AB329" s="171"/>
      <c r="AC329" s="172"/>
      <c r="AD329" s="185" t="s">
        <v>4</v>
      </c>
    </row>
    <row r="330" spans="1:30" ht="17.100000000000001" customHeight="1" x14ac:dyDescent="0.25">
      <c r="A330" s="308"/>
      <c r="B330" s="149"/>
      <c r="C330" s="173"/>
      <c r="D330" s="166"/>
      <c r="E330" s="312"/>
      <c r="G330" s="306"/>
      <c r="H330" s="162"/>
      <c r="I330" s="305"/>
      <c r="J330" s="317"/>
      <c r="K330" s="318"/>
      <c r="L330" s="318"/>
      <c r="M330" s="318"/>
      <c r="N330" s="168"/>
      <c r="O330" s="168"/>
      <c r="P330" s="321"/>
      <c r="Q330" s="175"/>
      <c r="Y330" s="72"/>
      <c r="Z330" s="170"/>
      <c r="AA330" s="159"/>
      <c r="AB330" s="171"/>
      <c r="AC330" s="172"/>
      <c r="AD330" s="185" t="s">
        <v>4</v>
      </c>
    </row>
    <row r="331" spans="1:30" ht="17.100000000000001" customHeight="1" x14ac:dyDescent="0.25">
      <c r="A331" s="308"/>
      <c r="B331" s="149"/>
      <c r="C331" s="173"/>
      <c r="D331" s="166"/>
      <c r="E331" s="312"/>
      <c r="G331" s="306"/>
      <c r="H331" s="162"/>
      <c r="I331" s="305"/>
      <c r="J331" s="317"/>
      <c r="K331" s="318"/>
      <c r="L331" s="318"/>
      <c r="M331" s="318"/>
      <c r="N331" s="168"/>
      <c r="O331" s="168"/>
      <c r="P331" s="321"/>
      <c r="Q331" s="175"/>
      <c r="Y331" s="72"/>
      <c r="Z331" s="170"/>
      <c r="AA331" s="159"/>
      <c r="AB331" s="171"/>
      <c r="AC331" s="172"/>
      <c r="AD331" s="185" t="s">
        <v>4</v>
      </c>
    </row>
    <row r="332" spans="1:30" ht="17.100000000000001" customHeight="1" x14ac:dyDescent="0.25">
      <c r="A332" s="308"/>
      <c r="B332" s="149"/>
      <c r="C332" s="173"/>
      <c r="D332" s="166"/>
      <c r="E332" s="312"/>
      <c r="G332" s="306"/>
      <c r="H332" s="162"/>
      <c r="I332" s="305"/>
      <c r="J332" s="317"/>
      <c r="K332" s="318"/>
      <c r="L332" s="318"/>
      <c r="M332" s="318"/>
      <c r="N332" s="168"/>
      <c r="O332" s="168"/>
      <c r="P332" s="321"/>
      <c r="Q332" s="175"/>
      <c r="Y332" s="72"/>
      <c r="Z332" s="170"/>
      <c r="AA332" s="159"/>
      <c r="AB332" s="171"/>
      <c r="AC332" s="172"/>
      <c r="AD332" s="185" t="s">
        <v>4</v>
      </c>
    </row>
    <row r="333" spans="1:30" ht="17.100000000000001" customHeight="1" x14ac:dyDescent="0.25">
      <c r="A333" s="308"/>
      <c r="B333" s="149"/>
      <c r="C333" s="173"/>
      <c r="D333" s="166"/>
      <c r="E333" s="312"/>
      <c r="G333" s="306"/>
      <c r="H333" s="162"/>
      <c r="I333" s="305"/>
      <c r="J333" s="317"/>
      <c r="K333" s="318"/>
      <c r="L333" s="318"/>
      <c r="M333" s="318"/>
      <c r="N333" s="168"/>
      <c r="O333" s="168"/>
      <c r="P333" s="321"/>
      <c r="Q333" s="175"/>
      <c r="Y333" s="72"/>
      <c r="Z333" s="170"/>
      <c r="AA333" s="159"/>
      <c r="AB333" s="171"/>
      <c r="AC333" s="172"/>
      <c r="AD333" s="185" t="s">
        <v>4</v>
      </c>
    </row>
    <row r="334" spans="1:30" ht="17.100000000000001" customHeight="1" x14ac:dyDescent="0.25">
      <c r="A334" s="308"/>
      <c r="B334" s="149"/>
      <c r="C334" s="173"/>
      <c r="D334" s="166"/>
      <c r="E334" s="312"/>
      <c r="G334" s="306"/>
      <c r="H334" s="162"/>
      <c r="I334" s="305"/>
      <c r="J334" s="317"/>
      <c r="K334" s="318"/>
      <c r="L334" s="318"/>
      <c r="M334" s="318"/>
      <c r="N334" s="168"/>
      <c r="O334" s="168"/>
      <c r="P334" s="321"/>
      <c r="Q334" s="175"/>
      <c r="Y334" s="72"/>
      <c r="Z334" s="170"/>
      <c r="AA334" s="159"/>
      <c r="AB334" s="171"/>
      <c r="AC334" s="172"/>
      <c r="AD334" s="185" t="s">
        <v>4</v>
      </c>
    </row>
    <row r="335" spans="1:30" ht="17.100000000000001" customHeight="1" x14ac:dyDescent="0.25">
      <c r="A335" s="308"/>
      <c r="B335" s="149"/>
      <c r="C335" s="173"/>
      <c r="D335" s="166"/>
      <c r="E335" s="312"/>
      <c r="G335" s="306"/>
      <c r="H335" s="162"/>
      <c r="I335" s="305"/>
      <c r="J335" s="317"/>
      <c r="K335" s="318"/>
      <c r="L335" s="318"/>
      <c r="M335" s="318"/>
      <c r="N335" s="168"/>
      <c r="O335" s="168"/>
      <c r="P335" s="321"/>
      <c r="Q335" s="175"/>
      <c r="Y335" s="72"/>
      <c r="Z335" s="170"/>
      <c r="AA335" s="159"/>
      <c r="AB335" s="171"/>
      <c r="AC335" s="172"/>
      <c r="AD335" s="185" t="s">
        <v>4</v>
      </c>
    </row>
    <row r="336" spans="1:30" ht="17.100000000000001" customHeight="1" x14ac:dyDescent="0.25">
      <c r="A336" s="308"/>
      <c r="B336" s="149"/>
      <c r="C336" s="173"/>
      <c r="D336" s="166"/>
      <c r="E336" s="312"/>
      <c r="G336" s="306"/>
      <c r="H336" s="162"/>
      <c r="I336" s="305"/>
      <c r="J336" s="317"/>
      <c r="K336" s="318"/>
      <c r="L336" s="318"/>
      <c r="M336" s="318"/>
      <c r="N336" s="168"/>
      <c r="O336" s="168"/>
      <c r="P336" s="321"/>
      <c r="Q336" s="175"/>
      <c r="Y336" s="72"/>
      <c r="Z336" s="170"/>
      <c r="AA336" s="159"/>
      <c r="AB336" s="171"/>
      <c r="AC336" s="172"/>
      <c r="AD336" s="185" t="s">
        <v>4</v>
      </c>
    </row>
    <row r="337" spans="1:30" ht="17.100000000000001" customHeight="1" x14ac:dyDescent="0.25">
      <c r="A337" s="308"/>
      <c r="B337" s="149"/>
      <c r="C337" s="173"/>
      <c r="D337" s="166"/>
      <c r="E337" s="312"/>
      <c r="G337" s="306"/>
      <c r="H337" s="162"/>
      <c r="I337" s="305"/>
      <c r="J337" s="317"/>
      <c r="K337" s="318"/>
      <c r="L337" s="318"/>
      <c r="M337" s="318"/>
      <c r="N337" s="168"/>
      <c r="O337" s="168"/>
      <c r="P337" s="321"/>
      <c r="Q337" s="175"/>
      <c r="Y337" s="72"/>
      <c r="Z337" s="170"/>
      <c r="AA337" s="159"/>
      <c r="AB337" s="171"/>
      <c r="AC337" s="172"/>
      <c r="AD337" s="185" t="s">
        <v>4</v>
      </c>
    </row>
    <row r="338" spans="1:30" ht="17.100000000000001" customHeight="1" x14ac:dyDescent="0.25">
      <c r="A338" s="308"/>
      <c r="B338" s="149"/>
      <c r="C338" s="173"/>
      <c r="D338" s="166"/>
      <c r="E338" s="312"/>
      <c r="G338" s="306"/>
      <c r="H338" s="162"/>
      <c r="I338" s="305"/>
      <c r="J338" s="317"/>
      <c r="K338" s="318"/>
      <c r="L338" s="318"/>
      <c r="M338" s="318"/>
      <c r="N338" s="168"/>
      <c r="O338" s="168"/>
      <c r="P338" s="321"/>
      <c r="Q338" s="175"/>
      <c r="Y338" s="72"/>
      <c r="Z338" s="170"/>
      <c r="AA338" s="159"/>
      <c r="AB338" s="171"/>
      <c r="AC338" s="172"/>
      <c r="AD338" s="185" t="s">
        <v>4</v>
      </c>
    </row>
    <row r="339" spans="1:30" ht="17.100000000000001" customHeight="1" x14ac:dyDescent="0.25">
      <c r="A339" s="308"/>
      <c r="B339" s="149"/>
      <c r="C339" s="173"/>
      <c r="D339" s="166"/>
      <c r="E339" s="312"/>
      <c r="G339" s="306"/>
      <c r="H339" s="162"/>
      <c r="I339" s="305"/>
      <c r="J339" s="317"/>
      <c r="K339" s="318"/>
      <c r="L339" s="318"/>
      <c r="M339" s="318"/>
      <c r="N339" s="168"/>
      <c r="O339" s="168"/>
      <c r="P339" s="321"/>
      <c r="Q339" s="175"/>
      <c r="Y339" s="72"/>
      <c r="Z339" s="170"/>
      <c r="AA339" s="159"/>
      <c r="AB339" s="171"/>
      <c r="AC339" s="172"/>
      <c r="AD339" s="185" t="s">
        <v>4</v>
      </c>
    </row>
    <row r="340" spans="1:30" ht="17.100000000000001" customHeight="1" x14ac:dyDescent="0.25">
      <c r="A340" s="308"/>
      <c r="B340" s="149"/>
      <c r="C340" s="173"/>
      <c r="D340" s="166"/>
      <c r="E340" s="312"/>
      <c r="G340" s="306"/>
      <c r="H340" s="162"/>
      <c r="I340" s="305"/>
      <c r="J340" s="317"/>
      <c r="K340" s="318"/>
      <c r="L340" s="318"/>
      <c r="M340" s="318"/>
      <c r="N340" s="168"/>
      <c r="O340" s="168"/>
      <c r="P340" s="321"/>
      <c r="Q340" s="175"/>
      <c r="R340" s="175"/>
      <c r="Y340" s="72"/>
      <c r="Z340" s="170"/>
      <c r="AA340" s="159"/>
      <c r="AB340" s="171"/>
      <c r="AC340" s="172"/>
      <c r="AD340" s="185" t="s">
        <v>4</v>
      </c>
    </row>
    <row r="341" spans="1:30" ht="17.100000000000001" customHeight="1" x14ac:dyDescent="0.25">
      <c r="A341" s="308"/>
      <c r="B341" s="149"/>
      <c r="C341" s="173"/>
      <c r="D341" s="166"/>
      <c r="E341" s="312"/>
      <c r="G341" s="306"/>
      <c r="H341" s="162"/>
      <c r="I341" s="305"/>
      <c r="J341" s="317"/>
      <c r="K341" s="318"/>
      <c r="L341" s="318"/>
      <c r="M341" s="318"/>
      <c r="N341" s="168"/>
      <c r="O341" s="168"/>
      <c r="P341" s="321"/>
      <c r="Q341" s="175"/>
      <c r="R341" s="175"/>
      <c r="Y341" s="72"/>
      <c r="Z341" s="170"/>
      <c r="AA341" s="159"/>
      <c r="AB341" s="171"/>
      <c r="AC341" s="172"/>
      <c r="AD341" s="185" t="s">
        <v>4</v>
      </c>
    </row>
    <row r="342" spans="1:30" ht="17.100000000000001" customHeight="1" x14ac:dyDescent="0.25">
      <c r="A342" s="308"/>
      <c r="B342" s="149"/>
      <c r="C342" s="173"/>
      <c r="D342" s="166"/>
      <c r="E342" s="312"/>
      <c r="G342" s="306"/>
      <c r="H342" s="162"/>
      <c r="I342" s="305"/>
      <c r="J342" s="317"/>
      <c r="K342" s="318"/>
      <c r="L342" s="318"/>
      <c r="M342" s="318"/>
      <c r="N342" s="168"/>
      <c r="O342" s="168"/>
      <c r="P342" s="321"/>
      <c r="Q342" s="175"/>
      <c r="Y342" s="72"/>
      <c r="Z342" s="170"/>
      <c r="AA342" s="159"/>
      <c r="AB342" s="171"/>
      <c r="AC342" s="172"/>
      <c r="AD342" s="185" t="s">
        <v>4</v>
      </c>
    </row>
    <row r="343" spans="1:30" ht="17.100000000000001" customHeight="1" x14ac:dyDescent="0.25">
      <c r="A343" s="308"/>
      <c r="B343" s="149"/>
      <c r="C343" s="173"/>
      <c r="D343" s="166"/>
      <c r="E343" s="312"/>
      <c r="G343" s="306"/>
      <c r="H343" s="162"/>
      <c r="I343" s="305"/>
      <c r="J343" s="317"/>
      <c r="K343" s="318"/>
      <c r="L343" s="318"/>
      <c r="M343" s="318"/>
      <c r="N343" s="168"/>
      <c r="O343" s="168"/>
      <c r="P343" s="321"/>
      <c r="Q343" s="175"/>
      <c r="Y343" s="72"/>
      <c r="Z343" s="170"/>
      <c r="AA343" s="159"/>
      <c r="AB343" s="171"/>
      <c r="AC343" s="172"/>
      <c r="AD343" s="185" t="s">
        <v>4</v>
      </c>
    </row>
    <row r="344" spans="1:30" ht="17.100000000000001" customHeight="1" x14ac:dyDescent="0.25">
      <c r="A344" s="308"/>
      <c r="B344" s="149"/>
      <c r="C344" s="173"/>
      <c r="D344" s="166"/>
      <c r="E344" s="312"/>
      <c r="G344" s="306"/>
      <c r="H344" s="162"/>
      <c r="I344" s="305"/>
      <c r="J344" s="317"/>
      <c r="K344" s="318"/>
      <c r="L344" s="318"/>
      <c r="M344" s="318"/>
      <c r="N344" s="168"/>
      <c r="O344" s="168"/>
      <c r="P344" s="321"/>
      <c r="Q344" s="175"/>
      <c r="R344" s="175"/>
      <c r="Y344" s="72"/>
      <c r="Z344" s="170"/>
      <c r="AA344" s="159"/>
      <c r="AB344" s="171"/>
      <c r="AC344" s="172"/>
      <c r="AD344" s="185" t="s">
        <v>4</v>
      </c>
    </row>
    <row r="345" spans="1:30" ht="17.100000000000001" customHeight="1" x14ac:dyDescent="0.25">
      <c r="A345" s="308"/>
      <c r="B345" s="149"/>
      <c r="C345" s="173"/>
      <c r="D345" s="166"/>
      <c r="E345" s="312"/>
      <c r="G345" s="306"/>
      <c r="H345" s="162"/>
      <c r="I345" s="305"/>
      <c r="J345" s="317"/>
      <c r="K345" s="318"/>
      <c r="L345" s="318"/>
      <c r="M345" s="318"/>
      <c r="N345" s="168"/>
      <c r="O345" s="168"/>
      <c r="P345" s="321"/>
      <c r="Q345" s="175"/>
      <c r="R345" s="175"/>
      <c r="Y345" s="72"/>
      <c r="Z345" s="170"/>
      <c r="AA345" s="159"/>
      <c r="AB345" s="171"/>
      <c r="AC345" s="172"/>
      <c r="AD345" s="185" t="s">
        <v>4</v>
      </c>
    </row>
    <row r="346" spans="1:30" ht="17.100000000000001" customHeight="1" x14ac:dyDescent="0.25">
      <c r="A346" s="308"/>
      <c r="B346" s="149"/>
      <c r="C346" s="173"/>
      <c r="D346" s="166"/>
      <c r="E346" s="312"/>
      <c r="G346" s="306"/>
      <c r="H346" s="162"/>
      <c r="I346" s="305"/>
      <c r="J346" s="317"/>
      <c r="K346" s="318"/>
      <c r="L346" s="318"/>
      <c r="M346" s="318"/>
      <c r="N346" s="168"/>
      <c r="O346" s="168"/>
      <c r="P346" s="321"/>
      <c r="Q346" s="175"/>
      <c r="Y346" s="72"/>
      <c r="Z346" s="170"/>
      <c r="AA346" s="159"/>
      <c r="AB346" s="171"/>
      <c r="AC346" s="172"/>
      <c r="AD346" s="185" t="s">
        <v>4</v>
      </c>
    </row>
    <row r="347" spans="1:30" ht="17.100000000000001" customHeight="1" x14ac:dyDescent="0.25">
      <c r="A347" s="308"/>
      <c r="B347" s="149"/>
      <c r="C347" s="173"/>
      <c r="D347" s="166"/>
      <c r="E347" s="312"/>
      <c r="G347" s="306"/>
      <c r="H347" s="162"/>
      <c r="I347" s="305"/>
      <c r="J347" s="317"/>
      <c r="K347" s="318"/>
      <c r="L347" s="318"/>
      <c r="M347" s="318"/>
      <c r="N347" s="168"/>
      <c r="O347" s="168"/>
      <c r="P347" s="321"/>
      <c r="Q347" s="175"/>
      <c r="Y347" s="72"/>
      <c r="Z347" s="170"/>
      <c r="AA347" s="159"/>
      <c r="AB347" s="171"/>
      <c r="AC347" s="172"/>
      <c r="AD347" s="185" t="s">
        <v>4</v>
      </c>
    </row>
    <row r="348" spans="1:30" ht="17.100000000000001" customHeight="1" x14ac:dyDescent="0.25">
      <c r="A348" s="308"/>
      <c r="B348" s="149"/>
      <c r="C348" s="173"/>
      <c r="D348" s="166"/>
      <c r="E348" s="312"/>
      <c r="G348" s="306"/>
      <c r="H348" s="162"/>
      <c r="I348" s="305"/>
      <c r="J348" s="317"/>
      <c r="K348" s="318"/>
      <c r="L348" s="318"/>
      <c r="M348" s="318"/>
      <c r="N348" s="168"/>
      <c r="O348" s="168"/>
      <c r="P348" s="321"/>
      <c r="Q348" s="175"/>
      <c r="Y348" s="72"/>
      <c r="Z348" s="170"/>
      <c r="AA348" s="159"/>
      <c r="AB348" s="171"/>
      <c r="AC348" s="172"/>
      <c r="AD348" s="185" t="s">
        <v>4</v>
      </c>
    </row>
    <row r="349" spans="1:30" ht="17.100000000000001" customHeight="1" x14ac:dyDescent="0.25">
      <c r="A349" s="308"/>
      <c r="B349" s="149"/>
      <c r="C349" s="173"/>
      <c r="D349" s="166"/>
      <c r="E349" s="312"/>
      <c r="G349" s="306"/>
      <c r="H349" s="162"/>
      <c r="I349" s="305"/>
      <c r="J349" s="317"/>
      <c r="K349" s="318"/>
      <c r="L349" s="318"/>
      <c r="M349" s="318"/>
      <c r="N349" s="168"/>
      <c r="O349" s="168"/>
      <c r="P349" s="321"/>
      <c r="Q349" s="156"/>
      <c r="R349" s="175"/>
      <c r="Y349" s="72"/>
      <c r="Z349" s="170"/>
      <c r="AA349" s="159"/>
      <c r="AB349" s="171"/>
      <c r="AC349" s="172"/>
      <c r="AD349" s="185" t="s">
        <v>4</v>
      </c>
    </row>
    <row r="350" spans="1:30" ht="17.100000000000001" customHeight="1" x14ac:dyDescent="0.25">
      <c r="A350" s="308"/>
      <c r="B350" s="149"/>
      <c r="C350" s="173"/>
      <c r="D350" s="166"/>
      <c r="E350" s="312"/>
      <c r="G350" s="306"/>
      <c r="H350" s="162"/>
      <c r="I350" s="305"/>
      <c r="J350" s="317"/>
      <c r="K350" s="318"/>
      <c r="L350" s="318"/>
      <c r="M350" s="318"/>
      <c r="N350" s="168"/>
      <c r="O350" s="168"/>
      <c r="P350" s="321"/>
      <c r="Q350" s="175"/>
      <c r="Y350" s="72"/>
      <c r="Z350" s="170"/>
      <c r="AA350" s="159"/>
      <c r="AB350" s="171"/>
      <c r="AC350" s="172"/>
      <c r="AD350" s="185" t="s">
        <v>4</v>
      </c>
    </row>
    <row r="351" spans="1:30" ht="17.100000000000001" customHeight="1" x14ac:dyDescent="0.25">
      <c r="A351" s="308"/>
      <c r="B351" s="149"/>
      <c r="C351" s="173"/>
      <c r="D351" s="166"/>
      <c r="E351" s="312"/>
      <c r="G351" s="306"/>
      <c r="H351" s="162"/>
      <c r="I351" s="305"/>
      <c r="J351" s="317"/>
      <c r="K351" s="318"/>
      <c r="L351" s="318"/>
      <c r="M351" s="318"/>
      <c r="N351" s="168"/>
      <c r="O351" s="168"/>
      <c r="P351" s="321"/>
      <c r="Q351" s="175"/>
      <c r="R351" s="175"/>
      <c r="Y351" s="72"/>
      <c r="Z351" s="170"/>
      <c r="AA351" s="159"/>
      <c r="AB351" s="171"/>
      <c r="AC351" s="172"/>
      <c r="AD351" s="185" t="s">
        <v>4</v>
      </c>
    </row>
    <row r="352" spans="1:30" ht="17.100000000000001" customHeight="1" x14ac:dyDescent="0.25">
      <c r="A352" s="308"/>
      <c r="B352" s="149"/>
      <c r="C352" s="173"/>
      <c r="D352" s="166"/>
      <c r="E352" s="312"/>
      <c r="G352" s="306"/>
      <c r="H352" s="162"/>
      <c r="I352" s="305"/>
      <c r="J352" s="317"/>
      <c r="K352" s="318"/>
      <c r="L352" s="318"/>
      <c r="M352" s="318"/>
      <c r="N352" s="168"/>
      <c r="O352" s="168"/>
      <c r="P352" s="321"/>
      <c r="Q352" s="175"/>
      <c r="Y352" s="72"/>
      <c r="Z352" s="170"/>
      <c r="AA352" s="159"/>
      <c r="AB352" s="171"/>
      <c r="AC352" s="172"/>
      <c r="AD352" s="185" t="s">
        <v>4</v>
      </c>
    </row>
    <row r="353" spans="1:30" ht="17.100000000000001" customHeight="1" x14ac:dyDescent="0.25">
      <c r="A353" s="308"/>
      <c r="B353" s="149"/>
      <c r="C353" s="173"/>
      <c r="D353" s="166"/>
      <c r="E353" s="312"/>
      <c r="G353" s="306"/>
      <c r="H353" s="162"/>
      <c r="I353" s="305"/>
      <c r="J353" s="317"/>
      <c r="K353" s="318"/>
      <c r="L353" s="318"/>
      <c r="M353" s="318"/>
      <c r="N353" s="168"/>
      <c r="O353" s="168"/>
      <c r="P353" s="321"/>
      <c r="Q353" s="175"/>
      <c r="Y353" s="72"/>
      <c r="Z353" s="170"/>
      <c r="AA353" s="159"/>
      <c r="AB353" s="171"/>
      <c r="AC353" s="172"/>
      <c r="AD353" s="185" t="s">
        <v>4</v>
      </c>
    </row>
    <row r="354" spans="1:30" ht="17.100000000000001" customHeight="1" x14ac:dyDescent="0.25">
      <c r="A354" s="308"/>
      <c r="B354" s="149"/>
      <c r="C354" s="173"/>
      <c r="D354" s="166"/>
      <c r="E354" s="312"/>
      <c r="G354" s="306"/>
      <c r="H354" s="162"/>
      <c r="I354" s="305"/>
      <c r="J354" s="317"/>
      <c r="K354" s="318"/>
      <c r="L354" s="318"/>
      <c r="M354" s="318"/>
      <c r="N354" s="168"/>
      <c r="O354" s="168"/>
      <c r="P354" s="321"/>
      <c r="Q354" s="175"/>
      <c r="Y354" s="72"/>
      <c r="Z354" s="170"/>
      <c r="AA354" s="159"/>
      <c r="AB354" s="171"/>
      <c r="AC354" s="172"/>
      <c r="AD354" s="185" t="s">
        <v>4</v>
      </c>
    </row>
    <row r="355" spans="1:30" ht="17.100000000000001" customHeight="1" x14ac:dyDescent="0.25">
      <c r="A355" s="308"/>
      <c r="B355" s="149"/>
      <c r="C355" s="173"/>
      <c r="D355" s="166"/>
      <c r="E355" s="312"/>
      <c r="G355" s="306"/>
      <c r="H355" s="162"/>
      <c r="I355" s="305"/>
      <c r="J355" s="317"/>
      <c r="K355" s="318"/>
      <c r="L355" s="318"/>
      <c r="M355" s="318"/>
      <c r="N355" s="168"/>
      <c r="O355" s="168"/>
      <c r="P355" s="321"/>
      <c r="Q355" s="175"/>
      <c r="Y355" s="72"/>
      <c r="Z355" s="170"/>
      <c r="AA355" s="159"/>
      <c r="AB355" s="171"/>
      <c r="AC355" s="172"/>
      <c r="AD355" s="185" t="s">
        <v>4</v>
      </c>
    </row>
    <row r="356" spans="1:30" ht="17.100000000000001" customHeight="1" x14ac:dyDescent="0.25">
      <c r="A356" s="308"/>
      <c r="B356" s="149"/>
      <c r="C356" s="173"/>
      <c r="D356" s="166"/>
      <c r="E356" s="312"/>
      <c r="G356" s="306"/>
      <c r="H356" s="162"/>
      <c r="I356" s="305"/>
      <c r="J356" s="317"/>
      <c r="K356" s="318"/>
      <c r="L356" s="318"/>
      <c r="M356" s="318"/>
      <c r="N356" s="168"/>
      <c r="O356" s="168"/>
      <c r="P356" s="321"/>
      <c r="Q356" s="175"/>
      <c r="Y356" s="72"/>
      <c r="Z356" s="170"/>
      <c r="AA356" s="159"/>
      <c r="AB356" s="171"/>
      <c r="AC356" s="172"/>
      <c r="AD356" s="185" t="s">
        <v>4</v>
      </c>
    </row>
    <row r="357" spans="1:30" ht="17.100000000000001" customHeight="1" x14ac:dyDescent="0.25">
      <c r="A357" s="308"/>
      <c r="B357" s="149"/>
      <c r="C357" s="173"/>
      <c r="D357" s="166"/>
      <c r="E357" s="312"/>
      <c r="G357" s="306"/>
      <c r="H357" s="162"/>
      <c r="I357" s="305"/>
      <c r="J357" s="317"/>
      <c r="K357" s="318"/>
      <c r="L357" s="318"/>
      <c r="M357" s="318"/>
      <c r="N357" s="168"/>
      <c r="O357" s="168"/>
      <c r="P357" s="321"/>
      <c r="Q357" s="175"/>
      <c r="Y357" s="72"/>
      <c r="Z357" s="170"/>
      <c r="AA357" s="159"/>
      <c r="AB357" s="171"/>
      <c r="AC357" s="172"/>
      <c r="AD357" s="185" t="s">
        <v>4</v>
      </c>
    </row>
    <row r="358" spans="1:30" ht="17.100000000000001" customHeight="1" x14ac:dyDescent="0.25">
      <c r="A358" s="308"/>
      <c r="B358" s="149"/>
      <c r="C358" s="173"/>
      <c r="D358" s="166"/>
      <c r="E358" s="312"/>
      <c r="G358" s="306"/>
      <c r="H358" s="162"/>
      <c r="I358" s="305"/>
      <c r="J358" s="317"/>
      <c r="K358" s="318"/>
      <c r="L358" s="318"/>
      <c r="M358" s="318"/>
      <c r="N358" s="168"/>
      <c r="O358" s="168"/>
      <c r="P358" s="321"/>
      <c r="Q358" s="175"/>
      <c r="Y358" s="72"/>
      <c r="Z358" s="170"/>
      <c r="AA358" s="159"/>
      <c r="AB358" s="171"/>
      <c r="AC358" s="172"/>
      <c r="AD358" s="185" t="s">
        <v>4</v>
      </c>
    </row>
    <row r="359" spans="1:30" ht="17.100000000000001" customHeight="1" x14ac:dyDescent="0.25">
      <c r="A359" s="308"/>
      <c r="B359" s="149"/>
      <c r="C359" s="173"/>
      <c r="D359" s="166"/>
      <c r="E359" s="312"/>
      <c r="G359" s="306"/>
      <c r="H359" s="162"/>
      <c r="I359" s="305"/>
      <c r="J359" s="317"/>
      <c r="K359" s="318"/>
      <c r="L359" s="318"/>
      <c r="M359" s="318"/>
      <c r="N359" s="168"/>
      <c r="O359" s="168"/>
      <c r="P359" s="321"/>
      <c r="Q359" s="175"/>
      <c r="Y359" s="72"/>
      <c r="Z359" s="170"/>
      <c r="AA359" s="159"/>
      <c r="AB359" s="171"/>
      <c r="AC359" s="172"/>
      <c r="AD359" s="185" t="s">
        <v>4</v>
      </c>
    </row>
    <row r="360" spans="1:30" ht="17.100000000000001" customHeight="1" x14ac:dyDescent="0.25">
      <c r="A360" s="308"/>
      <c r="B360" s="149"/>
      <c r="C360" s="173"/>
      <c r="D360" s="166"/>
      <c r="E360" s="312"/>
      <c r="G360" s="306"/>
      <c r="H360" s="162"/>
      <c r="I360" s="305"/>
      <c r="J360" s="317"/>
      <c r="K360" s="318"/>
      <c r="L360" s="318"/>
      <c r="M360" s="318"/>
      <c r="N360" s="168"/>
      <c r="O360" s="168"/>
      <c r="P360" s="321"/>
      <c r="Q360" s="175"/>
      <c r="Y360" s="72"/>
      <c r="Z360" s="170"/>
      <c r="AA360" s="159"/>
      <c r="AB360" s="171"/>
      <c r="AC360" s="172"/>
      <c r="AD360" s="185" t="s">
        <v>4</v>
      </c>
    </row>
    <row r="361" spans="1:30" ht="17.100000000000001" customHeight="1" x14ac:dyDescent="0.25">
      <c r="A361" s="308"/>
      <c r="B361" s="149"/>
      <c r="C361" s="176"/>
      <c r="D361" s="151"/>
      <c r="E361" s="312"/>
      <c r="F361" s="156"/>
      <c r="G361" s="306"/>
      <c r="H361" s="162"/>
      <c r="I361" s="305"/>
      <c r="J361" s="317"/>
      <c r="K361" s="318"/>
      <c r="L361" s="318"/>
      <c r="M361" s="318"/>
      <c r="N361" s="155"/>
      <c r="O361" s="155"/>
      <c r="P361" s="320"/>
      <c r="Q361" s="156"/>
      <c r="R361" s="152"/>
      <c r="S361" s="152"/>
      <c r="T361" s="152"/>
      <c r="U361" s="152"/>
      <c r="V361" s="152"/>
      <c r="X361" s="152"/>
      <c r="Y361" s="157"/>
      <c r="Z361" s="158"/>
      <c r="AA361" s="159"/>
      <c r="AB361" s="160"/>
      <c r="AC361" s="161"/>
      <c r="AD361" s="185" t="s">
        <v>4</v>
      </c>
    </row>
    <row r="362" spans="1:30" ht="17.100000000000001" customHeight="1" x14ac:dyDescent="0.25">
      <c r="A362" s="308"/>
      <c r="B362" s="149"/>
      <c r="C362" s="173"/>
      <c r="D362" s="166"/>
      <c r="E362" s="312"/>
      <c r="G362" s="306"/>
      <c r="H362" s="162"/>
      <c r="I362" s="305"/>
      <c r="J362" s="317"/>
      <c r="K362" s="318"/>
      <c r="L362" s="318"/>
      <c r="M362" s="318"/>
      <c r="N362" s="168"/>
      <c r="O362" s="168"/>
      <c r="P362" s="321"/>
      <c r="Q362" s="156"/>
      <c r="R362" s="175"/>
      <c r="Y362" s="72"/>
      <c r="Z362" s="170"/>
      <c r="AA362" s="159"/>
      <c r="AB362" s="171"/>
      <c r="AC362" s="172"/>
      <c r="AD362" s="185" t="s">
        <v>4</v>
      </c>
    </row>
    <row r="363" spans="1:30" ht="17.100000000000001" customHeight="1" x14ac:dyDescent="0.25">
      <c r="A363" s="308"/>
      <c r="B363" s="149"/>
      <c r="C363" s="173"/>
      <c r="D363" s="166"/>
      <c r="E363" s="312"/>
      <c r="G363" s="306"/>
      <c r="H363" s="162"/>
      <c r="I363" s="305"/>
      <c r="J363" s="317"/>
      <c r="K363" s="318"/>
      <c r="L363" s="318"/>
      <c r="M363" s="318"/>
      <c r="N363" s="168"/>
      <c r="O363" s="168"/>
      <c r="P363" s="321"/>
      <c r="Q363" s="175"/>
      <c r="Y363" s="72"/>
      <c r="Z363" s="170"/>
      <c r="AA363" s="159"/>
      <c r="AB363" s="171"/>
      <c r="AC363" s="172"/>
      <c r="AD363" s="185" t="s">
        <v>4</v>
      </c>
    </row>
    <row r="364" spans="1:30" ht="17.100000000000001" customHeight="1" x14ac:dyDescent="0.25">
      <c r="A364" s="308"/>
      <c r="B364" s="149"/>
      <c r="C364" s="176"/>
      <c r="D364" s="151"/>
      <c r="E364" s="312"/>
      <c r="F364" s="156"/>
      <c r="G364" s="306"/>
      <c r="H364" s="200"/>
      <c r="I364" s="305"/>
      <c r="J364" s="317"/>
      <c r="K364" s="318"/>
      <c r="L364" s="318"/>
      <c r="M364" s="318"/>
      <c r="N364" s="155"/>
      <c r="O364" s="155"/>
      <c r="P364" s="320"/>
      <c r="Q364" s="156"/>
      <c r="R364" s="156"/>
      <c r="S364" s="152"/>
      <c r="T364" s="152"/>
      <c r="U364" s="152"/>
      <c r="V364" s="152"/>
      <c r="W364" s="152"/>
      <c r="X364" s="152"/>
      <c r="Y364" s="157"/>
      <c r="Z364" s="158"/>
      <c r="AA364" s="159"/>
      <c r="AB364" s="160"/>
      <c r="AC364" s="161"/>
      <c r="AD364" s="185" t="s">
        <v>4</v>
      </c>
    </row>
    <row r="365" spans="1:30" ht="17.100000000000001" customHeight="1" x14ac:dyDescent="0.25">
      <c r="A365" s="308"/>
      <c r="B365" s="149"/>
      <c r="C365" s="173"/>
      <c r="D365" s="166"/>
      <c r="E365" s="312"/>
      <c r="G365" s="306"/>
      <c r="H365" s="162"/>
      <c r="I365" s="305"/>
      <c r="J365" s="317"/>
      <c r="K365" s="318"/>
      <c r="L365" s="318"/>
      <c r="M365" s="318"/>
      <c r="N365" s="168"/>
      <c r="O365" s="168"/>
      <c r="P365" s="321"/>
      <c r="Q365" s="156"/>
      <c r="Y365" s="72"/>
      <c r="Z365" s="170"/>
      <c r="AA365" s="159"/>
      <c r="AB365" s="171"/>
      <c r="AC365" s="172"/>
      <c r="AD365" s="185" t="s">
        <v>4</v>
      </c>
    </row>
    <row r="366" spans="1:30" ht="17.100000000000001" customHeight="1" x14ac:dyDescent="0.25">
      <c r="A366" s="308"/>
      <c r="B366" s="149"/>
      <c r="C366" s="173"/>
      <c r="D366" s="166"/>
      <c r="E366" s="312"/>
      <c r="G366" s="306"/>
      <c r="H366" s="162"/>
      <c r="I366" s="305"/>
      <c r="J366" s="317"/>
      <c r="K366" s="318"/>
      <c r="L366" s="318"/>
      <c r="M366" s="318"/>
      <c r="N366" s="168"/>
      <c r="O366" s="168"/>
      <c r="P366" s="321"/>
      <c r="Q366" s="175"/>
      <c r="Y366" s="72"/>
      <c r="Z366" s="170"/>
      <c r="AA366" s="159"/>
      <c r="AB366" s="171"/>
      <c r="AC366" s="172"/>
      <c r="AD366" s="185" t="s">
        <v>4</v>
      </c>
    </row>
    <row r="367" spans="1:30" ht="17.100000000000001" customHeight="1" x14ac:dyDescent="0.25">
      <c r="A367" s="308"/>
      <c r="B367" s="149"/>
      <c r="C367" s="173"/>
      <c r="D367" s="166"/>
      <c r="E367" s="312"/>
      <c r="G367" s="306"/>
      <c r="H367" s="162"/>
      <c r="I367" s="305"/>
      <c r="J367" s="317"/>
      <c r="K367" s="318"/>
      <c r="L367" s="318"/>
      <c r="M367" s="318"/>
      <c r="N367" s="168"/>
      <c r="O367" s="168"/>
      <c r="P367" s="321"/>
      <c r="Q367" s="175"/>
      <c r="Y367" s="72"/>
      <c r="Z367" s="170"/>
      <c r="AA367" s="159"/>
      <c r="AB367" s="171"/>
      <c r="AC367" s="172"/>
      <c r="AD367" s="185" t="s">
        <v>4</v>
      </c>
    </row>
    <row r="368" spans="1:30" ht="17.100000000000001" customHeight="1" x14ac:dyDescent="0.25">
      <c r="A368" s="308"/>
      <c r="B368" s="149"/>
      <c r="C368" s="173"/>
      <c r="D368" s="166"/>
      <c r="E368" s="312"/>
      <c r="G368" s="306"/>
      <c r="H368" s="162"/>
      <c r="I368" s="305"/>
      <c r="J368" s="317"/>
      <c r="K368" s="318"/>
      <c r="L368" s="318"/>
      <c r="M368" s="318"/>
      <c r="N368" s="168"/>
      <c r="O368" s="168"/>
      <c r="P368" s="321"/>
      <c r="Q368" s="175"/>
      <c r="Y368" s="72"/>
      <c r="Z368" s="170"/>
      <c r="AA368" s="159"/>
      <c r="AB368" s="171"/>
      <c r="AC368" s="172"/>
      <c r="AD368" s="185" t="s">
        <v>4</v>
      </c>
    </row>
    <row r="369" spans="1:30" ht="17.100000000000001" customHeight="1" x14ac:dyDescent="0.25">
      <c r="A369" s="308"/>
      <c r="B369" s="149"/>
      <c r="C369" s="173"/>
      <c r="D369" s="166"/>
      <c r="E369" s="312"/>
      <c r="G369" s="306"/>
      <c r="H369" s="162"/>
      <c r="I369" s="305"/>
      <c r="J369" s="317"/>
      <c r="K369" s="318"/>
      <c r="L369" s="318"/>
      <c r="M369" s="318"/>
      <c r="N369" s="168"/>
      <c r="O369" s="168"/>
      <c r="P369" s="321"/>
      <c r="Q369" s="175"/>
      <c r="Y369" s="72"/>
      <c r="Z369" s="170"/>
      <c r="AA369" s="159"/>
      <c r="AB369" s="171"/>
      <c r="AC369" s="172"/>
      <c r="AD369" s="185" t="s">
        <v>4</v>
      </c>
    </row>
    <row r="370" spans="1:30" ht="17.100000000000001" customHeight="1" x14ac:dyDescent="0.25">
      <c r="A370" s="308"/>
      <c r="B370" s="149"/>
      <c r="C370" s="173"/>
      <c r="D370" s="166"/>
      <c r="E370" s="312"/>
      <c r="G370" s="306"/>
      <c r="H370" s="162"/>
      <c r="I370" s="305"/>
      <c r="J370" s="317"/>
      <c r="K370" s="318"/>
      <c r="L370" s="318"/>
      <c r="M370" s="318"/>
      <c r="N370" s="168"/>
      <c r="O370" s="168"/>
      <c r="P370" s="321"/>
      <c r="Q370" s="175"/>
      <c r="R370" s="175"/>
      <c r="Y370" s="72"/>
      <c r="Z370" s="170"/>
      <c r="AA370" s="159"/>
      <c r="AB370" s="171"/>
      <c r="AC370" s="172"/>
      <c r="AD370" s="185" t="s">
        <v>4</v>
      </c>
    </row>
    <row r="371" spans="1:30" ht="17.100000000000001" customHeight="1" x14ac:dyDescent="0.25">
      <c r="A371" s="308"/>
      <c r="B371" s="149"/>
      <c r="C371" s="173"/>
      <c r="D371" s="166"/>
      <c r="E371" s="312"/>
      <c r="G371" s="306"/>
      <c r="H371" s="162"/>
      <c r="I371" s="305"/>
      <c r="J371" s="317"/>
      <c r="K371" s="318"/>
      <c r="L371" s="318"/>
      <c r="M371" s="318"/>
      <c r="N371" s="168"/>
      <c r="O371" s="168"/>
      <c r="P371" s="321"/>
      <c r="Q371" s="175"/>
      <c r="Y371" s="72"/>
      <c r="Z371" s="170"/>
      <c r="AA371" s="159"/>
      <c r="AB371" s="171"/>
      <c r="AC371" s="172"/>
      <c r="AD371" s="185" t="s">
        <v>4</v>
      </c>
    </row>
    <row r="372" spans="1:30" ht="17.100000000000001" customHeight="1" x14ac:dyDescent="0.25">
      <c r="A372" s="308"/>
      <c r="B372" s="149"/>
      <c r="C372" s="173"/>
      <c r="D372" s="166"/>
      <c r="E372" s="312"/>
      <c r="G372" s="306"/>
      <c r="H372" s="162"/>
      <c r="I372" s="305"/>
      <c r="J372" s="317"/>
      <c r="K372" s="318"/>
      <c r="L372" s="318"/>
      <c r="M372" s="318"/>
      <c r="N372" s="168"/>
      <c r="O372" s="168"/>
      <c r="P372" s="321"/>
      <c r="Q372" s="175"/>
      <c r="Y372" s="72"/>
      <c r="Z372" s="170"/>
      <c r="AA372" s="159"/>
      <c r="AB372" s="171"/>
      <c r="AC372" s="172"/>
      <c r="AD372" s="185" t="s">
        <v>4</v>
      </c>
    </row>
    <row r="373" spans="1:30" ht="17.100000000000001" customHeight="1" x14ac:dyDescent="0.25">
      <c r="A373" s="308"/>
      <c r="B373" s="149"/>
      <c r="C373" s="173"/>
      <c r="D373" s="166"/>
      <c r="E373" s="312"/>
      <c r="G373" s="306"/>
      <c r="H373" s="162"/>
      <c r="I373" s="305"/>
      <c r="J373" s="317"/>
      <c r="K373" s="318"/>
      <c r="L373" s="318"/>
      <c r="M373" s="318"/>
      <c r="N373" s="168"/>
      <c r="O373" s="168"/>
      <c r="P373" s="321"/>
      <c r="Q373" s="175"/>
      <c r="Y373" s="72"/>
      <c r="Z373" s="170"/>
      <c r="AA373" s="159"/>
      <c r="AB373" s="171"/>
      <c r="AC373" s="172"/>
      <c r="AD373" s="185" t="s">
        <v>4</v>
      </c>
    </row>
    <row r="374" spans="1:30" ht="17.100000000000001" customHeight="1" x14ac:dyDescent="0.25">
      <c r="A374" s="308"/>
      <c r="B374" s="149"/>
      <c r="C374" s="173"/>
      <c r="D374" s="166"/>
      <c r="E374" s="312"/>
      <c r="G374" s="306"/>
      <c r="H374" s="162"/>
      <c r="I374" s="305"/>
      <c r="J374" s="317"/>
      <c r="K374" s="318"/>
      <c r="L374" s="318"/>
      <c r="M374" s="318"/>
      <c r="N374" s="168"/>
      <c r="O374" s="168"/>
      <c r="P374" s="321"/>
      <c r="Q374" s="175"/>
      <c r="R374" s="175"/>
      <c r="Y374" s="72"/>
      <c r="Z374" s="170"/>
      <c r="AA374" s="159"/>
      <c r="AB374" s="171"/>
      <c r="AC374" s="172"/>
      <c r="AD374" s="185" t="s">
        <v>4</v>
      </c>
    </row>
    <row r="375" spans="1:30" ht="17.100000000000001" customHeight="1" x14ac:dyDescent="0.25">
      <c r="A375" s="308"/>
      <c r="B375" s="149"/>
      <c r="C375" s="173"/>
      <c r="D375" s="166"/>
      <c r="E375" s="312"/>
      <c r="G375" s="306"/>
      <c r="H375" s="162"/>
      <c r="I375" s="305"/>
      <c r="J375" s="317"/>
      <c r="K375" s="318"/>
      <c r="L375" s="318"/>
      <c r="M375" s="318"/>
      <c r="N375" s="168"/>
      <c r="O375" s="168"/>
      <c r="P375" s="321"/>
      <c r="Q375" s="175"/>
      <c r="Y375" s="72"/>
      <c r="Z375" s="170"/>
      <c r="AA375" s="159"/>
      <c r="AB375" s="171"/>
      <c r="AC375" s="172"/>
      <c r="AD375" s="185" t="s">
        <v>4</v>
      </c>
    </row>
    <row r="376" spans="1:30" ht="17.100000000000001" customHeight="1" x14ac:dyDescent="0.25">
      <c r="A376" s="308"/>
      <c r="B376" s="149"/>
      <c r="C376" s="173"/>
      <c r="D376" s="166"/>
      <c r="E376" s="312"/>
      <c r="G376" s="306"/>
      <c r="H376" s="162"/>
      <c r="I376" s="305"/>
      <c r="J376" s="317"/>
      <c r="K376" s="318"/>
      <c r="L376" s="318"/>
      <c r="M376" s="318"/>
      <c r="N376" s="168"/>
      <c r="O376" s="168"/>
      <c r="P376" s="321"/>
      <c r="Q376" s="175"/>
      <c r="Y376" s="72"/>
      <c r="Z376" s="170"/>
      <c r="AA376" s="159"/>
      <c r="AB376" s="171"/>
      <c r="AC376" s="172"/>
      <c r="AD376" s="185" t="s">
        <v>4</v>
      </c>
    </row>
    <row r="377" spans="1:30" ht="17.100000000000001" customHeight="1" x14ac:dyDescent="0.25">
      <c r="A377" s="308"/>
      <c r="B377" s="149"/>
      <c r="C377" s="173"/>
      <c r="D377" s="166"/>
      <c r="E377" s="312"/>
      <c r="G377" s="306"/>
      <c r="H377" s="162"/>
      <c r="I377" s="305"/>
      <c r="J377" s="317"/>
      <c r="K377" s="318"/>
      <c r="L377" s="318"/>
      <c r="M377" s="318"/>
      <c r="N377" s="168"/>
      <c r="O377" s="168"/>
      <c r="P377" s="321"/>
      <c r="Q377" s="175"/>
      <c r="Y377" s="72"/>
      <c r="Z377" s="170"/>
      <c r="AA377" s="159"/>
      <c r="AB377" s="171"/>
      <c r="AC377" s="172"/>
      <c r="AD377" s="185" t="s">
        <v>4</v>
      </c>
    </row>
    <row r="378" spans="1:30" ht="17.100000000000001" customHeight="1" x14ac:dyDescent="0.25">
      <c r="A378" s="308"/>
      <c r="B378" s="149"/>
      <c r="C378" s="173"/>
      <c r="D378" s="166"/>
      <c r="E378" s="312"/>
      <c r="G378" s="306"/>
      <c r="H378" s="162"/>
      <c r="I378" s="305"/>
      <c r="J378" s="317"/>
      <c r="K378" s="318"/>
      <c r="L378" s="318"/>
      <c r="M378" s="318"/>
      <c r="N378" s="168"/>
      <c r="O378" s="168"/>
      <c r="P378" s="321"/>
      <c r="Q378" s="175"/>
      <c r="Y378" s="72"/>
      <c r="Z378" s="170"/>
      <c r="AA378" s="159"/>
      <c r="AB378" s="171"/>
      <c r="AC378" s="172"/>
      <c r="AD378" s="185" t="s">
        <v>4</v>
      </c>
    </row>
    <row r="379" spans="1:30" ht="17.100000000000001" customHeight="1" x14ac:dyDescent="0.25">
      <c r="A379" s="308"/>
      <c r="B379" s="149"/>
      <c r="C379" s="173"/>
      <c r="D379" s="166"/>
      <c r="E379" s="312"/>
      <c r="G379" s="306"/>
      <c r="H379" s="162"/>
      <c r="I379" s="305"/>
      <c r="J379" s="317"/>
      <c r="K379" s="318"/>
      <c r="L379" s="318"/>
      <c r="M379" s="318"/>
      <c r="N379" s="168"/>
      <c r="O379" s="168"/>
      <c r="P379" s="321"/>
      <c r="Q379" s="175"/>
      <c r="Y379" s="72"/>
      <c r="Z379" s="170"/>
      <c r="AA379" s="159"/>
      <c r="AB379" s="171"/>
      <c r="AC379" s="172"/>
      <c r="AD379" s="185" t="s">
        <v>4</v>
      </c>
    </row>
    <row r="380" spans="1:30" ht="17.100000000000001" customHeight="1" x14ac:dyDescent="0.25">
      <c r="A380" s="308"/>
      <c r="B380" s="149"/>
      <c r="C380" s="173"/>
      <c r="D380" s="166"/>
      <c r="E380" s="312"/>
      <c r="G380" s="306"/>
      <c r="H380" s="162"/>
      <c r="I380" s="305"/>
      <c r="J380" s="317"/>
      <c r="K380" s="318"/>
      <c r="L380" s="318"/>
      <c r="M380" s="318"/>
      <c r="N380" s="168"/>
      <c r="O380" s="168"/>
      <c r="P380" s="321"/>
      <c r="Q380" s="175"/>
      <c r="Y380" s="72"/>
      <c r="Z380" s="170"/>
      <c r="AA380" s="159"/>
      <c r="AB380" s="171"/>
      <c r="AC380" s="172"/>
      <c r="AD380" s="185" t="s">
        <v>4</v>
      </c>
    </row>
    <row r="381" spans="1:30" ht="17.100000000000001" customHeight="1" x14ac:dyDescent="0.25">
      <c r="A381" s="308"/>
      <c r="B381" s="149"/>
      <c r="C381" s="173"/>
      <c r="D381" s="166"/>
      <c r="E381" s="312"/>
      <c r="G381" s="306"/>
      <c r="H381" s="162"/>
      <c r="I381" s="305"/>
      <c r="J381" s="317"/>
      <c r="K381" s="318"/>
      <c r="L381" s="318"/>
      <c r="M381" s="318"/>
      <c r="N381" s="168"/>
      <c r="O381" s="168"/>
      <c r="P381" s="321"/>
      <c r="Q381" s="175"/>
      <c r="Y381" s="72"/>
      <c r="Z381" s="170"/>
      <c r="AA381" s="159"/>
      <c r="AB381" s="171"/>
      <c r="AC381" s="172"/>
      <c r="AD381" s="185" t="s">
        <v>4</v>
      </c>
    </row>
    <row r="382" spans="1:30" ht="17.100000000000001" customHeight="1" x14ac:dyDescent="0.25">
      <c r="A382" s="308"/>
      <c r="B382" s="149"/>
      <c r="C382" s="176"/>
      <c r="D382" s="151"/>
      <c r="E382" s="312"/>
      <c r="F382" s="156"/>
      <c r="G382" s="306"/>
      <c r="H382" s="162"/>
      <c r="I382" s="305"/>
      <c r="J382" s="317"/>
      <c r="K382" s="318"/>
      <c r="L382" s="318"/>
      <c r="M382" s="318"/>
      <c r="N382" s="155"/>
      <c r="O382" s="155"/>
      <c r="P382" s="320"/>
      <c r="Q382" s="156"/>
      <c r="R382" s="152"/>
      <c r="S382" s="152"/>
      <c r="T382" s="152"/>
      <c r="U382" s="152"/>
      <c r="V382" s="152"/>
      <c r="W382" s="152"/>
      <c r="X382" s="152"/>
      <c r="Y382" s="157"/>
      <c r="Z382" s="158"/>
      <c r="AA382" s="159"/>
      <c r="AB382" s="160"/>
      <c r="AC382" s="161"/>
      <c r="AD382" s="185" t="s">
        <v>4</v>
      </c>
    </row>
    <row r="383" spans="1:30" ht="17.100000000000001" customHeight="1" x14ac:dyDescent="0.25">
      <c r="A383" s="308"/>
      <c r="B383" s="149"/>
      <c r="C383" s="173"/>
      <c r="D383" s="166"/>
      <c r="E383" s="312"/>
      <c r="G383" s="306"/>
      <c r="H383" s="162"/>
      <c r="I383" s="305"/>
      <c r="J383" s="317"/>
      <c r="K383" s="318"/>
      <c r="L383" s="318"/>
      <c r="M383" s="318"/>
      <c r="N383" s="168"/>
      <c r="O383" s="168"/>
      <c r="P383" s="321"/>
      <c r="Q383" s="175"/>
      <c r="Y383" s="72"/>
      <c r="Z383" s="170"/>
      <c r="AA383" s="159"/>
      <c r="AB383" s="171"/>
      <c r="AC383" s="172"/>
      <c r="AD383" s="185" t="s">
        <v>4</v>
      </c>
    </row>
    <row r="384" spans="1:30" ht="17.100000000000001" customHeight="1" x14ac:dyDescent="0.25">
      <c r="A384" s="308"/>
      <c r="B384" s="149"/>
      <c r="C384" s="173"/>
      <c r="D384" s="166"/>
      <c r="E384" s="312"/>
      <c r="G384" s="306"/>
      <c r="H384" s="162"/>
      <c r="I384" s="305"/>
      <c r="J384" s="317"/>
      <c r="K384" s="318"/>
      <c r="L384" s="318"/>
      <c r="M384" s="318"/>
      <c r="N384" s="168"/>
      <c r="O384" s="168"/>
      <c r="P384" s="321"/>
      <c r="Q384" s="175"/>
      <c r="Y384" s="72"/>
      <c r="Z384" s="170"/>
      <c r="AA384" s="159"/>
      <c r="AB384" s="171"/>
      <c r="AC384" s="172"/>
      <c r="AD384" s="185" t="s">
        <v>4</v>
      </c>
    </row>
    <row r="385" spans="1:30" ht="17.100000000000001" customHeight="1" x14ac:dyDescent="0.25">
      <c r="A385" s="308"/>
      <c r="B385" s="149"/>
      <c r="C385" s="173"/>
      <c r="D385" s="166"/>
      <c r="E385" s="312"/>
      <c r="G385" s="306"/>
      <c r="H385" s="162"/>
      <c r="I385" s="305"/>
      <c r="J385" s="317"/>
      <c r="K385" s="318"/>
      <c r="L385" s="318"/>
      <c r="M385" s="318"/>
      <c r="N385" s="168"/>
      <c r="O385" s="168"/>
      <c r="P385" s="321"/>
      <c r="Q385" s="175"/>
      <c r="Y385" s="72"/>
      <c r="Z385" s="170"/>
      <c r="AA385" s="159"/>
      <c r="AB385" s="171"/>
      <c r="AC385" s="172"/>
      <c r="AD385" s="185" t="s">
        <v>4</v>
      </c>
    </row>
    <row r="386" spans="1:30" ht="17.100000000000001" customHeight="1" x14ac:dyDescent="0.25">
      <c r="A386" s="308"/>
      <c r="B386" s="149"/>
      <c r="C386" s="173"/>
      <c r="D386" s="166"/>
      <c r="E386" s="312"/>
      <c r="G386" s="306"/>
      <c r="H386" s="162"/>
      <c r="I386" s="305"/>
      <c r="J386" s="317"/>
      <c r="K386" s="318"/>
      <c r="L386" s="318"/>
      <c r="M386" s="318"/>
      <c r="N386" s="168"/>
      <c r="O386" s="168"/>
      <c r="P386" s="321"/>
      <c r="Q386" s="175"/>
      <c r="Y386" s="72"/>
      <c r="Z386" s="170"/>
      <c r="AA386" s="159"/>
      <c r="AB386" s="171"/>
      <c r="AC386" s="172"/>
      <c r="AD386" s="185" t="s">
        <v>4</v>
      </c>
    </row>
    <row r="387" spans="1:30" ht="17.100000000000001" customHeight="1" x14ac:dyDescent="0.25">
      <c r="A387" s="308"/>
      <c r="B387" s="149"/>
      <c r="C387" s="176"/>
      <c r="D387" s="151"/>
      <c r="E387" s="312"/>
      <c r="F387" s="156"/>
      <c r="G387" s="306"/>
      <c r="H387" s="162"/>
      <c r="I387" s="305"/>
      <c r="J387" s="317"/>
      <c r="K387" s="318"/>
      <c r="L387" s="318"/>
      <c r="M387" s="318"/>
      <c r="N387" s="155"/>
      <c r="O387" s="155"/>
      <c r="P387" s="320"/>
      <c r="Q387" s="156"/>
      <c r="R387" s="152"/>
      <c r="S387" s="152"/>
      <c r="T387" s="152"/>
      <c r="U387" s="152"/>
      <c r="V387" s="152"/>
      <c r="W387" s="152"/>
      <c r="X387" s="152"/>
      <c r="Y387" s="157"/>
      <c r="Z387" s="158"/>
      <c r="AA387" s="159"/>
      <c r="AB387" s="160"/>
      <c r="AC387" s="161"/>
      <c r="AD387" s="185" t="s">
        <v>4</v>
      </c>
    </row>
    <row r="388" spans="1:30" ht="17.100000000000001" customHeight="1" x14ac:dyDescent="0.25">
      <c r="A388" s="308"/>
      <c r="B388" s="149"/>
      <c r="C388" s="173"/>
      <c r="D388" s="166"/>
      <c r="E388" s="312"/>
      <c r="G388" s="306"/>
      <c r="H388" s="162"/>
      <c r="I388" s="305"/>
      <c r="J388" s="317"/>
      <c r="K388" s="318"/>
      <c r="L388" s="318"/>
      <c r="M388" s="318"/>
      <c r="N388" s="168"/>
      <c r="O388" s="168"/>
      <c r="P388" s="321"/>
      <c r="Q388" s="175"/>
      <c r="Y388" s="72"/>
      <c r="Z388" s="170"/>
      <c r="AA388" s="159"/>
      <c r="AB388" s="171"/>
      <c r="AC388" s="172"/>
      <c r="AD388" s="185" t="s">
        <v>4</v>
      </c>
    </row>
    <row r="389" spans="1:30" ht="17.100000000000001" customHeight="1" x14ac:dyDescent="0.25">
      <c r="A389" s="308"/>
      <c r="B389" s="149"/>
      <c r="C389" s="173"/>
      <c r="D389" s="166"/>
      <c r="E389" s="312"/>
      <c r="G389" s="306"/>
      <c r="H389" s="162"/>
      <c r="I389" s="305"/>
      <c r="J389" s="317"/>
      <c r="K389" s="318"/>
      <c r="L389" s="318"/>
      <c r="M389" s="318"/>
      <c r="N389" s="168"/>
      <c r="O389" s="168"/>
      <c r="P389" s="321"/>
      <c r="Q389" s="175"/>
      <c r="R389" s="175"/>
      <c r="Y389" s="72"/>
      <c r="Z389" s="170"/>
      <c r="AA389" s="159"/>
      <c r="AB389" s="171"/>
      <c r="AC389" s="172"/>
      <c r="AD389" s="185" t="s">
        <v>4</v>
      </c>
    </row>
    <row r="390" spans="1:30" ht="17.100000000000001" customHeight="1" x14ac:dyDescent="0.25">
      <c r="A390" s="308"/>
      <c r="B390" s="149"/>
      <c r="C390" s="173"/>
      <c r="D390" s="166"/>
      <c r="E390" s="312"/>
      <c r="G390" s="306"/>
      <c r="H390" s="162"/>
      <c r="I390" s="305"/>
      <c r="J390" s="317"/>
      <c r="K390" s="318"/>
      <c r="L390" s="318"/>
      <c r="M390" s="318"/>
      <c r="N390" s="168"/>
      <c r="O390" s="168"/>
      <c r="P390" s="321"/>
      <c r="Q390" s="175"/>
      <c r="Y390" s="72"/>
      <c r="Z390" s="170"/>
      <c r="AA390" s="159"/>
      <c r="AB390" s="171"/>
      <c r="AC390" s="172"/>
      <c r="AD390" s="185" t="s">
        <v>4</v>
      </c>
    </row>
    <row r="391" spans="1:30" ht="17.100000000000001" customHeight="1" x14ac:dyDescent="0.25">
      <c r="A391" s="308"/>
      <c r="B391" s="149"/>
      <c r="C391" s="173"/>
      <c r="D391" s="166"/>
      <c r="E391" s="312"/>
      <c r="G391" s="306"/>
      <c r="H391" s="162"/>
      <c r="I391" s="305"/>
      <c r="J391" s="317"/>
      <c r="K391" s="318"/>
      <c r="L391" s="318"/>
      <c r="M391" s="318"/>
      <c r="N391" s="168"/>
      <c r="O391" s="168"/>
      <c r="P391" s="321"/>
      <c r="Q391" s="175"/>
      <c r="Y391" s="72"/>
      <c r="Z391" s="170"/>
      <c r="AA391" s="159"/>
      <c r="AB391" s="171"/>
      <c r="AC391" s="172"/>
      <c r="AD391" s="185" t="s">
        <v>4</v>
      </c>
    </row>
    <row r="392" spans="1:30" ht="17.100000000000001" customHeight="1" x14ac:dyDescent="0.25">
      <c r="A392" s="308"/>
      <c r="B392" s="149"/>
      <c r="C392" s="173"/>
      <c r="D392" s="166"/>
      <c r="E392" s="312"/>
      <c r="G392" s="306"/>
      <c r="H392" s="162"/>
      <c r="I392" s="305"/>
      <c r="J392" s="317"/>
      <c r="K392" s="318"/>
      <c r="L392" s="318"/>
      <c r="M392" s="318"/>
      <c r="N392" s="168"/>
      <c r="O392" s="168"/>
      <c r="P392" s="321"/>
      <c r="Q392" s="175"/>
      <c r="R392" s="175"/>
      <c r="Y392" s="72"/>
      <c r="Z392" s="170"/>
      <c r="AA392" s="159"/>
      <c r="AB392" s="171"/>
      <c r="AC392" s="172"/>
      <c r="AD392" s="185" t="s">
        <v>4</v>
      </c>
    </row>
    <row r="393" spans="1:30" ht="17.100000000000001" customHeight="1" x14ac:dyDescent="0.25">
      <c r="A393" s="308"/>
      <c r="B393" s="149"/>
      <c r="C393" s="173"/>
      <c r="D393" s="166"/>
      <c r="E393" s="312"/>
      <c r="G393" s="306"/>
      <c r="H393" s="162"/>
      <c r="I393" s="305"/>
      <c r="J393" s="317"/>
      <c r="K393" s="318"/>
      <c r="L393" s="318"/>
      <c r="M393" s="318"/>
      <c r="N393" s="168"/>
      <c r="O393" s="168"/>
      <c r="P393" s="321"/>
      <c r="Q393" s="175"/>
      <c r="Y393" s="72"/>
      <c r="Z393" s="170"/>
      <c r="AA393" s="159"/>
      <c r="AB393" s="171"/>
      <c r="AC393" s="172"/>
      <c r="AD393" s="185" t="s">
        <v>4</v>
      </c>
    </row>
    <row r="394" spans="1:30" ht="17.100000000000001" customHeight="1" x14ac:dyDescent="0.25">
      <c r="A394" s="308"/>
      <c r="B394" s="149"/>
      <c r="C394" s="173"/>
      <c r="D394" s="166"/>
      <c r="E394" s="312"/>
      <c r="G394" s="306"/>
      <c r="H394" s="162"/>
      <c r="I394" s="305"/>
      <c r="J394" s="317"/>
      <c r="K394" s="318"/>
      <c r="L394" s="318"/>
      <c r="M394" s="318"/>
      <c r="N394" s="168"/>
      <c r="O394" s="168"/>
      <c r="P394" s="321"/>
      <c r="Q394" s="175"/>
      <c r="Y394" s="72"/>
      <c r="Z394" s="170"/>
      <c r="AA394" s="159"/>
      <c r="AB394" s="171"/>
      <c r="AC394" s="172"/>
      <c r="AD394" s="185" t="s">
        <v>4</v>
      </c>
    </row>
    <row r="395" spans="1:30" ht="17.100000000000001" customHeight="1" x14ac:dyDescent="0.25">
      <c r="A395" s="308"/>
      <c r="B395" s="149"/>
      <c r="C395" s="176"/>
      <c r="D395" s="151"/>
      <c r="E395" s="312"/>
      <c r="F395" s="156"/>
      <c r="G395" s="306"/>
      <c r="H395" s="162"/>
      <c r="I395" s="305"/>
      <c r="J395" s="317"/>
      <c r="K395" s="318"/>
      <c r="L395" s="318"/>
      <c r="M395" s="318"/>
      <c r="N395" s="155"/>
      <c r="O395" s="155"/>
      <c r="P395" s="320"/>
      <c r="Q395" s="156"/>
      <c r="R395" s="152"/>
      <c r="S395" s="152"/>
      <c r="T395" s="152"/>
      <c r="U395" s="152"/>
      <c r="V395" s="152"/>
      <c r="W395" s="152"/>
      <c r="X395" s="152"/>
      <c r="Y395" s="157"/>
      <c r="Z395" s="158"/>
      <c r="AA395" s="159"/>
      <c r="AB395" s="160"/>
      <c r="AC395" s="161"/>
      <c r="AD395" s="185" t="s">
        <v>4</v>
      </c>
    </row>
    <row r="396" spans="1:30" ht="17.100000000000001" customHeight="1" x14ac:dyDescent="0.25">
      <c r="A396" s="308"/>
      <c r="B396" s="149"/>
      <c r="C396" s="173"/>
      <c r="D396" s="166"/>
      <c r="E396" s="312"/>
      <c r="G396" s="306"/>
      <c r="H396" s="162"/>
      <c r="I396" s="305"/>
      <c r="J396" s="317"/>
      <c r="K396" s="318"/>
      <c r="L396" s="318"/>
      <c r="M396" s="318"/>
      <c r="N396" s="168"/>
      <c r="O396" s="168"/>
      <c r="P396" s="321"/>
      <c r="Q396" s="175"/>
      <c r="Y396" s="72"/>
      <c r="Z396" s="170"/>
      <c r="AA396" s="159"/>
      <c r="AB396" s="171"/>
      <c r="AC396" s="172"/>
      <c r="AD396" s="185" t="s">
        <v>4</v>
      </c>
    </row>
    <row r="397" spans="1:30" ht="17.100000000000001" customHeight="1" x14ac:dyDescent="0.25">
      <c r="A397" s="308"/>
      <c r="B397" s="149"/>
      <c r="C397" s="173"/>
      <c r="D397" s="166"/>
      <c r="E397" s="312"/>
      <c r="G397" s="306"/>
      <c r="H397" s="162"/>
      <c r="I397" s="305"/>
      <c r="J397" s="317"/>
      <c r="K397" s="318"/>
      <c r="L397" s="318"/>
      <c r="M397" s="318"/>
      <c r="N397" s="168"/>
      <c r="O397" s="168"/>
      <c r="P397" s="321"/>
      <c r="Q397" s="175"/>
      <c r="Y397" s="72"/>
      <c r="Z397" s="170"/>
      <c r="AA397" s="159"/>
      <c r="AB397" s="171"/>
      <c r="AC397" s="172"/>
      <c r="AD397" s="185" t="s">
        <v>4</v>
      </c>
    </row>
    <row r="398" spans="1:30" ht="17.100000000000001" customHeight="1" x14ac:dyDescent="0.25">
      <c r="A398" s="308"/>
      <c r="B398" s="149"/>
      <c r="C398" s="173"/>
      <c r="D398" s="166"/>
      <c r="E398" s="312"/>
      <c r="G398" s="306"/>
      <c r="H398" s="162"/>
      <c r="I398" s="305"/>
      <c r="J398" s="317"/>
      <c r="K398" s="318"/>
      <c r="L398" s="318"/>
      <c r="M398" s="318"/>
      <c r="N398" s="168"/>
      <c r="O398" s="168"/>
      <c r="P398" s="321"/>
      <c r="Q398" s="175"/>
      <c r="R398" s="175"/>
      <c r="Y398" s="72"/>
      <c r="Z398" s="170"/>
      <c r="AA398" s="159"/>
      <c r="AB398" s="171"/>
      <c r="AC398" s="172"/>
      <c r="AD398" s="185" t="s">
        <v>4</v>
      </c>
    </row>
    <row r="399" spans="1:30" ht="17.100000000000001" customHeight="1" x14ac:dyDescent="0.25">
      <c r="A399" s="308"/>
      <c r="B399" s="149"/>
      <c r="C399" s="173"/>
      <c r="D399" s="166"/>
      <c r="E399" s="312"/>
      <c r="G399" s="306"/>
      <c r="H399" s="162"/>
      <c r="I399" s="305"/>
      <c r="J399" s="317"/>
      <c r="K399" s="318"/>
      <c r="L399" s="318"/>
      <c r="M399" s="318"/>
      <c r="N399" s="168"/>
      <c r="O399" s="168"/>
      <c r="P399" s="321"/>
      <c r="Q399" s="175"/>
      <c r="Y399" s="72"/>
      <c r="Z399" s="170"/>
      <c r="AA399" s="159"/>
      <c r="AB399" s="171"/>
      <c r="AC399" s="172"/>
      <c r="AD399" s="185" t="s">
        <v>4</v>
      </c>
    </row>
    <row r="400" spans="1:30" ht="17.100000000000001" customHeight="1" x14ac:dyDescent="0.25">
      <c r="A400" s="308"/>
      <c r="B400" s="149"/>
      <c r="C400" s="173"/>
      <c r="D400" s="166"/>
      <c r="E400" s="312"/>
      <c r="G400" s="306"/>
      <c r="H400" s="162"/>
      <c r="I400" s="305"/>
      <c r="J400" s="317"/>
      <c r="K400" s="318"/>
      <c r="L400" s="318"/>
      <c r="M400" s="318"/>
      <c r="N400" s="168"/>
      <c r="O400" s="168"/>
      <c r="P400" s="321"/>
      <c r="Q400" s="175"/>
      <c r="Y400" s="72"/>
      <c r="Z400" s="170"/>
      <c r="AA400" s="159"/>
      <c r="AB400" s="171"/>
      <c r="AC400" s="172"/>
      <c r="AD400" s="185" t="s">
        <v>4</v>
      </c>
    </row>
    <row r="401" spans="1:30" ht="17.100000000000001" customHeight="1" x14ac:dyDescent="0.25">
      <c r="A401" s="308"/>
      <c r="B401" s="149"/>
      <c r="C401" s="173"/>
      <c r="D401" s="166"/>
      <c r="E401" s="312"/>
      <c r="G401" s="306"/>
      <c r="H401" s="162"/>
      <c r="I401" s="305"/>
      <c r="J401" s="317"/>
      <c r="K401" s="318"/>
      <c r="L401" s="318"/>
      <c r="M401" s="318"/>
      <c r="N401" s="168"/>
      <c r="O401" s="168"/>
      <c r="P401" s="321"/>
      <c r="Q401" s="175"/>
      <c r="Y401" s="72"/>
      <c r="Z401" s="170"/>
      <c r="AA401" s="159"/>
      <c r="AB401" s="171"/>
      <c r="AC401" s="172"/>
      <c r="AD401" s="185" t="s">
        <v>4</v>
      </c>
    </row>
    <row r="402" spans="1:30" ht="17.100000000000001" customHeight="1" x14ac:dyDescent="0.25">
      <c r="A402" s="308"/>
      <c r="B402" s="149"/>
      <c r="C402" s="173"/>
      <c r="D402" s="166"/>
      <c r="E402" s="312"/>
      <c r="G402" s="306"/>
      <c r="H402" s="162"/>
      <c r="I402" s="305"/>
      <c r="J402" s="317"/>
      <c r="K402" s="318"/>
      <c r="L402" s="318"/>
      <c r="M402" s="318"/>
      <c r="N402" s="168"/>
      <c r="O402" s="168"/>
      <c r="P402" s="321"/>
      <c r="Q402" s="175"/>
      <c r="Y402" s="72"/>
      <c r="Z402" s="170"/>
      <c r="AA402" s="159"/>
      <c r="AB402" s="171"/>
      <c r="AC402" s="172"/>
      <c r="AD402" s="185" t="s">
        <v>4</v>
      </c>
    </row>
    <row r="403" spans="1:30" ht="17.100000000000001" customHeight="1" x14ac:dyDescent="0.25">
      <c r="A403" s="308"/>
      <c r="B403" s="149"/>
      <c r="C403" s="173"/>
      <c r="D403" s="166"/>
      <c r="E403" s="312"/>
      <c r="G403" s="306"/>
      <c r="H403" s="162"/>
      <c r="I403" s="305"/>
      <c r="J403" s="317"/>
      <c r="K403" s="318"/>
      <c r="L403" s="318"/>
      <c r="M403" s="318"/>
      <c r="N403" s="168"/>
      <c r="O403" s="168"/>
      <c r="P403" s="321"/>
      <c r="Q403" s="175"/>
      <c r="Y403" s="72"/>
      <c r="Z403" s="170"/>
      <c r="AA403" s="159"/>
      <c r="AB403" s="171"/>
      <c r="AC403" s="172"/>
      <c r="AD403" s="185" t="s">
        <v>4</v>
      </c>
    </row>
    <row r="404" spans="1:30" ht="17.100000000000001" customHeight="1" x14ac:dyDescent="0.25">
      <c r="A404" s="308"/>
      <c r="B404" s="149"/>
      <c r="C404" s="173"/>
      <c r="D404" s="166"/>
      <c r="E404" s="312"/>
      <c r="G404" s="306"/>
      <c r="H404" s="162"/>
      <c r="I404" s="305"/>
      <c r="J404" s="317"/>
      <c r="K404" s="318"/>
      <c r="L404" s="318"/>
      <c r="M404" s="318"/>
      <c r="N404" s="168"/>
      <c r="O404" s="168"/>
      <c r="P404" s="321"/>
      <c r="Q404" s="175"/>
      <c r="Y404" s="72"/>
      <c r="Z404" s="170"/>
      <c r="AA404" s="159"/>
      <c r="AB404" s="171"/>
      <c r="AC404" s="172"/>
      <c r="AD404" s="185" t="s">
        <v>4</v>
      </c>
    </row>
    <row r="405" spans="1:30" ht="17.100000000000001" customHeight="1" x14ac:dyDescent="0.25">
      <c r="A405" s="308"/>
      <c r="B405" s="149"/>
      <c r="C405" s="173"/>
      <c r="D405" s="166"/>
      <c r="E405" s="312"/>
      <c r="G405" s="306"/>
      <c r="H405" s="162"/>
      <c r="I405" s="305"/>
      <c r="J405" s="317"/>
      <c r="K405" s="318"/>
      <c r="L405" s="318"/>
      <c r="M405" s="318"/>
      <c r="N405" s="168"/>
      <c r="O405" s="168"/>
      <c r="P405" s="321"/>
      <c r="Q405" s="175"/>
      <c r="Y405" s="72"/>
      <c r="Z405" s="170"/>
      <c r="AA405" s="159"/>
      <c r="AB405" s="171"/>
      <c r="AC405" s="172"/>
      <c r="AD405" s="185" t="s">
        <v>4</v>
      </c>
    </row>
    <row r="406" spans="1:30" ht="17.100000000000001" customHeight="1" x14ac:dyDescent="0.25">
      <c r="A406" s="308"/>
      <c r="B406" s="149"/>
      <c r="C406" s="173"/>
      <c r="D406" s="166"/>
      <c r="E406" s="312"/>
      <c r="G406" s="306"/>
      <c r="H406" s="162"/>
      <c r="I406" s="305"/>
      <c r="J406" s="317"/>
      <c r="K406" s="318"/>
      <c r="L406" s="318"/>
      <c r="M406" s="318"/>
      <c r="N406" s="168"/>
      <c r="O406" s="168"/>
      <c r="P406" s="321"/>
      <c r="Q406" s="175"/>
      <c r="Y406" s="72"/>
      <c r="Z406" s="170"/>
      <c r="AA406" s="159"/>
      <c r="AB406" s="171"/>
      <c r="AC406" s="172"/>
      <c r="AD406" s="185" t="s">
        <v>4</v>
      </c>
    </row>
    <row r="407" spans="1:30" ht="17.100000000000001" customHeight="1" x14ac:dyDescent="0.25">
      <c r="A407" s="308"/>
      <c r="B407" s="149"/>
      <c r="C407" s="173"/>
      <c r="D407" s="166"/>
      <c r="E407" s="312"/>
      <c r="G407" s="306"/>
      <c r="H407" s="162"/>
      <c r="I407" s="305"/>
      <c r="J407" s="317"/>
      <c r="K407" s="318"/>
      <c r="L407" s="318"/>
      <c r="M407" s="318"/>
      <c r="N407" s="168"/>
      <c r="O407" s="168"/>
      <c r="P407" s="321"/>
      <c r="Q407" s="175"/>
      <c r="Y407" s="72"/>
      <c r="Z407" s="170"/>
      <c r="AA407" s="159"/>
      <c r="AB407" s="171"/>
      <c r="AC407" s="172"/>
      <c r="AD407" s="185" t="s">
        <v>4</v>
      </c>
    </row>
    <row r="408" spans="1:30" ht="17.100000000000001" customHeight="1" x14ac:dyDescent="0.25">
      <c r="A408" s="308"/>
      <c r="B408" s="149"/>
      <c r="C408" s="173"/>
      <c r="D408" s="166"/>
      <c r="E408" s="312"/>
      <c r="G408" s="306"/>
      <c r="H408" s="162"/>
      <c r="I408" s="305"/>
      <c r="J408" s="317"/>
      <c r="K408" s="318"/>
      <c r="L408" s="318"/>
      <c r="M408" s="318"/>
      <c r="N408" s="168"/>
      <c r="O408" s="168"/>
      <c r="P408" s="321"/>
      <c r="Q408" s="175"/>
      <c r="R408" s="175"/>
      <c r="Y408" s="72"/>
      <c r="Z408" s="170"/>
      <c r="AA408" s="159"/>
      <c r="AB408" s="171"/>
      <c r="AC408" s="172"/>
      <c r="AD408" s="185" t="s">
        <v>4</v>
      </c>
    </row>
    <row r="409" spans="1:30" ht="17.100000000000001" customHeight="1" x14ac:dyDescent="0.25">
      <c r="A409" s="308"/>
      <c r="B409" s="149"/>
      <c r="C409" s="173"/>
      <c r="D409" s="166"/>
      <c r="E409" s="312"/>
      <c r="G409" s="306"/>
      <c r="H409" s="162"/>
      <c r="I409" s="305"/>
      <c r="J409" s="317"/>
      <c r="K409" s="318"/>
      <c r="L409" s="318"/>
      <c r="M409" s="318"/>
      <c r="N409" s="168"/>
      <c r="O409" s="168"/>
      <c r="P409" s="321"/>
      <c r="Q409" s="175"/>
      <c r="R409" s="175"/>
      <c r="Y409" s="72"/>
      <c r="Z409" s="170"/>
      <c r="AA409" s="159"/>
      <c r="AB409" s="171"/>
      <c r="AC409" s="172"/>
      <c r="AD409" s="185" t="s">
        <v>4</v>
      </c>
    </row>
    <row r="410" spans="1:30" ht="17.100000000000001" customHeight="1" x14ac:dyDescent="0.25">
      <c r="A410" s="308"/>
      <c r="B410" s="149"/>
      <c r="C410" s="176"/>
      <c r="D410" s="151"/>
      <c r="E410" s="312"/>
      <c r="F410" s="156"/>
      <c r="G410" s="306"/>
      <c r="H410" s="200"/>
      <c r="I410" s="305"/>
      <c r="J410" s="317"/>
      <c r="K410" s="318"/>
      <c r="L410" s="318"/>
      <c r="M410" s="318"/>
      <c r="N410" s="155"/>
      <c r="O410" s="155"/>
      <c r="P410" s="320"/>
      <c r="Q410" s="156"/>
      <c r="R410" s="152"/>
      <c r="S410" s="152"/>
      <c r="T410" s="152"/>
      <c r="U410" s="152"/>
      <c r="V410" s="152"/>
      <c r="W410" s="152"/>
      <c r="X410" s="152"/>
      <c r="Y410" s="157"/>
      <c r="Z410" s="158"/>
      <c r="AA410" s="159"/>
      <c r="AB410" s="160"/>
      <c r="AC410" s="161"/>
      <c r="AD410" s="185" t="s">
        <v>4</v>
      </c>
    </row>
    <row r="411" spans="1:30" ht="17.100000000000001" customHeight="1" x14ac:dyDescent="0.25">
      <c r="A411" s="308"/>
      <c r="B411" s="149"/>
      <c r="C411" s="173"/>
      <c r="D411" s="166"/>
      <c r="E411" s="312"/>
      <c r="G411" s="306"/>
      <c r="H411" s="162"/>
      <c r="I411" s="305"/>
      <c r="J411" s="317"/>
      <c r="K411" s="318"/>
      <c r="L411" s="318"/>
      <c r="M411" s="318"/>
      <c r="N411" s="168"/>
      <c r="O411" s="168"/>
      <c r="P411" s="321"/>
      <c r="Q411" s="175"/>
      <c r="Y411" s="72"/>
      <c r="Z411" s="170"/>
      <c r="AA411" s="159"/>
      <c r="AB411" s="171"/>
      <c r="AC411" s="172"/>
      <c r="AD411" s="185" t="s">
        <v>4</v>
      </c>
    </row>
    <row r="412" spans="1:30" ht="17.100000000000001" customHeight="1" x14ac:dyDescent="0.25">
      <c r="A412" s="308"/>
      <c r="B412" s="149"/>
      <c r="C412" s="173"/>
      <c r="D412" s="166"/>
      <c r="E412" s="312"/>
      <c r="G412" s="306"/>
      <c r="H412" s="162"/>
      <c r="I412" s="305"/>
      <c r="J412" s="317"/>
      <c r="K412" s="318"/>
      <c r="L412" s="318"/>
      <c r="M412" s="318"/>
      <c r="N412" s="168"/>
      <c r="O412" s="168"/>
      <c r="P412" s="321"/>
      <c r="Q412" s="175"/>
      <c r="Y412" s="72"/>
      <c r="Z412" s="170"/>
      <c r="AA412" s="159"/>
      <c r="AB412" s="171"/>
      <c r="AC412" s="172"/>
      <c r="AD412" s="185" t="s">
        <v>4</v>
      </c>
    </row>
    <row r="413" spans="1:30" ht="17.100000000000001" customHeight="1" x14ac:dyDescent="0.25">
      <c r="A413" s="308"/>
      <c r="B413" s="149"/>
      <c r="C413" s="173"/>
      <c r="D413" s="166"/>
      <c r="E413" s="312"/>
      <c r="G413" s="306"/>
      <c r="H413" s="162"/>
      <c r="I413" s="305"/>
      <c r="J413" s="317"/>
      <c r="K413" s="318"/>
      <c r="L413" s="318"/>
      <c r="M413" s="318"/>
      <c r="N413" s="168"/>
      <c r="O413" s="168"/>
      <c r="P413" s="321"/>
      <c r="Q413" s="175"/>
      <c r="Y413" s="72"/>
      <c r="Z413" s="170"/>
      <c r="AA413" s="159"/>
      <c r="AB413" s="171"/>
      <c r="AC413" s="172"/>
      <c r="AD413" s="185" t="s">
        <v>4</v>
      </c>
    </row>
    <row r="414" spans="1:30" ht="17.100000000000001" customHeight="1" x14ac:dyDescent="0.25">
      <c r="A414" s="308"/>
      <c r="B414" s="149"/>
      <c r="C414" s="176"/>
      <c r="D414" s="151"/>
      <c r="E414" s="312"/>
      <c r="F414" s="156"/>
      <c r="G414" s="306"/>
      <c r="H414" s="162"/>
      <c r="I414" s="305"/>
      <c r="J414" s="317"/>
      <c r="K414" s="318"/>
      <c r="L414" s="318"/>
      <c r="M414" s="318"/>
      <c r="N414" s="155"/>
      <c r="O414" s="155"/>
      <c r="P414" s="320"/>
      <c r="Q414" s="156"/>
      <c r="R414" s="152"/>
      <c r="S414" s="152"/>
      <c r="T414" s="152"/>
      <c r="U414" s="152"/>
      <c r="V414" s="152"/>
      <c r="W414" s="152"/>
      <c r="X414" s="152"/>
      <c r="Y414" s="157"/>
      <c r="Z414" s="158"/>
      <c r="AA414" s="159"/>
      <c r="AB414" s="160"/>
      <c r="AC414" s="161"/>
      <c r="AD414" s="185" t="s">
        <v>4</v>
      </c>
    </row>
    <row r="415" spans="1:30" ht="17.100000000000001" customHeight="1" x14ac:dyDescent="0.25">
      <c r="A415" s="308"/>
      <c r="B415" s="149"/>
      <c r="C415" s="173"/>
      <c r="D415" s="166"/>
      <c r="E415" s="312"/>
      <c r="G415" s="306"/>
      <c r="H415" s="162"/>
      <c r="I415" s="305"/>
      <c r="J415" s="317"/>
      <c r="K415" s="318"/>
      <c r="L415" s="318"/>
      <c r="M415" s="318"/>
      <c r="N415" s="168"/>
      <c r="O415" s="168"/>
      <c r="P415" s="321"/>
      <c r="Q415" s="175"/>
      <c r="Y415" s="72"/>
      <c r="Z415" s="170"/>
      <c r="AA415" s="159"/>
      <c r="AB415" s="171"/>
      <c r="AC415" s="172"/>
      <c r="AD415" s="185" t="s">
        <v>4</v>
      </c>
    </row>
    <row r="416" spans="1:30" ht="17.100000000000001" customHeight="1" x14ac:dyDescent="0.25">
      <c r="A416" s="308"/>
      <c r="B416" s="149"/>
      <c r="C416" s="173"/>
      <c r="D416" s="166"/>
      <c r="E416" s="312"/>
      <c r="G416" s="306"/>
      <c r="H416" s="162"/>
      <c r="I416" s="305"/>
      <c r="J416" s="317"/>
      <c r="K416" s="318"/>
      <c r="L416" s="318"/>
      <c r="M416" s="318"/>
      <c r="N416" s="168"/>
      <c r="O416" s="168"/>
      <c r="P416" s="321"/>
      <c r="Q416" s="175"/>
      <c r="Y416" s="72"/>
      <c r="Z416" s="170"/>
      <c r="AA416" s="159"/>
      <c r="AB416" s="171"/>
      <c r="AC416" s="172"/>
      <c r="AD416" s="185" t="s">
        <v>4</v>
      </c>
    </row>
    <row r="417" spans="1:30" ht="17.100000000000001" customHeight="1" x14ac:dyDescent="0.25">
      <c r="A417" s="308"/>
      <c r="B417" s="149"/>
      <c r="C417" s="173"/>
      <c r="D417" s="166"/>
      <c r="E417" s="312"/>
      <c r="G417" s="306"/>
      <c r="H417" s="162"/>
      <c r="I417" s="305"/>
      <c r="J417" s="317"/>
      <c r="K417" s="318"/>
      <c r="L417" s="318"/>
      <c r="M417" s="318"/>
      <c r="N417" s="168"/>
      <c r="O417" s="168"/>
      <c r="P417" s="321"/>
      <c r="Q417" s="175"/>
      <c r="Y417" s="72"/>
      <c r="Z417" s="170"/>
      <c r="AA417" s="159"/>
      <c r="AB417" s="171"/>
      <c r="AC417" s="172"/>
      <c r="AD417" s="185" t="s">
        <v>4</v>
      </c>
    </row>
    <row r="418" spans="1:30" ht="17.100000000000001" customHeight="1" x14ac:dyDescent="0.25">
      <c r="A418" s="308"/>
      <c r="B418" s="149"/>
      <c r="C418" s="173"/>
      <c r="D418" s="166"/>
      <c r="E418" s="312"/>
      <c r="G418" s="306"/>
      <c r="H418" s="162"/>
      <c r="I418" s="305"/>
      <c r="J418" s="317"/>
      <c r="K418" s="318"/>
      <c r="L418" s="318"/>
      <c r="M418" s="318"/>
      <c r="N418" s="168"/>
      <c r="O418" s="168"/>
      <c r="P418" s="321"/>
      <c r="Q418" s="175"/>
      <c r="Y418" s="72"/>
      <c r="Z418" s="170"/>
      <c r="AA418" s="159"/>
      <c r="AB418" s="171"/>
      <c r="AC418" s="172"/>
      <c r="AD418" s="185" t="s">
        <v>4</v>
      </c>
    </row>
    <row r="419" spans="1:30" ht="17.100000000000001" customHeight="1" x14ac:dyDescent="0.25">
      <c r="A419" s="308"/>
      <c r="B419" s="149"/>
      <c r="C419" s="173"/>
      <c r="D419" s="166"/>
      <c r="E419" s="312"/>
      <c r="G419" s="306"/>
      <c r="H419" s="162"/>
      <c r="I419" s="305"/>
      <c r="J419" s="317"/>
      <c r="K419" s="318"/>
      <c r="L419" s="318"/>
      <c r="M419" s="318"/>
      <c r="N419" s="168"/>
      <c r="O419" s="168"/>
      <c r="P419" s="321"/>
      <c r="Q419" s="175"/>
      <c r="Y419" s="72"/>
      <c r="Z419" s="170"/>
      <c r="AA419" s="159"/>
      <c r="AB419" s="171"/>
      <c r="AC419" s="172"/>
      <c r="AD419" s="185" t="s">
        <v>4</v>
      </c>
    </row>
    <row r="420" spans="1:30" ht="17.100000000000001" customHeight="1" x14ac:dyDescent="0.25">
      <c r="A420" s="308"/>
      <c r="B420" s="149"/>
      <c r="C420" s="176"/>
      <c r="D420" s="151"/>
      <c r="E420" s="312"/>
      <c r="F420" s="156"/>
      <c r="G420" s="306"/>
      <c r="H420" s="162"/>
      <c r="I420" s="305"/>
      <c r="J420" s="317"/>
      <c r="K420" s="318"/>
      <c r="L420" s="318"/>
      <c r="M420" s="318"/>
      <c r="N420" s="155"/>
      <c r="O420" s="155"/>
      <c r="P420" s="320"/>
      <c r="Q420" s="156"/>
      <c r="R420" s="152"/>
      <c r="S420" s="152"/>
      <c r="T420" s="152"/>
      <c r="U420" s="152"/>
      <c r="V420" s="152"/>
      <c r="W420" s="152"/>
      <c r="X420" s="152"/>
      <c r="Y420" s="157"/>
      <c r="Z420" s="158"/>
      <c r="AA420" s="159"/>
      <c r="AB420" s="160"/>
      <c r="AC420" s="161"/>
      <c r="AD420" s="185" t="s">
        <v>4</v>
      </c>
    </row>
    <row r="421" spans="1:30" ht="17.100000000000001" customHeight="1" x14ac:dyDescent="0.25">
      <c r="A421" s="308"/>
      <c r="B421" s="149"/>
      <c r="C421" s="173"/>
      <c r="D421" s="166"/>
      <c r="E421" s="312"/>
      <c r="G421" s="306"/>
      <c r="H421" s="162"/>
      <c r="I421" s="305"/>
      <c r="J421" s="317"/>
      <c r="K421" s="318"/>
      <c r="L421" s="318"/>
      <c r="M421" s="318"/>
      <c r="N421" s="168"/>
      <c r="O421" s="168"/>
      <c r="P421" s="321"/>
      <c r="Q421" s="156"/>
      <c r="Y421" s="72"/>
      <c r="Z421" s="170"/>
      <c r="AA421" s="159"/>
      <c r="AB421" s="171"/>
      <c r="AC421" s="172"/>
      <c r="AD421" s="185" t="s">
        <v>4</v>
      </c>
    </row>
    <row r="422" spans="1:30" ht="17.100000000000001" customHeight="1" x14ac:dyDescent="0.25">
      <c r="A422" s="308"/>
      <c r="B422" s="149"/>
      <c r="C422" s="173"/>
      <c r="D422" s="166"/>
      <c r="E422" s="312"/>
      <c r="G422" s="306"/>
      <c r="H422" s="162"/>
      <c r="I422" s="305"/>
      <c r="J422" s="317"/>
      <c r="K422" s="318"/>
      <c r="L422" s="318"/>
      <c r="M422" s="318"/>
      <c r="N422" s="168"/>
      <c r="O422" s="168"/>
      <c r="P422" s="321"/>
      <c r="Q422" s="175"/>
      <c r="Y422" s="72"/>
      <c r="Z422" s="170"/>
      <c r="AA422" s="159"/>
      <c r="AB422" s="171"/>
      <c r="AC422" s="172"/>
      <c r="AD422" s="185" t="s">
        <v>4</v>
      </c>
    </row>
    <row r="423" spans="1:30" ht="17.100000000000001" customHeight="1" x14ac:dyDescent="0.25">
      <c r="A423" s="308"/>
      <c r="B423" s="149"/>
      <c r="C423" s="173"/>
      <c r="D423" s="166"/>
      <c r="E423" s="312"/>
      <c r="G423" s="306"/>
      <c r="H423" s="162"/>
      <c r="I423" s="305"/>
      <c r="J423" s="317"/>
      <c r="K423" s="318"/>
      <c r="L423" s="318"/>
      <c r="M423" s="318"/>
      <c r="N423" s="168"/>
      <c r="O423" s="168"/>
      <c r="P423" s="321"/>
      <c r="Q423" s="175"/>
      <c r="Y423" s="72"/>
      <c r="Z423" s="170"/>
      <c r="AA423" s="159"/>
      <c r="AB423" s="171"/>
      <c r="AC423" s="172"/>
      <c r="AD423" s="185" t="s">
        <v>4</v>
      </c>
    </row>
    <row r="424" spans="1:30" ht="17.100000000000001" customHeight="1" x14ac:dyDescent="0.25">
      <c r="A424" s="308"/>
      <c r="B424" s="149"/>
      <c r="C424" s="173"/>
      <c r="D424" s="166"/>
      <c r="E424" s="312"/>
      <c r="G424" s="306"/>
      <c r="H424" s="162"/>
      <c r="I424" s="305"/>
      <c r="J424" s="317"/>
      <c r="K424" s="318"/>
      <c r="L424" s="318"/>
      <c r="M424" s="318"/>
      <c r="N424" s="168"/>
      <c r="O424" s="168"/>
      <c r="P424" s="321"/>
      <c r="Q424" s="175"/>
      <c r="Y424" s="72"/>
      <c r="Z424" s="170"/>
      <c r="AA424" s="159"/>
      <c r="AB424" s="171"/>
      <c r="AC424" s="172"/>
      <c r="AD424" s="185" t="s">
        <v>4</v>
      </c>
    </row>
    <row r="425" spans="1:30" ht="17.100000000000001" customHeight="1" x14ac:dyDescent="0.25">
      <c r="A425" s="308"/>
      <c r="B425" s="149"/>
      <c r="C425" s="173"/>
      <c r="D425" s="166"/>
      <c r="E425" s="312"/>
      <c r="G425" s="306"/>
      <c r="H425" s="162"/>
      <c r="I425" s="305"/>
      <c r="J425" s="317"/>
      <c r="K425" s="318"/>
      <c r="L425" s="318"/>
      <c r="M425" s="318"/>
      <c r="N425" s="168"/>
      <c r="O425" s="168"/>
      <c r="P425" s="321"/>
      <c r="Q425" s="175"/>
      <c r="Y425" s="72"/>
      <c r="Z425" s="170"/>
      <c r="AA425" s="159"/>
      <c r="AB425" s="171"/>
      <c r="AC425" s="172"/>
      <c r="AD425" s="185" t="s">
        <v>4</v>
      </c>
    </row>
    <row r="426" spans="1:30" ht="17.100000000000001" customHeight="1" x14ac:dyDescent="0.25">
      <c r="A426" s="308"/>
      <c r="B426" s="149"/>
      <c r="C426" s="173"/>
      <c r="D426" s="166"/>
      <c r="E426" s="312"/>
      <c r="G426" s="306"/>
      <c r="H426" s="162"/>
      <c r="I426" s="305"/>
      <c r="J426" s="317"/>
      <c r="K426" s="318"/>
      <c r="L426" s="318"/>
      <c r="M426" s="318"/>
      <c r="N426" s="168"/>
      <c r="O426" s="168"/>
      <c r="P426" s="321"/>
      <c r="Q426" s="175"/>
      <c r="Y426" s="72"/>
      <c r="Z426" s="170"/>
      <c r="AA426" s="159"/>
      <c r="AB426" s="171"/>
      <c r="AC426" s="172"/>
      <c r="AD426" s="185" t="s">
        <v>4</v>
      </c>
    </row>
    <row r="427" spans="1:30" ht="17.100000000000001" customHeight="1" x14ac:dyDescent="0.25">
      <c r="A427" s="308"/>
      <c r="B427" s="149"/>
      <c r="C427" s="173"/>
      <c r="D427" s="166"/>
      <c r="E427" s="312"/>
      <c r="G427" s="306"/>
      <c r="H427" s="162"/>
      <c r="I427" s="305"/>
      <c r="J427" s="317"/>
      <c r="K427" s="318"/>
      <c r="L427" s="318"/>
      <c r="M427" s="318"/>
      <c r="N427" s="168"/>
      <c r="O427" s="168"/>
      <c r="P427" s="321"/>
      <c r="Q427" s="175"/>
      <c r="Y427" s="72"/>
      <c r="Z427" s="170"/>
      <c r="AA427" s="159"/>
      <c r="AB427" s="171"/>
      <c r="AC427" s="172"/>
      <c r="AD427" s="185" t="s">
        <v>4</v>
      </c>
    </row>
    <row r="428" spans="1:30" ht="17.100000000000001" customHeight="1" x14ac:dyDescent="0.25">
      <c r="A428" s="308"/>
      <c r="B428" s="149"/>
      <c r="C428" s="173"/>
      <c r="D428" s="166"/>
      <c r="E428" s="312"/>
      <c r="G428" s="306"/>
      <c r="H428" s="162"/>
      <c r="I428" s="305"/>
      <c r="J428" s="317"/>
      <c r="K428" s="318"/>
      <c r="L428" s="318"/>
      <c r="M428" s="318"/>
      <c r="N428" s="168"/>
      <c r="O428" s="168"/>
      <c r="P428" s="321"/>
      <c r="Q428" s="175"/>
      <c r="R428" s="175"/>
      <c r="Y428" s="72"/>
      <c r="Z428" s="170"/>
      <c r="AA428" s="159"/>
      <c r="AB428" s="171"/>
      <c r="AC428" s="172"/>
      <c r="AD428" s="185" t="s">
        <v>4</v>
      </c>
    </row>
    <row r="429" spans="1:30" ht="17.100000000000001" customHeight="1" x14ac:dyDescent="0.25">
      <c r="A429" s="308"/>
      <c r="B429" s="149"/>
      <c r="C429" s="173"/>
      <c r="D429" s="166"/>
      <c r="E429" s="312"/>
      <c r="G429" s="306"/>
      <c r="H429" s="162"/>
      <c r="I429" s="305"/>
      <c r="J429" s="317"/>
      <c r="K429" s="318"/>
      <c r="L429" s="318"/>
      <c r="M429" s="318"/>
      <c r="N429" s="168"/>
      <c r="O429" s="168"/>
      <c r="P429" s="321"/>
      <c r="Q429" s="175"/>
      <c r="Y429" s="72"/>
      <c r="Z429" s="170"/>
      <c r="AA429" s="159"/>
      <c r="AB429" s="171"/>
      <c r="AC429" s="172"/>
      <c r="AD429" s="185" t="s">
        <v>4</v>
      </c>
    </row>
    <row r="430" spans="1:30" ht="17.100000000000001" customHeight="1" x14ac:dyDescent="0.25">
      <c r="A430" s="308"/>
      <c r="B430" s="149"/>
      <c r="C430" s="173"/>
      <c r="D430" s="166"/>
      <c r="E430" s="312"/>
      <c r="G430" s="306"/>
      <c r="H430" s="162"/>
      <c r="I430" s="305"/>
      <c r="J430" s="317"/>
      <c r="K430" s="318"/>
      <c r="L430" s="318"/>
      <c r="M430" s="318"/>
      <c r="N430" s="168"/>
      <c r="O430" s="168"/>
      <c r="P430" s="321"/>
      <c r="Q430" s="175"/>
      <c r="Y430" s="72"/>
      <c r="Z430" s="170"/>
      <c r="AA430" s="159"/>
      <c r="AB430" s="171"/>
      <c r="AC430" s="172"/>
      <c r="AD430" s="185" t="s">
        <v>4</v>
      </c>
    </row>
    <row r="431" spans="1:30" ht="17.100000000000001" customHeight="1" x14ac:dyDescent="0.25">
      <c r="A431" s="308"/>
      <c r="B431" s="149"/>
      <c r="C431" s="173"/>
      <c r="D431" s="166"/>
      <c r="E431" s="312"/>
      <c r="G431" s="306"/>
      <c r="H431" s="162"/>
      <c r="I431" s="305"/>
      <c r="J431" s="317"/>
      <c r="K431" s="318"/>
      <c r="L431" s="318"/>
      <c r="M431" s="318"/>
      <c r="N431" s="168"/>
      <c r="O431" s="168"/>
      <c r="P431" s="321"/>
      <c r="Q431" s="175"/>
      <c r="Y431" s="72"/>
      <c r="Z431" s="170"/>
      <c r="AA431" s="159"/>
      <c r="AB431" s="171"/>
      <c r="AC431" s="172"/>
      <c r="AD431" s="185" t="s">
        <v>4</v>
      </c>
    </row>
    <row r="432" spans="1:30" ht="17.100000000000001" customHeight="1" x14ac:dyDescent="0.25">
      <c r="A432" s="308"/>
      <c r="B432" s="149"/>
      <c r="C432" s="176"/>
      <c r="D432" s="151"/>
      <c r="E432" s="312"/>
      <c r="F432" s="156"/>
      <c r="G432" s="306"/>
      <c r="H432" s="162"/>
      <c r="I432" s="305"/>
      <c r="J432" s="317"/>
      <c r="K432" s="318"/>
      <c r="L432" s="318"/>
      <c r="M432" s="318"/>
      <c r="N432" s="155"/>
      <c r="O432" s="155"/>
      <c r="P432" s="320"/>
      <c r="Q432" s="156"/>
      <c r="R432" s="156"/>
      <c r="S432" s="152"/>
      <c r="T432" s="152"/>
      <c r="U432" s="152"/>
      <c r="V432" s="152"/>
      <c r="X432" s="152"/>
      <c r="Y432" s="157"/>
      <c r="Z432" s="158"/>
      <c r="AA432" s="159"/>
      <c r="AB432" s="160"/>
      <c r="AC432" s="161"/>
      <c r="AD432" s="185" t="s">
        <v>4</v>
      </c>
    </row>
    <row r="433" spans="1:30" ht="17.100000000000001" customHeight="1" x14ac:dyDescent="0.25">
      <c r="A433" s="308"/>
      <c r="B433" s="149"/>
      <c r="C433" s="173"/>
      <c r="D433" s="166"/>
      <c r="E433" s="312"/>
      <c r="G433" s="306"/>
      <c r="H433" s="162"/>
      <c r="I433" s="305"/>
      <c r="J433" s="317"/>
      <c r="K433" s="318"/>
      <c r="L433" s="318"/>
      <c r="M433" s="318"/>
      <c r="N433" s="168"/>
      <c r="O433" s="168"/>
      <c r="P433" s="321"/>
      <c r="Q433" s="175"/>
      <c r="R433" s="175"/>
      <c r="Y433" s="72"/>
      <c r="Z433" s="170"/>
      <c r="AA433" s="159"/>
      <c r="AB433" s="171"/>
      <c r="AC433" s="172"/>
      <c r="AD433" s="185" t="s">
        <v>4</v>
      </c>
    </row>
    <row r="434" spans="1:30" ht="17.100000000000001" customHeight="1" x14ac:dyDescent="0.25">
      <c r="A434" s="308"/>
      <c r="B434" s="149"/>
      <c r="C434" s="173"/>
      <c r="D434" s="166"/>
      <c r="E434" s="312"/>
      <c r="G434" s="306"/>
      <c r="H434" s="162"/>
      <c r="I434" s="305"/>
      <c r="J434" s="317"/>
      <c r="K434" s="318"/>
      <c r="L434" s="318"/>
      <c r="M434" s="318"/>
      <c r="N434" s="168"/>
      <c r="O434" s="168"/>
      <c r="P434" s="321"/>
      <c r="Q434" s="175"/>
      <c r="Y434" s="72"/>
      <c r="Z434" s="170"/>
      <c r="AA434" s="159"/>
      <c r="AB434" s="171"/>
      <c r="AC434" s="172"/>
      <c r="AD434" s="185" t="s">
        <v>4</v>
      </c>
    </row>
    <row r="435" spans="1:30" ht="17.100000000000001" customHeight="1" x14ac:dyDescent="0.25">
      <c r="A435" s="308"/>
      <c r="B435" s="149"/>
      <c r="C435" s="173"/>
      <c r="D435" s="166"/>
      <c r="E435" s="312"/>
      <c r="G435" s="306"/>
      <c r="H435" s="162"/>
      <c r="I435" s="305"/>
      <c r="J435" s="317"/>
      <c r="K435" s="318"/>
      <c r="L435" s="318"/>
      <c r="M435" s="318"/>
      <c r="N435" s="168"/>
      <c r="O435" s="168"/>
      <c r="P435" s="321"/>
      <c r="Q435" s="175"/>
      <c r="Y435" s="72"/>
      <c r="Z435" s="170"/>
      <c r="AA435" s="159"/>
      <c r="AB435" s="171"/>
      <c r="AC435" s="172"/>
      <c r="AD435" s="185" t="s">
        <v>4</v>
      </c>
    </row>
    <row r="436" spans="1:30" ht="17.100000000000001" customHeight="1" x14ac:dyDescent="0.25">
      <c r="A436" s="308"/>
      <c r="B436" s="149"/>
      <c r="C436" s="173"/>
      <c r="D436" s="166"/>
      <c r="E436" s="312"/>
      <c r="G436" s="306"/>
      <c r="H436" s="162"/>
      <c r="I436" s="305"/>
      <c r="J436" s="317"/>
      <c r="K436" s="318"/>
      <c r="L436" s="318"/>
      <c r="M436" s="318"/>
      <c r="N436" s="168"/>
      <c r="O436" s="168"/>
      <c r="P436" s="321"/>
      <c r="Q436" s="175"/>
      <c r="Y436" s="72"/>
      <c r="Z436" s="170"/>
      <c r="AA436" s="159"/>
      <c r="AB436" s="171"/>
      <c r="AC436" s="172"/>
      <c r="AD436" s="185" t="s">
        <v>4</v>
      </c>
    </row>
    <row r="437" spans="1:30" ht="17.100000000000001" customHeight="1" x14ac:dyDescent="0.25">
      <c r="A437" s="308"/>
      <c r="B437" s="149"/>
      <c r="C437" s="173"/>
      <c r="D437" s="166"/>
      <c r="E437" s="312"/>
      <c r="G437" s="306"/>
      <c r="H437" s="162"/>
      <c r="I437" s="305"/>
      <c r="J437" s="317"/>
      <c r="K437" s="318"/>
      <c r="L437" s="318"/>
      <c r="M437" s="318"/>
      <c r="N437" s="168"/>
      <c r="O437" s="168"/>
      <c r="P437" s="321"/>
      <c r="Q437" s="156"/>
      <c r="R437" s="175"/>
      <c r="Y437" s="72"/>
      <c r="Z437" s="170"/>
      <c r="AA437" s="159"/>
      <c r="AB437" s="171"/>
      <c r="AC437" s="172"/>
      <c r="AD437" s="185" t="s">
        <v>4</v>
      </c>
    </row>
    <row r="438" spans="1:30" ht="17.100000000000001" customHeight="1" x14ac:dyDescent="0.25">
      <c r="A438" s="308"/>
      <c r="B438" s="149"/>
      <c r="C438" s="173"/>
      <c r="D438" s="166"/>
      <c r="E438" s="312"/>
      <c r="G438" s="306"/>
      <c r="H438" s="162"/>
      <c r="I438" s="305"/>
      <c r="J438" s="317"/>
      <c r="K438" s="318"/>
      <c r="L438" s="318"/>
      <c r="M438" s="318"/>
      <c r="N438" s="168"/>
      <c r="O438" s="168"/>
      <c r="P438" s="321"/>
      <c r="Q438" s="175"/>
      <c r="R438" s="175"/>
      <c r="Y438" s="72"/>
      <c r="Z438" s="170"/>
      <c r="AA438" s="159"/>
      <c r="AB438" s="171"/>
      <c r="AC438" s="172"/>
      <c r="AD438" s="185" t="s">
        <v>4</v>
      </c>
    </row>
    <row r="439" spans="1:30" ht="17.100000000000001" customHeight="1" x14ac:dyDescent="0.25">
      <c r="A439" s="308"/>
      <c r="B439" s="149"/>
      <c r="C439" s="173"/>
      <c r="D439" s="166"/>
      <c r="E439" s="312"/>
      <c r="G439" s="306"/>
      <c r="H439" s="162"/>
      <c r="I439" s="305"/>
      <c r="J439" s="317"/>
      <c r="K439" s="318"/>
      <c r="L439" s="318"/>
      <c r="M439" s="318"/>
      <c r="N439" s="168"/>
      <c r="O439" s="168"/>
      <c r="P439" s="321"/>
      <c r="Q439" s="175"/>
      <c r="Y439" s="72"/>
      <c r="Z439" s="170"/>
      <c r="AA439" s="159"/>
      <c r="AB439" s="171"/>
      <c r="AC439" s="172"/>
      <c r="AD439" s="185" t="s">
        <v>4</v>
      </c>
    </row>
    <row r="440" spans="1:30" ht="17.100000000000001" customHeight="1" x14ac:dyDescent="0.25">
      <c r="A440" s="308"/>
      <c r="B440" s="149"/>
      <c r="C440" s="176"/>
      <c r="D440" s="151"/>
      <c r="E440" s="312"/>
      <c r="F440" s="156"/>
      <c r="G440" s="306"/>
      <c r="H440" s="162"/>
      <c r="I440" s="305"/>
      <c r="J440" s="317"/>
      <c r="K440" s="318"/>
      <c r="L440" s="318"/>
      <c r="M440" s="318"/>
      <c r="N440" s="155"/>
      <c r="O440" s="155"/>
      <c r="P440" s="320"/>
      <c r="Q440" s="156"/>
      <c r="R440" s="152"/>
      <c r="S440" s="152"/>
      <c r="T440" s="152"/>
      <c r="U440" s="152"/>
      <c r="V440" s="152"/>
      <c r="W440" s="152"/>
      <c r="X440" s="152"/>
      <c r="Y440" s="157"/>
      <c r="Z440" s="158"/>
      <c r="AA440" s="159"/>
      <c r="AB440" s="160"/>
      <c r="AC440" s="161"/>
      <c r="AD440" s="185" t="s">
        <v>4</v>
      </c>
    </row>
    <row r="441" spans="1:30" ht="17.100000000000001" customHeight="1" x14ac:dyDescent="0.25">
      <c r="A441" s="308"/>
      <c r="B441" s="149"/>
      <c r="C441" s="173"/>
      <c r="D441" s="166"/>
      <c r="E441" s="312"/>
      <c r="G441" s="306"/>
      <c r="H441" s="162"/>
      <c r="I441" s="305"/>
      <c r="J441" s="317"/>
      <c r="K441" s="318"/>
      <c r="L441" s="318"/>
      <c r="M441" s="318"/>
      <c r="N441" s="168"/>
      <c r="O441" s="168"/>
      <c r="P441" s="321"/>
      <c r="Q441" s="175"/>
      <c r="Y441" s="72"/>
      <c r="Z441" s="170"/>
      <c r="AA441" s="159"/>
      <c r="AB441" s="171"/>
      <c r="AC441" s="172"/>
      <c r="AD441" s="185" t="s">
        <v>4</v>
      </c>
    </row>
    <row r="442" spans="1:30" ht="17.100000000000001" customHeight="1" x14ac:dyDescent="0.25">
      <c r="A442" s="308"/>
      <c r="B442" s="149"/>
      <c r="C442" s="173"/>
      <c r="D442" s="166"/>
      <c r="E442" s="312"/>
      <c r="G442" s="306"/>
      <c r="H442" s="162"/>
      <c r="I442" s="305"/>
      <c r="J442" s="317"/>
      <c r="K442" s="318"/>
      <c r="L442" s="318"/>
      <c r="M442" s="318"/>
      <c r="N442" s="168"/>
      <c r="O442" s="168"/>
      <c r="P442" s="321"/>
      <c r="Q442" s="175"/>
      <c r="Y442" s="72"/>
      <c r="Z442" s="170"/>
      <c r="AA442" s="159"/>
      <c r="AB442" s="171"/>
      <c r="AC442" s="172"/>
      <c r="AD442" s="185" t="s">
        <v>4</v>
      </c>
    </row>
    <row r="443" spans="1:30" ht="17.100000000000001" customHeight="1" x14ac:dyDescent="0.25">
      <c r="A443" s="308"/>
      <c r="B443" s="149"/>
      <c r="C443" s="173"/>
      <c r="D443" s="166"/>
      <c r="E443" s="312"/>
      <c r="G443" s="306"/>
      <c r="H443" s="162"/>
      <c r="I443" s="305"/>
      <c r="J443" s="317"/>
      <c r="K443" s="318"/>
      <c r="L443" s="318"/>
      <c r="M443" s="318"/>
      <c r="N443" s="168"/>
      <c r="O443" s="168"/>
      <c r="P443" s="321"/>
      <c r="Q443" s="175"/>
      <c r="Y443" s="72"/>
      <c r="Z443" s="170"/>
      <c r="AA443" s="159"/>
      <c r="AB443" s="171"/>
      <c r="AC443" s="172"/>
      <c r="AD443" s="185" t="s">
        <v>4</v>
      </c>
    </row>
    <row r="444" spans="1:30" ht="17.100000000000001" customHeight="1" x14ac:dyDescent="0.25">
      <c r="A444" s="308"/>
      <c r="B444" s="149"/>
      <c r="C444" s="173"/>
      <c r="D444" s="166"/>
      <c r="E444" s="312"/>
      <c r="G444" s="306"/>
      <c r="H444" s="162"/>
      <c r="I444" s="305"/>
      <c r="J444" s="317"/>
      <c r="K444" s="318"/>
      <c r="L444" s="318"/>
      <c r="M444" s="318"/>
      <c r="N444" s="168"/>
      <c r="O444" s="168"/>
      <c r="P444" s="321"/>
      <c r="Q444" s="175"/>
      <c r="Y444" s="72"/>
      <c r="Z444" s="170"/>
      <c r="AA444" s="159"/>
      <c r="AB444" s="171"/>
      <c r="AC444" s="172"/>
      <c r="AD444" s="185" t="s">
        <v>4</v>
      </c>
    </row>
    <row r="445" spans="1:30" ht="17.100000000000001" customHeight="1" x14ac:dyDescent="0.25">
      <c r="A445" s="308"/>
      <c r="B445" s="149"/>
      <c r="C445" s="173"/>
      <c r="D445" s="166"/>
      <c r="E445" s="312"/>
      <c r="G445" s="306"/>
      <c r="H445" s="162"/>
      <c r="I445" s="305"/>
      <c r="J445" s="317"/>
      <c r="K445" s="318"/>
      <c r="L445" s="318"/>
      <c r="M445" s="318"/>
      <c r="N445" s="168"/>
      <c r="O445" s="168"/>
      <c r="P445" s="321"/>
      <c r="Q445" s="175"/>
      <c r="Y445" s="72"/>
      <c r="Z445" s="170"/>
      <c r="AA445" s="159"/>
      <c r="AB445" s="171"/>
      <c r="AC445" s="172"/>
      <c r="AD445" s="185" t="s">
        <v>4</v>
      </c>
    </row>
    <row r="446" spans="1:30" ht="17.100000000000001" customHeight="1" x14ac:dyDescent="0.25">
      <c r="A446" s="308"/>
      <c r="B446" s="149"/>
      <c r="C446" s="173"/>
      <c r="D446" s="166"/>
      <c r="E446" s="312"/>
      <c r="G446" s="306"/>
      <c r="H446" s="162"/>
      <c r="I446" s="305"/>
      <c r="J446" s="317"/>
      <c r="K446" s="318"/>
      <c r="L446" s="318"/>
      <c r="M446" s="318"/>
      <c r="N446" s="168"/>
      <c r="O446" s="168"/>
      <c r="P446" s="321"/>
      <c r="Q446" s="175"/>
      <c r="Y446" s="72"/>
      <c r="Z446" s="170"/>
      <c r="AA446" s="159"/>
      <c r="AB446" s="171"/>
      <c r="AC446" s="172"/>
      <c r="AD446" s="185" t="s">
        <v>4</v>
      </c>
    </row>
    <row r="447" spans="1:30" ht="17.100000000000001" customHeight="1" x14ac:dyDescent="0.25">
      <c r="A447" s="308"/>
      <c r="B447" s="149"/>
      <c r="C447" s="173"/>
      <c r="D447" s="166"/>
      <c r="E447" s="312"/>
      <c r="G447" s="306"/>
      <c r="H447" s="162"/>
      <c r="I447" s="305"/>
      <c r="J447" s="317"/>
      <c r="K447" s="318"/>
      <c r="L447" s="318"/>
      <c r="M447" s="318"/>
      <c r="N447" s="168"/>
      <c r="O447" s="168"/>
      <c r="P447" s="321"/>
      <c r="Q447" s="156"/>
      <c r="R447" s="164"/>
      <c r="Y447" s="72"/>
      <c r="Z447" s="170"/>
      <c r="AA447" s="159"/>
      <c r="AB447" s="171"/>
      <c r="AC447" s="172"/>
      <c r="AD447" s="185" t="s">
        <v>4</v>
      </c>
    </row>
    <row r="448" spans="1:30" ht="17.100000000000001" customHeight="1" x14ac:dyDescent="0.25">
      <c r="A448" s="308"/>
      <c r="B448" s="149"/>
      <c r="C448" s="173"/>
      <c r="D448" s="166"/>
      <c r="E448" s="312"/>
      <c r="G448" s="306"/>
      <c r="H448" s="162"/>
      <c r="I448" s="305"/>
      <c r="J448" s="317"/>
      <c r="K448" s="318"/>
      <c r="L448" s="318"/>
      <c r="M448" s="318"/>
      <c r="N448" s="168"/>
      <c r="O448" s="168"/>
      <c r="P448" s="321"/>
      <c r="Q448" s="175"/>
      <c r="Y448" s="72"/>
      <c r="Z448" s="170"/>
      <c r="AA448" s="159"/>
      <c r="AB448" s="171"/>
      <c r="AC448" s="172"/>
      <c r="AD448" s="185" t="s">
        <v>4</v>
      </c>
    </row>
    <row r="449" spans="1:30" ht="17.100000000000001" customHeight="1" x14ac:dyDescent="0.25">
      <c r="A449" s="308"/>
      <c r="B449" s="149"/>
      <c r="C449" s="173"/>
      <c r="D449" s="166"/>
      <c r="E449" s="312"/>
      <c r="G449" s="306"/>
      <c r="H449" s="162"/>
      <c r="I449" s="305"/>
      <c r="J449" s="317"/>
      <c r="K449" s="318"/>
      <c r="L449" s="318"/>
      <c r="M449" s="318"/>
      <c r="N449" s="168"/>
      <c r="O449" s="168"/>
      <c r="P449" s="321"/>
      <c r="Q449" s="175"/>
      <c r="Y449" s="72"/>
      <c r="Z449" s="170"/>
      <c r="AA449" s="159"/>
      <c r="AB449" s="171"/>
      <c r="AC449" s="172"/>
      <c r="AD449" s="185" t="s">
        <v>4</v>
      </c>
    </row>
    <row r="450" spans="1:30" ht="17.100000000000001" customHeight="1" x14ac:dyDescent="0.25">
      <c r="A450" s="308"/>
      <c r="B450" s="149"/>
      <c r="C450" s="173"/>
      <c r="D450" s="166"/>
      <c r="E450" s="312"/>
      <c r="G450" s="306"/>
      <c r="H450" s="162"/>
      <c r="I450" s="305"/>
      <c r="J450" s="317"/>
      <c r="K450" s="318"/>
      <c r="L450" s="318"/>
      <c r="M450" s="318"/>
      <c r="N450" s="168"/>
      <c r="O450" s="168"/>
      <c r="P450" s="321"/>
      <c r="Q450" s="175"/>
      <c r="Y450" s="72"/>
      <c r="Z450" s="170"/>
      <c r="AA450" s="159"/>
      <c r="AB450" s="171"/>
      <c r="AC450" s="172"/>
      <c r="AD450" s="185" t="s">
        <v>4</v>
      </c>
    </row>
    <row r="451" spans="1:30" ht="17.100000000000001" customHeight="1" x14ac:dyDescent="0.25">
      <c r="A451" s="308"/>
      <c r="B451" s="149"/>
      <c r="C451" s="173"/>
      <c r="D451" s="166"/>
      <c r="E451" s="312"/>
      <c r="G451" s="306"/>
      <c r="H451" s="162"/>
      <c r="I451" s="305"/>
      <c r="J451" s="317"/>
      <c r="K451" s="318"/>
      <c r="L451" s="318"/>
      <c r="M451" s="318"/>
      <c r="N451" s="168"/>
      <c r="O451" s="168"/>
      <c r="P451" s="321"/>
      <c r="Q451" s="175"/>
      <c r="Y451" s="72"/>
      <c r="Z451" s="170"/>
      <c r="AA451" s="159"/>
      <c r="AB451" s="171"/>
      <c r="AC451" s="172"/>
      <c r="AD451" s="185" t="s">
        <v>4</v>
      </c>
    </row>
    <row r="452" spans="1:30" ht="17.100000000000001" customHeight="1" x14ac:dyDescent="0.25">
      <c r="A452" s="308"/>
      <c r="B452" s="149"/>
      <c r="C452" s="173"/>
      <c r="D452" s="166"/>
      <c r="E452" s="312"/>
      <c r="G452" s="306"/>
      <c r="H452" s="162"/>
      <c r="I452" s="305"/>
      <c r="J452" s="317"/>
      <c r="K452" s="318"/>
      <c r="L452" s="318"/>
      <c r="M452" s="318"/>
      <c r="N452" s="168"/>
      <c r="O452" s="168"/>
      <c r="P452" s="321"/>
      <c r="Q452" s="175"/>
      <c r="Y452" s="72"/>
      <c r="Z452" s="170"/>
      <c r="AA452" s="159"/>
      <c r="AB452" s="171"/>
      <c r="AC452" s="172"/>
      <c r="AD452" s="185" t="s">
        <v>4</v>
      </c>
    </row>
    <row r="453" spans="1:30" ht="17.100000000000001" customHeight="1" x14ac:dyDescent="0.25">
      <c r="A453" s="308"/>
      <c r="B453" s="149"/>
      <c r="C453" s="173"/>
      <c r="D453" s="166"/>
      <c r="E453" s="312"/>
      <c r="G453" s="306"/>
      <c r="H453" s="162"/>
      <c r="I453" s="305"/>
      <c r="J453" s="317"/>
      <c r="K453" s="318"/>
      <c r="L453" s="318"/>
      <c r="M453" s="318"/>
      <c r="N453" s="168"/>
      <c r="O453" s="168"/>
      <c r="P453" s="321"/>
      <c r="Q453" s="175"/>
      <c r="Y453" s="72"/>
      <c r="Z453" s="170"/>
      <c r="AA453" s="159"/>
      <c r="AB453" s="171"/>
      <c r="AC453" s="172"/>
      <c r="AD453" s="185" t="s">
        <v>4</v>
      </c>
    </row>
    <row r="454" spans="1:30" ht="17.100000000000001" customHeight="1" x14ac:dyDescent="0.25">
      <c r="A454" s="308"/>
      <c r="B454" s="149"/>
      <c r="C454" s="173"/>
      <c r="D454" s="166"/>
      <c r="E454" s="312"/>
      <c r="G454" s="306"/>
      <c r="H454" s="162"/>
      <c r="I454" s="305"/>
      <c r="J454" s="317"/>
      <c r="K454" s="318"/>
      <c r="L454" s="318"/>
      <c r="M454" s="318"/>
      <c r="N454" s="168"/>
      <c r="O454" s="168"/>
      <c r="P454" s="321"/>
      <c r="Q454" s="175"/>
      <c r="Y454" s="72"/>
      <c r="Z454" s="170"/>
      <c r="AA454" s="159"/>
      <c r="AB454" s="171"/>
      <c r="AC454" s="172"/>
      <c r="AD454" s="185" t="s">
        <v>4</v>
      </c>
    </row>
    <row r="455" spans="1:30" ht="17.100000000000001" customHeight="1" x14ac:dyDescent="0.25">
      <c r="A455" s="308"/>
      <c r="B455" s="149"/>
      <c r="C455" s="173"/>
      <c r="D455" s="166"/>
      <c r="E455" s="312"/>
      <c r="G455" s="306"/>
      <c r="H455" s="162"/>
      <c r="I455" s="305"/>
      <c r="J455" s="317"/>
      <c r="K455" s="318"/>
      <c r="L455" s="318"/>
      <c r="M455" s="318"/>
      <c r="N455" s="168"/>
      <c r="O455" s="168"/>
      <c r="P455" s="321"/>
      <c r="Q455" s="175"/>
      <c r="Y455" s="72"/>
      <c r="Z455" s="170"/>
      <c r="AA455" s="159"/>
      <c r="AB455" s="171"/>
      <c r="AC455" s="172"/>
      <c r="AD455" s="185" t="s">
        <v>4</v>
      </c>
    </row>
    <row r="456" spans="1:30" ht="17.100000000000001" customHeight="1" x14ac:dyDescent="0.25">
      <c r="A456" s="308"/>
      <c r="B456" s="149"/>
      <c r="C456" s="173"/>
      <c r="D456" s="166"/>
      <c r="E456" s="312"/>
      <c r="G456" s="306"/>
      <c r="H456" s="162"/>
      <c r="I456" s="305"/>
      <c r="J456" s="317"/>
      <c r="K456" s="318"/>
      <c r="L456" s="318"/>
      <c r="M456" s="318"/>
      <c r="N456" s="168"/>
      <c r="O456" s="168"/>
      <c r="P456" s="321"/>
      <c r="Q456" s="175"/>
      <c r="Y456" s="72"/>
      <c r="Z456" s="170"/>
      <c r="AA456" s="159"/>
      <c r="AB456" s="171"/>
      <c r="AC456" s="172"/>
      <c r="AD456" s="185" t="s">
        <v>4</v>
      </c>
    </row>
    <row r="457" spans="1:30" ht="17.100000000000001" customHeight="1" x14ac:dyDescent="0.25">
      <c r="A457" s="308"/>
      <c r="B457" s="149"/>
      <c r="C457" s="173"/>
      <c r="D457" s="166"/>
      <c r="E457" s="312"/>
      <c r="G457" s="306"/>
      <c r="H457" s="162"/>
      <c r="I457" s="305"/>
      <c r="J457" s="317"/>
      <c r="K457" s="318"/>
      <c r="L457" s="318"/>
      <c r="M457" s="318"/>
      <c r="N457" s="168"/>
      <c r="O457" s="168"/>
      <c r="P457" s="321"/>
      <c r="Q457" s="175"/>
      <c r="Y457" s="72"/>
      <c r="Z457" s="170"/>
      <c r="AA457" s="159"/>
      <c r="AB457" s="171"/>
      <c r="AC457" s="172"/>
      <c r="AD457" s="185" t="s">
        <v>4</v>
      </c>
    </row>
    <row r="458" spans="1:30" ht="17.100000000000001" customHeight="1" x14ac:dyDescent="0.25">
      <c r="A458" s="308"/>
      <c r="B458" s="149"/>
      <c r="C458" s="173"/>
      <c r="D458" s="166"/>
      <c r="E458" s="312"/>
      <c r="G458" s="306"/>
      <c r="H458" s="162"/>
      <c r="I458" s="305"/>
      <c r="J458" s="317"/>
      <c r="K458" s="318"/>
      <c r="L458" s="318"/>
      <c r="M458" s="318"/>
      <c r="N458" s="168"/>
      <c r="O458" s="168"/>
      <c r="P458" s="321"/>
      <c r="Q458" s="175"/>
      <c r="R458" s="175"/>
      <c r="Y458" s="72"/>
      <c r="Z458" s="170"/>
      <c r="AA458" s="159"/>
      <c r="AB458" s="171"/>
      <c r="AC458" s="172"/>
      <c r="AD458" s="185" t="s">
        <v>4</v>
      </c>
    </row>
    <row r="459" spans="1:30" ht="17.100000000000001" customHeight="1" x14ac:dyDescent="0.25">
      <c r="A459" s="308"/>
      <c r="B459" s="149"/>
      <c r="C459" s="173"/>
      <c r="D459" s="166"/>
      <c r="E459" s="312"/>
      <c r="G459" s="306"/>
      <c r="H459" s="162"/>
      <c r="I459" s="305"/>
      <c r="J459" s="317"/>
      <c r="K459" s="318"/>
      <c r="L459" s="318"/>
      <c r="M459" s="318"/>
      <c r="N459" s="168"/>
      <c r="O459" s="168"/>
      <c r="P459" s="321"/>
      <c r="Q459" s="175"/>
      <c r="Y459" s="72"/>
      <c r="Z459" s="170"/>
      <c r="AA459" s="159"/>
      <c r="AB459" s="171"/>
      <c r="AC459" s="172"/>
      <c r="AD459" s="185" t="s">
        <v>4</v>
      </c>
    </row>
    <row r="460" spans="1:30" ht="17.100000000000001" customHeight="1" x14ac:dyDescent="0.25">
      <c r="A460" s="308"/>
      <c r="B460" s="149"/>
      <c r="C460" s="173"/>
      <c r="D460" s="166"/>
      <c r="E460" s="312"/>
      <c r="G460" s="306"/>
      <c r="H460" s="162"/>
      <c r="I460" s="305"/>
      <c r="J460" s="317"/>
      <c r="K460" s="318"/>
      <c r="L460" s="318"/>
      <c r="M460" s="318"/>
      <c r="N460" s="168"/>
      <c r="O460" s="168"/>
      <c r="P460" s="321"/>
      <c r="Q460" s="175"/>
      <c r="Y460" s="72"/>
      <c r="Z460" s="170"/>
      <c r="AA460" s="159"/>
      <c r="AB460" s="171"/>
      <c r="AC460" s="172"/>
      <c r="AD460" s="185" t="s">
        <v>4</v>
      </c>
    </row>
    <row r="461" spans="1:30" ht="17.100000000000001" customHeight="1" x14ac:dyDescent="0.25">
      <c r="A461" s="308"/>
      <c r="B461" s="149"/>
      <c r="C461" s="173"/>
      <c r="D461" s="166"/>
      <c r="E461" s="312"/>
      <c r="G461" s="306"/>
      <c r="H461" s="162"/>
      <c r="I461" s="305"/>
      <c r="J461" s="317"/>
      <c r="K461" s="318"/>
      <c r="L461" s="318"/>
      <c r="M461" s="318"/>
      <c r="N461" s="168"/>
      <c r="O461" s="168"/>
      <c r="P461" s="321"/>
      <c r="Q461" s="175"/>
      <c r="Y461" s="72"/>
      <c r="Z461" s="170"/>
      <c r="AA461" s="159"/>
      <c r="AB461" s="171"/>
      <c r="AC461" s="172"/>
      <c r="AD461" s="185" t="s">
        <v>4</v>
      </c>
    </row>
    <row r="462" spans="1:30" ht="17.100000000000001" customHeight="1" x14ac:dyDescent="0.25">
      <c r="A462" s="308"/>
      <c r="B462" s="149"/>
      <c r="C462" s="173"/>
      <c r="D462" s="166"/>
      <c r="E462" s="312"/>
      <c r="G462" s="306"/>
      <c r="H462" s="162"/>
      <c r="I462" s="305"/>
      <c r="J462" s="317"/>
      <c r="K462" s="318"/>
      <c r="L462" s="318"/>
      <c r="M462" s="318"/>
      <c r="N462" s="168"/>
      <c r="O462" s="168"/>
      <c r="P462" s="321"/>
      <c r="Q462" s="175"/>
      <c r="Y462" s="72"/>
      <c r="Z462" s="170"/>
      <c r="AA462" s="159"/>
      <c r="AB462" s="171"/>
      <c r="AC462" s="172"/>
      <c r="AD462" s="185" t="s">
        <v>4</v>
      </c>
    </row>
    <row r="463" spans="1:30" ht="17.100000000000001" customHeight="1" x14ac:dyDescent="0.25">
      <c r="A463" s="308"/>
      <c r="B463" s="149"/>
      <c r="C463" s="173"/>
      <c r="D463" s="166"/>
      <c r="E463" s="312"/>
      <c r="G463" s="306"/>
      <c r="H463" s="162"/>
      <c r="I463" s="305"/>
      <c r="J463" s="317"/>
      <c r="K463" s="318"/>
      <c r="L463" s="318"/>
      <c r="M463" s="318"/>
      <c r="N463" s="168"/>
      <c r="O463" s="168"/>
      <c r="P463" s="321"/>
      <c r="Q463" s="175"/>
      <c r="Y463" s="72"/>
      <c r="Z463" s="170"/>
      <c r="AA463" s="159"/>
      <c r="AB463" s="171"/>
      <c r="AC463" s="172"/>
      <c r="AD463" s="185" t="s">
        <v>4</v>
      </c>
    </row>
    <row r="464" spans="1:30" ht="17.100000000000001" customHeight="1" x14ac:dyDescent="0.25">
      <c r="A464" s="308"/>
      <c r="B464" s="149"/>
      <c r="C464" s="173"/>
      <c r="D464" s="166"/>
      <c r="E464" s="312"/>
      <c r="G464" s="306"/>
      <c r="H464" s="162"/>
      <c r="I464" s="305"/>
      <c r="J464" s="317"/>
      <c r="K464" s="318"/>
      <c r="L464" s="318"/>
      <c r="M464" s="318"/>
      <c r="N464" s="168"/>
      <c r="O464" s="168"/>
      <c r="P464" s="321"/>
      <c r="Q464" s="175"/>
      <c r="Y464" s="72"/>
      <c r="Z464" s="170"/>
      <c r="AA464" s="159"/>
      <c r="AB464" s="171"/>
      <c r="AC464" s="172"/>
      <c r="AD464" s="185" t="s">
        <v>4</v>
      </c>
    </row>
    <row r="465" spans="1:30" ht="17.100000000000001" customHeight="1" x14ac:dyDescent="0.25">
      <c r="A465" s="308"/>
      <c r="B465" s="149"/>
      <c r="C465" s="173"/>
      <c r="D465" s="166"/>
      <c r="E465" s="312"/>
      <c r="G465" s="306"/>
      <c r="H465" s="162"/>
      <c r="I465" s="305"/>
      <c r="J465" s="317"/>
      <c r="K465" s="318"/>
      <c r="L465" s="318"/>
      <c r="M465" s="318"/>
      <c r="N465" s="168"/>
      <c r="O465" s="168"/>
      <c r="P465" s="321"/>
      <c r="Q465" s="175"/>
      <c r="Y465" s="72"/>
      <c r="Z465" s="170"/>
      <c r="AA465" s="159"/>
      <c r="AB465" s="171"/>
      <c r="AC465" s="172"/>
      <c r="AD465" s="185" t="s">
        <v>4</v>
      </c>
    </row>
    <row r="466" spans="1:30" ht="17.100000000000001" customHeight="1" x14ac:dyDescent="0.25">
      <c r="A466" s="308"/>
      <c r="B466" s="149"/>
      <c r="C466" s="173"/>
      <c r="D466" s="166"/>
      <c r="E466" s="312"/>
      <c r="G466" s="306"/>
      <c r="H466" s="162"/>
      <c r="I466" s="305"/>
      <c r="J466" s="317"/>
      <c r="K466" s="318"/>
      <c r="L466" s="318"/>
      <c r="M466" s="318"/>
      <c r="N466" s="168"/>
      <c r="O466" s="168"/>
      <c r="P466" s="321"/>
      <c r="Q466" s="175"/>
      <c r="Y466" s="72"/>
      <c r="Z466" s="170"/>
      <c r="AA466" s="159"/>
      <c r="AB466" s="171"/>
      <c r="AC466" s="172"/>
      <c r="AD466" s="185" t="s">
        <v>4</v>
      </c>
    </row>
    <row r="467" spans="1:30" ht="17.100000000000001" customHeight="1" x14ac:dyDescent="0.25">
      <c r="A467" s="308"/>
      <c r="B467" s="149"/>
      <c r="C467" s="173"/>
      <c r="D467" s="166"/>
      <c r="E467" s="312"/>
      <c r="G467" s="306"/>
      <c r="H467" s="162"/>
      <c r="I467" s="305"/>
      <c r="J467" s="317"/>
      <c r="K467" s="318"/>
      <c r="L467" s="318"/>
      <c r="M467" s="318"/>
      <c r="N467" s="168"/>
      <c r="O467" s="168"/>
      <c r="P467" s="321"/>
      <c r="Q467" s="175"/>
      <c r="Y467" s="72"/>
      <c r="Z467" s="170"/>
      <c r="AA467" s="159"/>
      <c r="AB467" s="171"/>
      <c r="AC467" s="172"/>
      <c r="AD467" s="185" t="s">
        <v>4</v>
      </c>
    </row>
    <row r="468" spans="1:30" ht="17.100000000000001" customHeight="1" x14ac:dyDescent="0.25">
      <c r="A468" s="308"/>
      <c r="B468" s="149"/>
      <c r="C468" s="173"/>
      <c r="D468" s="166"/>
      <c r="E468" s="312"/>
      <c r="G468" s="306"/>
      <c r="H468" s="162"/>
      <c r="I468" s="305"/>
      <c r="J468" s="317"/>
      <c r="K468" s="318"/>
      <c r="L468" s="318"/>
      <c r="M468" s="318"/>
      <c r="N468" s="168"/>
      <c r="O468" s="168"/>
      <c r="P468" s="321"/>
      <c r="Q468" s="175"/>
      <c r="Y468" s="72"/>
      <c r="Z468" s="170"/>
      <c r="AA468" s="159"/>
      <c r="AB468" s="171"/>
      <c r="AC468" s="172"/>
      <c r="AD468" s="185" t="s">
        <v>4</v>
      </c>
    </row>
    <row r="469" spans="1:30" ht="17.100000000000001" customHeight="1" x14ac:dyDescent="0.25">
      <c r="A469" s="308"/>
      <c r="B469" s="149"/>
      <c r="C469" s="173"/>
      <c r="D469" s="166"/>
      <c r="E469" s="312"/>
      <c r="G469" s="306"/>
      <c r="H469" s="200"/>
      <c r="I469" s="305"/>
      <c r="J469" s="317"/>
      <c r="K469" s="318"/>
      <c r="L469" s="318"/>
      <c r="M469" s="318"/>
      <c r="N469" s="168"/>
      <c r="O469" s="168"/>
      <c r="P469" s="321"/>
      <c r="Q469" s="175"/>
      <c r="Y469" s="72"/>
      <c r="Z469" s="170"/>
      <c r="AA469" s="159"/>
      <c r="AB469" s="171"/>
      <c r="AC469" s="172"/>
      <c r="AD469" s="185" t="s">
        <v>4</v>
      </c>
    </row>
    <row r="470" spans="1:30" ht="17.100000000000001" customHeight="1" x14ac:dyDescent="0.25">
      <c r="A470" s="308"/>
      <c r="B470" s="149"/>
      <c r="C470" s="173"/>
      <c r="D470" s="166"/>
      <c r="E470" s="312"/>
      <c r="G470" s="306"/>
      <c r="H470" s="162"/>
      <c r="I470" s="305"/>
      <c r="J470" s="317"/>
      <c r="K470" s="318"/>
      <c r="L470" s="318"/>
      <c r="M470" s="318"/>
      <c r="N470" s="168"/>
      <c r="O470" s="168"/>
      <c r="P470" s="321"/>
      <c r="Q470" s="156"/>
      <c r="Y470" s="72"/>
      <c r="Z470" s="170"/>
      <c r="AA470" s="159"/>
      <c r="AB470" s="171"/>
      <c r="AC470" s="172"/>
      <c r="AD470" s="185" t="s">
        <v>4</v>
      </c>
    </row>
    <row r="471" spans="1:30" ht="17.100000000000001" customHeight="1" x14ac:dyDescent="0.25">
      <c r="A471" s="308"/>
      <c r="B471" s="149"/>
      <c r="C471" s="173"/>
      <c r="D471" s="166"/>
      <c r="E471" s="312"/>
      <c r="G471" s="306"/>
      <c r="H471" s="162"/>
      <c r="I471" s="305"/>
      <c r="J471" s="317"/>
      <c r="K471" s="318"/>
      <c r="L471" s="318"/>
      <c r="M471" s="318"/>
      <c r="N471" s="168"/>
      <c r="O471" s="168"/>
      <c r="P471" s="321"/>
      <c r="Q471" s="175"/>
      <c r="Y471" s="72"/>
      <c r="Z471" s="170"/>
      <c r="AA471" s="159"/>
      <c r="AB471" s="171"/>
      <c r="AC471" s="172"/>
      <c r="AD471" s="185" t="s">
        <v>4</v>
      </c>
    </row>
    <row r="472" spans="1:30" ht="17.100000000000001" customHeight="1" x14ac:dyDescent="0.25">
      <c r="A472" s="308"/>
      <c r="B472" s="149"/>
      <c r="C472" s="173"/>
      <c r="D472" s="166"/>
      <c r="E472" s="312"/>
      <c r="G472" s="306"/>
      <c r="H472" s="162"/>
      <c r="I472" s="305"/>
      <c r="J472" s="317"/>
      <c r="K472" s="318"/>
      <c r="L472" s="318"/>
      <c r="M472" s="318"/>
      <c r="N472" s="168"/>
      <c r="O472" s="168"/>
      <c r="P472" s="321"/>
      <c r="Q472" s="175"/>
      <c r="Y472" s="72"/>
      <c r="Z472" s="170"/>
      <c r="AA472" s="159"/>
      <c r="AB472" s="171"/>
      <c r="AC472" s="172"/>
      <c r="AD472" s="185" t="s">
        <v>4</v>
      </c>
    </row>
    <row r="473" spans="1:30" ht="17.100000000000001" customHeight="1" x14ac:dyDescent="0.25">
      <c r="A473" s="308"/>
      <c r="B473" s="149"/>
      <c r="C473" s="173"/>
      <c r="D473" s="166"/>
      <c r="E473" s="312"/>
      <c r="G473" s="306"/>
      <c r="H473" s="162"/>
      <c r="I473" s="305"/>
      <c r="J473" s="317"/>
      <c r="K473" s="318"/>
      <c r="L473" s="318"/>
      <c r="M473" s="318"/>
      <c r="N473" s="168"/>
      <c r="O473" s="168"/>
      <c r="P473" s="321"/>
      <c r="Q473" s="175"/>
      <c r="R473" s="175"/>
      <c r="Y473" s="72"/>
      <c r="Z473" s="170"/>
      <c r="AA473" s="159"/>
      <c r="AB473" s="171"/>
      <c r="AC473" s="172"/>
      <c r="AD473" s="185" t="s">
        <v>4</v>
      </c>
    </row>
    <row r="474" spans="1:30" ht="17.100000000000001" customHeight="1" x14ac:dyDescent="0.25">
      <c r="A474" s="308"/>
      <c r="B474" s="149"/>
      <c r="C474" s="173"/>
      <c r="D474" s="166"/>
      <c r="E474" s="312"/>
      <c r="G474" s="306"/>
      <c r="H474" s="162"/>
      <c r="I474" s="305"/>
      <c r="J474" s="317"/>
      <c r="K474" s="318"/>
      <c r="L474" s="318"/>
      <c r="M474" s="318"/>
      <c r="N474" s="168"/>
      <c r="O474" s="168"/>
      <c r="P474" s="321"/>
      <c r="Q474" s="175"/>
      <c r="Y474" s="72"/>
      <c r="Z474" s="170"/>
      <c r="AA474" s="159"/>
      <c r="AB474" s="171"/>
      <c r="AC474" s="172"/>
      <c r="AD474" s="185" t="s">
        <v>4</v>
      </c>
    </row>
    <row r="475" spans="1:30" ht="17.100000000000001" customHeight="1" x14ac:dyDescent="0.25">
      <c r="A475" s="308"/>
      <c r="B475" s="149"/>
      <c r="C475" s="173"/>
      <c r="D475" s="166"/>
      <c r="E475" s="312"/>
      <c r="G475" s="306"/>
      <c r="H475" s="162"/>
      <c r="I475" s="305"/>
      <c r="J475" s="317"/>
      <c r="K475" s="318"/>
      <c r="L475" s="318"/>
      <c r="M475" s="318"/>
      <c r="N475" s="168"/>
      <c r="O475" s="168"/>
      <c r="P475" s="321"/>
      <c r="Q475" s="175"/>
      <c r="Y475" s="72"/>
      <c r="Z475" s="170"/>
      <c r="AA475" s="159"/>
      <c r="AB475" s="171"/>
      <c r="AC475" s="172"/>
      <c r="AD475" s="185" t="s">
        <v>4</v>
      </c>
    </row>
    <row r="476" spans="1:30" ht="17.100000000000001" customHeight="1" x14ac:dyDescent="0.25">
      <c r="A476" s="308"/>
      <c r="B476" s="149"/>
      <c r="C476" s="173"/>
      <c r="D476" s="166"/>
      <c r="E476" s="312"/>
      <c r="G476" s="306"/>
      <c r="H476" s="162"/>
      <c r="I476" s="305"/>
      <c r="J476" s="317"/>
      <c r="K476" s="318"/>
      <c r="L476" s="318"/>
      <c r="M476" s="318"/>
      <c r="N476" s="168"/>
      <c r="O476" s="168"/>
      <c r="P476" s="321"/>
      <c r="Q476" s="175"/>
      <c r="Y476" s="72"/>
      <c r="Z476" s="170"/>
      <c r="AA476" s="159"/>
      <c r="AB476" s="171"/>
      <c r="AC476" s="172"/>
      <c r="AD476" s="185" t="s">
        <v>4</v>
      </c>
    </row>
    <row r="477" spans="1:30" ht="17.100000000000001" customHeight="1" x14ac:dyDescent="0.25">
      <c r="A477" s="308"/>
      <c r="B477" s="149"/>
      <c r="C477" s="173"/>
      <c r="D477" s="166"/>
      <c r="E477" s="312"/>
      <c r="G477" s="306"/>
      <c r="H477" s="162"/>
      <c r="I477" s="305"/>
      <c r="J477" s="317"/>
      <c r="K477" s="318"/>
      <c r="L477" s="318"/>
      <c r="M477" s="318"/>
      <c r="N477" s="168"/>
      <c r="O477" s="168"/>
      <c r="P477" s="321"/>
      <c r="Q477" s="175"/>
      <c r="Y477" s="72"/>
      <c r="Z477" s="170"/>
      <c r="AA477" s="159"/>
      <c r="AB477" s="171"/>
      <c r="AC477" s="172"/>
      <c r="AD477" s="185" t="s">
        <v>4</v>
      </c>
    </row>
    <row r="478" spans="1:30" ht="17.100000000000001" customHeight="1" x14ac:dyDescent="0.25">
      <c r="A478" s="308"/>
      <c r="B478" s="149"/>
      <c r="C478" s="173"/>
      <c r="D478" s="151"/>
      <c r="E478" s="312"/>
      <c r="F478" s="156"/>
      <c r="G478" s="306"/>
      <c r="H478" s="162"/>
      <c r="I478" s="305"/>
      <c r="J478" s="317"/>
      <c r="K478" s="318"/>
      <c r="L478" s="318"/>
      <c r="M478" s="318"/>
      <c r="N478" s="155"/>
      <c r="O478" s="155"/>
      <c r="P478" s="320"/>
      <c r="Q478" s="156"/>
      <c r="R478" s="156"/>
      <c r="S478" s="156"/>
      <c r="T478" s="152"/>
      <c r="U478" s="152"/>
      <c r="V478" s="152"/>
      <c r="W478" s="152"/>
      <c r="X478" s="156"/>
      <c r="Y478" s="157"/>
      <c r="Z478" s="158"/>
      <c r="AA478" s="159"/>
      <c r="AB478" s="160"/>
      <c r="AC478" s="161"/>
      <c r="AD478" s="185" t="s">
        <v>4</v>
      </c>
    </row>
    <row r="479" spans="1:30" ht="17.100000000000001" customHeight="1" x14ac:dyDescent="0.25">
      <c r="A479" s="308"/>
      <c r="B479" s="149"/>
      <c r="C479" s="176"/>
      <c r="D479" s="151"/>
      <c r="E479" s="312"/>
      <c r="F479" s="156"/>
      <c r="G479" s="306"/>
      <c r="H479" s="162"/>
      <c r="I479" s="305"/>
      <c r="J479" s="317"/>
      <c r="K479" s="318"/>
      <c r="L479" s="318"/>
      <c r="M479" s="318"/>
      <c r="N479" s="155"/>
      <c r="O479" s="155"/>
      <c r="P479" s="320"/>
      <c r="Q479" s="156"/>
      <c r="R479" s="152"/>
      <c r="S479" s="152"/>
      <c r="T479" s="152"/>
      <c r="U479" s="152"/>
      <c r="V479" s="152"/>
      <c r="W479" s="152"/>
      <c r="X479" s="152"/>
      <c r="Y479" s="157"/>
      <c r="Z479" s="158"/>
      <c r="AA479" s="159"/>
      <c r="AB479" s="160"/>
      <c r="AC479" s="161"/>
      <c r="AD479" s="185" t="s">
        <v>4</v>
      </c>
    </row>
    <row r="480" spans="1:30" ht="17.100000000000001" customHeight="1" x14ac:dyDescent="0.25">
      <c r="A480" s="308"/>
      <c r="B480" s="149"/>
      <c r="C480" s="173"/>
      <c r="D480" s="166"/>
      <c r="E480" s="312"/>
      <c r="G480" s="306"/>
      <c r="H480" s="162"/>
      <c r="I480" s="305"/>
      <c r="J480" s="317"/>
      <c r="K480" s="318"/>
      <c r="L480" s="318"/>
      <c r="M480" s="318"/>
      <c r="N480" s="168"/>
      <c r="O480" s="168"/>
      <c r="P480" s="321"/>
      <c r="Q480" s="175"/>
      <c r="R480" s="175"/>
      <c r="Y480" s="72"/>
      <c r="Z480" s="170"/>
      <c r="AA480" s="159"/>
      <c r="AB480" s="171"/>
      <c r="AC480" s="172"/>
      <c r="AD480" s="185" t="s">
        <v>4</v>
      </c>
    </row>
    <row r="481" spans="1:30" ht="17.100000000000001" customHeight="1" x14ac:dyDescent="0.25">
      <c r="A481" s="308"/>
      <c r="B481" s="149"/>
      <c r="C481" s="173"/>
      <c r="D481" s="166"/>
      <c r="E481" s="312"/>
      <c r="G481" s="306"/>
      <c r="H481" s="162"/>
      <c r="I481" s="305"/>
      <c r="J481" s="317"/>
      <c r="K481" s="318"/>
      <c r="L481" s="318"/>
      <c r="M481" s="318"/>
      <c r="N481" s="168"/>
      <c r="O481" s="168"/>
      <c r="P481" s="321"/>
      <c r="Q481" s="175"/>
      <c r="Y481" s="72"/>
      <c r="Z481" s="170"/>
      <c r="AA481" s="159"/>
      <c r="AB481" s="171"/>
      <c r="AC481" s="172"/>
      <c r="AD481" s="185" t="s">
        <v>4</v>
      </c>
    </row>
    <row r="482" spans="1:30" ht="17.100000000000001" customHeight="1" x14ac:dyDescent="0.25">
      <c r="A482" s="308"/>
      <c r="B482" s="149"/>
      <c r="C482" s="173"/>
      <c r="D482" s="166"/>
      <c r="E482" s="312"/>
      <c r="G482" s="306"/>
      <c r="H482" s="162"/>
      <c r="I482" s="305"/>
      <c r="J482" s="317"/>
      <c r="K482" s="318"/>
      <c r="L482" s="318"/>
      <c r="M482" s="318"/>
      <c r="N482" s="168"/>
      <c r="O482" s="168"/>
      <c r="P482" s="321"/>
      <c r="Q482" s="175"/>
      <c r="R482" s="175"/>
      <c r="Y482" s="72"/>
      <c r="Z482" s="170"/>
      <c r="AA482" s="159"/>
      <c r="AB482" s="171"/>
      <c r="AC482" s="172"/>
      <c r="AD482" s="185" t="s">
        <v>4</v>
      </c>
    </row>
    <row r="483" spans="1:30" ht="17.100000000000001" customHeight="1" x14ac:dyDescent="0.25">
      <c r="A483" s="308"/>
      <c r="B483" s="149"/>
      <c r="C483" s="173"/>
      <c r="D483" s="166"/>
      <c r="E483" s="312"/>
      <c r="G483" s="306"/>
      <c r="H483" s="162"/>
      <c r="I483" s="305"/>
      <c r="J483" s="317"/>
      <c r="K483" s="318"/>
      <c r="L483" s="318"/>
      <c r="M483" s="318"/>
      <c r="N483" s="168"/>
      <c r="O483" s="168"/>
      <c r="P483" s="321"/>
      <c r="Q483" s="175"/>
      <c r="Y483" s="72"/>
      <c r="Z483" s="170"/>
      <c r="AA483" s="159"/>
      <c r="AB483" s="171"/>
      <c r="AC483" s="172"/>
      <c r="AD483" s="185" t="s">
        <v>4</v>
      </c>
    </row>
    <row r="484" spans="1:30" ht="17.100000000000001" customHeight="1" x14ac:dyDescent="0.25">
      <c r="A484" s="308"/>
      <c r="B484" s="149"/>
      <c r="C484" s="176"/>
      <c r="D484" s="151"/>
      <c r="E484" s="312"/>
      <c r="F484" s="156"/>
      <c r="G484" s="306"/>
      <c r="H484" s="162"/>
      <c r="I484" s="305"/>
      <c r="J484" s="317"/>
      <c r="K484" s="318"/>
      <c r="L484" s="318"/>
      <c r="M484" s="318"/>
      <c r="N484" s="155"/>
      <c r="O484" s="155"/>
      <c r="P484" s="320"/>
      <c r="Q484" s="156"/>
      <c r="R484" s="156"/>
      <c r="S484" s="152"/>
      <c r="T484" s="152"/>
      <c r="U484" s="152"/>
      <c r="V484" s="152"/>
      <c r="W484" s="152"/>
      <c r="X484" s="152"/>
      <c r="Y484" s="157"/>
      <c r="Z484" s="158"/>
      <c r="AA484" s="159"/>
      <c r="AB484" s="160"/>
      <c r="AC484" s="161"/>
      <c r="AD484" s="185" t="s">
        <v>4</v>
      </c>
    </row>
    <row r="485" spans="1:30" ht="17.100000000000001" customHeight="1" x14ac:dyDescent="0.25">
      <c r="A485" s="308"/>
      <c r="B485" s="149"/>
      <c r="C485" s="173"/>
      <c r="D485" s="166"/>
      <c r="E485" s="312"/>
      <c r="G485" s="306"/>
      <c r="H485" s="162"/>
      <c r="I485" s="305"/>
      <c r="J485" s="317"/>
      <c r="K485" s="318"/>
      <c r="L485" s="318"/>
      <c r="M485" s="318"/>
      <c r="N485" s="168"/>
      <c r="O485" s="168"/>
      <c r="P485" s="321"/>
      <c r="Q485" s="175"/>
      <c r="Y485" s="72"/>
      <c r="Z485" s="170"/>
      <c r="AA485" s="159"/>
      <c r="AB485" s="171"/>
      <c r="AC485" s="172"/>
      <c r="AD485" s="185" t="s">
        <v>4</v>
      </c>
    </row>
    <row r="486" spans="1:30" ht="17.100000000000001" customHeight="1" x14ac:dyDescent="0.25">
      <c r="A486" s="308"/>
      <c r="B486" s="149"/>
      <c r="C486" s="173"/>
      <c r="D486" s="166"/>
      <c r="E486" s="312"/>
      <c r="G486" s="306"/>
      <c r="H486" s="162"/>
      <c r="I486" s="305"/>
      <c r="J486" s="317"/>
      <c r="K486" s="318"/>
      <c r="L486" s="318"/>
      <c r="M486" s="318"/>
      <c r="N486" s="168"/>
      <c r="O486" s="168"/>
      <c r="P486" s="321"/>
      <c r="Q486" s="175"/>
      <c r="Y486" s="72"/>
      <c r="Z486" s="170"/>
      <c r="AA486" s="159"/>
      <c r="AB486" s="171"/>
      <c r="AC486" s="172"/>
      <c r="AD486" s="185" t="s">
        <v>4</v>
      </c>
    </row>
    <row r="487" spans="1:30" ht="17.100000000000001" customHeight="1" x14ac:dyDescent="0.25">
      <c r="A487" s="308"/>
      <c r="B487" s="149"/>
      <c r="C487" s="173"/>
      <c r="D487" s="166"/>
      <c r="E487" s="312"/>
      <c r="G487" s="306"/>
      <c r="H487" s="162"/>
      <c r="I487" s="305"/>
      <c r="J487" s="317"/>
      <c r="K487" s="318"/>
      <c r="L487" s="318"/>
      <c r="M487" s="318"/>
      <c r="N487" s="168"/>
      <c r="O487" s="168"/>
      <c r="P487" s="321"/>
      <c r="Q487" s="175"/>
      <c r="Y487" s="72"/>
      <c r="Z487" s="170"/>
      <c r="AA487" s="159"/>
      <c r="AB487" s="171"/>
      <c r="AC487" s="172"/>
      <c r="AD487" s="185" t="s">
        <v>4</v>
      </c>
    </row>
    <row r="488" spans="1:30" ht="17.100000000000001" customHeight="1" x14ac:dyDescent="0.25">
      <c r="A488" s="308"/>
      <c r="B488" s="149"/>
      <c r="C488" s="176"/>
      <c r="D488" s="151"/>
      <c r="E488" s="312"/>
      <c r="F488" s="156"/>
      <c r="G488" s="306"/>
      <c r="H488" s="162"/>
      <c r="I488" s="305"/>
      <c r="J488" s="317"/>
      <c r="K488" s="318"/>
      <c r="L488" s="318"/>
      <c r="M488" s="318"/>
      <c r="N488" s="155"/>
      <c r="O488" s="155"/>
      <c r="P488" s="320"/>
      <c r="Q488" s="156"/>
      <c r="R488" s="156"/>
      <c r="S488" s="152"/>
      <c r="T488" s="152"/>
      <c r="U488" s="152"/>
      <c r="V488" s="152"/>
      <c r="W488" s="152"/>
      <c r="X488" s="152"/>
      <c r="Y488" s="157"/>
      <c r="Z488" s="158"/>
      <c r="AA488" s="159"/>
      <c r="AB488" s="160"/>
      <c r="AC488" s="161"/>
      <c r="AD488" s="185" t="s">
        <v>4</v>
      </c>
    </row>
    <row r="489" spans="1:30" ht="17.100000000000001" customHeight="1" x14ac:dyDescent="0.25">
      <c r="A489" s="308"/>
      <c r="B489" s="149"/>
      <c r="C489" s="176"/>
      <c r="D489" s="151"/>
      <c r="E489" s="312"/>
      <c r="F489" s="156"/>
      <c r="G489" s="306"/>
      <c r="H489" s="162"/>
      <c r="I489" s="305"/>
      <c r="J489" s="317"/>
      <c r="K489" s="318"/>
      <c r="L489" s="318"/>
      <c r="M489" s="318"/>
      <c r="N489" s="155"/>
      <c r="O489" s="155"/>
      <c r="P489" s="320"/>
      <c r="Q489" s="156"/>
      <c r="R489" s="156"/>
      <c r="S489" s="152"/>
      <c r="T489" s="152"/>
      <c r="U489" s="152"/>
      <c r="V489" s="152"/>
      <c r="W489" s="152"/>
      <c r="X489" s="152"/>
      <c r="Y489" s="157"/>
      <c r="Z489" s="158"/>
      <c r="AA489" s="159"/>
      <c r="AB489" s="160"/>
      <c r="AC489" s="161"/>
      <c r="AD489" s="185" t="s">
        <v>4</v>
      </c>
    </row>
    <row r="490" spans="1:30" ht="17.100000000000001" customHeight="1" x14ac:dyDescent="0.25">
      <c r="A490" s="308"/>
      <c r="B490" s="149"/>
      <c r="C490" s="173"/>
      <c r="D490" s="166"/>
      <c r="E490" s="312"/>
      <c r="G490" s="306"/>
      <c r="H490" s="162"/>
      <c r="I490" s="305"/>
      <c r="J490" s="317"/>
      <c r="K490" s="318"/>
      <c r="L490" s="318"/>
      <c r="M490" s="318"/>
      <c r="N490" s="168"/>
      <c r="O490" s="168"/>
      <c r="P490" s="321"/>
      <c r="Q490" s="175"/>
      <c r="Y490" s="72"/>
      <c r="Z490" s="170"/>
      <c r="AA490" s="159"/>
      <c r="AB490" s="171"/>
      <c r="AC490" s="172"/>
      <c r="AD490" s="185" t="s">
        <v>4</v>
      </c>
    </row>
    <row r="491" spans="1:30" ht="17.100000000000001" customHeight="1" x14ac:dyDescent="0.25">
      <c r="A491" s="308"/>
      <c r="B491" s="149"/>
      <c r="C491" s="173"/>
      <c r="D491" s="166"/>
      <c r="E491" s="312"/>
      <c r="G491" s="306"/>
      <c r="H491" s="162"/>
      <c r="I491" s="305"/>
      <c r="J491" s="317"/>
      <c r="K491" s="318"/>
      <c r="L491" s="318"/>
      <c r="M491" s="318"/>
      <c r="N491" s="168"/>
      <c r="O491" s="168"/>
      <c r="P491" s="321"/>
      <c r="Q491" s="175"/>
      <c r="Y491" s="72"/>
      <c r="Z491" s="170"/>
      <c r="AA491" s="159"/>
      <c r="AB491" s="171"/>
      <c r="AC491" s="172"/>
      <c r="AD491" s="185" t="s">
        <v>4</v>
      </c>
    </row>
    <row r="492" spans="1:30" ht="17.100000000000001" customHeight="1" x14ac:dyDescent="0.25">
      <c r="A492" s="308"/>
      <c r="B492" s="149"/>
      <c r="C492" s="173"/>
      <c r="D492" s="166"/>
      <c r="E492" s="312"/>
      <c r="G492" s="306"/>
      <c r="H492" s="162"/>
      <c r="I492" s="305"/>
      <c r="J492" s="317"/>
      <c r="K492" s="318"/>
      <c r="L492" s="318"/>
      <c r="M492" s="318"/>
      <c r="N492" s="168"/>
      <c r="O492" s="168"/>
      <c r="P492" s="321"/>
      <c r="Q492" s="175"/>
      <c r="Y492" s="72"/>
      <c r="Z492" s="170"/>
      <c r="AA492" s="159"/>
      <c r="AB492" s="171"/>
      <c r="AC492" s="172"/>
      <c r="AD492" s="185" t="s">
        <v>4</v>
      </c>
    </row>
    <row r="493" spans="1:30" ht="17.100000000000001" customHeight="1" x14ac:dyDescent="0.25">
      <c r="A493" s="308"/>
      <c r="B493" s="149"/>
      <c r="C493" s="173"/>
      <c r="D493" s="166"/>
      <c r="E493" s="312"/>
      <c r="G493" s="306"/>
      <c r="H493" s="162"/>
      <c r="I493" s="305"/>
      <c r="J493" s="317"/>
      <c r="K493" s="318"/>
      <c r="L493" s="318"/>
      <c r="M493" s="318"/>
      <c r="N493" s="168"/>
      <c r="O493" s="168"/>
      <c r="P493" s="321"/>
      <c r="Q493" s="156"/>
      <c r="Y493" s="72"/>
      <c r="Z493" s="170"/>
      <c r="AA493" s="159"/>
      <c r="AB493" s="171"/>
      <c r="AC493" s="172"/>
      <c r="AD493" s="185" t="s">
        <v>4</v>
      </c>
    </row>
    <row r="494" spans="1:30" ht="17.100000000000001" customHeight="1" x14ac:dyDescent="0.25">
      <c r="A494" s="308"/>
      <c r="B494" s="149"/>
      <c r="C494" s="173"/>
      <c r="D494" s="166"/>
      <c r="E494" s="312"/>
      <c r="G494" s="306"/>
      <c r="H494" s="162"/>
      <c r="I494" s="305"/>
      <c r="J494" s="317"/>
      <c r="K494" s="318"/>
      <c r="L494" s="318"/>
      <c r="M494" s="318"/>
      <c r="N494" s="168"/>
      <c r="O494" s="168"/>
      <c r="P494" s="321"/>
      <c r="Q494" s="175"/>
      <c r="R494" s="175"/>
      <c r="Y494" s="72"/>
      <c r="Z494" s="170"/>
      <c r="AA494" s="159"/>
      <c r="AB494" s="171"/>
      <c r="AC494" s="172"/>
      <c r="AD494" s="185" t="s">
        <v>4</v>
      </c>
    </row>
    <row r="495" spans="1:30" ht="17.100000000000001" customHeight="1" x14ac:dyDescent="0.25">
      <c r="A495" s="308"/>
      <c r="B495" s="149"/>
      <c r="C495" s="176"/>
      <c r="D495" s="151"/>
      <c r="E495" s="312"/>
      <c r="F495" s="156"/>
      <c r="G495" s="306"/>
      <c r="H495" s="162"/>
      <c r="I495" s="305"/>
      <c r="J495" s="317"/>
      <c r="K495" s="318"/>
      <c r="L495" s="318"/>
      <c r="M495" s="318"/>
      <c r="N495" s="155"/>
      <c r="O495" s="155"/>
      <c r="P495" s="320"/>
      <c r="Q495" s="156"/>
      <c r="R495" s="152"/>
      <c r="S495" s="152"/>
      <c r="T495" s="152"/>
      <c r="U495" s="152"/>
      <c r="V495" s="152"/>
      <c r="W495" s="152"/>
      <c r="X495" s="152"/>
      <c r="Y495" s="157"/>
      <c r="Z495" s="158"/>
      <c r="AA495" s="159"/>
      <c r="AB495" s="160"/>
      <c r="AC495" s="161"/>
      <c r="AD495" s="185" t="s">
        <v>4</v>
      </c>
    </row>
    <row r="496" spans="1:30" ht="17.100000000000001" customHeight="1" x14ac:dyDescent="0.25">
      <c r="A496" s="308"/>
      <c r="B496" s="149"/>
      <c r="C496" s="173"/>
      <c r="D496" s="166"/>
      <c r="E496" s="312"/>
      <c r="G496" s="306"/>
      <c r="H496" s="162"/>
      <c r="I496" s="305"/>
      <c r="J496" s="317"/>
      <c r="K496" s="318"/>
      <c r="L496" s="318"/>
      <c r="M496" s="318"/>
      <c r="N496" s="168"/>
      <c r="O496" s="168"/>
      <c r="P496" s="321"/>
      <c r="Q496" s="175"/>
      <c r="Y496" s="72"/>
      <c r="Z496" s="170"/>
      <c r="AA496" s="159"/>
      <c r="AB496" s="171"/>
      <c r="AC496" s="172"/>
      <c r="AD496" s="185" t="s">
        <v>4</v>
      </c>
    </row>
    <row r="497" spans="1:30" ht="17.100000000000001" customHeight="1" x14ac:dyDescent="0.25">
      <c r="A497" s="308"/>
      <c r="B497" s="149"/>
      <c r="C497" s="173"/>
      <c r="D497" s="166"/>
      <c r="E497" s="312"/>
      <c r="G497" s="306"/>
      <c r="H497" s="162"/>
      <c r="I497" s="305"/>
      <c r="J497" s="317"/>
      <c r="K497" s="318"/>
      <c r="L497" s="318"/>
      <c r="M497" s="318"/>
      <c r="N497" s="168"/>
      <c r="O497" s="168"/>
      <c r="P497" s="321"/>
      <c r="Q497" s="156"/>
      <c r="Y497" s="72"/>
      <c r="Z497" s="170"/>
      <c r="AA497" s="159"/>
      <c r="AB497" s="171"/>
      <c r="AC497" s="172"/>
      <c r="AD497" s="185" t="s">
        <v>4</v>
      </c>
    </row>
    <row r="498" spans="1:30" ht="17.100000000000001" customHeight="1" x14ac:dyDescent="0.25">
      <c r="A498" s="308"/>
      <c r="B498" s="149"/>
      <c r="C498" s="173"/>
      <c r="D498" s="166"/>
      <c r="E498" s="312"/>
      <c r="G498" s="306"/>
      <c r="H498" s="162"/>
      <c r="I498" s="305"/>
      <c r="J498" s="317"/>
      <c r="K498" s="318"/>
      <c r="L498" s="318"/>
      <c r="M498" s="318"/>
      <c r="N498" s="168"/>
      <c r="O498" s="168"/>
      <c r="P498" s="321"/>
      <c r="Q498" s="175"/>
      <c r="Y498" s="72"/>
      <c r="Z498" s="170"/>
      <c r="AA498" s="159"/>
      <c r="AB498" s="171"/>
      <c r="AC498" s="172"/>
      <c r="AD498" s="185" t="s">
        <v>4</v>
      </c>
    </row>
    <row r="499" spans="1:30" ht="17.100000000000001" customHeight="1" x14ac:dyDescent="0.25">
      <c r="A499" s="308"/>
      <c r="B499" s="149"/>
      <c r="C499" s="173"/>
      <c r="D499" s="166"/>
      <c r="E499" s="312"/>
      <c r="G499" s="306"/>
      <c r="H499" s="162"/>
      <c r="I499" s="305"/>
      <c r="J499" s="317"/>
      <c r="K499" s="318"/>
      <c r="L499" s="318"/>
      <c r="M499" s="318"/>
      <c r="N499" s="168"/>
      <c r="O499" s="168"/>
      <c r="P499" s="321"/>
      <c r="Q499" s="156"/>
      <c r="R499" s="175"/>
      <c r="Y499" s="72"/>
      <c r="Z499" s="170"/>
      <c r="AA499" s="159"/>
      <c r="AB499" s="171"/>
      <c r="AC499" s="172"/>
      <c r="AD499" s="185" t="s">
        <v>4</v>
      </c>
    </row>
    <row r="500" spans="1:30" ht="17.100000000000001" customHeight="1" x14ac:dyDescent="0.25">
      <c r="A500" s="308"/>
      <c r="B500" s="149"/>
      <c r="C500" s="173"/>
      <c r="D500" s="166"/>
      <c r="E500" s="312"/>
      <c r="G500" s="306"/>
      <c r="H500" s="162"/>
      <c r="I500" s="305"/>
      <c r="J500" s="317"/>
      <c r="K500" s="318"/>
      <c r="L500" s="318"/>
      <c r="M500" s="318"/>
      <c r="N500" s="168"/>
      <c r="O500" s="168"/>
      <c r="P500" s="321"/>
      <c r="Q500" s="156"/>
      <c r="R500" s="175"/>
      <c r="Y500" s="72"/>
      <c r="Z500" s="170"/>
      <c r="AA500" s="159"/>
      <c r="AB500" s="171"/>
      <c r="AC500" s="172"/>
      <c r="AD500" s="185" t="s">
        <v>4</v>
      </c>
    </row>
    <row r="501" spans="1:30" ht="17.100000000000001" customHeight="1" x14ac:dyDescent="0.25">
      <c r="A501" s="308"/>
      <c r="B501" s="149"/>
      <c r="C501" s="173"/>
      <c r="D501" s="166"/>
      <c r="E501" s="312"/>
      <c r="G501" s="306"/>
      <c r="H501" s="162"/>
      <c r="I501" s="305"/>
      <c r="J501" s="317"/>
      <c r="K501" s="318"/>
      <c r="L501" s="318"/>
      <c r="M501" s="318"/>
      <c r="N501" s="168"/>
      <c r="O501" s="168"/>
      <c r="P501" s="321"/>
      <c r="Q501" s="175"/>
      <c r="Y501" s="72"/>
      <c r="Z501" s="170"/>
      <c r="AA501" s="159"/>
      <c r="AB501" s="171"/>
      <c r="AC501" s="172"/>
      <c r="AD501" s="185" t="s">
        <v>4</v>
      </c>
    </row>
    <row r="502" spans="1:30" ht="17.100000000000001" customHeight="1" x14ac:dyDescent="0.25">
      <c r="A502" s="308"/>
      <c r="B502" s="149"/>
      <c r="C502" s="173"/>
      <c r="D502" s="166"/>
      <c r="E502" s="312"/>
      <c r="G502" s="306"/>
      <c r="H502" s="162"/>
      <c r="I502" s="305"/>
      <c r="J502" s="317"/>
      <c r="K502" s="318"/>
      <c r="L502" s="318"/>
      <c r="M502" s="318"/>
      <c r="N502" s="168"/>
      <c r="O502" s="168"/>
      <c r="P502" s="321"/>
      <c r="Q502" s="175"/>
      <c r="Y502" s="72"/>
      <c r="Z502" s="170"/>
      <c r="AA502" s="159"/>
      <c r="AB502" s="171"/>
      <c r="AC502" s="172"/>
      <c r="AD502" s="185" t="s">
        <v>4</v>
      </c>
    </row>
    <row r="503" spans="1:30" ht="17.100000000000001" customHeight="1" x14ac:dyDescent="0.25">
      <c r="A503" s="308"/>
      <c r="B503" s="149"/>
      <c r="C503" s="173"/>
      <c r="D503" s="166"/>
      <c r="E503" s="312"/>
      <c r="G503" s="306"/>
      <c r="H503" s="162"/>
      <c r="I503" s="305"/>
      <c r="J503" s="317"/>
      <c r="K503" s="318"/>
      <c r="L503" s="318"/>
      <c r="M503" s="318"/>
      <c r="N503" s="168"/>
      <c r="O503" s="168"/>
      <c r="P503" s="321"/>
      <c r="Q503" s="175"/>
      <c r="Y503" s="72"/>
      <c r="Z503" s="170"/>
      <c r="AA503" s="159"/>
      <c r="AB503" s="171"/>
      <c r="AC503" s="172"/>
      <c r="AD503" s="185" t="s">
        <v>4</v>
      </c>
    </row>
    <row r="504" spans="1:30" ht="17.100000000000001" customHeight="1" x14ac:dyDescent="0.25">
      <c r="A504" s="308"/>
      <c r="B504" s="149"/>
      <c r="C504" s="173"/>
      <c r="D504" s="166"/>
      <c r="E504" s="312"/>
      <c r="G504" s="306"/>
      <c r="H504" s="162"/>
      <c r="I504" s="305"/>
      <c r="J504" s="317"/>
      <c r="K504" s="318"/>
      <c r="L504" s="318"/>
      <c r="M504" s="318"/>
      <c r="N504" s="168"/>
      <c r="O504" s="168"/>
      <c r="P504" s="321"/>
      <c r="Q504" s="175"/>
      <c r="R504" s="175"/>
      <c r="Y504" s="72"/>
      <c r="Z504" s="170"/>
      <c r="AA504" s="159"/>
      <c r="AB504" s="171"/>
      <c r="AC504" s="172"/>
      <c r="AD504" s="185" t="s">
        <v>4</v>
      </c>
    </row>
    <row r="505" spans="1:30" ht="17.100000000000001" customHeight="1" x14ac:dyDescent="0.25">
      <c r="A505" s="308"/>
      <c r="B505" s="149"/>
      <c r="C505" s="173"/>
      <c r="D505" s="166"/>
      <c r="E505" s="312"/>
      <c r="G505" s="306"/>
      <c r="H505" s="162"/>
      <c r="I505" s="305"/>
      <c r="J505" s="317"/>
      <c r="K505" s="318"/>
      <c r="L505" s="318"/>
      <c r="M505" s="318"/>
      <c r="N505" s="168"/>
      <c r="O505" s="168"/>
      <c r="P505" s="321"/>
      <c r="Q505" s="175"/>
      <c r="Y505" s="72"/>
      <c r="Z505" s="170"/>
      <c r="AA505" s="159"/>
      <c r="AB505" s="171"/>
      <c r="AC505" s="172"/>
      <c r="AD505" s="185" t="s">
        <v>4</v>
      </c>
    </row>
    <row r="506" spans="1:30" ht="17.100000000000001" customHeight="1" x14ac:dyDescent="0.25">
      <c r="A506" s="308"/>
      <c r="B506" s="149"/>
      <c r="C506" s="173"/>
      <c r="D506" s="166"/>
      <c r="E506" s="312"/>
      <c r="G506" s="306"/>
      <c r="H506" s="162"/>
      <c r="I506" s="305"/>
      <c r="J506" s="317"/>
      <c r="K506" s="318"/>
      <c r="L506" s="318"/>
      <c r="M506" s="318"/>
      <c r="N506" s="168"/>
      <c r="O506" s="168"/>
      <c r="P506" s="321"/>
      <c r="Q506" s="175"/>
      <c r="Y506" s="72"/>
      <c r="Z506" s="170"/>
      <c r="AA506" s="159"/>
      <c r="AB506" s="171"/>
      <c r="AC506" s="172"/>
      <c r="AD506" s="185" t="s">
        <v>4</v>
      </c>
    </row>
    <row r="507" spans="1:30" ht="17.100000000000001" customHeight="1" x14ac:dyDescent="0.25">
      <c r="A507" s="308"/>
      <c r="B507" s="149"/>
      <c r="C507" s="176"/>
      <c r="D507" s="151"/>
      <c r="E507" s="312"/>
      <c r="F507" s="156"/>
      <c r="G507" s="306"/>
      <c r="H507" s="162"/>
      <c r="I507" s="305"/>
      <c r="J507" s="317"/>
      <c r="K507" s="318"/>
      <c r="L507" s="318"/>
      <c r="M507" s="318"/>
      <c r="N507" s="155"/>
      <c r="O507" s="155"/>
      <c r="P507" s="320"/>
      <c r="Q507" s="156"/>
      <c r="R507" s="152"/>
      <c r="S507" s="152"/>
      <c r="T507" s="152"/>
      <c r="U507" s="152"/>
      <c r="V507" s="152"/>
      <c r="W507" s="152"/>
      <c r="X507" s="152"/>
      <c r="Y507" s="157"/>
      <c r="Z507" s="158"/>
      <c r="AA507" s="159"/>
      <c r="AB507" s="160"/>
      <c r="AC507" s="161"/>
      <c r="AD507" s="185" t="s">
        <v>4</v>
      </c>
    </row>
    <row r="508" spans="1:30" ht="17.100000000000001" customHeight="1" x14ac:dyDescent="0.25">
      <c r="A508" s="308"/>
      <c r="B508" s="149"/>
      <c r="C508" s="173"/>
      <c r="D508" s="166"/>
      <c r="E508" s="312"/>
      <c r="G508" s="306"/>
      <c r="H508" s="162"/>
      <c r="I508" s="305"/>
      <c r="J508" s="317"/>
      <c r="K508" s="318"/>
      <c r="L508" s="318"/>
      <c r="M508" s="318"/>
      <c r="N508" s="168"/>
      <c r="O508" s="168"/>
      <c r="P508" s="321"/>
      <c r="Q508" s="175"/>
      <c r="Y508" s="72"/>
      <c r="Z508" s="170"/>
      <c r="AA508" s="159"/>
      <c r="AB508" s="171"/>
      <c r="AC508" s="172"/>
      <c r="AD508" s="185" t="s">
        <v>4</v>
      </c>
    </row>
    <row r="509" spans="1:30" ht="17.100000000000001" customHeight="1" x14ac:dyDescent="0.25">
      <c r="A509" s="308"/>
      <c r="B509" s="149"/>
      <c r="C509" s="176"/>
      <c r="D509" s="151"/>
      <c r="E509" s="312"/>
      <c r="F509" s="156"/>
      <c r="G509" s="306"/>
      <c r="H509" s="162"/>
      <c r="I509" s="305"/>
      <c r="J509" s="317"/>
      <c r="K509" s="318"/>
      <c r="L509" s="318"/>
      <c r="M509" s="318"/>
      <c r="N509" s="155"/>
      <c r="O509" s="155"/>
      <c r="P509" s="320"/>
      <c r="Q509" s="156"/>
      <c r="R509" s="152"/>
      <c r="S509" s="152"/>
      <c r="T509" s="152"/>
      <c r="U509" s="152"/>
      <c r="V509" s="152"/>
      <c r="W509" s="152"/>
      <c r="X509" s="152"/>
      <c r="Y509" s="157"/>
      <c r="Z509" s="158"/>
      <c r="AA509" s="159"/>
      <c r="AB509" s="160"/>
      <c r="AC509" s="161"/>
      <c r="AD509" s="185" t="s">
        <v>4</v>
      </c>
    </row>
    <row r="510" spans="1:30" ht="17.100000000000001" customHeight="1" x14ac:dyDescent="0.25">
      <c r="A510" s="308"/>
      <c r="B510" s="149"/>
      <c r="C510" s="173"/>
      <c r="D510" s="166"/>
      <c r="E510" s="312"/>
      <c r="G510" s="306"/>
      <c r="H510" s="162"/>
      <c r="I510" s="305"/>
      <c r="J510" s="317"/>
      <c r="K510" s="318"/>
      <c r="L510" s="318"/>
      <c r="M510" s="318"/>
      <c r="N510" s="168"/>
      <c r="O510" s="168"/>
      <c r="P510" s="321"/>
      <c r="Q510" s="175"/>
      <c r="Y510" s="72"/>
      <c r="Z510" s="170"/>
      <c r="AA510" s="159"/>
      <c r="AB510" s="171"/>
      <c r="AC510" s="172"/>
      <c r="AD510" s="185" t="s">
        <v>4</v>
      </c>
    </row>
    <row r="511" spans="1:30" ht="17.100000000000001" customHeight="1" x14ac:dyDescent="0.25">
      <c r="A511" s="308"/>
      <c r="B511" s="149"/>
      <c r="C511" s="173"/>
      <c r="D511" s="166"/>
      <c r="E511" s="312"/>
      <c r="G511" s="306"/>
      <c r="H511" s="162"/>
      <c r="I511" s="305"/>
      <c r="J511" s="317"/>
      <c r="K511" s="318"/>
      <c r="L511" s="318"/>
      <c r="M511" s="318"/>
      <c r="N511" s="168"/>
      <c r="O511" s="168"/>
      <c r="P511" s="321"/>
      <c r="Q511" s="175"/>
      <c r="Y511" s="72"/>
      <c r="Z511" s="170"/>
      <c r="AA511" s="159"/>
      <c r="AB511" s="171"/>
      <c r="AC511" s="172"/>
      <c r="AD511" s="185" t="s">
        <v>4</v>
      </c>
    </row>
    <row r="512" spans="1:30" ht="17.100000000000001" customHeight="1" x14ac:dyDescent="0.25">
      <c r="A512" s="308"/>
      <c r="B512" s="149"/>
      <c r="C512" s="173"/>
      <c r="D512" s="166"/>
      <c r="E512" s="312"/>
      <c r="G512" s="306"/>
      <c r="H512" s="162"/>
      <c r="I512" s="305"/>
      <c r="J512" s="317"/>
      <c r="K512" s="318"/>
      <c r="L512" s="318"/>
      <c r="M512" s="318"/>
      <c r="N512" s="168"/>
      <c r="O512" s="168"/>
      <c r="P512" s="321"/>
      <c r="Q512" s="175"/>
      <c r="Y512" s="72"/>
      <c r="Z512" s="170"/>
      <c r="AA512" s="159"/>
      <c r="AB512" s="171"/>
      <c r="AC512" s="172"/>
      <c r="AD512" s="185" t="s">
        <v>4</v>
      </c>
    </row>
    <row r="513" spans="1:30" ht="17.100000000000001" customHeight="1" x14ac:dyDescent="0.25">
      <c r="A513" s="308"/>
      <c r="B513" s="149"/>
      <c r="C513" s="173"/>
      <c r="D513" s="166"/>
      <c r="E513" s="312"/>
      <c r="G513" s="306"/>
      <c r="H513" s="162"/>
      <c r="I513" s="305"/>
      <c r="J513" s="317"/>
      <c r="K513" s="318"/>
      <c r="L513" s="318"/>
      <c r="M513" s="318"/>
      <c r="N513" s="168"/>
      <c r="O513" s="168"/>
      <c r="P513" s="321"/>
      <c r="Q513" s="175"/>
      <c r="Y513" s="72"/>
      <c r="Z513" s="170"/>
      <c r="AA513" s="159"/>
      <c r="AB513" s="171"/>
      <c r="AC513" s="172"/>
      <c r="AD513" s="185" t="s">
        <v>4</v>
      </c>
    </row>
    <row r="514" spans="1:30" ht="17.100000000000001" customHeight="1" x14ac:dyDescent="0.25">
      <c r="A514" s="308"/>
      <c r="B514" s="149"/>
      <c r="C514" s="173"/>
      <c r="D514" s="166"/>
      <c r="E514" s="312"/>
      <c r="G514" s="306"/>
      <c r="H514" s="162"/>
      <c r="I514" s="305"/>
      <c r="J514" s="317"/>
      <c r="K514" s="318"/>
      <c r="L514" s="318"/>
      <c r="M514" s="318"/>
      <c r="N514" s="168"/>
      <c r="O514" s="168"/>
      <c r="P514" s="321"/>
      <c r="Q514" s="175"/>
      <c r="Y514" s="72"/>
      <c r="Z514" s="170"/>
      <c r="AA514" s="159"/>
      <c r="AB514" s="171"/>
      <c r="AC514" s="172"/>
      <c r="AD514" s="185" t="s">
        <v>4</v>
      </c>
    </row>
    <row r="515" spans="1:30" ht="17.100000000000001" customHeight="1" x14ac:dyDescent="0.25">
      <c r="A515" s="308"/>
      <c r="B515" s="149"/>
      <c r="C515" s="173"/>
      <c r="D515" s="166"/>
      <c r="E515" s="312"/>
      <c r="G515" s="306"/>
      <c r="H515" s="162"/>
      <c r="I515" s="305"/>
      <c r="J515" s="317"/>
      <c r="K515" s="318"/>
      <c r="L515" s="318"/>
      <c r="M515" s="318"/>
      <c r="N515" s="168"/>
      <c r="O515" s="168"/>
      <c r="P515" s="321"/>
      <c r="Q515" s="175"/>
      <c r="Y515" s="72"/>
      <c r="Z515" s="170"/>
      <c r="AA515" s="159"/>
      <c r="AB515" s="171"/>
      <c r="AC515" s="172"/>
      <c r="AD515" s="185" t="s">
        <v>4</v>
      </c>
    </row>
    <row r="516" spans="1:30" ht="17.100000000000001" customHeight="1" x14ac:dyDescent="0.25">
      <c r="A516" s="308"/>
      <c r="B516" s="149"/>
      <c r="C516" s="173"/>
      <c r="D516" s="166"/>
      <c r="E516" s="312"/>
      <c r="G516" s="306"/>
      <c r="H516" s="162"/>
      <c r="I516" s="305"/>
      <c r="J516" s="317"/>
      <c r="K516" s="318"/>
      <c r="L516" s="318"/>
      <c r="M516" s="318"/>
      <c r="N516" s="168"/>
      <c r="O516" s="168"/>
      <c r="P516" s="321"/>
      <c r="Q516" s="175"/>
      <c r="Y516" s="72"/>
      <c r="Z516" s="170"/>
      <c r="AA516" s="159"/>
      <c r="AB516" s="171"/>
      <c r="AC516" s="172"/>
      <c r="AD516" s="185" t="s">
        <v>4</v>
      </c>
    </row>
    <row r="517" spans="1:30" ht="17.100000000000001" customHeight="1" x14ac:dyDescent="0.25">
      <c r="A517" s="308"/>
      <c r="B517" s="149"/>
      <c r="C517" s="173"/>
      <c r="D517" s="166"/>
      <c r="E517" s="312"/>
      <c r="G517" s="306"/>
      <c r="H517" s="162"/>
      <c r="I517" s="305"/>
      <c r="J517" s="317"/>
      <c r="K517" s="318"/>
      <c r="L517" s="318"/>
      <c r="M517" s="318"/>
      <c r="N517" s="168"/>
      <c r="O517" s="168"/>
      <c r="P517" s="321"/>
      <c r="Q517" s="175"/>
      <c r="Y517" s="72"/>
      <c r="Z517" s="170"/>
      <c r="AA517" s="159"/>
      <c r="AB517" s="171"/>
      <c r="AC517" s="172"/>
      <c r="AD517" s="185" t="s">
        <v>4</v>
      </c>
    </row>
    <row r="518" spans="1:30" ht="17.100000000000001" customHeight="1" x14ac:dyDescent="0.25">
      <c r="A518" s="308"/>
      <c r="B518" s="149"/>
      <c r="C518" s="176"/>
      <c r="D518" s="151"/>
      <c r="E518" s="312"/>
      <c r="F518" s="156"/>
      <c r="G518" s="306"/>
      <c r="H518" s="162"/>
      <c r="I518" s="305"/>
      <c r="J518" s="317"/>
      <c r="K518" s="318"/>
      <c r="L518" s="318"/>
      <c r="M518" s="318"/>
      <c r="N518" s="155"/>
      <c r="O518" s="155"/>
      <c r="P518" s="320"/>
      <c r="Q518" s="156"/>
      <c r="R518" s="152"/>
      <c r="S518" s="152"/>
      <c r="T518" s="152"/>
      <c r="U518" s="152"/>
      <c r="V518" s="152"/>
      <c r="W518" s="152"/>
      <c r="X518" s="152"/>
      <c r="Y518" s="157"/>
      <c r="Z518" s="158"/>
      <c r="AA518" s="159"/>
      <c r="AB518" s="160"/>
      <c r="AC518" s="161"/>
      <c r="AD518" s="185" t="s">
        <v>4</v>
      </c>
    </row>
    <row r="519" spans="1:30" ht="17.100000000000001" customHeight="1" x14ac:dyDescent="0.25">
      <c r="A519" s="308"/>
      <c r="B519" s="149"/>
      <c r="C519" s="173"/>
      <c r="D519" s="166"/>
      <c r="E519" s="312"/>
      <c r="G519" s="306"/>
      <c r="H519" s="162"/>
      <c r="I519" s="305"/>
      <c r="J519" s="317"/>
      <c r="K519" s="318"/>
      <c r="L519" s="318"/>
      <c r="M519" s="318"/>
      <c r="N519" s="168"/>
      <c r="O519" s="168"/>
      <c r="P519" s="321"/>
      <c r="Q519" s="175"/>
      <c r="R519" s="175"/>
      <c r="Y519" s="72"/>
      <c r="Z519" s="170"/>
      <c r="AA519" s="159"/>
      <c r="AB519" s="171"/>
      <c r="AC519" s="172"/>
      <c r="AD519" s="185" t="s">
        <v>4</v>
      </c>
    </row>
    <row r="520" spans="1:30" ht="17.100000000000001" customHeight="1" x14ac:dyDescent="0.25">
      <c r="A520" s="308"/>
      <c r="B520" s="149"/>
      <c r="C520" s="173"/>
      <c r="D520" s="166"/>
      <c r="E520" s="312"/>
      <c r="G520" s="306"/>
      <c r="H520" s="162"/>
      <c r="I520" s="305"/>
      <c r="J520" s="317"/>
      <c r="K520" s="318"/>
      <c r="L520" s="318"/>
      <c r="M520" s="318"/>
      <c r="N520" s="168"/>
      <c r="O520" s="168"/>
      <c r="P520" s="321"/>
      <c r="Q520" s="175"/>
      <c r="R520" s="175"/>
      <c r="Y520" s="72"/>
      <c r="Z520" s="170"/>
      <c r="AA520" s="159"/>
      <c r="AB520" s="171"/>
      <c r="AC520" s="172"/>
      <c r="AD520" s="185" t="s">
        <v>4</v>
      </c>
    </row>
    <row r="521" spans="1:30" ht="17.100000000000001" customHeight="1" x14ac:dyDescent="0.25">
      <c r="A521" s="308"/>
      <c r="B521" s="149"/>
      <c r="C521" s="173"/>
      <c r="D521" s="166"/>
      <c r="E521" s="312"/>
      <c r="G521" s="306"/>
      <c r="H521" s="162"/>
      <c r="I521" s="305"/>
      <c r="J521" s="317"/>
      <c r="K521" s="318"/>
      <c r="L521" s="318"/>
      <c r="M521" s="318"/>
      <c r="N521" s="168"/>
      <c r="O521" s="168"/>
      <c r="P521" s="321"/>
      <c r="Q521" s="175"/>
      <c r="Y521" s="72"/>
      <c r="Z521" s="170"/>
      <c r="AA521" s="159"/>
      <c r="AB521" s="171"/>
      <c r="AC521" s="172"/>
      <c r="AD521" s="185" t="s">
        <v>4</v>
      </c>
    </row>
    <row r="522" spans="1:30" ht="17.100000000000001" customHeight="1" x14ac:dyDescent="0.25">
      <c r="A522" s="308"/>
      <c r="B522" s="149"/>
      <c r="C522" s="173"/>
      <c r="D522" s="166"/>
      <c r="E522" s="312"/>
      <c r="G522" s="306"/>
      <c r="H522" s="162"/>
      <c r="I522" s="305"/>
      <c r="J522" s="317"/>
      <c r="K522" s="318"/>
      <c r="L522" s="318"/>
      <c r="M522" s="318"/>
      <c r="N522" s="168"/>
      <c r="O522" s="168"/>
      <c r="P522" s="321"/>
      <c r="Q522" s="175"/>
      <c r="Y522" s="72"/>
      <c r="Z522" s="170"/>
      <c r="AA522" s="159"/>
      <c r="AB522" s="171"/>
      <c r="AC522" s="172"/>
      <c r="AD522" s="185" t="s">
        <v>4</v>
      </c>
    </row>
    <row r="523" spans="1:30" ht="17.100000000000001" customHeight="1" x14ac:dyDescent="0.25">
      <c r="A523" s="308"/>
      <c r="B523" s="149"/>
      <c r="C523" s="173"/>
      <c r="D523" s="166"/>
      <c r="E523" s="312"/>
      <c r="G523" s="306"/>
      <c r="H523" s="162"/>
      <c r="I523" s="305"/>
      <c r="J523" s="317"/>
      <c r="K523" s="318"/>
      <c r="L523" s="318"/>
      <c r="M523" s="318"/>
      <c r="N523" s="168"/>
      <c r="O523" s="168"/>
      <c r="P523" s="321"/>
      <c r="Q523" s="156"/>
      <c r="Y523" s="72"/>
      <c r="Z523" s="170"/>
      <c r="AA523" s="159"/>
      <c r="AB523" s="171"/>
      <c r="AC523" s="172"/>
      <c r="AD523" s="185" t="s">
        <v>4</v>
      </c>
    </row>
    <row r="524" spans="1:30" ht="17.100000000000001" customHeight="1" x14ac:dyDescent="0.25">
      <c r="A524" s="308"/>
      <c r="B524" s="149"/>
      <c r="C524" s="173"/>
      <c r="D524" s="166"/>
      <c r="E524" s="312"/>
      <c r="G524" s="306"/>
      <c r="H524" s="162"/>
      <c r="I524" s="305"/>
      <c r="J524" s="317"/>
      <c r="K524" s="318"/>
      <c r="L524" s="318"/>
      <c r="M524" s="318"/>
      <c r="N524" s="168"/>
      <c r="O524" s="168"/>
      <c r="P524" s="321"/>
      <c r="Q524" s="175"/>
      <c r="R524" s="175"/>
      <c r="Y524" s="72"/>
      <c r="Z524" s="170"/>
      <c r="AA524" s="159"/>
      <c r="AB524" s="171"/>
      <c r="AC524" s="172"/>
      <c r="AD524" s="185" t="s">
        <v>4</v>
      </c>
    </row>
    <row r="525" spans="1:30" ht="17.100000000000001" customHeight="1" x14ac:dyDescent="0.25">
      <c r="A525" s="308"/>
      <c r="B525" s="149"/>
      <c r="C525" s="176"/>
      <c r="D525" s="151"/>
      <c r="E525" s="312"/>
      <c r="F525" s="156"/>
      <c r="G525" s="306"/>
      <c r="H525" s="200"/>
      <c r="I525" s="305"/>
      <c r="J525" s="317"/>
      <c r="K525" s="318"/>
      <c r="L525" s="318"/>
      <c r="M525" s="318"/>
      <c r="N525" s="155"/>
      <c r="O525" s="155"/>
      <c r="P525" s="320"/>
      <c r="Q525" s="156"/>
      <c r="R525" s="152"/>
      <c r="S525" s="152"/>
      <c r="T525" s="152"/>
      <c r="U525" s="152"/>
      <c r="V525" s="152"/>
      <c r="W525" s="152"/>
      <c r="X525" s="152"/>
      <c r="Y525" s="157"/>
      <c r="Z525" s="158"/>
      <c r="AA525" s="159"/>
      <c r="AB525" s="160"/>
      <c r="AC525" s="161"/>
      <c r="AD525" s="185" t="s">
        <v>4</v>
      </c>
    </row>
    <row r="526" spans="1:30" ht="17.100000000000001" customHeight="1" x14ac:dyDescent="0.25">
      <c r="A526" s="308"/>
      <c r="B526" s="149"/>
      <c r="C526" s="173"/>
      <c r="D526" s="166"/>
      <c r="E526" s="312"/>
      <c r="G526" s="306"/>
      <c r="H526" s="162"/>
      <c r="I526" s="305"/>
      <c r="J526" s="317"/>
      <c r="K526" s="318"/>
      <c r="L526" s="318"/>
      <c r="M526" s="318"/>
      <c r="N526" s="168"/>
      <c r="O526" s="168"/>
      <c r="P526" s="321"/>
      <c r="Q526" s="175"/>
      <c r="Y526" s="72"/>
      <c r="Z526" s="170"/>
      <c r="AA526" s="159"/>
      <c r="AB526" s="171"/>
      <c r="AC526" s="172"/>
      <c r="AD526" s="185" t="s">
        <v>4</v>
      </c>
    </row>
    <row r="527" spans="1:30" ht="17.100000000000001" customHeight="1" x14ac:dyDescent="0.25">
      <c r="A527" s="308"/>
      <c r="B527" s="149"/>
      <c r="C527" s="173"/>
      <c r="D527" s="166"/>
      <c r="E527" s="312"/>
      <c r="G527" s="306"/>
      <c r="H527" s="162"/>
      <c r="I527" s="305"/>
      <c r="J527" s="317"/>
      <c r="K527" s="318"/>
      <c r="L527" s="318"/>
      <c r="M527" s="318"/>
      <c r="N527" s="168"/>
      <c r="O527" s="168"/>
      <c r="P527" s="321"/>
      <c r="Q527" s="175"/>
      <c r="Y527" s="72"/>
      <c r="Z527" s="170"/>
      <c r="AA527" s="159"/>
      <c r="AB527" s="171"/>
      <c r="AC527" s="172"/>
      <c r="AD527" s="185" t="s">
        <v>4</v>
      </c>
    </row>
    <row r="528" spans="1:30" ht="17.100000000000001" customHeight="1" x14ac:dyDescent="0.25">
      <c r="A528" s="308"/>
      <c r="B528" s="149"/>
      <c r="C528" s="173"/>
      <c r="D528" s="166"/>
      <c r="E528" s="312"/>
      <c r="G528" s="306"/>
      <c r="H528" s="162"/>
      <c r="I528" s="305"/>
      <c r="J528" s="317"/>
      <c r="K528" s="318"/>
      <c r="L528" s="318"/>
      <c r="M528" s="318"/>
      <c r="N528" s="168"/>
      <c r="O528" s="168"/>
      <c r="P528" s="321"/>
      <c r="Q528" s="175"/>
      <c r="Y528" s="72"/>
      <c r="Z528" s="170"/>
      <c r="AA528" s="159"/>
      <c r="AB528" s="171"/>
      <c r="AC528" s="172"/>
      <c r="AD528" s="185" t="s">
        <v>4</v>
      </c>
    </row>
    <row r="529" spans="1:30" ht="17.100000000000001" customHeight="1" x14ac:dyDescent="0.25">
      <c r="A529" s="308"/>
      <c r="B529" s="149"/>
      <c r="C529" s="173"/>
      <c r="D529" s="166"/>
      <c r="E529" s="312"/>
      <c r="G529" s="306"/>
      <c r="H529" s="162"/>
      <c r="I529" s="305"/>
      <c r="J529" s="317"/>
      <c r="K529" s="318"/>
      <c r="L529" s="318"/>
      <c r="M529" s="318"/>
      <c r="N529" s="168"/>
      <c r="O529" s="168"/>
      <c r="P529" s="321"/>
      <c r="Q529" s="175"/>
      <c r="Y529" s="72"/>
      <c r="Z529" s="170"/>
      <c r="AA529" s="159"/>
      <c r="AB529" s="171"/>
      <c r="AC529" s="172"/>
      <c r="AD529" s="185" t="s">
        <v>4</v>
      </c>
    </row>
    <row r="530" spans="1:30" ht="17.100000000000001" customHeight="1" x14ac:dyDescent="0.25">
      <c r="A530" s="308"/>
      <c r="B530" s="149"/>
      <c r="C530" s="173"/>
      <c r="D530" s="166"/>
      <c r="E530" s="312"/>
      <c r="G530" s="306"/>
      <c r="H530" s="162"/>
      <c r="I530" s="305"/>
      <c r="J530" s="317"/>
      <c r="K530" s="318"/>
      <c r="L530" s="318"/>
      <c r="M530" s="318"/>
      <c r="N530" s="168"/>
      <c r="O530" s="168"/>
      <c r="P530" s="321"/>
      <c r="Q530" s="175"/>
      <c r="Y530" s="72"/>
      <c r="Z530" s="170"/>
      <c r="AA530" s="159"/>
      <c r="AB530" s="171"/>
      <c r="AC530" s="172"/>
      <c r="AD530" s="185" t="s">
        <v>4</v>
      </c>
    </row>
    <row r="531" spans="1:30" ht="17.100000000000001" customHeight="1" x14ac:dyDescent="0.25">
      <c r="A531" s="308"/>
      <c r="B531" s="149"/>
      <c r="C531" s="173"/>
      <c r="D531" s="166"/>
      <c r="E531" s="312"/>
      <c r="G531" s="306"/>
      <c r="H531" s="162"/>
      <c r="I531" s="305"/>
      <c r="J531" s="317"/>
      <c r="K531" s="318"/>
      <c r="L531" s="318"/>
      <c r="M531" s="318"/>
      <c r="N531" s="168"/>
      <c r="O531" s="168"/>
      <c r="P531" s="321"/>
      <c r="Q531" s="175"/>
      <c r="Y531" s="72"/>
      <c r="Z531" s="170"/>
      <c r="AA531" s="159"/>
      <c r="AB531" s="171"/>
      <c r="AC531" s="172"/>
      <c r="AD531" s="185" t="s">
        <v>4</v>
      </c>
    </row>
    <row r="532" spans="1:30" ht="17.100000000000001" customHeight="1" x14ac:dyDescent="0.25">
      <c r="A532" s="308"/>
      <c r="B532" s="149"/>
      <c r="C532" s="173"/>
      <c r="D532" s="166"/>
      <c r="E532" s="312"/>
      <c r="G532" s="306"/>
      <c r="H532" s="162"/>
      <c r="I532" s="305"/>
      <c r="J532" s="317"/>
      <c r="K532" s="318"/>
      <c r="L532" s="318"/>
      <c r="M532" s="318"/>
      <c r="N532" s="168"/>
      <c r="O532" s="168"/>
      <c r="P532" s="321"/>
      <c r="Q532" s="175"/>
      <c r="Y532" s="72"/>
      <c r="Z532" s="170"/>
      <c r="AA532" s="159"/>
      <c r="AB532" s="171"/>
      <c r="AC532" s="172"/>
      <c r="AD532" s="185" t="s">
        <v>4</v>
      </c>
    </row>
    <row r="533" spans="1:30" ht="17.100000000000001" customHeight="1" x14ac:dyDescent="0.25">
      <c r="A533" s="308"/>
      <c r="B533" s="149"/>
      <c r="C533" s="173"/>
      <c r="D533" s="166"/>
      <c r="E533" s="312"/>
      <c r="G533" s="306"/>
      <c r="H533" s="162"/>
      <c r="I533" s="305"/>
      <c r="J533" s="317"/>
      <c r="K533" s="318"/>
      <c r="L533" s="318"/>
      <c r="M533" s="318"/>
      <c r="N533" s="168"/>
      <c r="O533" s="168"/>
      <c r="P533" s="321"/>
      <c r="Q533" s="175"/>
      <c r="Y533" s="72"/>
      <c r="Z533" s="170"/>
      <c r="AA533" s="159"/>
      <c r="AB533" s="171"/>
      <c r="AC533" s="172"/>
      <c r="AD533" s="185" t="s">
        <v>4</v>
      </c>
    </row>
    <row r="534" spans="1:30" ht="17.100000000000001" customHeight="1" x14ac:dyDescent="0.25">
      <c r="A534" s="308"/>
      <c r="B534" s="149"/>
      <c r="C534" s="173"/>
      <c r="D534" s="166"/>
      <c r="E534" s="312"/>
      <c r="G534" s="306"/>
      <c r="H534" s="162"/>
      <c r="I534" s="305"/>
      <c r="J534" s="317"/>
      <c r="K534" s="318"/>
      <c r="L534" s="318"/>
      <c r="M534" s="318"/>
      <c r="N534" s="168"/>
      <c r="O534" s="168"/>
      <c r="P534" s="321"/>
      <c r="Q534" s="175"/>
      <c r="Y534" s="72"/>
      <c r="Z534" s="170"/>
      <c r="AA534" s="159"/>
      <c r="AB534" s="171"/>
      <c r="AC534" s="172"/>
      <c r="AD534" s="185" t="s">
        <v>4</v>
      </c>
    </row>
    <row r="535" spans="1:30" ht="17.100000000000001" customHeight="1" x14ac:dyDescent="0.25">
      <c r="A535" s="308"/>
      <c r="B535" s="149"/>
      <c r="C535" s="176"/>
      <c r="D535" s="151"/>
      <c r="E535" s="312"/>
      <c r="F535" s="156"/>
      <c r="G535" s="306"/>
      <c r="H535" s="162"/>
      <c r="I535" s="305"/>
      <c r="J535" s="317"/>
      <c r="K535" s="318"/>
      <c r="L535" s="318"/>
      <c r="M535" s="318"/>
      <c r="N535" s="155"/>
      <c r="O535" s="155"/>
      <c r="P535" s="320"/>
      <c r="Q535" s="156"/>
      <c r="R535" s="156"/>
      <c r="S535" s="152"/>
      <c r="T535" s="152"/>
      <c r="U535" s="152"/>
      <c r="W535" s="152"/>
      <c r="X535" s="152"/>
      <c r="Y535" s="157"/>
      <c r="Z535" s="158"/>
      <c r="AA535" s="159"/>
      <c r="AB535" s="160"/>
      <c r="AC535" s="161"/>
      <c r="AD535" s="185" t="s">
        <v>4</v>
      </c>
    </row>
    <row r="536" spans="1:30" ht="17.100000000000001" customHeight="1" x14ac:dyDescent="0.25">
      <c r="A536" s="308"/>
      <c r="B536" s="149"/>
      <c r="C536" s="173"/>
      <c r="D536" s="166"/>
      <c r="E536" s="312"/>
      <c r="G536" s="306"/>
      <c r="H536" s="162"/>
      <c r="I536" s="305"/>
      <c r="J536" s="317"/>
      <c r="K536" s="318"/>
      <c r="L536" s="318"/>
      <c r="M536" s="318"/>
      <c r="N536" s="168"/>
      <c r="O536" s="168"/>
      <c r="P536" s="321"/>
      <c r="Q536" s="175"/>
      <c r="Y536" s="72"/>
      <c r="Z536" s="170"/>
      <c r="AA536" s="159"/>
      <c r="AB536" s="171"/>
      <c r="AC536" s="172"/>
      <c r="AD536" s="185" t="s">
        <v>4</v>
      </c>
    </row>
    <row r="537" spans="1:30" ht="17.100000000000001" customHeight="1" x14ac:dyDescent="0.25">
      <c r="A537" s="308"/>
      <c r="B537" s="149"/>
      <c r="C537" s="173"/>
      <c r="D537" s="166"/>
      <c r="E537" s="312"/>
      <c r="G537" s="306"/>
      <c r="H537" s="162"/>
      <c r="I537" s="305"/>
      <c r="J537" s="317"/>
      <c r="K537" s="318"/>
      <c r="L537" s="318"/>
      <c r="M537" s="318"/>
      <c r="N537" s="168"/>
      <c r="O537" s="168"/>
      <c r="P537" s="321"/>
      <c r="Q537" s="175"/>
      <c r="Y537" s="72"/>
      <c r="Z537" s="170"/>
      <c r="AA537" s="159"/>
      <c r="AB537" s="171"/>
      <c r="AC537" s="172"/>
      <c r="AD537" s="185" t="s">
        <v>4</v>
      </c>
    </row>
    <row r="538" spans="1:30" ht="17.100000000000001" customHeight="1" x14ac:dyDescent="0.25">
      <c r="A538" s="308"/>
      <c r="B538" s="149"/>
      <c r="C538" s="173"/>
      <c r="D538" s="166"/>
      <c r="E538" s="312"/>
      <c r="G538" s="306"/>
      <c r="H538" s="162"/>
      <c r="I538" s="305"/>
      <c r="J538" s="317"/>
      <c r="K538" s="318"/>
      <c r="L538" s="318"/>
      <c r="M538" s="318"/>
      <c r="N538" s="168"/>
      <c r="O538" s="168"/>
      <c r="P538" s="321"/>
      <c r="Q538" s="175"/>
      <c r="Y538" s="72"/>
      <c r="Z538" s="170"/>
      <c r="AA538" s="159"/>
      <c r="AB538" s="171"/>
      <c r="AC538" s="172"/>
      <c r="AD538" s="185" t="s">
        <v>4</v>
      </c>
    </row>
    <row r="539" spans="1:30" ht="17.100000000000001" customHeight="1" x14ac:dyDescent="0.25">
      <c r="A539" s="308"/>
      <c r="B539" s="149"/>
      <c r="C539" s="173"/>
      <c r="D539" s="166"/>
      <c r="E539" s="312"/>
      <c r="G539" s="306"/>
      <c r="H539" s="162"/>
      <c r="I539" s="305"/>
      <c r="J539" s="317"/>
      <c r="K539" s="318"/>
      <c r="L539" s="318"/>
      <c r="M539" s="318"/>
      <c r="N539" s="168"/>
      <c r="O539" s="168"/>
      <c r="P539" s="321"/>
      <c r="Q539" s="175"/>
      <c r="Y539" s="72"/>
      <c r="Z539" s="170"/>
      <c r="AA539" s="159"/>
      <c r="AB539" s="171"/>
      <c r="AC539" s="172"/>
      <c r="AD539" s="185" t="s">
        <v>4</v>
      </c>
    </row>
    <row r="540" spans="1:30" ht="17.100000000000001" customHeight="1" x14ac:dyDescent="0.25">
      <c r="A540" s="308"/>
      <c r="B540" s="149"/>
      <c r="C540" s="173"/>
      <c r="D540" s="166"/>
      <c r="E540" s="312"/>
      <c r="G540" s="306"/>
      <c r="H540" s="162"/>
      <c r="I540" s="305"/>
      <c r="J540" s="317"/>
      <c r="K540" s="318"/>
      <c r="L540" s="318"/>
      <c r="M540" s="318"/>
      <c r="N540" s="168"/>
      <c r="O540" s="168"/>
      <c r="P540" s="321"/>
      <c r="Q540" s="175"/>
      <c r="Y540" s="72"/>
      <c r="Z540" s="170"/>
      <c r="AA540" s="159"/>
      <c r="AB540" s="171"/>
      <c r="AC540" s="172"/>
      <c r="AD540" s="185" t="s">
        <v>4</v>
      </c>
    </row>
    <row r="541" spans="1:30" ht="17.100000000000001" customHeight="1" x14ac:dyDescent="0.25">
      <c r="A541" s="308"/>
      <c r="B541" s="149"/>
      <c r="C541" s="173"/>
      <c r="D541" s="166"/>
      <c r="E541" s="312"/>
      <c r="G541" s="306"/>
      <c r="H541" s="162"/>
      <c r="I541" s="305"/>
      <c r="J541" s="317"/>
      <c r="K541" s="318"/>
      <c r="L541" s="318"/>
      <c r="M541" s="318"/>
      <c r="N541" s="168"/>
      <c r="O541" s="168"/>
      <c r="P541" s="321"/>
      <c r="Q541" s="175"/>
      <c r="Y541" s="72"/>
      <c r="Z541" s="170"/>
      <c r="AA541" s="159"/>
      <c r="AB541" s="171"/>
      <c r="AC541" s="172"/>
      <c r="AD541" s="185" t="s">
        <v>4</v>
      </c>
    </row>
    <row r="542" spans="1:30" ht="17.100000000000001" customHeight="1" x14ac:dyDescent="0.25">
      <c r="A542" s="308"/>
      <c r="B542" s="149"/>
      <c r="C542" s="173"/>
      <c r="D542" s="166"/>
      <c r="E542" s="312"/>
      <c r="G542" s="306"/>
      <c r="H542" s="162"/>
      <c r="I542" s="305"/>
      <c r="J542" s="317"/>
      <c r="K542" s="318"/>
      <c r="L542" s="318"/>
      <c r="M542" s="318"/>
      <c r="N542" s="168"/>
      <c r="O542" s="168"/>
      <c r="P542" s="321"/>
      <c r="Q542" s="175"/>
      <c r="Y542" s="72"/>
      <c r="Z542" s="170"/>
      <c r="AA542" s="159"/>
      <c r="AB542" s="171"/>
      <c r="AC542" s="172"/>
      <c r="AD542" s="185" t="s">
        <v>4</v>
      </c>
    </row>
    <row r="543" spans="1:30" ht="17.100000000000001" customHeight="1" x14ac:dyDescent="0.25">
      <c r="A543" s="308"/>
      <c r="B543" s="149"/>
      <c r="C543" s="173"/>
      <c r="D543" s="166"/>
      <c r="E543" s="312"/>
      <c r="G543" s="306"/>
      <c r="H543" s="162"/>
      <c r="I543" s="305"/>
      <c r="J543" s="317"/>
      <c r="K543" s="318"/>
      <c r="L543" s="318"/>
      <c r="M543" s="318"/>
      <c r="N543" s="168"/>
      <c r="O543" s="168"/>
      <c r="P543" s="321"/>
      <c r="Q543" s="175"/>
      <c r="Y543" s="72"/>
      <c r="Z543" s="170"/>
      <c r="AA543" s="159"/>
      <c r="AB543" s="171"/>
      <c r="AC543" s="172"/>
      <c r="AD543" s="185" t="s">
        <v>4</v>
      </c>
    </row>
    <row r="544" spans="1:30" ht="17.100000000000001" customHeight="1" x14ac:dyDescent="0.25">
      <c r="A544" s="308"/>
      <c r="B544" s="149"/>
      <c r="C544" s="173"/>
      <c r="D544" s="166"/>
      <c r="E544" s="312"/>
      <c r="G544" s="306"/>
      <c r="H544" s="162"/>
      <c r="I544" s="305"/>
      <c r="J544" s="317"/>
      <c r="K544" s="318"/>
      <c r="L544" s="318"/>
      <c r="M544" s="318"/>
      <c r="N544" s="168"/>
      <c r="O544" s="168"/>
      <c r="P544" s="321"/>
      <c r="Q544" s="175"/>
      <c r="Y544" s="72"/>
      <c r="Z544" s="170"/>
      <c r="AA544" s="159"/>
      <c r="AB544" s="171"/>
      <c r="AC544" s="172"/>
      <c r="AD544" s="185" t="s">
        <v>4</v>
      </c>
    </row>
    <row r="545" spans="1:30" ht="17.100000000000001" customHeight="1" x14ac:dyDescent="0.25">
      <c r="A545" s="308"/>
      <c r="B545" s="149"/>
      <c r="C545" s="173"/>
      <c r="D545" s="166"/>
      <c r="E545" s="312"/>
      <c r="G545" s="306"/>
      <c r="H545" s="162"/>
      <c r="I545" s="305"/>
      <c r="J545" s="317"/>
      <c r="K545" s="318"/>
      <c r="L545" s="318"/>
      <c r="M545" s="318"/>
      <c r="N545" s="168"/>
      <c r="O545" s="168"/>
      <c r="P545" s="321"/>
      <c r="Q545" s="175"/>
      <c r="Y545" s="72"/>
      <c r="Z545" s="170"/>
      <c r="AA545" s="159"/>
      <c r="AB545" s="171"/>
      <c r="AC545" s="172"/>
      <c r="AD545" s="185" t="s">
        <v>4</v>
      </c>
    </row>
    <row r="546" spans="1:30" ht="17.100000000000001" customHeight="1" x14ac:dyDescent="0.25">
      <c r="A546" s="308"/>
      <c r="B546" s="149"/>
      <c r="C546" s="176"/>
      <c r="D546" s="151"/>
      <c r="E546" s="312"/>
      <c r="F546" s="156"/>
      <c r="G546" s="306"/>
      <c r="H546" s="162"/>
      <c r="I546" s="305"/>
      <c r="J546" s="317"/>
      <c r="K546" s="318"/>
      <c r="L546" s="318"/>
      <c r="M546" s="318"/>
      <c r="N546" s="155"/>
      <c r="O546" s="155"/>
      <c r="P546" s="320"/>
      <c r="Q546" s="156"/>
      <c r="R546" s="152"/>
      <c r="S546" s="152"/>
      <c r="T546" s="152"/>
      <c r="U546" s="152"/>
      <c r="V546" s="152"/>
      <c r="W546" s="152"/>
      <c r="X546" s="152"/>
      <c r="Y546" s="157"/>
      <c r="Z546" s="158"/>
      <c r="AA546" s="159"/>
      <c r="AB546" s="160"/>
      <c r="AC546" s="161"/>
      <c r="AD546" s="185" t="s">
        <v>4</v>
      </c>
    </row>
    <row r="547" spans="1:30" ht="17.100000000000001" customHeight="1" x14ac:dyDescent="0.25">
      <c r="A547" s="308"/>
      <c r="B547" s="149"/>
      <c r="C547" s="173"/>
      <c r="D547" s="166"/>
      <c r="E547" s="312"/>
      <c r="G547" s="306"/>
      <c r="H547" s="162"/>
      <c r="I547" s="305"/>
      <c r="J547" s="317"/>
      <c r="K547" s="318"/>
      <c r="L547" s="318"/>
      <c r="M547" s="318"/>
      <c r="N547" s="168"/>
      <c r="O547" s="168"/>
      <c r="P547" s="321"/>
      <c r="Q547" s="175"/>
      <c r="Y547" s="72"/>
      <c r="Z547" s="170"/>
      <c r="AA547" s="159"/>
      <c r="AB547" s="171"/>
      <c r="AC547" s="172"/>
      <c r="AD547" s="185" t="s">
        <v>4</v>
      </c>
    </row>
    <row r="548" spans="1:30" ht="17.100000000000001" customHeight="1" x14ac:dyDescent="0.25">
      <c r="A548" s="308"/>
      <c r="B548" s="149"/>
      <c r="C548" s="173"/>
      <c r="D548" s="166"/>
      <c r="E548" s="312"/>
      <c r="G548" s="306"/>
      <c r="H548" s="162"/>
      <c r="I548" s="305"/>
      <c r="J548" s="317"/>
      <c r="K548" s="318"/>
      <c r="L548" s="318"/>
      <c r="M548" s="318"/>
      <c r="N548" s="168"/>
      <c r="O548" s="168"/>
      <c r="P548" s="321"/>
      <c r="Q548" s="156"/>
      <c r="R548" s="175"/>
      <c r="Y548" s="72"/>
      <c r="Z548" s="170"/>
      <c r="AA548" s="159"/>
      <c r="AB548" s="171"/>
      <c r="AC548" s="172"/>
      <c r="AD548" s="185" t="s">
        <v>4</v>
      </c>
    </row>
    <row r="549" spans="1:30" ht="17.100000000000001" customHeight="1" x14ac:dyDescent="0.25">
      <c r="A549" s="308"/>
      <c r="B549" s="149"/>
      <c r="C549" s="173"/>
      <c r="D549" s="166"/>
      <c r="E549" s="312"/>
      <c r="G549" s="306"/>
      <c r="H549" s="162"/>
      <c r="I549" s="305"/>
      <c r="J549" s="317"/>
      <c r="K549" s="318"/>
      <c r="L549" s="318"/>
      <c r="M549" s="318"/>
      <c r="N549" s="168"/>
      <c r="O549" s="168"/>
      <c r="P549" s="321"/>
      <c r="Q549" s="156"/>
      <c r="R549" s="175"/>
      <c r="Y549" s="72"/>
      <c r="Z549" s="170"/>
      <c r="AA549" s="159"/>
      <c r="AB549" s="171"/>
      <c r="AC549" s="172"/>
      <c r="AD549" s="185" t="s">
        <v>4</v>
      </c>
    </row>
    <row r="550" spans="1:30" ht="17.100000000000001" customHeight="1" x14ac:dyDescent="0.25">
      <c r="A550" s="308"/>
      <c r="B550" s="149"/>
      <c r="C550" s="173"/>
      <c r="D550" s="166"/>
      <c r="E550" s="312"/>
      <c r="G550" s="306"/>
      <c r="H550" s="162"/>
      <c r="I550" s="305"/>
      <c r="J550" s="317"/>
      <c r="K550" s="318"/>
      <c r="L550" s="318"/>
      <c r="M550" s="318"/>
      <c r="N550" s="168"/>
      <c r="O550" s="168"/>
      <c r="P550" s="321"/>
      <c r="Q550" s="175"/>
      <c r="Y550" s="72"/>
      <c r="Z550" s="170"/>
      <c r="AA550" s="159"/>
      <c r="AB550" s="171"/>
      <c r="AC550" s="172"/>
      <c r="AD550" s="185" t="s">
        <v>4</v>
      </c>
    </row>
    <row r="551" spans="1:30" ht="17.100000000000001" customHeight="1" x14ac:dyDescent="0.25">
      <c r="A551" s="308"/>
      <c r="B551" s="149"/>
      <c r="C551" s="173"/>
      <c r="D551" s="166"/>
      <c r="E551" s="312"/>
      <c r="G551" s="306"/>
      <c r="H551" s="162"/>
      <c r="I551" s="305"/>
      <c r="J551" s="317"/>
      <c r="K551" s="318"/>
      <c r="L551" s="318"/>
      <c r="M551" s="318"/>
      <c r="N551" s="168"/>
      <c r="O551" s="168"/>
      <c r="P551" s="321"/>
      <c r="Q551" s="175"/>
      <c r="Y551" s="72"/>
      <c r="Z551" s="170"/>
      <c r="AA551" s="159"/>
      <c r="AB551" s="171"/>
      <c r="AC551" s="172"/>
      <c r="AD551" s="185" t="s">
        <v>4</v>
      </c>
    </row>
    <row r="552" spans="1:30" ht="17.100000000000001" customHeight="1" x14ac:dyDescent="0.25">
      <c r="A552" s="308"/>
      <c r="B552" s="149"/>
      <c r="C552" s="173"/>
      <c r="D552" s="166"/>
      <c r="E552" s="312"/>
      <c r="G552" s="306"/>
      <c r="H552" s="162"/>
      <c r="I552" s="305"/>
      <c r="J552" s="317"/>
      <c r="K552" s="318"/>
      <c r="L552" s="318"/>
      <c r="M552" s="318"/>
      <c r="N552" s="168"/>
      <c r="O552" s="168"/>
      <c r="P552" s="321"/>
      <c r="Q552" s="175"/>
      <c r="R552" s="175"/>
      <c r="Y552" s="72"/>
      <c r="Z552" s="170"/>
      <c r="AA552" s="159"/>
      <c r="AB552" s="171"/>
      <c r="AC552" s="172"/>
      <c r="AD552" s="185" t="s">
        <v>4</v>
      </c>
    </row>
    <row r="553" spans="1:30" ht="17.100000000000001" customHeight="1" x14ac:dyDescent="0.25">
      <c r="A553" s="308"/>
      <c r="B553" s="149"/>
      <c r="C553" s="173"/>
      <c r="D553" s="166"/>
      <c r="E553" s="312"/>
      <c r="G553" s="306"/>
      <c r="H553" s="162"/>
      <c r="I553" s="305"/>
      <c r="J553" s="317"/>
      <c r="K553" s="318"/>
      <c r="L553" s="318"/>
      <c r="M553" s="318"/>
      <c r="N553" s="168"/>
      <c r="O553" s="168"/>
      <c r="P553" s="321"/>
      <c r="Q553" s="175"/>
      <c r="Y553" s="72"/>
      <c r="Z553" s="170"/>
      <c r="AA553" s="159"/>
      <c r="AB553" s="171"/>
      <c r="AC553" s="172"/>
      <c r="AD553" s="185" t="s">
        <v>4</v>
      </c>
    </row>
    <row r="554" spans="1:30" ht="17.100000000000001" customHeight="1" x14ac:dyDescent="0.25">
      <c r="A554" s="308"/>
      <c r="B554" s="149"/>
      <c r="C554" s="173"/>
      <c r="D554" s="166"/>
      <c r="E554" s="312"/>
      <c r="G554" s="306"/>
      <c r="H554" s="162"/>
      <c r="I554" s="305"/>
      <c r="J554" s="317"/>
      <c r="K554" s="318"/>
      <c r="L554" s="318"/>
      <c r="M554" s="318"/>
      <c r="N554" s="168"/>
      <c r="O554" s="168"/>
      <c r="P554" s="321"/>
      <c r="Q554" s="175"/>
      <c r="Y554" s="72"/>
      <c r="Z554" s="170"/>
      <c r="AA554" s="159"/>
      <c r="AB554" s="171"/>
      <c r="AC554" s="172"/>
      <c r="AD554" s="185" t="s">
        <v>4</v>
      </c>
    </row>
    <row r="555" spans="1:30" ht="17.100000000000001" customHeight="1" x14ac:dyDescent="0.25">
      <c r="A555" s="308"/>
      <c r="B555" s="149"/>
      <c r="C555" s="173"/>
      <c r="D555" s="166"/>
      <c r="E555" s="312"/>
      <c r="G555" s="306"/>
      <c r="H555" s="162"/>
      <c r="I555" s="305"/>
      <c r="J555" s="317"/>
      <c r="K555" s="318"/>
      <c r="L555" s="318"/>
      <c r="M555" s="318"/>
      <c r="N555" s="168"/>
      <c r="O555" s="168"/>
      <c r="P555" s="321"/>
      <c r="Q555" s="175"/>
      <c r="Y555" s="72"/>
      <c r="Z555" s="170"/>
      <c r="AA555" s="159"/>
      <c r="AB555" s="171"/>
      <c r="AC555" s="172"/>
      <c r="AD555" s="185" t="s">
        <v>4</v>
      </c>
    </row>
    <row r="556" spans="1:30" ht="17.100000000000001" customHeight="1" x14ac:dyDescent="0.25">
      <c r="A556" s="308"/>
      <c r="B556" s="149"/>
      <c r="C556" s="173"/>
      <c r="D556" s="166"/>
      <c r="E556" s="312"/>
      <c r="G556" s="306"/>
      <c r="H556" s="162"/>
      <c r="I556" s="305"/>
      <c r="J556" s="317"/>
      <c r="K556" s="318"/>
      <c r="L556" s="318"/>
      <c r="M556" s="318"/>
      <c r="N556" s="168"/>
      <c r="O556" s="168"/>
      <c r="P556" s="321"/>
      <c r="Q556" s="175"/>
      <c r="Y556" s="72"/>
      <c r="Z556" s="170"/>
      <c r="AA556" s="159"/>
      <c r="AB556" s="171"/>
      <c r="AC556" s="172"/>
      <c r="AD556" s="185" t="s">
        <v>4</v>
      </c>
    </row>
    <row r="557" spans="1:30" ht="17.100000000000001" customHeight="1" x14ac:dyDescent="0.25">
      <c r="A557" s="308"/>
      <c r="B557" s="149"/>
      <c r="C557" s="173"/>
      <c r="D557" s="166"/>
      <c r="E557" s="312"/>
      <c r="G557" s="306"/>
      <c r="H557" s="162"/>
      <c r="I557" s="305"/>
      <c r="J557" s="317"/>
      <c r="K557" s="318"/>
      <c r="L557" s="318"/>
      <c r="M557" s="318"/>
      <c r="N557" s="168"/>
      <c r="O557" s="168"/>
      <c r="P557" s="321"/>
      <c r="Q557" s="175"/>
      <c r="Y557" s="72"/>
      <c r="Z557" s="170"/>
      <c r="AA557" s="159"/>
      <c r="AB557" s="171"/>
      <c r="AC557" s="172"/>
      <c r="AD557" s="185" t="s">
        <v>4</v>
      </c>
    </row>
    <row r="558" spans="1:30" ht="17.100000000000001" customHeight="1" x14ac:dyDescent="0.25">
      <c r="A558" s="308"/>
      <c r="B558" s="149"/>
      <c r="C558" s="176"/>
      <c r="D558" s="151"/>
      <c r="E558" s="312"/>
      <c r="F558" s="156"/>
      <c r="G558" s="306"/>
      <c r="H558" s="162"/>
      <c r="I558" s="305"/>
      <c r="J558" s="317"/>
      <c r="K558" s="318"/>
      <c r="L558" s="318"/>
      <c r="M558" s="318"/>
      <c r="N558" s="155"/>
      <c r="O558" s="155"/>
      <c r="P558" s="320"/>
      <c r="Q558" s="156"/>
      <c r="R558" s="152"/>
      <c r="S558" s="152"/>
      <c r="T558" s="152"/>
      <c r="U558" s="152"/>
      <c r="V558" s="152"/>
      <c r="W558" s="152"/>
      <c r="X558" s="152"/>
      <c r="Y558" s="157"/>
      <c r="Z558" s="170"/>
      <c r="AA558" s="159"/>
      <c r="AB558" s="160"/>
      <c r="AC558" s="161"/>
      <c r="AD558" s="185" t="s">
        <v>4</v>
      </c>
    </row>
    <row r="559" spans="1:30" ht="17.100000000000001" customHeight="1" x14ac:dyDescent="0.25">
      <c r="A559" s="308"/>
      <c r="B559" s="149"/>
      <c r="C559" s="173"/>
      <c r="D559" s="166"/>
      <c r="E559" s="312"/>
      <c r="G559" s="306"/>
      <c r="H559" s="162"/>
      <c r="I559" s="305"/>
      <c r="J559" s="317"/>
      <c r="K559" s="318"/>
      <c r="L559" s="318"/>
      <c r="M559" s="318"/>
      <c r="N559" s="168"/>
      <c r="O559" s="168"/>
      <c r="P559" s="321"/>
      <c r="Q559" s="175"/>
      <c r="Y559" s="72"/>
      <c r="Z559" s="170"/>
      <c r="AA559" s="159"/>
      <c r="AB559" s="171"/>
      <c r="AC559" s="172"/>
      <c r="AD559" s="185" t="s">
        <v>4</v>
      </c>
    </row>
    <row r="560" spans="1:30" ht="17.100000000000001" customHeight="1" x14ac:dyDescent="0.25">
      <c r="A560" s="308"/>
      <c r="B560" s="149"/>
      <c r="C560" s="173"/>
      <c r="D560" s="166"/>
      <c r="E560" s="312"/>
      <c r="G560" s="306"/>
      <c r="H560" s="162"/>
      <c r="I560" s="305"/>
      <c r="J560" s="317"/>
      <c r="K560" s="318"/>
      <c r="L560" s="318"/>
      <c r="M560" s="318"/>
      <c r="N560" s="168"/>
      <c r="O560" s="168"/>
      <c r="P560" s="321"/>
      <c r="Q560" s="175"/>
      <c r="Y560" s="72"/>
      <c r="Z560" s="170"/>
      <c r="AA560" s="159"/>
      <c r="AB560" s="171"/>
      <c r="AC560" s="172"/>
      <c r="AD560" s="185" t="s">
        <v>4</v>
      </c>
    </row>
    <row r="561" spans="1:30" ht="17.100000000000001" customHeight="1" x14ac:dyDescent="0.25">
      <c r="A561" s="308"/>
      <c r="B561" s="149"/>
      <c r="C561" s="173"/>
      <c r="D561" s="166"/>
      <c r="E561" s="312"/>
      <c r="G561" s="306"/>
      <c r="H561" s="162"/>
      <c r="I561" s="305"/>
      <c r="J561" s="317"/>
      <c r="K561" s="318"/>
      <c r="L561" s="318"/>
      <c r="M561" s="318"/>
      <c r="N561" s="168"/>
      <c r="O561" s="168"/>
      <c r="P561" s="321"/>
      <c r="Q561" s="175"/>
      <c r="Y561" s="72"/>
      <c r="Z561" s="170"/>
      <c r="AA561" s="159"/>
      <c r="AB561" s="171"/>
      <c r="AC561" s="172"/>
      <c r="AD561" s="185" t="s">
        <v>4</v>
      </c>
    </row>
    <row r="562" spans="1:30" ht="17.100000000000001" customHeight="1" x14ac:dyDescent="0.25">
      <c r="A562" s="308"/>
      <c r="B562" s="149"/>
      <c r="C562" s="173"/>
      <c r="D562" s="166"/>
      <c r="E562" s="312"/>
      <c r="G562" s="306"/>
      <c r="H562" s="162"/>
      <c r="I562" s="305"/>
      <c r="J562" s="317"/>
      <c r="K562" s="318"/>
      <c r="L562" s="318"/>
      <c r="M562" s="318"/>
      <c r="N562" s="168"/>
      <c r="O562" s="168"/>
      <c r="P562" s="321"/>
      <c r="Q562" s="175"/>
      <c r="Y562" s="72"/>
      <c r="Z562" s="170"/>
      <c r="AA562" s="159"/>
      <c r="AB562" s="171"/>
      <c r="AC562" s="172"/>
      <c r="AD562" s="185" t="s">
        <v>4</v>
      </c>
    </row>
    <row r="563" spans="1:30" ht="17.100000000000001" customHeight="1" x14ac:dyDescent="0.25">
      <c r="A563" s="308"/>
      <c r="B563" s="149"/>
      <c r="C563" s="173"/>
      <c r="D563" s="166"/>
      <c r="E563" s="312"/>
      <c r="G563" s="306"/>
      <c r="H563" s="162"/>
      <c r="I563" s="305"/>
      <c r="J563" s="317"/>
      <c r="K563" s="318"/>
      <c r="L563" s="318"/>
      <c r="M563" s="318"/>
      <c r="N563" s="168"/>
      <c r="O563" s="168"/>
      <c r="P563" s="321"/>
      <c r="Q563" s="175"/>
      <c r="Y563" s="72"/>
      <c r="Z563" s="170"/>
      <c r="AA563" s="159"/>
      <c r="AB563" s="171"/>
      <c r="AC563" s="172"/>
      <c r="AD563" s="185" t="s">
        <v>4</v>
      </c>
    </row>
    <row r="564" spans="1:30" ht="17.100000000000001" customHeight="1" x14ac:dyDescent="0.25">
      <c r="A564" s="308"/>
      <c r="B564" s="149"/>
      <c r="C564" s="173"/>
      <c r="D564" s="166"/>
      <c r="E564" s="312"/>
      <c r="G564" s="306"/>
      <c r="H564" s="162"/>
      <c r="I564" s="305"/>
      <c r="J564" s="317"/>
      <c r="K564" s="318"/>
      <c r="L564" s="318"/>
      <c r="M564" s="318"/>
      <c r="N564" s="168"/>
      <c r="O564" s="168"/>
      <c r="P564" s="321"/>
      <c r="Q564" s="175"/>
      <c r="Y564" s="72"/>
      <c r="Z564" s="170"/>
      <c r="AA564" s="159"/>
      <c r="AB564" s="171"/>
      <c r="AC564" s="172"/>
      <c r="AD564" s="185" t="s">
        <v>4</v>
      </c>
    </row>
    <row r="565" spans="1:30" ht="17.100000000000001" customHeight="1" x14ac:dyDescent="0.25">
      <c r="A565" s="308"/>
      <c r="B565" s="149"/>
      <c r="C565" s="173"/>
      <c r="D565" s="166"/>
      <c r="E565" s="312"/>
      <c r="G565" s="306"/>
      <c r="H565" s="162"/>
      <c r="I565" s="305"/>
      <c r="J565" s="317"/>
      <c r="K565" s="318"/>
      <c r="L565" s="318"/>
      <c r="M565" s="318"/>
      <c r="N565" s="168"/>
      <c r="O565" s="168"/>
      <c r="P565" s="321"/>
      <c r="Q565" s="175"/>
      <c r="Y565" s="72"/>
      <c r="Z565" s="170"/>
      <c r="AA565" s="159"/>
      <c r="AB565" s="171"/>
      <c r="AC565" s="172"/>
      <c r="AD565" s="185" t="s">
        <v>4</v>
      </c>
    </row>
    <row r="566" spans="1:30" ht="17.100000000000001" customHeight="1" x14ac:dyDescent="0.25">
      <c r="A566" s="308"/>
      <c r="B566" s="149"/>
      <c r="C566" s="176"/>
      <c r="D566" s="151"/>
      <c r="E566" s="312"/>
      <c r="F566" s="156"/>
      <c r="G566" s="306"/>
      <c r="H566" s="162"/>
      <c r="I566" s="305"/>
      <c r="J566" s="317"/>
      <c r="K566" s="318"/>
      <c r="L566" s="318"/>
      <c r="M566" s="318"/>
      <c r="N566" s="155"/>
      <c r="O566" s="155"/>
      <c r="P566" s="320"/>
      <c r="Q566" s="156"/>
      <c r="R566" s="156"/>
      <c r="S566" s="152"/>
      <c r="T566" s="152"/>
      <c r="U566" s="152"/>
      <c r="V566" s="152"/>
      <c r="W566" s="152"/>
      <c r="X566" s="152"/>
      <c r="Y566" s="157"/>
      <c r="Z566" s="158"/>
      <c r="AA566" s="159"/>
      <c r="AB566" s="160"/>
      <c r="AC566" s="161"/>
      <c r="AD566" s="185" t="s">
        <v>4</v>
      </c>
    </row>
    <row r="567" spans="1:30" ht="17.100000000000001" customHeight="1" x14ac:dyDescent="0.25">
      <c r="A567" s="308"/>
      <c r="B567" s="149"/>
      <c r="C567" s="173"/>
      <c r="D567" s="166"/>
      <c r="E567" s="312"/>
      <c r="G567" s="306"/>
      <c r="H567" s="162"/>
      <c r="I567" s="305"/>
      <c r="J567" s="317"/>
      <c r="K567" s="318"/>
      <c r="L567" s="318"/>
      <c r="M567" s="318"/>
      <c r="N567" s="168"/>
      <c r="O567" s="168"/>
      <c r="P567" s="321"/>
      <c r="Q567" s="175"/>
      <c r="Y567" s="72"/>
      <c r="Z567" s="170"/>
      <c r="AA567" s="159"/>
      <c r="AB567" s="171"/>
      <c r="AC567" s="172"/>
      <c r="AD567" s="185" t="s">
        <v>4</v>
      </c>
    </row>
    <row r="568" spans="1:30" ht="17.100000000000001" customHeight="1" x14ac:dyDescent="0.25">
      <c r="A568" s="308"/>
      <c r="B568" s="149"/>
      <c r="C568" s="173"/>
      <c r="D568" s="166"/>
      <c r="E568" s="312"/>
      <c r="G568" s="306"/>
      <c r="H568" s="162"/>
      <c r="I568" s="305"/>
      <c r="J568" s="317"/>
      <c r="K568" s="318"/>
      <c r="L568" s="318"/>
      <c r="M568" s="318"/>
      <c r="N568" s="168"/>
      <c r="O568" s="168"/>
      <c r="P568" s="321"/>
      <c r="Q568" s="175"/>
      <c r="Y568" s="72"/>
      <c r="Z568" s="170"/>
      <c r="AA568" s="159"/>
      <c r="AB568" s="171"/>
      <c r="AC568" s="172"/>
      <c r="AD568" s="185" t="s">
        <v>4</v>
      </c>
    </row>
    <row r="569" spans="1:30" ht="17.100000000000001" customHeight="1" x14ac:dyDescent="0.25">
      <c r="A569" s="308"/>
      <c r="B569" s="177"/>
      <c r="C569" s="173"/>
      <c r="D569" s="166"/>
      <c r="E569" s="312"/>
      <c r="G569" s="306"/>
      <c r="H569" s="162"/>
      <c r="I569" s="305"/>
      <c r="J569" s="317"/>
      <c r="K569" s="318"/>
      <c r="L569" s="318"/>
      <c r="M569" s="318"/>
      <c r="N569" s="168"/>
      <c r="O569" s="168"/>
      <c r="P569" s="321"/>
      <c r="Q569" s="175"/>
      <c r="Y569" s="72"/>
      <c r="Z569" s="170"/>
      <c r="AA569" s="159"/>
      <c r="AB569" s="171"/>
      <c r="AC569" s="172"/>
      <c r="AD569" s="185" t="s">
        <v>4</v>
      </c>
    </row>
    <row r="570" spans="1:30" ht="17.100000000000001" customHeight="1" x14ac:dyDescent="0.25">
      <c r="A570" s="308"/>
      <c r="B570" s="149"/>
      <c r="C570" s="173"/>
      <c r="D570" s="166"/>
      <c r="E570" s="312"/>
      <c r="G570" s="306"/>
      <c r="H570" s="162"/>
      <c r="I570" s="305"/>
      <c r="J570" s="317"/>
      <c r="K570" s="318"/>
      <c r="L570" s="318"/>
      <c r="M570" s="318"/>
      <c r="N570" s="168"/>
      <c r="O570" s="168"/>
      <c r="P570" s="321"/>
      <c r="Q570" s="175"/>
      <c r="Y570" s="72"/>
      <c r="Z570" s="170"/>
      <c r="AA570" s="159"/>
      <c r="AB570" s="171"/>
      <c r="AC570" s="172"/>
      <c r="AD570" s="185" t="s">
        <v>4</v>
      </c>
    </row>
    <row r="571" spans="1:30" ht="17.100000000000001" customHeight="1" x14ac:dyDescent="0.25">
      <c r="A571" s="308"/>
      <c r="B571" s="149"/>
      <c r="C571" s="176"/>
      <c r="D571" s="151"/>
      <c r="E571" s="312"/>
      <c r="F571" s="156"/>
      <c r="G571" s="306"/>
      <c r="H571" s="162"/>
      <c r="I571" s="305"/>
      <c r="J571" s="317"/>
      <c r="K571" s="318"/>
      <c r="L571" s="318"/>
      <c r="M571" s="318"/>
      <c r="N571" s="155"/>
      <c r="O571" s="155"/>
      <c r="P571" s="320"/>
      <c r="Q571" s="156"/>
      <c r="R571" s="152"/>
      <c r="S571" s="152"/>
      <c r="T571" s="152"/>
      <c r="U571" s="152"/>
      <c r="V571" s="152"/>
      <c r="W571" s="152"/>
      <c r="X571" s="152"/>
      <c r="Y571" s="157"/>
      <c r="Z571" s="158"/>
      <c r="AA571" s="159"/>
      <c r="AB571" s="160"/>
      <c r="AC571" s="161"/>
      <c r="AD571" s="185" t="s">
        <v>4</v>
      </c>
    </row>
    <row r="572" spans="1:30" ht="17.100000000000001" customHeight="1" x14ac:dyDescent="0.25">
      <c r="A572" s="308"/>
      <c r="B572" s="149"/>
      <c r="C572" s="176"/>
      <c r="D572" s="151"/>
      <c r="E572" s="312"/>
      <c r="F572" s="156"/>
      <c r="G572" s="306"/>
      <c r="H572" s="162"/>
      <c r="I572" s="305"/>
      <c r="J572" s="317"/>
      <c r="K572" s="318"/>
      <c r="L572" s="318"/>
      <c r="M572" s="318"/>
      <c r="N572" s="155"/>
      <c r="O572" s="155"/>
      <c r="P572" s="320"/>
      <c r="Q572" s="156"/>
      <c r="R572" s="156"/>
      <c r="S572" s="152"/>
      <c r="T572" s="152"/>
      <c r="U572" s="152"/>
      <c r="V572" s="152"/>
      <c r="W572" s="152"/>
      <c r="X572" s="152"/>
      <c r="Y572" s="157"/>
      <c r="Z572" s="158"/>
      <c r="AA572" s="159"/>
      <c r="AB572" s="160"/>
      <c r="AC572" s="161"/>
      <c r="AD572" s="185" t="s">
        <v>4</v>
      </c>
    </row>
    <row r="573" spans="1:30" ht="17.100000000000001" customHeight="1" x14ac:dyDescent="0.25">
      <c r="A573" s="308"/>
      <c r="B573" s="149"/>
      <c r="C573" s="173"/>
      <c r="D573" s="166"/>
      <c r="E573" s="312"/>
      <c r="G573" s="306"/>
      <c r="H573" s="162"/>
      <c r="I573" s="305"/>
      <c r="J573" s="317"/>
      <c r="K573" s="318"/>
      <c r="L573" s="318"/>
      <c r="M573" s="318"/>
      <c r="N573" s="168"/>
      <c r="O573" s="168"/>
      <c r="P573" s="321"/>
      <c r="Q573" s="175"/>
      <c r="R573" s="175"/>
      <c r="Y573" s="72"/>
      <c r="Z573" s="170"/>
      <c r="AA573" s="159"/>
      <c r="AB573" s="171"/>
      <c r="AC573" s="172"/>
      <c r="AD573" s="185" t="s">
        <v>4</v>
      </c>
    </row>
    <row r="574" spans="1:30" ht="17.100000000000001" customHeight="1" x14ac:dyDescent="0.25">
      <c r="A574" s="308"/>
      <c r="B574" s="149"/>
      <c r="C574" s="173"/>
      <c r="D574" s="166"/>
      <c r="E574" s="312"/>
      <c r="G574" s="306"/>
      <c r="H574" s="162"/>
      <c r="I574" s="305"/>
      <c r="J574" s="317"/>
      <c r="K574" s="318"/>
      <c r="L574" s="318"/>
      <c r="M574" s="318"/>
      <c r="N574" s="168"/>
      <c r="O574" s="168"/>
      <c r="P574" s="321"/>
      <c r="Q574" s="175"/>
      <c r="Y574" s="72"/>
      <c r="Z574" s="170"/>
      <c r="AA574" s="159"/>
      <c r="AB574" s="171"/>
      <c r="AC574" s="172"/>
      <c r="AD574" s="185" t="s">
        <v>4</v>
      </c>
    </row>
    <row r="575" spans="1:30" ht="17.100000000000001" customHeight="1" x14ac:dyDescent="0.25">
      <c r="A575" s="308"/>
      <c r="B575" s="149"/>
      <c r="C575" s="173"/>
      <c r="D575" s="166"/>
      <c r="E575" s="312"/>
      <c r="G575" s="306"/>
      <c r="H575" s="162"/>
      <c r="I575" s="305"/>
      <c r="J575" s="317"/>
      <c r="K575" s="318"/>
      <c r="L575" s="318"/>
      <c r="M575" s="318"/>
      <c r="N575" s="168"/>
      <c r="O575" s="168"/>
      <c r="P575" s="321"/>
      <c r="Q575" s="175"/>
      <c r="Y575" s="72"/>
      <c r="Z575" s="170"/>
      <c r="AA575" s="159"/>
      <c r="AB575" s="171"/>
      <c r="AC575" s="172"/>
      <c r="AD575" s="185" t="s">
        <v>4</v>
      </c>
    </row>
    <row r="576" spans="1:30" ht="17.100000000000001" customHeight="1" x14ac:dyDescent="0.25">
      <c r="A576" s="308"/>
      <c r="B576" s="149"/>
      <c r="C576" s="173"/>
      <c r="D576" s="166"/>
      <c r="E576" s="312"/>
      <c r="G576" s="306"/>
      <c r="H576" s="162"/>
      <c r="I576" s="305"/>
      <c r="J576" s="317"/>
      <c r="K576" s="318"/>
      <c r="L576" s="318"/>
      <c r="M576" s="318"/>
      <c r="N576" s="168"/>
      <c r="O576" s="168"/>
      <c r="P576" s="321"/>
      <c r="Q576" s="175"/>
      <c r="Y576" s="72"/>
      <c r="Z576" s="170"/>
      <c r="AA576" s="159"/>
      <c r="AB576" s="171"/>
      <c r="AC576" s="172"/>
      <c r="AD576" s="185" t="s">
        <v>4</v>
      </c>
    </row>
    <row r="577" spans="1:30" ht="17.100000000000001" customHeight="1" x14ac:dyDescent="0.25">
      <c r="A577" s="308"/>
      <c r="B577" s="149"/>
      <c r="C577" s="173"/>
      <c r="D577" s="166"/>
      <c r="E577" s="312"/>
      <c r="G577" s="306"/>
      <c r="H577" s="162"/>
      <c r="I577" s="305"/>
      <c r="J577" s="317"/>
      <c r="K577" s="318"/>
      <c r="L577" s="318"/>
      <c r="M577" s="318"/>
      <c r="N577" s="168"/>
      <c r="O577" s="168"/>
      <c r="P577" s="321"/>
      <c r="Q577" s="175"/>
      <c r="Y577" s="72"/>
      <c r="Z577" s="170"/>
      <c r="AA577" s="159"/>
      <c r="AB577" s="171"/>
      <c r="AC577" s="172"/>
      <c r="AD577" s="185" t="s">
        <v>4</v>
      </c>
    </row>
    <row r="578" spans="1:30" ht="17.100000000000001" customHeight="1" x14ac:dyDescent="0.25">
      <c r="A578" s="308"/>
      <c r="B578" s="149"/>
      <c r="C578" s="173"/>
      <c r="D578" s="166"/>
      <c r="E578" s="312"/>
      <c r="G578" s="306"/>
      <c r="H578" s="162"/>
      <c r="I578" s="305"/>
      <c r="J578" s="317"/>
      <c r="K578" s="318"/>
      <c r="L578" s="318"/>
      <c r="M578" s="318"/>
      <c r="N578" s="168"/>
      <c r="O578" s="168"/>
      <c r="P578" s="321"/>
      <c r="Q578" s="175"/>
      <c r="Y578" s="72"/>
      <c r="Z578" s="170"/>
      <c r="AA578" s="159"/>
      <c r="AB578" s="171"/>
      <c r="AC578" s="172"/>
      <c r="AD578" s="185" t="s">
        <v>4</v>
      </c>
    </row>
    <row r="579" spans="1:30" ht="17.100000000000001" customHeight="1" x14ac:dyDescent="0.25">
      <c r="A579" s="308"/>
      <c r="B579" s="149"/>
      <c r="C579" s="173"/>
      <c r="D579" s="166"/>
      <c r="E579" s="312"/>
      <c r="G579" s="306"/>
      <c r="H579" s="162"/>
      <c r="I579" s="305"/>
      <c r="J579" s="317"/>
      <c r="K579" s="318"/>
      <c r="L579" s="318"/>
      <c r="M579" s="318"/>
      <c r="N579" s="168"/>
      <c r="O579" s="168"/>
      <c r="P579" s="321"/>
      <c r="Q579" s="175"/>
      <c r="Y579" s="72"/>
      <c r="Z579" s="170"/>
      <c r="AA579" s="159"/>
      <c r="AB579" s="171"/>
      <c r="AC579" s="172"/>
      <c r="AD579" s="185" t="s">
        <v>4</v>
      </c>
    </row>
    <row r="580" spans="1:30" ht="17.100000000000001" customHeight="1" x14ac:dyDescent="0.25">
      <c r="A580" s="308"/>
      <c r="B580" s="149"/>
      <c r="C580" s="173"/>
      <c r="D580" s="166"/>
      <c r="E580" s="312"/>
      <c r="G580" s="306"/>
      <c r="H580" s="162"/>
      <c r="I580" s="305"/>
      <c r="J580" s="317"/>
      <c r="K580" s="318"/>
      <c r="L580" s="318"/>
      <c r="M580" s="318"/>
      <c r="N580" s="168"/>
      <c r="O580" s="168"/>
      <c r="P580" s="321"/>
      <c r="Q580" s="175"/>
      <c r="Y580" s="72"/>
      <c r="Z580" s="170"/>
      <c r="AA580" s="159"/>
      <c r="AB580" s="171"/>
      <c r="AC580" s="172"/>
      <c r="AD580" s="185" t="s">
        <v>4</v>
      </c>
    </row>
    <row r="581" spans="1:30" ht="17.100000000000001" customHeight="1" x14ac:dyDescent="0.25">
      <c r="A581" s="308"/>
      <c r="B581" s="149"/>
      <c r="C581" s="173"/>
      <c r="D581" s="166"/>
      <c r="E581" s="312"/>
      <c r="G581" s="306"/>
      <c r="H581" s="162"/>
      <c r="I581" s="305"/>
      <c r="J581" s="317"/>
      <c r="K581" s="318"/>
      <c r="L581" s="318"/>
      <c r="M581" s="318"/>
      <c r="N581" s="168"/>
      <c r="O581" s="168"/>
      <c r="P581" s="321"/>
      <c r="Q581" s="175"/>
      <c r="Y581" s="72"/>
      <c r="Z581" s="170"/>
      <c r="AA581" s="159"/>
      <c r="AB581" s="171"/>
      <c r="AC581" s="172"/>
      <c r="AD581" s="185" t="s">
        <v>4</v>
      </c>
    </row>
    <row r="582" spans="1:30" ht="17.100000000000001" customHeight="1" x14ac:dyDescent="0.25">
      <c r="A582" s="308"/>
      <c r="B582" s="149"/>
      <c r="C582" s="173"/>
      <c r="D582" s="166"/>
      <c r="E582" s="312"/>
      <c r="G582" s="306"/>
      <c r="H582" s="162"/>
      <c r="I582" s="305"/>
      <c r="J582" s="317"/>
      <c r="K582" s="318"/>
      <c r="L582" s="318"/>
      <c r="M582" s="318"/>
      <c r="N582" s="168"/>
      <c r="O582" s="168"/>
      <c r="P582" s="321"/>
      <c r="Q582" s="175"/>
      <c r="Y582" s="72"/>
      <c r="Z582" s="170"/>
      <c r="AA582" s="159"/>
      <c r="AB582" s="171"/>
      <c r="AC582" s="172"/>
      <c r="AD582" s="185" t="s">
        <v>4</v>
      </c>
    </row>
    <row r="583" spans="1:30" ht="17.100000000000001" customHeight="1" x14ac:dyDescent="0.25">
      <c r="A583" s="308"/>
      <c r="B583" s="149"/>
      <c r="C583" s="173"/>
      <c r="D583" s="166"/>
      <c r="E583" s="312"/>
      <c r="G583" s="306"/>
      <c r="H583" s="162"/>
      <c r="I583" s="305"/>
      <c r="J583" s="317"/>
      <c r="K583" s="318"/>
      <c r="L583" s="318"/>
      <c r="M583" s="318"/>
      <c r="N583" s="168"/>
      <c r="O583" s="168"/>
      <c r="P583" s="321"/>
      <c r="Q583" s="175"/>
      <c r="Y583" s="72"/>
      <c r="Z583" s="170"/>
      <c r="AA583" s="159"/>
      <c r="AB583" s="171"/>
      <c r="AC583" s="172"/>
      <c r="AD583" s="185" t="s">
        <v>4</v>
      </c>
    </row>
    <row r="584" spans="1:30" ht="17.100000000000001" customHeight="1" x14ac:dyDescent="0.25">
      <c r="A584" s="308"/>
      <c r="B584" s="149"/>
      <c r="C584" s="173"/>
      <c r="D584" s="166"/>
      <c r="E584" s="312"/>
      <c r="G584" s="306"/>
      <c r="H584" s="162"/>
      <c r="I584" s="305"/>
      <c r="J584" s="317"/>
      <c r="K584" s="318"/>
      <c r="L584" s="318"/>
      <c r="M584" s="318"/>
      <c r="N584" s="168"/>
      <c r="O584" s="168"/>
      <c r="P584" s="321"/>
      <c r="Q584" s="175"/>
      <c r="Y584" s="72"/>
      <c r="Z584" s="170"/>
      <c r="AA584" s="159"/>
      <c r="AB584" s="171"/>
      <c r="AC584" s="172"/>
      <c r="AD584" s="185" t="s">
        <v>4</v>
      </c>
    </row>
    <row r="585" spans="1:30" ht="17.100000000000001" customHeight="1" x14ac:dyDescent="0.25">
      <c r="A585" s="308"/>
      <c r="B585" s="149"/>
      <c r="C585" s="173"/>
      <c r="D585" s="166"/>
      <c r="E585" s="312"/>
      <c r="G585" s="306"/>
      <c r="H585" s="162"/>
      <c r="I585" s="305"/>
      <c r="J585" s="317"/>
      <c r="K585" s="318"/>
      <c r="L585" s="318"/>
      <c r="M585" s="318"/>
      <c r="N585" s="168"/>
      <c r="O585" s="168"/>
      <c r="P585" s="321"/>
      <c r="Q585" s="175"/>
      <c r="Y585" s="72"/>
      <c r="Z585" s="170"/>
      <c r="AA585" s="159"/>
      <c r="AB585" s="171"/>
      <c r="AC585" s="172"/>
      <c r="AD585" s="185" t="s">
        <v>4</v>
      </c>
    </row>
    <row r="586" spans="1:30" ht="17.100000000000001" customHeight="1" x14ac:dyDescent="0.25">
      <c r="A586" s="308"/>
      <c r="B586" s="149"/>
      <c r="C586" s="173"/>
      <c r="D586" s="166"/>
      <c r="E586" s="312"/>
      <c r="G586" s="306"/>
      <c r="H586" s="162"/>
      <c r="I586" s="305"/>
      <c r="J586" s="317"/>
      <c r="K586" s="318"/>
      <c r="L586" s="318"/>
      <c r="M586" s="318"/>
      <c r="N586" s="168"/>
      <c r="O586" s="168"/>
      <c r="P586" s="321"/>
      <c r="Q586" s="175"/>
      <c r="R586" s="175"/>
      <c r="Y586" s="72"/>
      <c r="Z586" s="170"/>
      <c r="AA586" s="159"/>
      <c r="AB586" s="171"/>
      <c r="AC586" s="172"/>
      <c r="AD586" s="185" t="s">
        <v>4</v>
      </c>
    </row>
    <row r="587" spans="1:30" ht="17.100000000000001" customHeight="1" x14ac:dyDescent="0.25">
      <c r="A587" s="308"/>
      <c r="B587" s="149"/>
      <c r="C587" s="173"/>
      <c r="D587" s="166"/>
      <c r="E587" s="312"/>
      <c r="G587" s="306"/>
      <c r="H587" s="162"/>
      <c r="I587" s="305"/>
      <c r="J587" s="317"/>
      <c r="K587" s="318"/>
      <c r="L587" s="318"/>
      <c r="M587" s="318"/>
      <c r="N587" s="168"/>
      <c r="O587" s="168"/>
      <c r="P587" s="321"/>
      <c r="Q587" s="175"/>
      <c r="R587" s="175"/>
      <c r="Y587" s="72"/>
      <c r="Z587" s="170"/>
      <c r="AA587" s="159"/>
      <c r="AB587" s="171"/>
      <c r="AC587" s="172"/>
      <c r="AD587" s="185" t="s">
        <v>4</v>
      </c>
    </row>
    <row r="588" spans="1:30" ht="17.100000000000001" customHeight="1" x14ac:dyDescent="0.25">
      <c r="A588" s="308"/>
      <c r="B588" s="149"/>
      <c r="C588" s="173"/>
      <c r="D588" s="166"/>
      <c r="E588" s="312"/>
      <c r="G588" s="306"/>
      <c r="H588" s="162"/>
      <c r="I588" s="305"/>
      <c r="J588" s="317"/>
      <c r="K588" s="318"/>
      <c r="L588" s="318"/>
      <c r="M588" s="318"/>
      <c r="N588" s="168"/>
      <c r="O588" s="168"/>
      <c r="P588" s="321"/>
      <c r="Q588" s="175"/>
      <c r="R588" s="175"/>
      <c r="Y588" s="72"/>
      <c r="Z588" s="170"/>
      <c r="AA588" s="159"/>
      <c r="AB588" s="171"/>
      <c r="AC588" s="172"/>
      <c r="AD588" s="185" t="s">
        <v>4</v>
      </c>
    </row>
    <row r="589" spans="1:30" ht="17.100000000000001" customHeight="1" x14ac:dyDescent="0.25">
      <c r="A589" s="308"/>
      <c r="B589" s="149"/>
      <c r="C589" s="173"/>
      <c r="D589" s="166"/>
      <c r="E589" s="312"/>
      <c r="G589" s="306"/>
      <c r="H589" s="162"/>
      <c r="I589" s="305"/>
      <c r="J589" s="317"/>
      <c r="K589" s="318"/>
      <c r="L589" s="318"/>
      <c r="M589" s="318"/>
      <c r="N589" s="168"/>
      <c r="O589" s="168"/>
      <c r="P589" s="321"/>
      <c r="Q589" s="175"/>
      <c r="R589" s="175"/>
      <c r="Y589" s="72"/>
      <c r="Z589" s="170"/>
      <c r="AA589" s="159"/>
      <c r="AB589" s="171"/>
      <c r="AC589" s="172"/>
      <c r="AD589" s="185" t="s">
        <v>4</v>
      </c>
    </row>
    <row r="590" spans="1:30" ht="17.100000000000001" customHeight="1" x14ac:dyDescent="0.25">
      <c r="A590" s="308"/>
      <c r="B590" s="149"/>
      <c r="C590" s="173"/>
      <c r="D590" s="166"/>
      <c r="E590" s="312"/>
      <c r="G590" s="306"/>
      <c r="H590" s="162"/>
      <c r="I590" s="305"/>
      <c r="J590" s="317"/>
      <c r="K590" s="318"/>
      <c r="L590" s="318"/>
      <c r="M590" s="318"/>
      <c r="N590" s="168"/>
      <c r="O590" s="168"/>
      <c r="P590" s="321"/>
      <c r="Q590" s="175"/>
      <c r="R590" s="175"/>
      <c r="Y590" s="72"/>
      <c r="Z590" s="170"/>
      <c r="AA590" s="159"/>
      <c r="AB590" s="171"/>
      <c r="AC590" s="172"/>
      <c r="AD590" s="185" t="s">
        <v>4</v>
      </c>
    </row>
    <row r="591" spans="1:30" ht="17.100000000000001" customHeight="1" x14ac:dyDescent="0.25">
      <c r="A591" s="308"/>
      <c r="B591" s="149"/>
      <c r="C591" s="173"/>
      <c r="D591" s="166"/>
      <c r="E591" s="312"/>
      <c r="G591" s="306"/>
      <c r="H591" s="162"/>
      <c r="I591" s="305"/>
      <c r="J591" s="317"/>
      <c r="K591" s="318"/>
      <c r="L591" s="318"/>
      <c r="M591" s="318"/>
      <c r="N591" s="168"/>
      <c r="O591" s="168"/>
      <c r="P591" s="321"/>
      <c r="Q591" s="175"/>
      <c r="R591" s="175"/>
      <c r="Y591" s="72"/>
      <c r="Z591" s="170"/>
      <c r="AA591" s="159"/>
      <c r="AB591" s="171"/>
      <c r="AC591" s="172"/>
      <c r="AD591" s="185" t="s">
        <v>4</v>
      </c>
    </row>
    <row r="592" spans="1:30" ht="17.100000000000001" customHeight="1" x14ac:dyDescent="0.25">
      <c r="A592" s="308"/>
      <c r="B592" s="149"/>
      <c r="C592" s="173"/>
      <c r="D592" s="166"/>
      <c r="E592" s="312"/>
      <c r="G592" s="306"/>
      <c r="H592" s="162"/>
      <c r="I592" s="305"/>
      <c r="J592" s="317"/>
      <c r="K592" s="318"/>
      <c r="L592" s="318"/>
      <c r="M592" s="318"/>
      <c r="N592" s="168"/>
      <c r="O592" s="168"/>
      <c r="P592" s="321"/>
      <c r="Q592" s="175"/>
      <c r="R592" s="175"/>
      <c r="Y592" s="72"/>
      <c r="Z592" s="170"/>
      <c r="AA592" s="159"/>
      <c r="AB592" s="171"/>
      <c r="AC592" s="172"/>
      <c r="AD592" s="185" t="s">
        <v>4</v>
      </c>
    </row>
    <row r="593" spans="1:30" ht="17.100000000000001" customHeight="1" x14ac:dyDescent="0.25">
      <c r="A593" s="308"/>
      <c r="B593" s="149"/>
      <c r="C593" s="173"/>
      <c r="D593" s="166"/>
      <c r="E593" s="312"/>
      <c r="G593" s="306"/>
      <c r="H593" s="162"/>
      <c r="I593" s="305"/>
      <c r="J593" s="317"/>
      <c r="K593" s="318"/>
      <c r="L593" s="318"/>
      <c r="M593" s="318"/>
      <c r="N593" s="168"/>
      <c r="O593" s="168"/>
      <c r="P593" s="321"/>
      <c r="Q593" s="175"/>
      <c r="R593" s="175"/>
      <c r="Y593" s="72"/>
      <c r="Z593" s="170"/>
      <c r="AA593" s="159"/>
      <c r="AB593" s="171"/>
      <c r="AC593" s="172"/>
      <c r="AD593" s="185" t="s">
        <v>4</v>
      </c>
    </row>
    <row r="594" spans="1:30" ht="17.100000000000001" customHeight="1" x14ac:dyDescent="0.25">
      <c r="A594" s="308"/>
      <c r="B594" s="149"/>
      <c r="C594" s="173"/>
      <c r="D594" s="166"/>
      <c r="E594" s="312"/>
      <c r="G594" s="306"/>
      <c r="H594" s="162"/>
      <c r="I594" s="305"/>
      <c r="J594" s="317"/>
      <c r="K594" s="318"/>
      <c r="L594" s="318"/>
      <c r="M594" s="318"/>
      <c r="N594" s="168"/>
      <c r="O594" s="168"/>
      <c r="P594" s="321"/>
      <c r="Q594" s="156"/>
      <c r="R594" s="175"/>
      <c r="Y594" s="72"/>
      <c r="Z594" s="170"/>
      <c r="AA594" s="159"/>
      <c r="AB594" s="171"/>
      <c r="AC594" s="172"/>
      <c r="AD594" s="185" t="s">
        <v>4</v>
      </c>
    </row>
    <row r="595" spans="1:30" ht="17.100000000000001" customHeight="1" x14ac:dyDescent="0.25">
      <c r="A595" s="308"/>
      <c r="B595" s="149"/>
      <c r="C595" s="173"/>
      <c r="D595" s="166"/>
      <c r="E595" s="312"/>
      <c r="G595" s="306"/>
      <c r="H595" s="162"/>
      <c r="I595" s="305"/>
      <c r="J595" s="317"/>
      <c r="K595" s="318"/>
      <c r="L595" s="318"/>
      <c r="M595" s="318"/>
      <c r="N595" s="168"/>
      <c r="O595" s="168"/>
      <c r="P595" s="321"/>
      <c r="Q595" s="175"/>
      <c r="R595" s="175"/>
      <c r="Y595" s="72"/>
      <c r="Z595" s="170"/>
      <c r="AA595" s="159"/>
      <c r="AB595" s="171"/>
      <c r="AC595" s="172"/>
      <c r="AD595" s="185" t="s">
        <v>4</v>
      </c>
    </row>
    <row r="596" spans="1:30" ht="17.100000000000001" customHeight="1" x14ac:dyDescent="0.25">
      <c r="A596" s="308"/>
      <c r="B596" s="149"/>
      <c r="C596" s="173"/>
      <c r="D596" s="166"/>
      <c r="E596" s="312"/>
      <c r="G596" s="306"/>
      <c r="H596" s="162"/>
      <c r="I596" s="305"/>
      <c r="J596" s="317"/>
      <c r="K596" s="318"/>
      <c r="L596" s="318"/>
      <c r="M596" s="318"/>
      <c r="N596" s="168"/>
      <c r="O596" s="168"/>
      <c r="P596" s="321"/>
      <c r="Q596" s="175"/>
      <c r="R596" s="175"/>
      <c r="Y596" s="72"/>
      <c r="Z596" s="170"/>
      <c r="AA596" s="159"/>
      <c r="AB596" s="171"/>
      <c r="AC596" s="172"/>
      <c r="AD596" s="185" t="s">
        <v>4</v>
      </c>
    </row>
    <row r="597" spans="1:30" ht="17.100000000000001" customHeight="1" x14ac:dyDescent="0.25">
      <c r="A597" s="308"/>
      <c r="B597" s="149"/>
      <c r="C597" s="173"/>
      <c r="D597" s="166"/>
      <c r="E597" s="312"/>
      <c r="G597" s="306"/>
      <c r="H597" s="162"/>
      <c r="I597" s="305"/>
      <c r="J597" s="317"/>
      <c r="K597" s="318"/>
      <c r="L597" s="318"/>
      <c r="M597" s="318"/>
      <c r="N597" s="168"/>
      <c r="O597" s="168"/>
      <c r="P597" s="321"/>
      <c r="Q597" s="175"/>
      <c r="R597" s="175"/>
      <c r="Y597" s="72"/>
      <c r="Z597" s="170"/>
      <c r="AA597" s="159"/>
      <c r="AB597" s="171"/>
      <c r="AC597" s="172"/>
      <c r="AD597" s="185" t="s">
        <v>4</v>
      </c>
    </row>
    <row r="598" spans="1:30" ht="17.100000000000001" customHeight="1" x14ac:dyDescent="0.25">
      <c r="A598" s="308"/>
      <c r="B598" s="149"/>
      <c r="C598" s="173"/>
      <c r="D598" s="166"/>
      <c r="E598" s="312"/>
      <c r="G598" s="306"/>
      <c r="H598" s="162"/>
      <c r="I598" s="305"/>
      <c r="J598" s="317"/>
      <c r="K598" s="318"/>
      <c r="L598" s="318"/>
      <c r="M598" s="318"/>
      <c r="N598" s="168"/>
      <c r="O598" s="168"/>
      <c r="P598" s="321"/>
      <c r="Q598" s="175"/>
      <c r="R598" s="175"/>
      <c r="Y598" s="72"/>
      <c r="Z598" s="170"/>
      <c r="AA598" s="159"/>
      <c r="AB598" s="171"/>
      <c r="AC598" s="172"/>
      <c r="AD598" s="185" t="s">
        <v>4</v>
      </c>
    </row>
    <row r="599" spans="1:30" ht="17.100000000000001" customHeight="1" x14ac:dyDescent="0.25">
      <c r="A599" s="308"/>
      <c r="B599" s="149"/>
      <c r="C599" s="173"/>
      <c r="D599" s="166"/>
      <c r="E599" s="312"/>
      <c r="G599" s="306"/>
      <c r="H599" s="162"/>
      <c r="I599" s="305"/>
      <c r="J599" s="317"/>
      <c r="K599" s="318"/>
      <c r="L599" s="318"/>
      <c r="M599" s="318"/>
      <c r="N599" s="168"/>
      <c r="O599" s="168"/>
      <c r="P599" s="321"/>
      <c r="Q599" s="175"/>
      <c r="Y599" s="72"/>
      <c r="Z599" s="170"/>
      <c r="AA599" s="159"/>
      <c r="AB599" s="171"/>
      <c r="AC599" s="172"/>
      <c r="AD599" s="185" t="s">
        <v>4</v>
      </c>
    </row>
    <row r="600" spans="1:30" ht="17.100000000000001" customHeight="1" x14ac:dyDescent="0.25">
      <c r="A600" s="308"/>
      <c r="B600" s="149"/>
      <c r="C600" s="173"/>
      <c r="D600" s="166"/>
      <c r="E600" s="312"/>
      <c r="G600" s="306"/>
      <c r="H600" s="162"/>
      <c r="I600" s="305"/>
      <c r="J600" s="317"/>
      <c r="K600" s="318"/>
      <c r="L600" s="318"/>
      <c r="M600" s="318"/>
      <c r="N600" s="168"/>
      <c r="O600" s="168"/>
      <c r="P600" s="321"/>
      <c r="Q600" s="175"/>
      <c r="Y600" s="72"/>
      <c r="Z600" s="170"/>
      <c r="AA600" s="159"/>
      <c r="AB600" s="171"/>
      <c r="AC600" s="172"/>
      <c r="AD600" s="185" t="s">
        <v>4</v>
      </c>
    </row>
    <row r="601" spans="1:30" ht="17.100000000000001" customHeight="1" x14ac:dyDescent="0.25">
      <c r="A601" s="308"/>
      <c r="B601" s="149"/>
      <c r="C601" s="173"/>
      <c r="D601" s="166"/>
      <c r="E601" s="312"/>
      <c r="G601" s="306"/>
      <c r="H601" s="162"/>
      <c r="I601" s="305"/>
      <c r="J601" s="317"/>
      <c r="K601" s="318"/>
      <c r="L601" s="318"/>
      <c r="M601" s="318"/>
      <c r="N601" s="168"/>
      <c r="O601" s="168"/>
      <c r="P601" s="321"/>
      <c r="Q601" s="175"/>
      <c r="Y601" s="72"/>
      <c r="Z601" s="170"/>
      <c r="AA601" s="159"/>
      <c r="AB601" s="171"/>
      <c r="AC601" s="172"/>
      <c r="AD601" s="185" t="s">
        <v>4</v>
      </c>
    </row>
    <row r="602" spans="1:30" ht="17.100000000000001" customHeight="1" x14ac:dyDescent="0.25">
      <c r="A602" s="308"/>
      <c r="B602" s="149"/>
      <c r="C602" s="173"/>
      <c r="D602" s="166"/>
      <c r="E602" s="312"/>
      <c r="G602" s="306"/>
      <c r="H602" s="162"/>
      <c r="I602" s="305"/>
      <c r="J602" s="317"/>
      <c r="K602" s="318"/>
      <c r="L602" s="318"/>
      <c r="M602" s="318"/>
      <c r="N602" s="168"/>
      <c r="O602" s="168"/>
      <c r="P602" s="321"/>
      <c r="Q602" s="175"/>
      <c r="Y602" s="72"/>
      <c r="Z602" s="170"/>
      <c r="AA602" s="159"/>
      <c r="AB602" s="171"/>
      <c r="AC602" s="172"/>
      <c r="AD602" s="185" t="s">
        <v>4</v>
      </c>
    </row>
    <row r="603" spans="1:30" ht="17.100000000000001" customHeight="1" x14ac:dyDescent="0.25">
      <c r="A603" s="308"/>
      <c r="B603" s="149"/>
      <c r="C603" s="173"/>
      <c r="D603" s="166"/>
      <c r="E603" s="312"/>
      <c r="G603" s="306"/>
      <c r="H603" s="162"/>
      <c r="I603" s="305"/>
      <c r="J603" s="317"/>
      <c r="K603" s="318"/>
      <c r="L603" s="318"/>
      <c r="M603" s="318"/>
      <c r="N603" s="168"/>
      <c r="O603" s="168"/>
      <c r="P603" s="321"/>
      <c r="Q603" s="175"/>
      <c r="Y603" s="72"/>
      <c r="Z603" s="170"/>
      <c r="AA603" s="159"/>
      <c r="AB603" s="171"/>
      <c r="AC603" s="172"/>
      <c r="AD603" s="185" t="s">
        <v>4</v>
      </c>
    </row>
    <row r="604" spans="1:30" ht="17.100000000000001" customHeight="1" x14ac:dyDescent="0.25">
      <c r="A604" s="308"/>
      <c r="B604" s="149"/>
      <c r="C604" s="173"/>
      <c r="D604" s="166"/>
      <c r="E604" s="312"/>
      <c r="G604" s="306"/>
      <c r="H604" s="162"/>
      <c r="I604" s="305"/>
      <c r="J604" s="317"/>
      <c r="K604" s="318"/>
      <c r="L604" s="318"/>
      <c r="M604" s="318"/>
      <c r="N604" s="168"/>
      <c r="O604" s="168"/>
      <c r="P604" s="321"/>
      <c r="Q604" s="175"/>
      <c r="Y604" s="72"/>
      <c r="Z604" s="170"/>
      <c r="AA604" s="159"/>
      <c r="AB604" s="171"/>
      <c r="AC604" s="172"/>
      <c r="AD604" s="185" t="s">
        <v>4</v>
      </c>
    </row>
    <row r="605" spans="1:30" ht="17.100000000000001" customHeight="1" x14ac:dyDescent="0.25">
      <c r="A605" s="308"/>
      <c r="B605" s="149"/>
      <c r="C605" s="173"/>
      <c r="D605" s="166"/>
      <c r="E605" s="312"/>
      <c r="G605" s="306"/>
      <c r="H605" s="162"/>
      <c r="I605" s="305"/>
      <c r="J605" s="317"/>
      <c r="K605" s="318"/>
      <c r="L605" s="318"/>
      <c r="M605" s="318"/>
      <c r="N605" s="168"/>
      <c r="O605" s="168"/>
      <c r="P605" s="321"/>
      <c r="Q605" s="175"/>
      <c r="R605" s="175"/>
      <c r="Y605" s="72"/>
      <c r="Z605" s="170"/>
      <c r="AA605" s="159"/>
      <c r="AB605" s="171"/>
      <c r="AC605" s="172"/>
      <c r="AD605" s="185" t="s">
        <v>4</v>
      </c>
    </row>
    <row r="606" spans="1:30" ht="17.100000000000001" customHeight="1" x14ac:dyDescent="0.25">
      <c r="A606" s="308"/>
      <c r="B606" s="149"/>
      <c r="C606" s="173"/>
      <c r="D606" s="166"/>
      <c r="E606" s="312"/>
      <c r="G606" s="306"/>
      <c r="H606" s="162"/>
      <c r="I606" s="305"/>
      <c r="J606" s="317"/>
      <c r="K606" s="318"/>
      <c r="L606" s="318"/>
      <c r="M606" s="318"/>
      <c r="N606" s="168"/>
      <c r="O606" s="168"/>
      <c r="P606" s="321"/>
      <c r="Q606" s="175"/>
      <c r="R606" s="175"/>
      <c r="Y606" s="72"/>
      <c r="Z606" s="170"/>
      <c r="AA606" s="159"/>
      <c r="AB606" s="171"/>
      <c r="AC606" s="172"/>
      <c r="AD606" s="185" t="s">
        <v>4</v>
      </c>
    </row>
    <row r="607" spans="1:30" ht="17.100000000000001" customHeight="1" x14ac:dyDescent="0.25">
      <c r="A607" s="308"/>
      <c r="B607" s="149"/>
      <c r="C607" s="173"/>
      <c r="D607" s="166"/>
      <c r="E607" s="312"/>
      <c r="G607" s="306"/>
      <c r="H607" s="162"/>
      <c r="I607" s="305"/>
      <c r="J607" s="317"/>
      <c r="K607" s="318"/>
      <c r="L607" s="318"/>
      <c r="M607" s="318"/>
      <c r="N607" s="168"/>
      <c r="O607" s="168"/>
      <c r="P607" s="321"/>
      <c r="Q607" s="175"/>
      <c r="R607" s="175"/>
      <c r="Y607" s="72"/>
      <c r="Z607" s="170"/>
      <c r="AA607" s="159"/>
      <c r="AB607" s="171"/>
      <c r="AC607" s="172"/>
      <c r="AD607" s="185" t="s">
        <v>4</v>
      </c>
    </row>
    <row r="608" spans="1:30" ht="17.100000000000001" customHeight="1" x14ac:dyDescent="0.25">
      <c r="A608" s="308"/>
      <c r="B608" s="149"/>
      <c r="C608" s="173"/>
      <c r="D608" s="166"/>
      <c r="E608" s="312"/>
      <c r="G608" s="306"/>
      <c r="H608" s="162"/>
      <c r="I608" s="305"/>
      <c r="J608" s="317"/>
      <c r="K608" s="318"/>
      <c r="L608" s="318"/>
      <c r="M608" s="318"/>
      <c r="N608" s="168"/>
      <c r="O608" s="168"/>
      <c r="P608" s="321"/>
      <c r="Q608" s="175"/>
      <c r="R608" s="175"/>
      <c r="Y608" s="72"/>
      <c r="Z608" s="170"/>
      <c r="AA608" s="159"/>
      <c r="AB608" s="171"/>
      <c r="AC608" s="172"/>
      <c r="AD608" s="185" t="s">
        <v>4</v>
      </c>
    </row>
    <row r="609" spans="1:30" ht="17.100000000000001" customHeight="1" x14ac:dyDescent="0.25">
      <c r="A609" s="308"/>
      <c r="B609" s="149"/>
      <c r="C609" s="173"/>
      <c r="D609" s="166"/>
      <c r="E609" s="312"/>
      <c r="G609" s="306"/>
      <c r="H609" s="162"/>
      <c r="I609" s="305"/>
      <c r="J609" s="317"/>
      <c r="K609" s="318"/>
      <c r="L609" s="318"/>
      <c r="M609" s="318"/>
      <c r="N609" s="168"/>
      <c r="O609" s="168"/>
      <c r="P609" s="321"/>
      <c r="Q609" s="175"/>
      <c r="R609" s="175"/>
      <c r="Y609" s="72"/>
      <c r="Z609" s="170"/>
      <c r="AA609" s="159"/>
      <c r="AB609" s="171"/>
      <c r="AC609" s="172"/>
      <c r="AD609" s="185" t="s">
        <v>4</v>
      </c>
    </row>
    <row r="610" spans="1:30" ht="17.100000000000001" customHeight="1" x14ac:dyDescent="0.25">
      <c r="A610" s="308"/>
      <c r="B610" s="149"/>
      <c r="C610" s="173"/>
      <c r="D610" s="166"/>
      <c r="E610" s="312"/>
      <c r="G610" s="306"/>
      <c r="H610" s="162"/>
      <c r="I610" s="305"/>
      <c r="J610" s="317"/>
      <c r="K610" s="318"/>
      <c r="L610" s="318"/>
      <c r="M610" s="318"/>
      <c r="N610" s="168"/>
      <c r="O610" s="168"/>
      <c r="P610" s="321"/>
      <c r="Q610" s="175"/>
      <c r="R610" s="175"/>
      <c r="Y610" s="72"/>
      <c r="Z610" s="170"/>
      <c r="AA610" s="159"/>
      <c r="AB610" s="171"/>
      <c r="AC610" s="172"/>
      <c r="AD610" s="185" t="s">
        <v>4</v>
      </c>
    </row>
    <row r="611" spans="1:30" ht="17.100000000000001" customHeight="1" x14ac:dyDescent="0.25">
      <c r="A611" s="308"/>
      <c r="B611" s="149"/>
      <c r="C611" s="173"/>
      <c r="D611" s="166"/>
      <c r="E611" s="312"/>
      <c r="G611" s="306"/>
      <c r="H611" s="162"/>
      <c r="I611" s="305"/>
      <c r="J611" s="317"/>
      <c r="K611" s="318"/>
      <c r="L611" s="318"/>
      <c r="M611" s="318"/>
      <c r="N611" s="168"/>
      <c r="O611" s="168"/>
      <c r="P611" s="321"/>
      <c r="Q611" s="175"/>
      <c r="R611" s="175"/>
      <c r="Y611" s="72"/>
      <c r="Z611" s="170"/>
      <c r="AA611" s="159"/>
      <c r="AB611" s="171"/>
      <c r="AC611" s="172"/>
      <c r="AD611" s="185" t="s">
        <v>4</v>
      </c>
    </row>
    <row r="612" spans="1:30" ht="17.100000000000001" customHeight="1" x14ac:dyDescent="0.25">
      <c r="A612" s="308"/>
      <c r="B612" s="149"/>
      <c r="C612" s="173"/>
      <c r="D612" s="166"/>
      <c r="E612" s="312"/>
      <c r="G612" s="306"/>
      <c r="H612" s="162"/>
      <c r="I612" s="305"/>
      <c r="J612" s="317"/>
      <c r="K612" s="318"/>
      <c r="L612" s="318"/>
      <c r="M612" s="318"/>
      <c r="N612" s="168"/>
      <c r="O612" s="168"/>
      <c r="P612" s="321"/>
      <c r="Q612" s="175"/>
      <c r="Y612" s="72"/>
      <c r="Z612" s="170"/>
      <c r="AA612" s="159"/>
      <c r="AB612" s="171"/>
      <c r="AC612" s="172"/>
      <c r="AD612" s="185" t="s">
        <v>4</v>
      </c>
    </row>
    <row r="613" spans="1:30" ht="17.100000000000001" customHeight="1" x14ac:dyDescent="0.25">
      <c r="A613" s="308"/>
      <c r="B613" s="149"/>
      <c r="C613" s="173"/>
      <c r="D613" s="166"/>
      <c r="E613" s="312"/>
      <c r="G613" s="306"/>
      <c r="H613" s="162"/>
      <c r="I613" s="305"/>
      <c r="J613" s="317"/>
      <c r="K613" s="318"/>
      <c r="L613" s="318"/>
      <c r="M613" s="318"/>
      <c r="N613" s="168"/>
      <c r="O613" s="168"/>
      <c r="P613" s="321"/>
      <c r="Q613" s="175"/>
      <c r="Y613" s="72"/>
      <c r="Z613" s="170"/>
      <c r="AA613" s="159"/>
      <c r="AB613" s="171"/>
      <c r="AC613" s="172"/>
      <c r="AD613" s="185" t="s">
        <v>4</v>
      </c>
    </row>
    <row r="614" spans="1:30" ht="17.100000000000001" customHeight="1" x14ac:dyDescent="0.25">
      <c r="A614" s="308"/>
      <c r="B614" s="149"/>
      <c r="C614" s="176"/>
      <c r="D614" s="151"/>
      <c r="E614" s="312"/>
      <c r="F614" s="156"/>
      <c r="G614" s="306"/>
      <c r="H614" s="162"/>
      <c r="I614" s="305"/>
      <c r="J614" s="317"/>
      <c r="K614" s="318"/>
      <c r="L614" s="318"/>
      <c r="M614" s="318"/>
      <c r="N614" s="155"/>
      <c r="O614" s="155"/>
      <c r="P614" s="320"/>
      <c r="Q614" s="156"/>
      <c r="R614" s="156"/>
      <c r="S614" s="152"/>
      <c r="T614" s="152"/>
      <c r="U614" s="152"/>
      <c r="V614" s="152"/>
      <c r="W614" s="152"/>
      <c r="X614" s="152"/>
      <c r="Y614" s="157"/>
      <c r="Z614" s="158"/>
      <c r="AA614" s="159"/>
      <c r="AB614" s="160"/>
      <c r="AC614" s="161"/>
      <c r="AD614" s="185" t="s">
        <v>4</v>
      </c>
    </row>
    <row r="615" spans="1:30" ht="17.100000000000001" customHeight="1" x14ac:dyDescent="0.25">
      <c r="A615" s="308"/>
      <c r="B615" s="149"/>
      <c r="C615" s="176"/>
      <c r="D615" s="151"/>
      <c r="E615" s="312"/>
      <c r="F615" s="156"/>
      <c r="G615" s="306"/>
      <c r="H615" s="162"/>
      <c r="I615" s="305"/>
      <c r="J615" s="317"/>
      <c r="K615" s="318"/>
      <c r="L615" s="318"/>
      <c r="M615" s="318"/>
      <c r="N615" s="155"/>
      <c r="O615" s="155"/>
      <c r="P615" s="322"/>
      <c r="Q615" s="156"/>
      <c r="R615" s="156"/>
      <c r="S615" s="152"/>
      <c r="T615" s="152"/>
      <c r="U615" s="152"/>
      <c r="V615" s="152"/>
      <c r="W615" s="152"/>
      <c r="X615" s="152"/>
      <c r="Y615" s="157"/>
      <c r="Z615" s="158"/>
      <c r="AA615" s="159"/>
      <c r="AB615" s="160"/>
      <c r="AC615" s="161"/>
      <c r="AD615" s="185" t="s">
        <v>4</v>
      </c>
    </row>
    <row r="616" spans="1:30" ht="17.100000000000001" customHeight="1" x14ac:dyDescent="0.25">
      <c r="A616" s="308"/>
      <c r="B616" s="149"/>
      <c r="C616" s="173"/>
      <c r="D616" s="166"/>
      <c r="E616" s="312"/>
      <c r="G616" s="306"/>
      <c r="H616" s="162"/>
      <c r="I616" s="305"/>
      <c r="J616" s="317"/>
      <c r="K616" s="318"/>
      <c r="L616" s="318"/>
      <c r="M616" s="318"/>
      <c r="N616" s="168"/>
      <c r="O616" s="168"/>
      <c r="P616" s="321"/>
      <c r="Q616" s="175"/>
      <c r="R616" s="175"/>
      <c r="Y616" s="72"/>
      <c r="Z616" s="170"/>
      <c r="AA616" s="159"/>
      <c r="AB616" s="171"/>
      <c r="AC616" s="172"/>
      <c r="AD616" s="185" t="s">
        <v>4</v>
      </c>
    </row>
    <row r="617" spans="1:30" ht="17.100000000000001" customHeight="1" x14ac:dyDescent="0.25">
      <c r="A617" s="308"/>
      <c r="B617" s="149"/>
      <c r="C617" s="173"/>
      <c r="D617" s="166"/>
      <c r="E617" s="312"/>
      <c r="G617" s="306"/>
      <c r="H617" s="162"/>
      <c r="I617" s="305"/>
      <c r="J617" s="317"/>
      <c r="K617" s="318"/>
      <c r="L617" s="318"/>
      <c r="M617" s="318"/>
      <c r="N617" s="168"/>
      <c r="O617" s="168"/>
      <c r="P617" s="321"/>
      <c r="Q617" s="175"/>
      <c r="Y617" s="72"/>
      <c r="Z617" s="170"/>
      <c r="AA617" s="159"/>
      <c r="AB617" s="171"/>
      <c r="AC617" s="172"/>
      <c r="AD617" s="185" t="s">
        <v>4</v>
      </c>
    </row>
    <row r="618" spans="1:30" ht="17.100000000000001" customHeight="1" x14ac:dyDescent="0.25">
      <c r="A618" s="308"/>
      <c r="B618" s="149"/>
      <c r="C618" s="176"/>
      <c r="D618" s="151"/>
      <c r="E618" s="312"/>
      <c r="F618" s="156"/>
      <c r="G618" s="306"/>
      <c r="H618" s="162"/>
      <c r="I618" s="305"/>
      <c r="J618" s="317"/>
      <c r="K618" s="318"/>
      <c r="L618" s="318"/>
      <c r="M618" s="318"/>
      <c r="N618" s="155"/>
      <c r="O618" s="155"/>
      <c r="P618" s="320"/>
      <c r="Q618" s="156"/>
      <c r="R618" s="152"/>
      <c r="S618" s="152"/>
      <c r="T618" s="152"/>
      <c r="U618" s="152"/>
      <c r="V618" s="152"/>
      <c r="W618" s="152"/>
      <c r="X618" s="152"/>
      <c r="Y618" s="157"/>
      <c r="Z618" s="158"/>
      <c r="AA618" s="159"/>
      <c r="AB618" s="160"/>
      <c r="AC618" s="161"/>
      <c r="AD618" s="185" t="s">
        <v>4</v>
      </c>
    </row>
    <row r="619" spans="1:30" ht="17.100000000000001" customHeight="1" x14ac:dyDescent="0.25">
      <c r="A619" s="308"/>
      <c r="B619" s="149"/>
      <c r="C619" s="173"/>
      <c r="D619" s="166"/>
      <c r="E619" s="312"/>
      <c r="G619" s="306"/>
      <c r="H619" s="162"/>
      <c r="I619" s="305"/>
      <c r="J619" s="317"/>
      <c r="K619" s="318"/>
      <c r="L619" s="318"/>
      <c r="M619" s="318"/>
      <c r="N619" s="168"/>
      <c r="O619" s="168"/>
      <c r="P619" s="321"/>
      <c r="Q619" s="175"/>
      <c r="Y619" s="72"/>
      <c r="Z619" s="170"/>
      <c r="AA619" s="159"/>
      <c r="AB619" s="171"/>
      <c r="AC619" s="172"/>
      <c r="AD619" s="185" t="s">
        <v>4</v>
      </c>
    </row>
    <row r="620" spans="1:30" ht="17.100000000000001" customHeight="1" x14ac:dyDescent="0.25">
      <c r="A620" s="308"/>
      <c r="B620" s="149"/>
      <c r="C620" s="173"/>
      <c r="D620" s="166"/>
      <c r="E620" s="312"/>
      <c r="G620" s="306"/>
      <c r="H620" s="162"/>
      <c r="I620" s="305"/>
      <c r="J620" s="317"/>
      <c r="K620" s="318"/>
      <c r="L620" s="318"/>
      <c r="M620" s="318"/>
      <c r="N620" s="168"/>
      <c r="O620" s="168"/>
      <c r="P620" s="321"/>
      <c r="Q620" s="175"/>
      <c r="Y620" s="72"/>
      <c r="Z620" s="170"/>
      <c r="AA620" s="159"/>
      <c r="AB620" s="171"/>
      <c r="AC620" s="172"/>
      <c r="AD620" s="185" t="s">
        <v>4</v>
      </c>
    </row>
    <row r="621" spans="1:30" ht="17.100000000000001" customHeight="1" x14ac:dyDescent="0.25">
      <c r="A621" s="308"/>
      <c r="B621" s="149"/>
      <c r="C621" s="173"/>
      <c r="D621" s="166"/>
      <c r="E621" s="312"/>
      <c r="G621" s="306"/>
      <c r="H621" s="162"/>
      <c r="I621" s="305"/>
      <c r="J621" s="317"/>
      <c r="K621" s="318"/>
      <c r="L621" s="318"/>
      <c r="M621" s="318"/>
      <c r="N621" s="168"/>
      <c r="O621" s="168"/>
      <c r="P621" s="321"/>
      <c r="Q621" s="175"/>
      <c r="Y621" s="72"/>
      <c r="Z621" s="170"/>
      <c r="AA621" s="159"/>
      <c r="AB621" s="171"/>
      <c r="AC621" s="172"/>
      <c r="AD621" s="185" t="s">
        <v>4</v>
      </c>
    </row>
    <row r="622" spans="1:30" ht="17.100000000000001" customHeight="1" x14ac:dyDescent="0.25">
      <c r="A622" s="308"/>
      <c r="B622" s="149"/>
      <c r="C622" s="173"/>
      <c r="D622" s="166"/>
      <c r="E622" s="312"/>
      <c r="G622" s="306"/>
      <c r="H622" s="162"/>
      <c r="I622" s="305"/>
      <c r="J622" s="317"/>
      <c r="K622" s="318"/>
      <c r="L622" s="318"/>
      <c r="M622" s="318"/>
      <c r="N622" s="168"/>
      <c r="O622" s="168"/>
      <c r="P622" s="321"/>
      <c r="Q622" s="175"/>
      <c r="R622" s="175"/>
      <c r="Y622" s="72"/>
      <c r="Z622" s="170"/>
      <c r="AA622" s="159"/>
      <c r="AB622" s="171"/>
      <c r="AC622" s="172"/>
      <c r="AD622" s="185" t="s">
        <v>4</v>
      </c>
    </row>
    <row r="623" spans="1:30" ht="17.100000000000001" customHeight="1" x14ac:dyDescent="0.25">
      <c r="A623" s="308"/>
      <c r="B623" s="149"/>
      <c r="C623" s="173"/>
      <c r="D623" s="166"/>
      <c r="E623" s="312"/>
      <c r="G623" s="306"/>
      <c r="H623" s="162"/>
      <c r="I623" s="305"/>
      <c r="J623" s="317"/>
      <c r="K623" s="318"/>
      <c r="L623" s="318"/>
      <c r="M623" s="318"/>
      <c r="N623" s="168"/>
      <c r="O623" s="168"/>
      <c r="P623" s="321"/>
      <c r="Q623" s="175"/>
      <c r="R623" s="175"/>
      <c r="Y623" s="72"/>
      <c r="Z623" s="170"/>
      <c r="AA623" s="159"/>
      <c r="AB623" s="171"/>
      <c r="AC623" s="172"/>
      <c r="AD623" s="185" t="s">
        <v>4</v>
      </c>
    </row>
    <row r="624" spans="1:30" ht="17.100000000000001" customHeight="1" x14ac:dyDescent="0.25">
      <c r="A624" s="308"/>
      <c r="B624" s="149"/>
      <c r="C624" s="173"/>
      <c r="D624" s="166"/>
      <c r="E624" s="312"/>
      <c r="G624" s="306"/>
      <c r="H624" s="162"/>
      <c r="I624" s="305"/>
      <c r="J624" s="317"/>
      <c r="K624" s="318"/>
      <c r="L624" s="318"/>
      <c r="M624" s="318"/>
      <c r="N624" s="168"/>
      <c r="O624" s="168"/>
      <c r="P624" s="321"/>
      <c r="Q624" s="175"/>
      <c r="Y624" s="72"/>
      <c r="Z624" s="170"/>
      <c r="AA624" s="159"/>
      <c r="AB624" s="171"/>
      <c r="AC624" s="172"/>
      <c r="AD624" s="185" t="s">
        <v>4</v>
      </c>
    </row>
    <row r="625" spans="1:30" ht="17.100000000000001" customHeight="1" x14ac:dyDescent="0.25">
      <c r="A625" s="308"/>
      <c r="B625" s="149"/>
      <c r="C625" s="173"/>
      <c r="D625" s="166"/>
      <c r="E625" s="312"/>
      <c r="G625" s="306"/>
      <c r="H625" s="162"/>
      <c r="I625" s="305"/>
      <c r="J625" s="317"/>
      <c r="K625" s="318"/>
      <c r="L625" s="318"/>
      <c r="M625" s="318"/>
      <c r="N625" s="168"/>
      <c r="O625" s="168"/>
      <c r="P625" s="321"/>
      <c r="Q625" s="175"/>
      <c r="Y625" s="72"/>
      <c r="Z625" s="170"/>
      <c r="AA625" s="159"/>
      <c r="AB625" s="171"/>
      <c r="AC625" s="172"/>
      <c r="AD625" s="185" t="s">
        <v>4</v>
      </c>
    </row>
    <row r="626" spans="1:30" ht="17.100000000000001" customHeight="1" x14ac:dyDescent="0.25">
      <c r="A626" s="308"/>
      <c r="B626" s="149"/>
      <c r="C626" s="173"/>
      <c r="D626" s="166"/>
      <c r="E626" s="312"/>
      <c r="G626" s="306"/>
      <c r="H626" s="162"/>
      <c r="I626" s="305"/>
      <c r="J626" s="317"/>
      <c r="K626" s="318"/>
      <c r="L626" s="318"/>
      <c r="M626" s="318"/>
      <c r="N626" s="168"/>
      <c r="O626" s="168"/>
      <c r="P626" s="321"/>
      <c r="Q626" s="175"/>
      <c r="R626" s="178"/>
      <c r="Y626" s="72"/>
      <c r="Z626" s="170"/>
      <c r="AA626" s="159"/>
      <c r="AB626" s="171"/>
      <c r="AC626" s="172"/>
      <c r="AD626" s="185" t="s">
        <v>4</v>
      </c>
    </row>
    <row r="627" spans="1:30" ht="17.100000000000001" customHeight="1" x14ac:dyDescent="0.25">
      <c r="A627" s="308"/>
      <c r="B627" s="149"/>
      <c r="C627" s="173"/>
      <c r="D627" s="166"/>
      <c r="E627" s="312"/>
      <c r="G627" s="306"/>
      <c r="H627" s="162"/>
      <c r="I627" s="305"/>
      <c r="J627" s="317"/>
      <c r="K627" s="318"/>
      <c r="L627" s="318"/>
      <c r="M627" s="318"/>
      <c r="N627" s="168"/>
      <c r="O627" s="168"/>
      <c r="P627" s="321"/>
      <c r="Q627" s="175"/>
      <c r="R627" s="178"/>
      <c r="Y627" s="72"/>
      <c r="Z627" s="170"/>
      <c r="AA627" s="159"/>
      <c r="AB627" s="171"/>
      <c r="AC627" s="172"/>
      <c r="AD627" s="185" t="s">
        <v>4</v>
      </c>
    </row>
    <row r="628" spans="1:30" ht="17.100000000000001" customHeight="1" x14ac:dyDescent="0.25">
      <c r="A628" s="308"/>
      <c r="B628" s="149"/>
      <c r="C628" s="173"/>
      <c r="D628" s="166"/>
      <c r="E628" s="312"/>
      <c r="G628" s="306"/>
      <c r="H628" s="162"/>
      <c r="I628" s="305"/>
      <c r="J628" s="317"/>
      <c r="K628" s="318"/>
      <c r="L628" s="318"/>
      <c r="M628" s="318"/>
      <c r="N628" s="168"/>
      <c r="O628" s="168"/>
      <c r="P628" s="321"/>
      <c r="Q628" s="175"/>
      <c r="R628" s="178"/>
      <c r="Y628" s="72"/>
      <c r="Z628" s="170"/>
      <c r="AA628" s="159"/>
      <c r="AB628" s="171"/>
      <c r="AC628" s="172"/>
      <c r="AD628" s="185" t="s">
        <v>4</v>
      </c>
    </row>
    <row r="629" spans="1:30" ht="17.100000000000001" customHeight="1" x14ac:dyDescent="0.25">
      <c r="A629" s="308"/>
      <c r="B629" s="149"/>
      <c r="C629" s="173"/>
      <c r="D629" s="166"/>
      <c r="E629" s="312"/>
      <c r="G629" s="306"/>
      <c r="H629" s="162"/>
      <c r="I629" s="305"/>
      <c r="J629" s="317"/>
      <c r="K629" s="318"/>
      <c r="L629" s="318"/>
      <c r="M629" s="318"/>
      <c r="N629" s="168"/>
      <c r="O629" s="168"/>
      <c r="P629" s="321"/>
      <c r="Q629" s="175"/>
      <c r="R629" s="178"/>
      <c r="Y629" s="72"/>
      <c r="Z629" s="170"/>
      <c r="AA629" s="159"/>
      <c r="AB629" s="171"/>
      <c r="AC629" s="172"/>
      <c r="AD629" s="185" t="s">
        <v>4</v>
      </c>
    </row>
    <row r="630" spans="1:30" ht="17.100000000000001" customHeight="1" x14ac:dyDescent="0.25">
      <c r="A630" s="308"/>
      <c r="B630" s="149"/>
      <c r="C630" s="173"/>
      <c r="D630" s="166"/>
      <c r="E630" s="312"/>
      <c r="G630" s="306"/>
      <c r="H630" s="162"/>
      <c r="I630" s="305"/>
      <c r="J630" s="317"/>
      <c r="K630" s="318"/>
      <c r="L630" s="318"/>
      <c r="M630" s="318"/>
      <c r="N630" s="168"/>
      <c r="O630" s="168"/>
      <c r="P630" s="321"/>
      <c r="Q630" s="175"/>
      <c r="R630" s="178"/>
      <c r="Y630" s="72"/>
      <c r="Z630" s="170"/>
      <c r="AA630" s="159"/>
      <c r="AB630" s="171"/>
      <c r="AC630" s="172"/>
      <c r="AD630" s="185" t="s">
        <v>4</v>
      </c>
    </row>
    <row r="631" spans="1:30" ht="17.100000000000001" customHeight="1" x14ac:dyDescent="0.25">
      <c r="A631" s="308"/>
      <c r="B631" s="149"/>
      <c r="C631" s="173"/>
      <c r="D631" s="166"/>
      <c r="E631" s="312"/>
      <c r="G631" s="306"/>
      <c r="H631" s="162"/>
      <c r="I631" s="305"/>
      <c r="J631" s="317"/>
      <c r="K631" s="318"/>
      <c r="L631" s="318"/>
      <c r="M631" s="318"/>
      <c r="N631" s="168"/>
      <c r="O631" s="168"/>
      <c r="P631" s="321"/>
      <c r="Q631" s="175"/>
      <c r="R631" s="178"/>
      <c r="Y631" s="72"/>
      <c r="Z631" s="170"/>
      <c r="AA631" s="159"/>
      <c r="AB631" s="171"/>
      <c r="AC631" s="172"/>
      <c r="AD631" s="185" t="s">
        <v>4</v>
      </c>
    </row>
    <row r="632" spans="1:30" ht="17.100000000000001" customHeight="1" x14ac:dyDescent="0.25">
      <c r="A632" s="308"/>
      <c r="B632" s="149"/>
      <c r="C632" s="173"/>
      <c r="D632" s="166"/>
      <c r="E632" s="312"/>
      <c r="G632" s="306"/>
      <c r="H632" s="162"/>
      <c r="I632" s="305"/>
      <c r="J632" s="317"/>
      <c r="K632" s="318"/>
      <c r="L632" s="318"/>
      <c r="M632" s="318"/>
      <c r="N632" s="168"/>
      <c r="O632" s="168"/>
      <c r="P632" s="321"/>
      <c r="Q632" s="175"/>
      <c r="R632" s="178"/>
      <c r="Y632" s="72"/>
      <c r="Z632" s="170"/>
      <c r="AA632" s="159"/>
      <c r="AB632" s="171"/>
      <c r="AC632" s="172"/>
      <c r="AD632" s="185" t="s">
        <v>4</v>
      </c>
    </row>
    <row r="633" spans="1:30" ht="17.100000000000001" customHeight="1" x14ac:dyDescent="0.25">
      <c r="A633" s="308"/>
      <c r="B633" s="149"/>
      <c r="C633" s="173"/>
      <c r="D633" s="166"/>
      <c r="E633" s="312"/>
      <c r="G633" s="306"/>
      <c r="H633" s="162"/>
      <c r="I633" s="305"/>
      <c r="J633" s="317"/>
      <c r="K633" s="318"/>
      <c r="L633" s="318"/>
      <c r="M633" s="318"/>
      <c r="N633" s="168"/>
      <c r="O633" s="168"/>
      <c r="P633" s="321"/>
      <c r="Q633" s="175"/>
      <c r="R633" s="178"/>
      <c r="Y633" s="72"/>
      <c r="Z633" s="170"/>
      <c r="AA633" s="159"/>
      <c r="AB633" s="171"/>
      <c r="AC633" s="172"/>
      <c r="AD633" s="185" t="s">
        <v>4</v>
      </c>
    </row>
    <row r="634" spans="1:30" ht="17.100000000000001" customHeight="1" x14ac:dyDescent="0.25">
      <c r="A634" s="308"/>
      <c r="B634" s="149"/>
      <c r="C634" s="173"/>
      <c r="D634" s="166"/>
      <c r="E634" s="312"/>
      <c r="G634" s="306"/>
      <c r="H634" s="162"/>
      <c r="I634" s="305"/>
      <c r="J634" s="317"/>
      <c r="K634" s="318"/>
      <c r="L634" s="318"/>
      <c r="M634" s="318"/>
      <c r="N634" s="168"/>
      <c r="O634" s="168"/>
      <c r="P634" s="321"/>
      <c r="Q634" s="175"/>
      <c r="R634" s="178"/>
      <c r="Y634" s="72"/>
      <c r="Z634" s="170"/>
      <c r="AA634" s="159"/>
      <c r="AB634" s="171"/>
      <c r="AC634" s="172"/>
      <c r="AD634" s="185" t="s">
        <v>4</v>
      </c>
    </row>
    <row r="635" spans="1:30" ht="17.100000000000001" customHeight="1" x14ac:dyDescent="0.25">
      <c r="A635" s="308"/>
      <c r="B635" s="149"/>
      <c r="C635" s="173"/>
      <c r="D635" s="166"/>
      <c r="E635" s="312"/>
      <c r="G635" s="306"/>
      <c r="H635" s="162"/>
      <c r="I635" s="305"/>
      <c r="J635" s="317"/>
      <c r="K635" s="318"/>
      <c r="L635" s="318"/>
      <c r="M635" s="318"/>
      <c r="N635" s="168"/>
      <c r="O635" s="168"/>
      <c r="P635" s="321"/>
      <c r="Q635" s="175"/>
      <c r="R635" s="178"/>
      <c r="Y635" s="72"/>
      <c r="Z635" s="170"/>
      <c r="AA635" s="159"/>
      <c r="AB635" s="171"/>
      <c r="AC635" s="172"/>
      <c r="AD635" s="185" t="s">
        <v>4</v>
      </c>
    </row>
    <row r="636" spans="1:30" ht="17.100000000000001" customHeight="1" x14ac:dyDescent="0.25">
      <c r="A636" s="308"/>
      <c r="B636" s="149"/>
      <c r="C636" s="173"/>
      <c r="D636" s="166"/>
      <c r="E636" s="312"/>
      <c r="G636" s="306"/>
      <c r="H636" s="162"/>
      <c r="I636" s="305"/>
      <c r="J636" s="317"/>
      <c r="K636" s="318"/>
      <c r="L636" s="318"/>
      <c r="M636" s="318"/>
      <c r="N636" s="168"/>
      <c r="O636" s="168"/>
      <c r="P636" s="321"/>
      <c r="Q636" s="175"/>
      <c r="R636" s="178"/>
      <c r="Y636" s="72"/>
      <c r="Z636" s="170"/>
      <c r="AA636" s="159"/>
      <c r="AB636" s="171"/>
      <c r="AC636" s="172"/>
      <c r="AD636" s="185" t="s">
        <v>4</v>
      </c>
    </row>
    <row r="637" spans="1:30" ht="17.100000000000001" customHeight="1" x14ac:dyDescent="0.25">
      <c r="A637" s="308"/>
      <c r="B637" s="149"/>
      <c r="C637" s="173"/>
      <c r="D637" s="166"/>
      <c r="E637" s="312"/>
      <c r="G637" s="306"/>
      <c r="H637" s="162"/>
      <c r="I637" s="305"/>
      <c r="J637" s="317"/>
      <c r="K637" s="318"/>
      <c r="L637" s="318"/>
      <c r="M637" s="318"/>
      <c r="N637" s="168"/>
      <c r="O637" s="168"/>
      <c r="P637" s="321"/>
      <c r="Q637" s="175"/>
      <c r="Y637" s="72"/>
      <c r="Z637" s="170"/>
      <c r="AA637" s="159"/>
      <c r="AB637" s="171"/>
      <c r="AC637" s="172"/>
      <c r="AD637" s="185" t="s">
        <v>4</v>
      </c>
    </row>
    <row r="638" spans="1:30" ht="17.100000000000001" customHeight="1" x14ac:dyDescent="0.25">
      <c r="A638" s="308"/>
      <c r="B638" s="149"/>
      <c r="C638" s="173"/>
      <c r="D638" s="166"/>
      <c r="E638" s="312"/>
      <c r="G638" s="306"/>
      <c r="H638" s="162"/>
      <c r="I638" s="305"/>
      <c r="J638" s="317"/>
      <c r="K638" s="318"/>
      <c r="L638" s="318"/>
      <c r="M638" s="318"/>
      <c r="N638" s="168"/>
      <c r="O638" s="168"/>
      <c r="P638" s="321"/>
      <c r="Q638" s="175"/>
      <c r="R638" s="175"/>
      <c r="Y638" s="72"/>
      <c r="Z638" s="170"/>
      <c r="AA638" s="159"/>
      <c r="AB638" s="171"/>
      <c r="AC638" s="172"/>
      <c r="AD638" s="185" t="s">
        <v>4</v>
      </c>
    </row>
    <row r="639" spans="1:30" ht="17.100000000000001" customHeight="1" x14ac:dyDescent="0.25">
      <c r="A639" s="308"/>
      <c r="B639" s="149"/>
      <c r="C639" s="173"/>
      <c r="D639" s="166"/>
      <c r="E639" s="312"/>
      <c r="G639" s="306"/>
      <c r="H639" s="162"/>
      <c r="I639" s="305"/>
      <c r="J639" s="317"/>
      <c r="K639" s="318"/>
      <c r="L639" s="318"/>
      <c r="M639" s="318"/>
      <c r="N639" s="168"/>
      <c r="O639" s="168"/>
      <c r="P639" s="321"/>
      <c r="Q639" s="175"/>
      <c r="R639" s="175"/>
      <c r="Y639" s="72"/>
      <c r="Z639" s="170"/>
      <c r="AA639" s="159"/>
      <c r="AB639" s="171"/>
      <c r="AC639" s="172"/>
      <c r="AD639" s="185" t="s">
        <v>4</v>
      </c>
    </row>
    <row r="640" spans="1:30" ht="17.100000000000001" customHeight="1" x14ac:dyDescent="0.25">
      <c r="A640" s="308"/>
      <c r="B640" s="149"/>
      <c r="C640" s="173"/>
      <c r="D640" s="166"/>
      <c r="E640" s="312"/>
      <c r="G640" s="306"/>
      <c r="H640" s="162"/>
      <c r="I640" s="305"/>
      <c r="J640" s="317"/>
      <c r="K640" s="318"/>
      <c r="L640" s="318"/>
      <c r="M640" s="318"/>
      <c r="N640" s="168"/>
      <c r="O640" s="168"/>
      <c r="P640" s="321"/>
      <c r="Q640" s="175"/>
      <c r="R640" s="175"/>
      <c r="Y640" s="72"/>
      <c r="Z640" s="170"/>
      <c r="AA640" s="159"/>
      <c r="AB640" s="171"/>
      <c r="AC640" s="172"/>
      <c r="AD640" s="185" t="s">
        <v>4</v>
      </c>
    </row>
    <row r="641" spans="1:30" ht="17.100000000000001" customHeight="1" x14ac:dyDescent="0.25">
      <c r="A641" s="308"/>
      <c r="B641" s="149"/>
      <c r="C641" s="173"/>
      <c r="D641" s="166"/>
      <c r="E641" s="312"/>
      <c r="G641" s="306"/>
      <c r="H641" s="162"/>
      <c r="I641" s="305"/>
      <c r="J641" s="317"/>
      <c r="K641" s="318"/>
      <c r="L641" s="318"/>
      <c r="M641" s="318"/>
      <c r="N641" s="168"/>
      <c r="O641" s="168"/>
      <c r="P641" s="321"/>
      <c r="Q641" s="175"/>
      <c r="R641" s="175"/>
      <c r="Y641" s="72"/>
      <c r="Z641" s="170"/>
      <c r="AA641" s="159"/>
      <c r="AB641" s="171"/>
      <c r="AC641" s="172"/>
      <c r="AD641" s="185" t="s">
        <v>4</v>
      </c>
    </row>
    <row r="642" spans="1:30" ht="17.100000000000001" customHeight="1" x14ac:dyDescent="0.25">
      <c r="A642" s="308"/>
      <c r="B642" s="149"/>
      <c r="C642" s="173"/>
      <c r="D642" s="166"/>
      <c r="E642" s="312"/>
      <c r="G642" s="306"/>
      <c r="H642" s="162"/>
      <c r="I642" s="305"/>
      <c r="J642" s="317"/>
      <c r="K642" s="318"/>
      <c r="L642" s="318"/>
      <c r="M642" s="318"/>
      <c r="N642" s="168"/>
      <c r="O642" s="168"/>
      <c r="P642" s="321"/>
      <c r="Q642" s="175"/>
      <c r="R642" s="175"/>
      <c r="Y642" s="72"/>
      <c r="Z642" s="170"/>
      <c r="AA642" s="159"/>
      <c r="AB642" s="171"/>
      <c r="AC642" s="172"/>
      <c r="AD642" s="185" t="s">
        <v>4</v>
      </c>
    </row>
    <row r="643" spans="1:30" ht="17.100000000000001" customHeight="1" x14ac:dyDescent="0.25">
      <c r="A643" s="308"/>
      <c r="B643" s="149"/>
      <c r="C643" s="173"/>
      <c r="D643" s="166"/>
      <c r="E643" s="312"/>
      <c r="G643" s="306"/>
      <c r="H643" s="162"/>
      <c r="I643" s="305"/>
      <c r="J643" s="317"/>
      <c r="K643" s="318"/>
      <c r="L643" s="318"/>
      <c r="M643" s="318"/>
      <c r="N643" s="168"/>
      <c r="O643" s="168"/>
      <c r="P643" s="321"/>
      <c r="Q643" s="175"/>
      <c r="R643" s="175"/>
      <c r="Y643" s="72"/>
      <c r="Z643" s="170"/>
      <c r="AA643" s="159"/>
      <c r="AB643" s="171"/>
      <c r="AC643" s="172"/>
      <c r="AD643" s="185" t="s">
        <v>4</v>
      </c>
    </row>
    <row r="644" spans="1:30" ht="17.100000000000001" customHeight="1" x14ac:dyDescent="0.25">
      <c r="A644" s="308"/>
      <c r="B644" s="149"/>
      <c r="C644" s="173"/>
      <c r="D644" s="166"/>
      <c r="E644" s="312"/>
      <c r="G644" s="306"/>
      <c r="H644" s="162"/>
      <c r="I644" s="305"/>
      <c r="J644" s="317"/>
      <c r="K644" s="318"/>
      <c r="L644" s="318"/>
      <c r="M644" s="318"/>
      <c r="N644" s="168"/>
      <c r="O644" s="168"/>
      <c r="P644" s="321"/>
      <c r="Q644" s="175"/>
      <c r="R644" s="175"/>
      <c r="Y644" s="72"/>
      <c r="Z644" s="170"/>
      <c r="AA644" s="159"/>
      <c r="AB644" s="171"/>
      <c r="AC644" s="172"/>
      <c r="AD644" s="185" t="s">
        <v>4</v>
      </c>
    </row>
    <row r="645" spans="1:30" ht="17.100000000000001" customHeight="1" x14ac:dyDescent="0.25">
      <c r="A645" s="308"/>
      <c r="B645" s="149"/>
      <c r="C645" s="173"/>
      <c r="D645" s="166"/>
      <c r="E645" s="312"/>
      <c r="G645" s="306"/>
      <c r="H645" s="162"/>
      <c r="I645" s="305"/>
      <c r="J645" s="317"/>
      <c r="K645" s="318"/>
      <c r="L645" s="318"/>
      <c r="M645" s="318"/>
      <c r="N645" s="168"/>
      <c r="O645" s="168"/>
      <c r="P645" s="321"/>
      <c r="Q645" s="175"/>
      <c r="R645" s="175"/>
      <c r="Y645" s="72"/>
      <c r="Z645" s="170"/>
      <c r="AA645" s="159"/>
      <c r="AB645" s="171"/>
      <c r="AC645" s="172"/>
      <c r="AD645" s="185" t="s">
        <v>4</v>
      </c>
    </row>
    <row r="646" spans="1:30" ht="17.100000000000001" customHeight="1" x14ac:dyDescent="0.25">
      <c r="A646" s="308"/>
      <c r="B646" s="149"/>
      <c r="C646" s="173"/>
      <c r="D646" s="166"/>
      <c r="E646" s="312"/>
      <c r="G646" s="306"/>
      <c r="H646" s="162"/>
      <c r="I646" s="305"/>
      <c r="J646" s="317"/>
      <c r="K646" s="318"/>
      <c r="L646" s="318"/>
      <c r="M646" s="318"/>
      <c r="N646" s="168"/>
      <c r="O646" s="168"/>
      <c r="P646" s="321"/>
      <c r="Q646" s="175"/>
      <c r="R646" s="175"/>
      <c r="Y646" s="72"/>
      <c r="Z646" s="170"/>
      <c r="AA646" s="159"/>
      <c r="AB646" s="171"/>
      <c r="AC646" s="172"/>
      <c r="AD646" s="185" t="s">
        <v>4</v>
      </c>
    </row>
    <row r="647" spans="1:30" ht="17.100000000000001" customHeight="1" x14ac:dyDescent="0.25">
      <c r="A647" s="308"/>
      <c r="B647" s="149"/>
      <c r="C647" s="173"/>
      <c r="D647" s="166"/>
      <c r="E647" s="312"/>
      <c r="G647" s="306"/>
      <c r="H647" s="162"/>
      <c r="I647" s="305"/>
      <c r="J647" s="317"/>
      <c r="K647" s="318"/>
      <c r="L647" s="318"/>
      <c r="M647" s="318"/>
      <c r="N647" s="168"/>
      <c r="O647" s="168"/>
      <c r="P647" s="321"/>
      <c r="Q647" s="175"/>
      <c r="R647" s="175"/>
      <c r="Y647" s="72"/>
      <c r="Z647" s="170"/>
      <c r="AA647" s="159"/>
      <c r="AB647" s="171"/>
      <c r="AC647" s="172"/>
      <c r="AD647" s="185" t="s">
        <v>4</v>
      </c>
    </row>
    <row r="648" spans="1:30" ht="17.100000000000001" customHeight="1" x14ac:dyDescent="0.25">
      <c r="A648" s="308"/>
      <c r="B648" s="149"/>
      <c r="C648" s="173"/>
      <c r="D648" s="166"/>
      <c r="E648" s="312"/>
      <c r="G648" s="306"/>
      <c r="H648" s="162"/>
      <c r="I648" s="305"/>
      <c r="J648" s="317"/>
      <c r="K648" s="318"/>
      <c r="L648" s="318"/>
      <c r="M648" s="318"/>
      <c r="N648" s="168"/>
      <c r="O648" s="168"/>
      <c r="P648" s="321"/>
      <c r="Q648" s="175"/>
      <c r="R648" s="175"/>
      <c r="Y648" s="72"/>
      <c r="Z648" s="170"/>
      <c r="AA648" s="159"/>
      <c r="AB648" s="171"/>
      <c r="AC648" s="172"/>
      <c r="AD648" s="185" t="s">
        <v>4</v>
      </c>
    </row>
    <row r="649" spans="1:30" ht="17.100000000000001" customHeight="1" x14ac:dyDescent="0.25">
      <c r="A649" s="308"/>
      <c r="B649" s="149"/>
      <c r="C649" s="173"/>
      <c r="D649" s="166"/>
      <c r="E649" s="312"/>
      <c r="G649" s="306"/>
      <c r="H649" s="162"/>
      <c r="I649" s="305"/>
      <c r="J649" s="317"/>
      <c r="K649" s="318"/>
      <c r="L649" s="318"/>
      <c r="M649" s="318"/>
      <c r="N649" s="168"/>
      <c r="O649" s="168"/>
      <c r="P649" s="321"/>
      <c r="Q649" s="175"/>
      <c r="R649" s="175"/>
      <c r="Y649" s="72"/>
      <c r="Z649" s="170"/>
      <c r="AA649" s="159"/>
      <c r="AB649" s="171"/>
      <c r="AC649" s="172"/>
      <c r="AD649" s="185" t="s">
        <v>4</v>
      </c>
    </row>
    <row r="650" spans="1:30" ht="17.100000000000001" customHeight="1" x14ac:dyDescent="0.25">
      <c r="A650" s="308"/>
      <c r="B650" s="149"/>
      <c r="C650" s="173"/>
      <c r="D650" s="166"/>
      <c r="E650" s="312"/>
      <c r="G650" s="306"/>
      <c r="H650" s="162"/>
      <c r="I650" s="305"/>
      <c r="J650" s="317"/>
      <c r="K650" s="318"/>
      <c r="L650" s="318"/>
      <c r="M650" s="318"/>
      <c r="N650" s="168"/>
      <c r="O650" s="168"/>
      <c r="P650" s="321"/>
      <c r="Q650" s="175"/>
      <c r="R650" s="175"/>
      <c r="Y650" s="72"/>
      <c r="Z650" s="170"/>
      <c r="AA650" s="159"/>
      <c r="AB650" s="171"/>
      <c r="AC650" s="172"/>
      <c r="AD650" s="185" t="s">
        <v>4</v>
      </c>
    </row>
    <row r="651" spans="1:30" ht="17.100000000000001" customHeight="1" x14ac:dyDescent="0.25">
      <c r="A651" s="308"/>
      <c r="B651" s="149"/>
      <c r="C651" s="173"/>
      <c r="D651" s="166"/>
      <c r="E651" s="312"/>
      <c r="G651" s="306"/>
      <c r="H651" s="162"/>
      <c r="I651" s="305"/>
      <c r="J651" s="317"/>
      <c r="K651" s="318"/>
      <c r="L651" s="318"/>
      <c r="M651" s="318"/>
      <c r="N651" s="168"/>
      <c r="O651" s="168"/>
      <c r="P651" s="321"/>
      <c r="Q651" s="175"/>
      <c r="Y651" s="72"/>
      <c r="Z651" s="170"/>
      <c r="AA651" s="159"/>
      <c r="AB651" s="171"/>
      <c r="AC651" s="172"/>
      <c r="AD651" s="185" t="s">
        <v>4</v>
      </c>
    </row>
    <row r="652" spans="1:30" ht="17.100000000000001" customHeight="1" x14ac:dyDescent="0.25">
      <c r="A652" s="308"/>
      <c r="B652" s="149"/>
      <c r="C652" s="173"/>
      <c r="D652" s="166"/>
      <c r="E652" s="312"/>
      <c r="G652" s="306"/>
      <c r="H652" s="162"/>
      <c r="I652" s="305"/>
      <c r="J652" s="317"/>
      <c r="K652" s="318"/>
      <c r="L652" s="318"/>
      <c r="M652" s="318"/>
      <c r="N652" s="168"/>
      <c r="O652" s="168"/>
      <c r="P652" s="321"/>
      <c r="Q652" s="175"/>
      <c r="Y652" s="72"/>
      <c r="Z652" s="170"/>
      <c r="AA652" s="159"/>
      <c r="AB652" s="171"/>
      <c r="AC652" s="172"/>
      <c r="AD652" s="185" t="s">
        <v>4</v>
      </c>
    </row>
    <row r="653" spans="1:30" ht="17.100000000000001" customHeight="1" x14ac:dyDescent="0.25">
      <c r="A653" s="308"/>
      <c r="B653" s="149"/>
      <c r="C653" s="173"/>
      <c r="D653" s="166"/>
      <c r="E653" s="312"/>
      <c r="G653" s="306"/>
      <c r="H653" s="162"/>
      <c r="I653" s="305"/>
      <c r="J653" s="317"/>
      <c r="K653" s="318"/>
      <c r="L653" s="318"/>
      <c r="M653" s="318"/>
      <c r="N653" s="168"/>
      <c r="O653" s="168"/>
      <c r="P653" s="321"/>
      <c r="Q653" s="175"/>
      <c r="R653" s="175"/>
      <c r="Y653" s="72"/>
      <c r="Z653" s="170"/>
      <c r="AA653" s="159"/>
      <c r="AB653" s="171"/>
      <c r="AC653" s="172"/>
      <c r="AD653" s="185" t="s">
        <v>4</v>
      </c>
    </row>
    <row r="654" spans="1:30" ht="17.100000000000001" customHeight="1" x14ac:dyDescent="0.25">
      <c r="A654" s="308"/>
      <c r="B654" s="149"/>
      <c r="C654" s="173"/>
      <c r="D654" s="166"/>
      <c r="E654" s="312"/>
      <c r="G654" s="306"/>
      <c r="H654" s="162"/>
      <c r="I654" s="305"/>
      <c r="J654" s="317"/>
      <c r="K654" s="318"/>
      <c r="L654" s="318"/>
      <c r="M654" s="318"/>
      <c r="N654" s="168"/>
      <c r="O654" s="168"/>
      <c r="P654" s="321"/>
      <c r="Q654" s="175"/>
      <c r="R654" s="175"/>
      <c r="Y654" s="72"/>
      <c r="Z654" s="170"/>
      <c r="AA654" s="159"/>
      <c r="AB654" s="171"/>
      <c r="AC654" s="172"/>
      <c r="AD654" s="185" t="s">
        <v>4</v>
      </c>
    </row>
    <row r="655" spans="1:30" ht="17.100000000000001" customHeight="1" x14ac:dyDescent="0.25">
      <c r="A655" s="308"/>
      <c r="B655" s="149"/>
      <c r="C655" s="173"/>
      <c r="D655" s="166"/>
      <c r="E655" s="312"/>
      <c r="G655" s="306"/>
      <c r="H655" s="162"/>
      <c r="I655" s="305"/>
      <c r="J655" s="317"/>
      <c r="K655" s="318"/>
      <c r="L655" s="318"/>
      <c r="M655" s="318"/>
      <c r="N655" s="168"/>
      <c r="O655" s="168"/>
      <c r="P655" s="321"/>
      <c r="Q655" s="175"/>
      <c r="Y655" s="72"/>
      <c r="Z655" s="170"/>
      <c r="AA655" s="159"/>
      <c r="AB655" s="171"/>
      <c r="AC655" s="172"/>
      <c r="AD655" s="185" t="s">
        <v>4</v>
      </c>
    </row>
    <row r="656" spans="1:30" ht="17.100000000000001" customHeight="1" x14ac:dyDescent="0.25">
      <c r="A656" s="308"/>
      <c r="B656" s="149"/>
      <c r="C656" s="173"/>
      <c r="D656" s="166"/>
      <c r="E656" s="312"/>
      <c r="G656" s="306"/>
      <c r="H656" s="162"/>
      <c r="I656" s="305"/>
      <c r="J656" s="317"/>
      <c r="K656" s="318"/>
      <c r="L656" s="318"/>
      <c r="M656" s="318"/>
      <c r="N656" s="168"/>
      <c r="O656" s="168"/>
      <c r="P656" s="321"/>
      <c r="Q656" s="175"/>
      <c r="Y656" s="72"/>
      <c r="Z656" s="170"/>
      <c r="AA656" s="159"/>
      <c r="AB656" s="171"/>
      <c r="AC656" s="172"/>
      <c r="AD656" s="185" t="s">
        <v>4</v>
      </c>
    </row>
    <row r="657" spans="1:30" ht="17.100000000000001" customHeight="1" x14ac:dyDescent="0.25">
      <c r="A657" s="308"/>
      <c r="B657" s="149"/>
      <c r="C657" s="173"/>
      <c r="D657" s="166"/>
      <c r="E657" s="312"/>
      <c r="G657" s="306"/>
      <c r="H657" s="162"/>
      <c r="I657" s="305"/>
      <c r="J657" s="317"/>
      <c r="K657" s="318"/>
      <c r="L657" s="318"/>
      <c r="M657" s="318"/>
      <c r="N657" s="168"/>
      <c r="O657" s="168"/>
      <c r="P657" s="321"/>
      <c r="Q657" s="175"/>
      <c r="R657" s="175"/>
      <c r="Y657" s="72"/>
      <c r="Z657" s="170"/>
      <c r="AA657" s="159"/>
      <c r="AB657" s="171"/>
      <c r="AC657" s="172"/>
      <c r="AD657" s="185" t="s">
        <v>4</v>
      </c>
    </row>
    <row r="658" spans="1:30" ht="17.100000000000001" customHeight="1" x14ac:dyDescent="0.25">
      <c r="A658" s="308"/>
      <c r="B658" s="149"/>
      <c r="C658" s="173"/>
      <c r="D658" s="166"/>
      <c r="E658" s="312"/>
      <c r="G658" s="306"/>
      <c r="H658" s="162"/>
      <c r="I658" s="305"/>
      <c r="J658" s="317"/>
      <c r="K658" s="318"/>
      <c r="L658" s="318"/>
      <c r="M658" s="318"/>
      <c r="N658" s="168"/>
      <c r="O658" s="168"/>
      <c r="P658" s="321"/>
      <c r="Q658" s="175"/>
      <c r="Y658" s="72"/>
      <c r="Z658" s="170"/>
      <c r="AA658" s="159"/>
      <c r="AB658" s="171"/>
      <c r="AC658" s="172"/>
      <c r="AD658" s="185" t="s">
        <v>4</v>
      </c>
    </row>
    <row r="659" spans="1:30" ht="17.100000000000001" customHeight="1" x14ac:dyDescent="0.25">
      <c r="A659" s="308"/>
      <c r="B659" s="149"/>
      <c r="C659" s="173"/>
      <c r="D659" s="166"/>
      <c r="E659" s="312"/>
      <c r="G659" s="306"/>
      <c r="H659" s="162"/>
      <c r="I659" s="305"/>
      <c r="J659" s="317"/>
      <c r="K659" s="318"/>
      <c r="L659" s="318"/>
      <c r="M659" s="318"/>
      <c r="N659" s="168"/>
      <c r="O659" s="168"/>
      <c r="P659" s="321"/>
      <c r="Q659" s="175"/>
      <c r="Y659" s="72"/>
      <c r="Z659" s="170"/>
      <c r="AA659" s="159"/>
      <c r="AB659" s="171"/>
      <c r="AC659" s="172"/>
      <c r="AD659" s="185" t="s">
        <v>4</v>
      </c>
    </row>
    <row r="660" spans="1:30" ht="17.100000000000001" customHeight="1" x14ac:dyDescent="0.25">
      <c r="A660" s="308"/>
      <c r="B660" s="149"/>
      <c r="C660" s="173"/>
      <c r="D660" s="166"/>
      <c r="E660" s="312"/>
      <c r="G660" s="306"/>
      <c r="H660" s="162"/>
      <c r="I660" s="305"/>
      <c r="J660" s="317"/>
      <c r="K660" s="318"/>
      <c r="L660" s="318"/>
      <c r="M660" s="318"/>
      <c r="N660" s="168"/>
      <c r="O660" s="168"/>
      <c r="P660" s="321"/>
      <c r="Q660" s="175"/>
      <c r="R660" s="175"/>
      <c r="Y660" s="72"/>
      <c r="Z660" s="170"/>
      <c r="AA660" s="159"/>
      <c r="AB660" s="171"/>
      <c r="AC660" s="172"/>
      <c r="AD660" s="185" t="s">
        <v>4</v>
      </c>
    </row>
    <row r="661" spans="1:30" ht="17.100000000000001" customHeight="1" x14ac:dyDescent="0.25">
      <c r="A661" s="308"/>
      <c r="B661" s="149"/>
      <c r="C661" s="173"/>
      <c r="D661" s="166"/>
      <c r="E661" s="312"/>
      <c r="G661" s="306"/>
      <c r="H661" s="162"/>
      <c r="I661" s="305"/>
      <c r="J661" s="317"/>
      <c r="K661" s="318"/>
      <c r="L661" s="318"/>
      <c r="M661" s="318"/>
      <c r="N661" s="168"/>
      <c r="O661" s="168"/>
      <c r="P661" s="321"/>
      <c r="Q661" s="175"/>
      <c r="R661" s="175"/>
      <c r="Y661" s="72"/>
      <c r="Z661" s="170"/>
      <c r="AA661" s="159"/>
      <c r="AB661" s="171"/>
      <c r="AC661" s="172"/>
      <c r="AD661" s="185" t="s">
        <v>4</v>
      </c>
    </row>
    <row r="662" spans="1:30" ht="17.100000000000001" customHeight="1" x14ac:dyDescent="0.25">
      <c r="A662" s="308"/>
      <c r="B662" s="149"/>
      <c r="C662" s="173"/>
      <c r="D662" s="166"/>
      <c r="E662" s="312"/>
      <c r="G662" s="306"/>
      <c r="H662" s="162"/>
      <c r="I662" s="305"/>
      <c r="J662" s="317"/>
      <c r="K662" s="318"/>
      <c r="L662" s="318"/>
      <c r="M662" s="318"/>
      <c r="N662" s="168"/>
      <c r="O662" s="168"/>
      <c r="P662" s="321"/>
      <c r="Q662" s="175"/>
      <c r="Y662" s="72"/>
      <c r="Z662" s="170"/>
      <c r="AA662" s="159"/>
      <c r="AB662" s="171"/>
      <c r="AC662" s="172"/>
      <c r="AD662" s="185" t="s">
        <v>4</v>
      </c>
    </row>
    <row r="663" spans="1:30" ht="17.100000000000001" customHeight="1" x14ac:dyDescent="0.25">
      <c r="A663" s="308"/>
      <c r="B663" s="149"/>
      <c r="C663" s="173"/>
      <c r="D663" s="166"/>
      <c r="E663" s="312"/>
      <c r="G663" s="306"/>
      <c r="H663" s="162"/>
      <c r="I663" s="305"/>
      <c r="J663" s="317"/>
      <c r="K663" s="318"/>
      <c r="L663" s="318"/>
      <c r="M663" s="318"/>
      <c r="N663" s="168"/>
      <c r="O663" s="168"/>
      <c r="P663" s="321"/>
      <c r="Q663" s="175"/>
      <c r="R663" s="175"/>
      <c r="Y663" s="72"/>
      <c r="Z663" s="170"/>
      <c r="AA663" s="159"/>
      <c r="AB663" s="171"/>
      <c r="AC663" s="172"/>
      <c r="AD663" s="185" t="s">
        <v>4</v>
      </c>
    </row>
    <row r="664" spans="1:30" ht="17.100000000000001" customHeight="1" x14ac:dyDescent="0.25">
      <c r="A664" s="308"/>
      <c r="B664" s="149"/>
      <c r="C664" s="173"/>
      <c r="D664" s="166"/>
      <c r="E664" s="312"/>
      <c r="G664" s="306"/>
      <c r="H664" s="162"/>
      <c r="I664" s="305"/>
      <c r="J664" s="317"/>
      <c r="K664" s="318"/>
      <c r="L664" s="318"/>
      <c r="M664" s="318"/>
      <c r="N664" s="168"/>
      <c r="O664" s="168"/>
      <c r="P664" s="321"/>
      <c r="Q664" s="175"/>
      <c r="Y664" s="72"/>
      <c r="Z664" s="170"/>
      <c r="AA664" s="159"/>
      <c r="AB664" s="171"/>
      <c r="AC664" s="172"/>
    </row>
  </sheetData>
  <mergeCells count="8">
    <mergeCell ref="Q3:Y3"/>
    <mergeCell ref="AE1:AF1"/>
    <mergeCell ref="AA1:AC1"/>
    <mergeCell ref="A1:Z1"/>
    <mergeCell ref="A2:Z2"/>
    <mergeCell ref="B3:E3"/>
    <mergeCell ref="H3:P3"/>
    <mergeCell ref="AA3:AC3"/>
  </mergeCells>
  <conditionalFormatting sqref="K1:M1 K4:M1048576">
    <cfRule type="cellIs" dxfId="181" priority="34" operator="equal">
      <formula>"y"</formula>
    </cfRule>
  </conditionalFormatting>
  <conditionalFormatting sqref="A1:AC1 A22:AC25 A18:P21 R18:AC21 A30:AC1048576 A26:Q29 S26:AC29 AA2:AC2 H3 A2:A3 A4:AC17 Q3:AA3">
    <cfRule type="cellIs" dxfId="180" priority="31" stopIfTrue="1" operator="equal">
      <formula>"n/a"</formula>
    </cfRule>
  </conditionalFormatting>
  <conditionalFormatting sqref="G6:G200">
    <cfRule type="containsText" dxfId="179" priority="32" operator="containsText" text="*">
      <formula>NOT(ISERROR(SEARCH("*",G6)))</formula>
    </cfRule>
  </conditionalFormatting>
  <conditionalFormatting sqref="H1 H3:H1048576">
    <cfRule type="containsText" dxfId="178" priority="30" operator="containsText" text="^">
      <formula>NOT(ISERROR(SEARCH("^",H1)))</formula>
    </cfRule>
  </conditionalFormatting>
  <conditionalFormatting sqref="O1 O4:O1048576">
    <cfRule type="duplicateValues" dxfId="177" priority="69"/>
  </conditionalFormatting>
  <conditionalFormatting sqref="N1 N4:N1048576">
    <cfRule type="duplicateValues" dxfId="176" priority="199"/>
    <cfRule type="containsText" dxfId="175" priority="201" operator="containsText" text=" ">
      <formula>NOT(ISERROR(SEARCH(" ",N1)))</formula>
    </cfRule>
  </conditionalFormatting>
  <conditionalFormatting sqref="Q1 Q22:Q1048576 Q3:Q17">
    <cfRule type="duplicateValues" dxfId="174" priority="203"/>
  </conditionalFormatting>
  <conditionalFormatting sqref="R1 R30:R1048576 R3:R25">
    <cfRule type="duplicateValues" dxfId="173" priority="205"/>
  </conditionalFormatting>
  <conditionalFormatting sqref="U1:V1 U3:V1048576">
    <cfRule type="duplicateValues" dxfId="172" priority="209"/>
  </conditionalFormatting>
  <conditionalFormatting sqref="P1 P4:P1048576">
    <cfRule type="duplicateValues" dxfId="171" priority="207"/>
  </conditionalFormatting>
  <conditionalFormatting sqref="I1 I4:I1048576">
    <cfRule type="containsBlanks" dxfId="170" priority="70">
      <formula>LEN(TRIM(I1))=0</formula>
    </cfRule>
    <cfRule type="cellIs" dxfId="169" priority="71" operator="equal">
      <formula>"reject"</formula>
    </cfRule>
    <cfRule type="cellIs" dxfId="168" priority="172" operator="equal">
      <formula>"dupe"</formula>
    </cfRule>
  </conditionalFormatting>
  <conditionalFormatting sqref="Q18:Q21">
    <cfRule type="cellIs" dxfId="167" priority="8" stopIfTrue="1" operator="equal">
      <formula>"n/a"</formula>
    </cfRule>
  </conditionalFormatting>
  <conditionalFormatting sqref="R26:R29">
    <cfRule type="cellIs" dxfId="166" priority="7" stopIfTrue="1" operator="equal">
      <formula>"n/a"</formula>
    </cfRule>
  </conditionalFormatting>
  <conditionalFormatting sqref="J5">
    <cfRule type="containsBlanks" dxfId="165" priority="4">
      <formula>LEN(TRIM(J5))=0</formula>
    </cfRule>
    <cfRule type="cellIs" dxfId="164" priority="5" operator="equal">
      <formula>"reject"</formula>
    </cfRule>
    <cfRule type="cellIs" dxfId="163" priority="6" operator="equal">
      <formula>"dupe"</formula>
    </cfRule>
  </conditionalFormatting>
  <conditionalFormatting sqref="J4">
    <cfRule type="containsBlanks" dxfId="162" priority="1">
      <formula>LEN(TRIM(J4))=0</formula>
    </cfRule>
    <cfRule type="cellIs" dxfId="161" priority="2" operator="equal">
      <formula>"reject"</formula>
    </cfRule>
    <cfRule type="cellIs" dxfId="160" priority="3" operator="equal">
      <formula>"dupe"</formula>
    </cfRule>
  </conditionalFormatting>
  <pageMargins left="0.7" right="0.7" top="0.75" bottom="0.75" header="0.3" footer="0.3"/>
  <pageSetup orientation="portrait" r:id="rId1"/>
  <legacyDrawing r:id="rId2"/>
  <tableParts count="2">
    <tablePart r:id="rId3"/>
    <tablePart r:id="rId4"/>
  </tableParts>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16BDE138-FB0C-4134-AC3E-B940F6CFA413}">
          <x14:formula1>
            <xm:f>'Data Validation'!$E$2:$E$4</xm:f>
          </x14:formula1>
          <xm:sqref>A63</xm:sqref>
        </x14:dataValidation>
        <x14:dataValidation type="list" errorStyle="information" allowBlank="1" showInputMessage="1" showErrorMessage="1" xr:uid="{076E70B1-C303-4E67-B18A-4C28CFFA8872}">
          <x14:formula1>
            <xm:f>'Data Validation'!$C$2:$C$20</xm:f>
          </x14:formula1>
          <xm:sqref>E6:E23 E25:E30 E32:E664</xm:sqref>
        </x14:dataValidation>
        <x14:dataValidation type="list" allowBlank="1" showInputMessage="1" showErrorMessage="1" xr:uid="{6F009C75-D0C3-4D2B-8C11-05495572F565}">
          <x14:formula1>
            <xm:f>'Data Validation'!$A$2:$A$11</xm:f>
          </x14:formula1>
          <xm:sqref>I6:I200</xm:sqref>
        </x14:dataValidation>
        <x14:dataValidation type="list" allowBlank="1" showInputMessage="1" showErrorMessage="1" xr:uid="{30143516-1812-4014-939F-527E719EDEC3}">
          <x14:formula1>
            <xm:f>'Data Validation'!$C$2:$C$18</xm:f>
          </x14:formula1>
          <xm:sqref>F6:F200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C2B25-1046-4F4F-98D9-89B758371CB1}">
  <sheetPr codeName="Sheet11">
    <tabColor theme="9" tint="-0.249977111117893"/>
  </sheetPr>
  <dimension ref="A1:HL201"/>
  <sheetViews>
    <sheetView zoomScaleNormal="100" workbookViewId="0">
      <selection activeCell="A3" sqref="A3"/>
    </sheetView>
  </sheetViews>
  <sheetFormatPr defaultRowHeight="17.100000000000001" customHeight="1" x14ac:dyDescent="0.25"/>
  <cols>
    <col min="1" max="1" width="19.140625" customWidth="1"/>
    <col min="2" max="2" width="7.7109375" style="199" customWidth="1"/>
    <col min="3" max="3" width="9.140625" style="51"/>
    <col min="4" max="4" width="4.7109375" style="196" customWidth="1"/>
    <col min="5" max="5" width="8.7109375" style="197" customWidth="1"/>
    <col min="6" max="6" width="8.7109375" style="263" customWidth="1"/>
    <col min="7" max="7" width="15.7109375" style="198" customWidth="1"/>
    <col min="8" max="8" width="20.7109375" style="264" customWidth="1"/>
    <col min="9" max="9" width="16.7109375" style="86" customWidth="1"/>
    <col min="10" max="10" width="8.7109375" style="196" customWidth="1"/>
    <col min="11" max="11" width="3.7109375" style="261" customWidth="1"/>
    <col min="12" max="12" width="8.7109375" style="86" customWidth="1"/>
    <col min="13" max="14" width="8.7109375" style="165" customWidth="1"/>
    <col min="15" max="15" width="13.7109375" style="265" customWidth="1"/>
    <col min="16" max="17" width="13.7109375" style="266" customWidth="1"/>
    <col min="18" max="18" width="30.7109375" style="267" customWidth="1"/>
    <col min="19" max="19" width="30.7109375" style="196" customWidth="1"/>
    <col min="20" max="24" width="15.7109375" style="196" customWidth="1"/>
    <col min="25" max="25" width="7.7109375" style="196" customWidth="1"/>
    <col min="26" max="26" width="10.7109375" style="268" customWidth="1"/>
    <col min="27" max="27" width="3.7109375" style="269" customWidth="1"/>
    <col min="28" max="28" width="3.7109375" style="260" customWidth="1"/>
    <col min="29" max="29" width="10.7109375" style="270" customWidth="1"/>
    <col min="30" max="30" width="14.85546875" style="271" customWidth="1"/>
    <col min="31" max="31" width="3.7109375" style="258" customWidth="1"/>
    <col min="32" max="32" width="12.7109375" style="259" customWidth="1"/>
    <col min="33" max="33" width="12.7109375" style="260" customWidth="1"/>
    <col min="34" max="34" width="3.7109375" style="260" customWidth="1"/>
    <col min="35" max="35" width="24.7109375" style="261" customWidth="1"/>
    <col min="36" max="36" width="9.140625" style="260"/>
    <col min="37" max="16384" width="9.140625" style="1"/>
  </cols>
  <sheetData>
    <row r="1" spans="1:220" customFormat="1" ht="17.100000000000001" customHeight="1" x14ac:dyDescent="0.25">
      <c r="A1" s="56" t="s">
        <v>190</v>
      </c>
      <c r="B1" s="82"/>
      <c r="C1" s="120"/>
      <c r="D1" s="83"/>
      <c r="E1" s="84"/>
      <c r="F1" s="121"/>
      <c r="G1" s="85"/>
      <c r="H1" s="122"/>
      <c r="I1" s="123"/>
      <c r="J1" s="87"/>
      <c r="K1" s="120"/>
      <c r="L1" s="124"/>
      <c r="M1" s="88"/>
      <c r="N1" s="88"/>
      <c r="O1" s="125"/>
      <c r="P1" s="89"/>
      <c r="Q1" s="89"/>
      <c r="R1" s="126"/>
      <c r="S1" s="83"/>
      <c r="T1" s="83"/>
      <c r="U1" s="83"/>
      <c r="V1" s="83"/>
      <c r="W1" s="83"/>
      <c r="X1" s="83"/>
      <c r="Y1" s="83"/>
      <c r="Z1" s="90"/>
      <c r="AA1" s="91"/>
      <c r="AB1" s="92"/>
      <c r="AC1" s="93"/>
      <c r="AD1" s="94"/>
      <c r="AE1" s="95"/>
      <c r="AF1" s="96"/>
      <c r="AG1" s="92"/>
      <c r="AH1" s="92"/>
      <c r="AI1" s="120"/>
      <c r="AJ1" s="92"/>
    </row>
    <row r="2" spans="1:220" customFormat="1" ht="17.100000000000001" customHeight="1" x14ac:dyDescent="0.25">
      <c r="A2" s="298" t="s">
        <v>281</v>
      </c>
      <c r="B2" s="82"/>
      <c r="C2" s="120"/>
      <c r="D2" s="83"/>
      <c r="E2" s="84"/>
      <c r="F2" s="121"/>
      <c r="G2" s="85"/>
      <c r="H2" s="122"/>
      <c r="I2" s="123"/>
      <c r="J2" s="87"/>
      <c r="K2" s="120"/>
      <c r="L2" s="124"/>
      <c r="M2" s="88"/>
      <c r="N2" s="88"/>
      <c r="O2" s="125"/>
      <c r="P2" s="89"/>
      <c r="Q2" s="89"/>
      <c r="R2" s="126"/>
      <c r="S2" s="83"/>
      <c r="T2" s="83"/>
      <c r="U2" s="83"/>
      <c r="V2" s="83"/>
      <c r="W2" s="83"/>
      <c r="X2" s="83"/>
      <c r="Y2" s="83"/>
      <c r="Z2" s="90"/>
      <c r="AA2" s="91"/>
      <c r="AB2" s="92"/>
      <c r="AC2" s="93"/>
      <c r="AD2" s="94"/>
      <c r="AE2" s="95"/>
      <c r="AF2" s="96"/>
      <c r="AG2" s="92"/>
      <c r="AH2" s="92"/>
      <c r="AI2" s="120"/>
      <c r="AJ2" s="92"/>
    </row>
    <row r="3" spans="1:220" customFormat="1" ht="17.100000000000001" customHeight="1" x14ac:dyDescent="0.25">
      <c r="A3" s="56"/>
      <c r="B3" s="82"/>
      <c r="C3" s="120"/>
      <c r="D3" s="83"/>
      <c r="E3" s="84"/>
      <c r="F3" s="121"/>
      <c r="G3" s="85"/>
      <c r="H3" s="122"/>
      <c r="I3" s="123"/>
      <c r="J3" s="87"/>
      <c r="K3" s="120"/>
      <c r="L3" s="124"/>
      <c r="M3" s="88"/>
      <c r="N3" s="88"/>
      <c r="O3" s="125"/>
      <c r="P3" s="89"/>
      <c r="Q3" s="89"/>
      <c r="R3" s="126"/>
      <c r="S3" s="83"/>
      <c r="T3" s="83"/>
      <c r="U3" s="83"/>
      <c r="V3" s="83"/>
      <c r="W3" s="83"/>
      <c r="X3" s="83"/>
      <c r="Y3" s="83"/>
      <c r="Z3" s="90"/>
      <c r="AA3" s="91"/>
      <c r="AB3" s="92"/>
      <c r="AC3" s="93"/>
      <c r="AD3" s="94"/>
      <c r="AE3" s="95"/>
      <c r="AF3" s="96"/>
      <c r="AG3" s="92"/>
      <c r="AH3" s="92"/>
      <c r="AI3" s="120"/>
      <c r="AJ3" s="92"/>
    </row>
    <row r="4" spans="1:220" s="5" customFormat="1" ht="20.100000000000001" customHeight="1" x14ac:dyDescent="0.25">
      <c r="A4" s="56" t="s">
        <v>159</v>
      </c>
      <c r="B4" s="342" t="s">
        <v>158</v>
      </c>
      <c r="C4" s="342"/>
      <c r="D4" s="342"/>
      <c r="E4" s="342"/>
      <c r="F4" s="342"/>
      <c r="G4" s="342"/>
      <c r="H4" s="342"/>
      <c r="I4" s="342"/>
      <c r="J4" s="342"/>
      <c r="K4" s="342"/>
      <c r="L4" s="342"/>
      <c r="M4" s="342"/>
      <c r="N4" s="342"/>
      <c r="O4" s="342"/>
      <c r="P4" s="342"/>
      <c r="Q4" s="342"/>
      <c r="R4" s="342"/>
      <c r="S4" s="342"/>
      <c r="T4" s="342"/>
      <c r="U4" s="342"/>
      <c r="V4" s="342"/>
      <c r="W4" s="342"/>
      <c r="X4" s="342"/>
      <c r="Y4" s="343"/>
      <c r="Z4" s="46"/>
      <c r="AA4" s="47"/>
      <c r="AB4" s="48"/>
      <c r="AC4" s="48"/>
      <c r="AD4" s="38"/>
      <c r="AE4" s="39"/>
      <c r="AF4" s="344" t="s">
        <v>0</v>
      </c>
      <c r="AG4" s="345"/>
      <c r="AH4" s="5" t="s">
        <v>222</v>
      </c>
    </row>
    <row r="5" spans="1:220" s="5" customFormat="1" ht="20.100000000000001" customHeight="1" x14ac:dyDescent="0.25">
      <c r="A5" s="56"/>
      <c r="B5" s="21"/>
      <c r="C5" s="36" t="s">
        <v>1</v>
      </c>
      <c r="D5" s="346"/>
      <c r="E5" s="346"/>
      <c r="F5" s="346"/>
      <c r="G5" s="346"/>
      <c r="H5" s="346"/>
      <c r="I5" s="346"/>
      <c r="J5" s="346"/>
      <c r="K5" s="346"/>
      <c r="L5" s="346"/>
      <c r="M5" s="346"/>
      <c r="N5" s="346"/>
      <c r="O5" s="346"/>
      <c r="P5" s="346"/>
      <c r="Q5" s="346"/>
      <c r="R5" s="346"/>
      <c r="S5" s="346"/>
      <c r="T5" s="346"/>
      <c r="U5" s="346"/>
      <c r="V5" s="346"/>
      <c r="W5" s="346"/>
      <c r="X5" s="346"/>
      <c r="Y5" s="347"/>
      <c r="Z5" s="119">
        <f>SUM(Z8:Z201)</f>
        <v>0</v>
      </c>
      <c r="AA5" s="3" t="s">
        <v>2</v>
      </c>
      <c r="AB5" s="4"/>
      <c r="AC5" s="4"/>
      <c r="AD5" s="45"/>
      <c r="AE5" s="39"/>
      <c r="AF5" s="9" t="e" vm="1">
        <v>#VALUE!</v>
      </c>
      <c r="AG5" s="10" cm="1">
        <f t="array" ref="AG5">_FV(AF5,"Price",TRUE)</f>
        <v>7.4050000000000001E-3</v>
      </c>
      <c r="AI5"/>
      <c r="AJ5"/>
    </row>
    <row r="6" spans="1:220" s="6" customFormat="1" ht="20.100000000000001" customHeight="1" x14ac:dyDescent="0.25">
      <c r="A6" s="56" t="s">
        <v>160</v>
      </c>
      <c r="B6" s="114"/>
      <c r="C6" s="348" t="s">
        <v>3</v>
      </c>
      <c r="D6" s="349"/>
      <c r="E6" s="350"/>
      <c r="F6" s="22"/>
      <c r="G6" s="20"/>
      <c r="H6" s="24"/>
      <c r="I6" s="32"/>
      <c r="J6" s="23" t="s">
        <v>4</v>
      </c>
      <c r="K6" s="29" t="s">
        <v>4</v>
      </c>
      <c r="L6" s="348" t="s">
        <v>5</v>
      </c>
      <c r="M6" s="349"/>
      <c r="N6" s="351"/>
      <c r="O6" s="348" t="s">
        <v>6</v>
      </c>
      <c r="P6" s="349"/>
      <c r="Q6" s="351"/>
      <c r="R6" s="348" t="s">
        <v>7</v>
      </c>
      <c r="S6" s="349"/>
      <c r="T6" s="349"/>
      <c r="U6" s="349"/>
      <c r="V6" s="349"/>
      <c r="W6" s="349"/>
      <c r="X6" s="349"/>
      <c r="Y6" s="351"/>
      <c r="Z6" s="26"/>
      <c r="AA6" s="20"/>
      <c r="AB6" s="20"/>
      <c r="AC6" s="20"/>
      <c r="AD6" s="26"/>
      <c r="AE6" s="40"/>
      <c r="AF6" s="11" t="e" vm="2">
        <v>#VALUE!</v>
      </c>
      <c r="AG6" s="12" cm="1">
        <f t="array" ref="AG6">_FV(AF6,"Price",TRUE)</f>
        <v>7.718E-4</v>
      </c>
    </row>
    <row r="7" spans="1:220" s="7" customFormat="1" ht="14.1" customHeight="1" x14ac:dyDescent="0.25">
      <c r="A7" s="56" t="s">
        <v>161</v>
      </c>
      <c r="B7" s="2">
        <v>1</v>
      </c>
      <c r="C7" s="27">
        <v>3</v>
      </c>
      <c r="D7" s="2">
        <v>4</v>
      </c>
      <c r="E7" s="2">
        <v>5</v>
      </c>
      <c r="F7" s="15">
        <v>6</v>
      </c>
      <c r="G7" s="2">
        <v>2</v>
      </c>
      <c r="H7" s="14">
        <v>7</v>
      </c>
      <c r="I7" s="33">
        <v>8</v>
      </c>
      <c r="J7" s="2">
        <v>9</v>
      </c>
      <c r="K7" s="30">
        <v>10</v>
      </c>
      <c r="L7" s="27" t="s">
        <v>8</v>
      </c>
      <c r="M7" s="2">
        <v>12</v>
      </c>
      <c r="N7" s="2">
        <v>13</v>
      </c>
      <c r="O7" s="27">
        <v>14</v>
      </c>
      <c r="P7" s="2">
        <v>15</v>
      </c>
      <c r="Q7" s="2">
        <v>16</v>
      </c>
      <c r="R7" s="27">
        <v>17</v>
      </c>
      <c r="S7" s="2">
        <v>18</v>
      </c>
      <c r="T7" s="2">
        <v>19</v>
      </c>
      <c r="U7" s="2">
        <v>20</v>
      </c>
      <c r="V7" s="2">
        <v>21</v>
      </c>
      <c r="W7" s="2">
        <v>22</v>
      </c>
      <c r="X7" s="2">
        <v>23</v>
      </c>
      <c r="Y7" s="2">
        <v>24</v>
      </c>
      <c r="Z7" s="27">
        <v>25</v>
      </c>
      <c r="AA7" s="2">
        <v>26</v>
      </c>
      <c r="AB7" s="2">
        <v>27</v>
      </c>
      <c r="AC7" s="2">
        <v>28</v>
      </c>
      <c r="AD7" s="27">
        <v>29</v>
      </c>
      <c r="AE7" s="41"/>
      <c r="AF7"/>
      <c r="AG7"/>
    </row>
    <row r="8" spans="1:220" s="6" customFormat="1" ht="39.950000000000003" customHeight="1" x14ac:dyDescent="0.25">
      <c r="A8" s="56" t="s">
        <v>162</v>
      </c>
      <c r="B8" s="18" t="s">
        <v>9</v>
      </c>
      <c r="C8" s="37" t="s">
        <v>10</v>
      </c>
      <c r="D8" s="49" t="s">
        <v>11</v>
      </c>
      <c r="E8" s="17" t="s">
        <v>195</v>
      </c>
      <c r="F8" s="44" t="s">
        <v>12</v>
      </c>
      <c r="G8" s="35" t="s">
        <v>13</v>
      </c>
      <c r="H8" s="16" t="s">
        <v>14</v>
      </c>
      <c r="I8" s="34" t="s">
        <v>15</v>
      </c>
      <c r="J8" s="19" t="s">
        <v>16</v>
      </c>
      <c r="K8" s="31" t="s">
        <v>17</v>
      </c>
      <c r="L8" s="25" t="s">
        <v>18</v>
      </c>
      <c r="M8" s="17" t="s">
        <v>19</v>
      </c>
      <c r="N8" s="17" t="s">
        <v>20</v>
      </c>
      <c r="O8" s="25" t="s">
        <v>21</v>
      </c>
      <c r="P8" s="17" t="s">
        <v>22</v>
      </c>
      <c r="Q8" s="19" t="s">
        <v>23</v>
      </c>
      <c r="R8" s="28" t="s">
        <v>24</v>
      </c>
      <c r="S8" s="19" t="s">
        <v>25</v>
      </c>
      <c r="T8" s="19" t="s">
        <v>26</v>
      </c>
      <c r="U8" s="19" t="s">
        <v>27</v>
      </c>
      <c r="V8" s="19" t="s">
        <v>28</v>
      </c>
      <c r="W8" s="19" t="s">
        <v>29</v>
      </c>
      <c r="X8" s="19" t="s">
        <v>30</v>
      </c>
      <c r="Y8" s="17" t="s">
        <v>76</v>
      </c>
      <c r="Z8" s="25" t="s">
        <v>31</v>
      </c>
      <c r="AA8" s="8" t="s">
        <v>32</v>
      </c>
      <c r="AB8" s="17" t="s">
        <v>33</v>
      </c>
      <c r="AC8" s="17" t="s">
        <v>34</v>
      </c>
      <c r="AD8" s="25" t="s">
        <v>35</v>
      </c>
      <c r="AE8" s="40"/>
      <c r="AI8" s="43" t="s">
        <v>36</v>
      </c>
      <c r="AJ8" s="5" t="s">
        <v>223</v>
      </c>
    </row>
    <row r="9" spans="1:220" s="5" customFormat="1" ht="17.100000000000001" customHeight="1" x14ac:dyDescent="0.25">
      <c r="A9" s="56" t="s">
        <v>163</v>
      </c>
      <c r="B9" s="201" t="s">
        <v>175</v>
      </c>
      <c r="C9" s="202" t="s">
        <v>175</v>
      </c>
      <c r="D9" s="150" t="s">
        <v>175</v>
      </c>
      <c r="E9" s="154" t="s">
        <v>175</v>
      </c>
      <c r="F9" s="203" t="s">
        <v>175</v>
      </c>
      <c r="G9" s="150" t="s">
        <v>175</v>
      </c>
      <c r="H9" s="204" t="s">
        <v>175</v>
      </c>
      <c r="I9" s="129" t="s">
        <v>176</v>
      </c>
      <c r="J9" s="150" t="s">
        <v>175</v>
      </c>
      <c r="K9" s="131" t="s">
        <v>175</v>
      </c>
      <c r="L9" s="205" t="s">
        <v>176</v>
      </c>
      <c r="M9" s="153" t="s">
        <v>176</v>
      </c>
      <c r="N9" s="153" t="s">
        <v>176</v>
      </c>
      <c r="O9" s="206" t="s">
        <v>176</v>
      </c>
      <c r="P9" s="154" t="s">
        <v>176</v>
      </c>
      <c r="Q9" s="154" t="s">
        <v>176</v>
      </c>
      <c r="R9" s="202" t="s">
        <v>176</v>
      </c>
      <c r="S9" s="150" t="s">
        <v>176</v>
      </c>
      <c r="T9" s="150" t="s">
        <v>176</v>
      </c>
      <c r="U9" s="150" t="s">
        <v>176</v>
      </c>
      <c r="V9" s="150" t="s">
        <v>176</v>
      </c>
      <c r="W9" s="150" t="s">
        <v>176</v>
      </c>
      <c r="X9" s="150" t="s">
        <v>176</v>
      </c>
      <c r="Y9" s="154" t="s">
        <v>176</v>
      </c>
      <c r="Z9" s="207" t="s">
        <v>176</v>
      </c>
      <c r="AA9" s="208" t="s">
        <v>175</v>
      </c>
      <c r="AB9" s="150" t="s">
        <v>176</v>
      </c>
      <c r="AC9" s="154" t="s">
        <v>176</v>
      </c>
      <c r="AD9" s="202" t="s">
        <v>176</v>
      </c>
      <c r="AE9" s="185" t="s">
        <v>4</v>
      </c>
      <c r="AF9" s="186"/>
      <c r="AG9" s="186"/>
      <c r="AI9" s="42"/>
    </row>
    <row r="10" spans="1:220" s="5" customFormat="1" ht="17.100000000000001" customHeight="1" x14ac:dyDescent="0.25">
      <c r="A10" s="56" t="s">
        <v>164</v>
      </c>
      <c r="B10" s="130" t="s">
        <v>185</v>
      </c>
      <c r="C10" s="209" t="s">
        <v>177</v>
      </c>
      <c r="D10" s="210" t="s">
        <v>177</v>
      </c>
      <c r="E10" s="211" t="s">
        <v>180</v>
      </c>
      <c r="F10" s="130" t="s">
        <v>186</v>
      </c>
      <c r="G10" s="150" t="s">
        <v>177</v>
      </c>
      <c r="H10" s="204" t="s">
        <v>177</v>
      </c>
      <c r="I10" s="212" t="s">
        <v>177</v>
      </c>
      <c r="J10" s="150" t="s">
        <v>177</v>
      </c>
      <c r="K10" s="128" t="s">
        <v>177</v>
      </c>
      <c r="L10" s="205" t="s">
        <v>177</v>
      </c>
      <c r="M10" s="153" t="s">
        <v>177</v>
      </c>
      <c r="N10" s="153" t="s">
        <v>177</v>
      </c>
      <c r="O10" s="206" t="s">
        <v>178</v>
      </c>
      <c r="P10" s="154" t="s">
        <v>178</v>
      </c>
      <c r="Q10" s="154" t="s">
        <v>178</v>
      </c>
      <c r="R10" s="202" t="s">
        <v>177</v>
      </c>
      <c r="S10" s="150" t="s">
        <v>177</v>
      </c>
      <c r="T10" s="150" t="s">
        <v>177</v>
      </c>
      <c r="U10" s="150" t="s">
        <v>177</v>
      </c>
      <c r="V10" s="150" t="s">
        <v>177</v>
      </c>
      <c r="W10" s="150" t="s">
        <v>177</v>
      </c>
      <c r="X10" s="150" t="s">
        <v>177</v>
      </c>
      <c r="Y10" s="154" t="s">
        <v>177</v>
      </c>
      <c r="Z10" s="207" t="s">
        <v>179</v>
      </c>
      <c r="AA10" s="208" t="s">
        <v>180</v>
      </c>
      <c r="AB10" s="150" t="s">
        <v>177</v>
      </c>
      <c r="AC10" s="154" t="s">
        <v>178</v>
      </c>
      <c r="AD10" s="202" t="s">
        <v>177</v>
      </c>
      <c r="AE10" s="185" t="s">
        <v>115</v>
      </c>
      <c r="AF10" s="186"/>
      <c r="AG10" s="186"/>
      <c r="AI10" s="42"/>
      <c r="HL10" s="5" t="s">
        <v>38</v>
      </c>
    </row>
    <row r="11" spans="1:220" s="5" customFormat="1" ht="17.100000000000001" customHeight="1" x14ac:dyDescent="0.25">
      <c r="A11" s="56" t="s">
        <v>165</v>
      </c>
      <c r="B11" s="210" t="s">
        <v>260</v>
      </c>
      <c r="C11" s="209" t="s">
        <v>181</v>
      </c>
      <c r="D11" s="210" t="s">
        <v>181</v>
      </c>
      <c r="E11" s="211" t="s">
        <v>181</v>
      </c>
      <c r="F11" s="213" t="s">
        <v>181</v>
      </c>
      <c r="G11" s="150" t="s">
        <v>181</v>
      </c>
      <c r="H11" s="204" t="s">
        <v>187</v>
      </c>
      <c r="I11" s="214" t="s">
        <v>182</v>
      </c>
      <c r="J11" s="215" t="s">
        <v>183</v>
      </c>
      <c r="K11" s="128" t="s">
        <v>181</v>
      </c>
      <c r="L11" s="205" t="s">
        <v>181</v>
      </c>
      <c r="M11" s="153" t="s">
        <v>181</v>
      </c>
      <c r="N11" s="153" t="s">
        <v>184</v>
      </c>
      <c r="O11" s="206" t="s">
        <v>188</v>
      </c>
      <c r="P11" s="216" t="s">
        <v>188</v>
      </c>
      <c r="Q11" s="217" t="s">
        <v>189</v>
      </c>
      <c r="R11" s="202" t="s">
        <v>181</v>
      </c>
      <c r="S11" s="150" t="s">
        <v>181</v>
      </c>
      <c r="T11" s="150" t="s">
        <v>181</v>
      </c>
      <c r="U11" s="150" t="s">
        <v>181</v>
      </c>
      <c r="V11" s="150" t="s">
        <v>181</v>
      </c>
      <c r="W11" s="150" t="s">
        <v>181</v>
      </c>
      <c r="X11" s="150" t="s">
        <v>181</v>
      </c>
      <c r="Y11" s="154" t="s">
        <v>181</v>
      </c>
      <c r="Z11" s="207" t="s">
        <v>181</v>
      </c>
      <c r="AA11" s="208" t="s">
        <v>181</v>
      </c>
      <c r="AB11" s="150" t="s">
        <v>181</v>
      </c>
      <c r="AC11" s="154" t="s">
        <v>181</v>
      </c>
      <c r="AD11" s="218"/>
      <c r="AE11" s="185" t="s">
        <v>4</v>
      </c>
      <c r="AF11" s="186"/>
      <c r="AG11" s="186"/>
      <c r="AI11" s="42"/>
    </row>
    <row r="12" spans="1:220" s="5" customFormat="1" ht="17.100000000000001" customHeight="1" x14ac:dyDescent="0.25">
      <c r="A12" s="56" t="s">
        <v>166</v>
      </c>
      <c r="B12" s="210" t="s">
        <v>4</v>
      </c>
      <c r="C12" s="209" t="s">
        <v>4</v>
      </c>
      <c r="D12" s="210" t="s">
        <v>4</v>
      </c>
      <c r="E12" s="211" t="s">
        <v>4</v>
      </c>
      <c r="F12" s="213" t="s">
        <v>4</v>
      </c>
      <c r="G12" s="150" t="s">
        <v>4</v>
      </c>
      <c r="H12" s="204" t="s">
        <v>4</v>
      </c>
      <c r="I12" s="212" t="s">
        <v>4</v>
      </c>
      <c r="J12" s="150" t="s">
        <v>4</v>
      </c>
      <c r="K12" s="128" t="s">
        <v>4</v>
      </c>
      <c r="L12" s="205" t="s">
        <v>4</v>
      </c>
      <c r="M12" s="153" t="s">
        <v>4</v>
      </c>
      <c r="N12" s="153" t="s">
        <v>4</v>
      </c>
      <c r="O12" s="206" t="s">
        <v>4</v>
      </c>
      <c r="P12" s="216" t="s">
        <v>4</v>
      </c>
      <c r="Q12" s="217" t="s">
        <v>4</v>
      </c>
      <c r="R12" s="202" t="s">
        <v>4</v>
      </c>
      <c r="S12" s="150" t="s">
        <v>4</v>
      </c>
      <c r="T12" s="150" t="s">
        <v>4</v>
      </c>
      <c r="U12" s="150" t="s">
        <v>4</v>
      </c>
      <c r="V12" s="150" t="s">
        <v>4</v>
      </c>
      <c r="W12" s="150" t="s">
        <v>4</v>
      </c>
      <c r="X12" s="150" t="s">
        <v>4</v>
      </c>
      <c r="Y12" s="154" t="s">
        <v>4</v>
      </c>
      <c r="Z12" s="207" t="s">
        <v>4</v>
      </c>
      <c r="AA12" s="208" t="s">
        <v>4</v>
      </c>
      <c r="AB12" s="150" t="s">
        <v>4</v>
      </c>
      <c r="AC12" s="154" t="s">
        <v>4</v>
      </c>
      <c r="AD12" s="202" t="s">
        <v>4</v>
      </c>
      <c r="AE12" s="185" t="s">
        <v>4</v>
      </c>
      <c r="AF12" s="186"/>
      <c r="AG12" s="186"/>
      <c r="AI12" s="42"/>
    </row>
    <row r="13" spans="1:220" s="5" customFormat="1" ht="17.100000000000001" customHeight="1" x14ac:dyDescent="0.25">
      <c r="A13" s="56" t="s">
        <v>167</v>
      </c>
      <c r="B13" s="210" t="s">
        <v>181</v>
      </c>
      <c r="C13" s="209" t="s">
        <v>181</v>
      </c>
      <c r="D13" s="210" t="s">
        <v>191</v>
      </c>
      <c r="E13" s="211" t="s">
        <v>181</v>
      </c>
      <c r="F13" s="213" t="s">
        <v>181</v>
      </c>
      <c r="G13" s="150" t="s">
        <v>191</v>
      </c>
      <c r="H13" s="204" t="s">
        <v>181</v>
      </c>
      <c r="I13" s="212" t="s">
        <v>181</v>
      </c>
      <c r="J13" s="150" t="s">
        <v>191</v>
      </c>
      <c r="K13" s="128" t="s">
        <v>181</v>
      </c>
      <c r="L13" s="205" t="s">
        <v>181</v>
      </c>
      <c r="M13" s="153" t="s">
        <v>181</v>
      </c>
      <c r="N13" s="153" t="s">
        <v>181</v>
      </c>
      <c r="O13" s="206" t="s">
        <v>181</v>
      </c>
      <c r="P13" s="154" t="s">
        <v>181</v>
      </c>
      <c r="Q13" s="154" t="s">
        <v>181</v>
      </c>
      <c r="R13" s="202" t="s">
        <v>181</v>
      </c>
      <c r="S13" s="150" t="s">
        <v>181</v>
      </c>
      <c r="T13" s="150" t="s">
        <v>181</v>
      </c>
      <c r="U13" s="150" t="s">
        <v>181</v>
      </c>
      <c r="V13" s="150" t="s">
        <v>181</v>
      </c>
      <c r="W13" s="150" t="s">
        <v>181</v>
      </c>
      <c r="X13" s="150" t="s">
        <v>181</v>
      </c>
      <c r="Y13" s="154" t="s">
        <v>181</v>
      </c>
      <c r="Z13" s="207" t="s">
        <v>181</v>
      </c>
      <c r="AA13" s="208" t="s">
        <v>181</v>
      </c>
      <c r="AB13" s="150" t="s">
        <v>181</v>
      </c>
      <c r="AC13" s="154" t="s">
        <v>181</v>
      </c>
      <c r="AD13" s="202" t="s">
        <v>181</v>
      </c>
      <c r="AE13" s="185" t="s">
        <v>4</v>
      </c>
      <c r="AF13" s="186"/>
      <c r="AG13" s="186"/>
      <c r="AI13" s="42"/>
    </row>
    <row r="14" spans="1:220" s="5" customFormat="1" ht="17.100000000000001" customHeight="1" x14ac:dyDescent="0.25">
      <c r="A14" s="56" t="s">
        <v>168</v>
      </c>
      <c r="B14" s="210" t="s">
        <v>4</v>
      </c>
      <c r="C14" s="209" t="s">
        <v>4</v>
      </c>
      <c r="D14" s="210" t="s">
        <v>4</v>
      </c>
      <c r="E14" s="211" t="s">
        <v>4</v>
      </c>
      <c r="F14" s="213" t="s">
        <v>4</v>
      </c>
      <c r="G14" s="150" t="s">
        <v>4</v>
      </c>
      <c r="H14" s="204" t="s">
        <v>4</v>
      </c>
      <c r="I14" s="212" t="s">
        <v>4</v>
      </c>
      <c r="J14" s="150" t="s">
        <v>4</v>
      </c>
      <c r="K14" s="128" t="s">
        <v>4</v>
      </c>
      <c r="L14" s="205" t="s">
        <v>4</v>
      </c>
      <c r="M14" s="153" t="s">
        <v>4</v>
      </c>
      <c r="N14" s="153" t="s">
        <v>4</v>
      </c>
      <c r="O14" s="206" t="s">
        <v>4</v>
      </c>
      <c r="P14" s="154" t="s">
        <v>4</v>
      </c>
      <c r="Q14" s="154" t="s">
        <v>4</v>
      </c>
      <c r="R14" s="202" t="s">
        <v>4</v>
      </c>
      <c r="S14" s="150" t="s">
        <v>4</v>
      </c>
      <c r="T14" s="150" t="s">
        <v>4</v>
      </c>
      <c r="U14" s="150" t="s">
        <v>4</v>
      </c>
      <c r="V14" s="150" t="s">
        <v>4</v>
      </c>
      <c r="W14" s="150" t="s">
        <v>4</v>
      </c>
      <c r="X14" s="150" t="s">
        <v>4</v>
      </c>
      <c r="Y14" s="154" t="s">
        <v>4</v>
      </c>
      <c r="Z14" s="207" t="s">
        <v>4</v>
      </c>
      <c r="AA14" s="208" t="s">
        <v>4</v>
      </c>
      <c r="AB14" s="150" t="s">
        <v>4</v>
      </c>
      <c r="AC14" s="154" t="s">
        <v>4</v>
      </c>
      <c r="AD14" s="202" t="s">
        <v>4</v>
      </c>
      <c r="AE14" s="185" t="s">
        <v>4</v>
      </c>
      <c r="AF14" s="186"/>
      <c r="AG14" s="186"/>
      <c r="AI14" s="42"/>
    </row>
    <row r="15" spans="1:220" s="5" customFormat="1" ht="17.100000000000001" customHeight="1" x14ac:dyDescent="0.25">
      <c r="A15" s="56"/>
      <c r="B15" s="219" t="s">
        <v>192</v>
      </c>
      <c r="C15" s="220" t="s">
        <v>194</v>
      </c>
      <c r="D15" s="210" t="s">
        <v>193</v>
      </c>
      <c r="E15" s="211" t="s">
        <v>196</v>
      </c>
      <c r="F15" s="213" t="s">
        <v>197</v>
      </c>
      <c r="G15" s="152" t="s">
        <v>198</v>
      </c>
      <c r="H15" s="221" t="s">
        <v>199</v>
      </c>
      <c r="I15" s="222" t="s">
        <v>200</v>
      </c>
      <c r="J15" s="152" t="s">
        <v>201</v>
      </c>
      <c r="K15" s="132" t="s">
        <v>202</v>
      </c>
      <c r="L15" s="223" t="s">
        <v>203</v>
      </c>
      <c r="M15" s="224" t="s">
        <v>204</v>
      </c>
      <c r="N15" s="224" t="s">
        <v>205</v>
      </c>
      <c r="O15" s="225" t="s">
        <v>206</v>
      </c>
      <c r="P15" s="226" t="s">
        <v>207</v>
      </c>
      <c r="Q15" s="226" t="s">
        <v>208</v>
      </c>
      <c r="R15" s="227" t="s">
        <v>209</v>
      </c>
      <c r="S15" s="152" t="s">
        <v>210</v>
      </c>
      <c r="T15" s="152" t="s">
        <v>211</v>
      </c>
      <c r="U15" s="152" t="s">
        <v>212</v>
      </c>
      <c r="V15" s="152" t="s">
        <v>213</v>
      </c>
      <c r="W15" s="152" t="s">
        <v>214</v>
      </c>
      <c r="X15" s="152" t="s">
        <v>215</v>
      </c>
      <c r="Y15" s="163" t="s">
        <v>216</v>
      </c>
      <c r="Z15" s="228" t="s">
        <v>217</v>
      </c>
      <c r="AA15" s="229" t="s">
        <v>218</v>
      </c>
      <c r="AB15" s="230" t="s">
        <v>219</v>
      </c>
      <c r="AC15" s="226" t="s">
        <v>220</v>
      </c>
      <c r="AD15" s="218" t="s">
        <v>221</v>
      </c>
      <c r="AE15" s="185" t="s">
        <v>4</v>
      </c>
      <c r="AF15" s="186"/>
      <c r="AG15" s="186"/>
      <c r="AI15" s="42"/>
    </row>
    <row r="16" spans="1:220" s="5" customFormat="1" ht="17.100000000000001" customHeight="1" x14ac:dyDescent="0.25">
      <c r="A16" s="56"/>
      <c r="B16" s="219"/>
      <c r="C16" s="220"/>
      <c r="D16" s="210"/>
      <c r="E16" s="211"/>
      <c r="F16" s="213"/>
      <c r="G16" s="152"/>
      <c r="H16" s="221"/>
      <c r="I16" s="222"/>
      <c r="J16" s="152"/>
      <c r="K16" s="132"/>
      <c r="L16" s="223"/>
      <c r="M16" s="224"/>
      <c r="N16" s="224"/>
      <c r="O16" s="225"/>
      <c r="P16" s="226"/>
      <c r="Q16" s="226"/>
      <c r="R16" s="227"/>
      <c r="S16" s="152"/>
      <c r="T16" s="152"/>
      <c r="U16" s="152"/>
      <c r="V16" s="152"/>
      <c r="W16" s="152"/>
      <c r="X16" s="152"/>
      <c r="Y16" s="163"/>
      <c r="Z16" s="228"/>
      <c r="AA16" s="229"/>
      <c r="AB16" s="230"/>
      <c r="AC16" s="226"/>
      <c r="AD16" s="218"/>
      <c r="AE16" s="185" t="s">
        <v>4</v>
      </c>
      <c r="AF16" s="186"/>
      <c r="AG16" s="186"/>
      <c r="AI16" s="42"/>
    </row>
    <row r="17" spans="1:35" s="5" customFormat="1" ht="17.100000000000001" customHeight="1" x14ac:dyDescent="0.25">
      <c r="A17" s="127" t="s">
        <v>169</v>
      </c>
      <c r="B17" s="219"/>
      <c r="C17" s="220"/>
      <c r="D17" s="210"/>
      <c r="E17" s="211"/>
      <c r="F17" s="213"/>
      <c r="G17" s="152"/>
      <c r="H17" s="221"/>
      <c r="I17" s="222"/>
      <c r="J17" s="152"/>
      <c r="K17" s="132"/>
      <c r="L17" s="223"/>
      <c r="M17" s="224"/>
      <c r="N17" s="224"/>
      <c r="O17" s="225"/>
      <c r="P17" s="226"/>
      <c r="Q17" s="226"/>
      <c r="R17" s="227"/>
      <c r="S17" s="152"/>
      <c r="T17" s="152"/>
      <c r="U17" s="152"/>
      <c r="V17" s="152"/>
      <c r="W17" s="152"/>
      <c r="X17" s="152"/>
      <c r="Y17" s="163"/>
      <c r="Z17" s="228"/>
      <c r="AA17" s="229"/>
      <c r="AB17" s="230"/>
      <c r="AC17" s="226"/>
      <c r="AD17" s="218"/>
      <c r="AE17" s="185" t="s">
        <v>4</v>
      </c>
      <c r="AF17" s="186"/>
      <c r="AG17" s="186"/>
      <c r="AI17" s="42"/>
    </row>
    <row r="18" spans="1:35" s="5" customFormat="1" ht="17.100000000000001" customHeight="1" x14ac:dyDescent="0.25">
      <c r="A18" s="56" t="s">
        <v>170</v>
      </c>
      <c r="B18" s="219"/>
      <c r="C18" s="220"/>
      <c r="D18" s="210"/>
      <c r="E18" s="211"/>
      <c r="F18" s="213"/>
      <c r="G18" s="152"/>
      <c r="H18" s="221"/>
      <c r="I18" s="222"/>
      <c r="J18" s="152"/>
      <c r="K18" s="132"/>
      <c r="L18" s="223"/>
      <c r="M18" s="224"/>
      <c r="N18" s="224"/>
      <c r="O18" s="225"/>
      <c r="P18" s="226"/>
      <c r="Q18" s="226"/>
      <c r="R18" s="227"/>
      <c r="S18" s="152"/>
      <c r="T18" s="152"/>
      <c r="U18" s="152"/>
      <c r="V18" s="152"/>
      <c r="W18" s="152"/>
      <c r="X18" s="152"/>
      <c r="Y18" s="163"/>
      <c r="Z18" s="228"/>
      <c r="AA18" s="229"/>
      <c r="AB18" s="230"/>
      <c r="AC18" s="226"/>
      <c r="AD18" s="218"/>
      <c r="AE18" s="185" t="s">
        <v>4</v>
      </c>
      <c r="AF18" s="186"/>
      <c r="AG18" s="186"/>
      <c r="AI18" s="42"/>
    </row>
    <row r="19" spans="1:35" s="5" customFormat="1" ht="17.100000000000001" customHeight="1" x14ac:dyDescent="0.25">
      <c r="A19" s="56" t="s">
        <v>171</v>
      </c>
      <c r="B19" s="219"/>
      <c r="C19" s="220"/>
      <c r="D19" s="210"/>
      <c r="E19" s="211"/>
      <c r="F19" s="213"/>
      <c r="G19" s="152"/>
      <c r="H19" s="221"/>
      <c r="I19" s="222"/>
      <c r="J19" s="152"/>
      <c r="K19" s="132"/>
      <c r="L19" s="223"/>
      <c r="M19" s="224"/>
      <c r="N19" s="224"/>
      <c r="O19" s="225"/>
      <c r="P19" s="226"/>
      <c r="Q19" s="226"/>
      <c r="R19" s="227"/>
      <c r="S19" s="152"/>
      <c r="T19" s="152"/>
      <c r="U19" s="152"/>
      <c r="V19" s="152"/>
      <c r="W19" s="152"/>
      <c r="X19" s="152"/>
      <c r="Y19" s="163"/>
      <c r="Z19" s="228"/>
      <c r="AA19" s="229"/>
      <c r="AB19" s="230"/>
      <c r="AC19" s="226"/>
      <c r="AD19" s="218"/>
      <c r="AE19" s="185" t="s">
        <v>4</v>
      </c>
      <c r="AF19" s="186"/>
      <c r="AG19" s="186"/>
      <c r="AI19" s="42"/>
    </row>
    <row r="20" spans="1:35" s="5" customFormat="1" ht="17.100000000000001" customHeight="1" x14ac:dyDescent="0.25">
      <c r="A20" s="56" t="s">
        <v>172</v>
      </c>
      <c r="B20" s="219"/>
      <c r="C20" s="220"/>
      <c r="D20" s="210"/>
      <c r="E20" s="211"/>
      <c r="F20" s="213"/>
      <c r="G20" s="152"/>
      <c r="H20" s="221"/>
      <c r="I20" s="222"/>
      <c r="J20" s="152"/>
      <c r="K20" s="132"/>
      <c r="L20" s="223"/>
      <c r="M20" s="224"/>
      <c r="N20" s="224"/>
      <c r="O20" s="225"/>
      <c r="P20" s="226"/>
      <c r="Q20" s="152"/>
      <c r="R20" s="227"/>
      <c r="S20" s="152"/>
      <c r="T20" s="152"/>
      <c r="U20" s="152"/>
      <c r="V20" s="152"/>
      <c r="W20" s="152"/>
      <c r="X20" s="152"/>
      <c r="Y20" s="163"/>
      <c r="Z20" s="228"/>
      <c r="AA20" s="229"/>
      <c r="AB20" s="230"/>
      <c r="AC20" s="226"/>
      <c r="AD20" s="218"/>
      <c r="AE20" s="185" t="s">
        <v>4</v>
      </c>
      <c r="AF20" s="186"/>
      <c r="AG20" s="186"/>
      <c r="AI20" s="42"/>
    </row>
    <row r="21" spans="1:35" s="5" customFormat="1" ht="17.100000000000001" customHeight="1" x14ac:dyDescent="0.25">
      <c r="A21" s="56" t="s">
        <v>173</v>
      </c>
      <c r="B21" s="219"/>
      <c r="C21" s="220"/>
      <c r="D21" s="210"/>
      <c r="E21" s="211"/>
      <c r="F21" s="213"/>
      <c r="G21" s="152"/>
      <c r="H21" s="221"/>
      <c r="I21" s="222"/>
      <c r="J21" s="152"/>
      <c r="K21" s="132"/>
      <c r="L21" s="223"/>
      <c r="M21" s="224"/>
      <c r="N21" s="224"/>
      <c r="O21" s="225"/>
      <c r="P21" s="226"/>
      <c r="Q21" s="226"/>
      <c r="R21" s="227"/>
      <c r="S21" s="152"/>
      <c r="T21" s="152"/>
      <c r="U21" s="152"/>
      <c r="V21" s="152"/>
      <c r="W21" s="152"/>
      <c r="X21" s="152"/>
      <c r="Y21" s="163"/>
      <c r="Z21" s="228"/>
      <c r="AA21" s="229"/>
      <c r="AB21" s="230"/>
      <c r="AC21" s="226"/>
      <c r="AD21" s="218"/>
      <c r="AE21" s="185" t="s">
        <v>4</v>
      </c>
      <c r="AF21" s="186"/>
      <c r="AG21" s="186"/>
      <c r="AI21" s="42"/>
    </row>
    <row r="22" spans="1:35" s="5" customFormat="1" ht="17.100000000000001" customHeight="1" x14ac:dyDescent="0.25">
      <c r="B22" s="219"/>
      <c r="C22" s="220"/>
      <c r="D22" s="210"/>
      <c r="E22" s="211"/>
      <c r="F22" s="213"/>
      <c r="G22" s="152"/>
      <c r="H22" s="221"/>
      <c r="I22" s="222"/>
      <c r="J22" s="152"/>
      <c r="K22" s="132"/>
      <c r="L22" s="223"/>
      <c r="M22" s="224"/>
      <c r="N22" s="224"/>
      <c r="O22" s="225"/>
      <c r="P22" s="226"/>
      <c r="Q22" s="226"/>
      <c r="R22" s="227"/>
      <c r="S22" s="152"/>
      <c r="T22" s="152"/>
      <c r="U22" s="152"/>
      <c r="V22" s="152"/>
      <c r="W22" s="152"/>
      <c r="X22" s="152"/>
      <c r="Y22" s="163"/>
      <c r="Z22" s="228"/>
      <c r="AA22" s="229"/>
      <c r="AB22" s="230"/>
      <c r="AC22" s="226"/>
      <c r="AD22" s="218"/>
      <c r="AE22" s="185" t="s">
        <v>4</v>
      </c>
      <c r="AF22" s="186"/>
      <c r="AG22" s="186"/>
      <c r="AI22" s="42"/>
    </row>
    <row r="23" spans="1:35" s="5" customFormat="1" ht="17.100000000000001" customHeight="1" x14ac:dyDescent="0.25">
      <c r="B23" s="219"/>
      <c r="C23" s="220"/>
      <c r="D23" s="210"/>
      <c r="E23" s="211"/>
      <c r="F23" s="213"/>
      <c r="G23" s="152"/>
      <c r="H23" s="221"/>
      <c r="I23" s="222"/>
      <c r="J23" s="152"/>
      <c r="K23" s="132"/>
      <c r="L23" s="223"/>
      <c r="M23" s="224"/>
      <c r="N23" s="224"/>
      <c r="O23" s="225"/>
      <c r="P23" s="226"/>
      <c r="Q23" s="226"/>
      <c r="R23" s="227"/>
      <c r="S23" s="152"/>
      <c r="T23" s="152"/>
      <c r="U23" s="152"/>
      <c r="V23" s="152"/>
      <c r="W23" s="152"/>
      <c r="X23" s="152"/>
      <c r="Y23" s="163"/>
      <c r="Z23" s="228"/>
      <c r="AA23" s="229"/>
      <c r="AB23" s="230"/>
      <c r="AC23" s="226"/>
      <c r="AD23" s="218"/>
      <c r="AE23" s="185" t="s">
        <v>4</v>
      </c>
      <c r="AF23" s="186"/>
      <c r="AG23" s="186"/>
      <c r="AI23" s="42"/>
    </row>
    <row r="24" spans="1:35" s="5" customFormat="1" ht="17.100000000000001" customHeight="1" x14ac:dyDescent="0.25">
      <c r="B24" s="219"/>
      <c r="C24" s="220"/>
      <c r="D24" s="210"/>
      <c r="E24" s="211"/>
      <c r="F24" s="213"/>
      <c r="G24" s="152"/>
      <c r="H24" s="221"/>
      <c r="I24" s="222"/>
      <c r="J24" s="152"/>
      <c r="K24" s="132"/>
      <c r="L24" s="223"/>
      <c r="M24" s="224"/>
      <c r="N24" s="224"/>
      <c r="O24" s="225"/>
      <c r="P24" s="226"/>
      <c r="Q24" s="226"/>
      <c r="R24" s="227"/>
      <c r="S24" s="152"/>
      <c r="T24" s="152"/>
      <c r="U24" s="152"/>
      <c r="V24" s="152"/>
      <c r="W24" s="152"/>
      <c r="X24" s="152"/>
      <c r="Y24" s="163"/>
      <c r="Z24" s="228"/>
      <c r="AA24" s="229"/>
      <c r="AB24" s="230"/>
      <c r="AC24" s="226"/>
      <c r="AD24" s="218"/>
      <c r="AE24" s="185" t="s">
        <v>4</v>
      </c>
      <c r="AF24" s="186"/>
      <c r="AG24" s="186"/>
      <c r="AI24" s="42"/>
    </row>
    <row r="25" spans="1:35" s="5" customFormat="1" ht="17.100000000000001" customHeight="1" x14ac:dyDescent="0.25">
      <c r="B25" s="219"/>
      <c r="C25" s="220"/>
      <c r="D25" s="210"/>
      <c r="E25" s="211"/>
      <c r="F25" s="213"/>
      <c r="G25" s="152"/>
      <c r="H25" s="221"/>
      <c r="I25" s="222"/>
      <c r="J25" s="152"/>
      <c r="K25" s="132"/>
      <c r="L25" s="223"/>
      <c r="M25" s="224"/>
      <c r="N25" s="224"/>
      <c r="O25" s="225"/>
      <c r="P25" s="226"/>
      <c r="Q25" s="226"/>
      <c r="R25" s="227"/>
      <c r="S25" s="152"/>
      <c r="T25" s="152"/>
      <c r="U25" s="152"/>
      <c r="V25" s="152"/>
      <c r="W25" s="152"/>
      <c r="X25" s="152"/>
      <c r="Y25" s="163"/>
      <c r="Z25" s="228"/>
      <c r="AA25" s="229"/>
      <c r="AB25" s="230"/>
      <c r="AC25" s="226"/>
      <c r="AD25" s="218"/>
      <c r="AE25" s="185" t="s">
        <v>4</v>
      </c>
      <c r="AF25" s="186"/>
      <c r="AG25" s="186"/>
      <c r="AI25" s="42"/>
    </row>
    <row r="26" spans="1:35" s="5" customFormat="1" ht="17.100000000000001" customHeight="1" x14ac:dyDescent="0.25">
      <c r="B26" s="219"/>
      <c r="C26" s="220"/>
      <c r="D26" s="210"/>
      <c r="E26" s="211"/>
      <c r="F26" s="213"/>
      <c r="G26" s="152"/>
      <c r="H26" s="221"/>
      <c r="I26" s="222"/>
      <c r="J26" s="152"/>
      <c r="K26" s="132"/>
      <c r="L26" s="223"/>
      <c r="M26" s="224"/>
      <c r="N26" s="224"/>
      <c r="O26" s="225"/>
      <c r="P26" s="226"/>
      <c r="Q26" s="226"/>
      <c r="R26" s="227"/>
      <c r="S26" s="152"/>
      <c r="T26" s="152"/>
      <c r="U26" s="152"/>
      <c r="V26" s="152"/>
      <c r="W26" s="152"/>
      <c r="X26" s="152"/>
      <c r="Y26" s="163"/>
      <c r="Z26" s="228"/>
      <c r="AA26" s="229"/>
      <c r="AB26" s="230"/>
      <c r="AC26" s="226"/>
      <c r="AD26" s="218"/>
      <c r="AE26" s="185" t="s">
        <v>4</v>
      </c>
      <c r="AF26" s="186"/>
      <c r="AG26" s="188"/>
      <c r="AI26" s="42"/>
    </row>
    <row r="27" spans="1:35" s="5" customFormat="1" ht="17.100000000000001" customHeight="1" x14ac:dyDescent="0.25">
      <c r="B27" s="219"/>
      <c r="C27" s="220"/>
      <c r="D27" s="210"/>
      <c r="E27" s="211"/>
      <c r="F27" s="213"/>
      <c r="G27" s="152"/>
      <c r="H27" s="221"/>
      <c r="I27" s="222"/>
      <c r="J27" s="152"/>
      <c r="K27" s="132"/>
      <c r="L27" s="223"/>
      <c r="M27" s="224"/>
      <c r="N27" s="224"/>
      <c r="O27" s="225"/>
      <c r="P27" s="226"/>
      <c r="Q27" s="226"/>
      <c r="R27" s="227"/>
      <c r="S27" s="152"/>
      <c r="T27" s="152"/>
      <c r="U27" s="152"/>
      <c r="V27" s="152"/>
      <c r="W27" s="152"/>
      <c r="X27" s="152"/>
      <c r="Y27" s="163"/>
      <c r="Z27" s="228"/>
      <c r="AA27" s="229"/>
      <c r="AB27" s="230"/>
      <c r="AC27" s="226"/>
      <c r="AD27" s="218"/>
      <c r="AE27" s="185" t="s">
        <v>4</v>
      </c>
      <c r="AF27" s="186"/>
      <c r="AG27" s="186"/>
      <c r="AI27" s="42"/>
    </row>
    <row r="28" spans="1:35" s="5" customFormat="1" ht="17.100000000000001" customHeight="1" x14ac:dyDescent="0.25">
      <c r="B28" s="219"/>
      <c r="C28" s="220"/>
      <c r="D28" s="210"/>
      <c r="E28" s="211"/>
      <c r="F28" s="213"/>
      <c r="G28" s="152"/>
      <c r="H28" s="221"/>
      <c r="I28" s="222"/>
      <c r="J28" s="152"/>
      <c r="K28" s="132"/>
      <c r="L28" s="223"/>
      <c r="M28" s="224"/>
      <c r="N28" s="224"/>
      <c r="O28" s="225"/>
      <c r="P28" s="226"/>
      <c r="Q28" s="226"/>
      <c r="R28" s="227"/>
      <c r="S28" s="152"/>
      <c r="T28" s="152"/>
      <c r="U28" s="152"/>
      <c r="V28" s="152"/>
      <c r="W28" s="152"/>
      <c r="X28" s="152"/>
      <c r="Y28" s="163"/>
      <c r="Z28" s="228"/>
      <c r="AA28" s="229"/>
      <c r="AB28" s="230"/>
      <c r="AC28" s="226"/>
      <c r="AD28" s="218"/>
      <c r="AE28" s="185" t="s">
        <v>4</v>
      </c>
      <c r="AF28" s="186"/>
      <c r="AG28" s="186"/>
      <c r="AI28" s="42"/>
    </row>
    <row r="29" spans="1:35" s="5" customFormat="1" ht="17.100000000000001" customHeight="1" x14ac:dyDescent="0.25">
      <c r="B29" s="219"/>
      <c r="C29" s="220"/>
      <c r="D29" s="210"/>
      <c r="E29" s="211"/>
      <c r="F29" s="213"/>
      <c r="G29" s="152"/>
      <c r="H29" s="221"/>
      <c r="I29" s="222"/>
      <c r="J29" s="152"/>
      <c r="K29" s="132"/>
      <c r="L29" s="223"/>
      <c r="M29" s="224"/>
      <c r="N29" s="224"/>
      <c r="O29" s="225"/>
      <c r="P29" s="226"/>
      <c r="Q29" s="226"/>
      <c r="R29" s="227"/>
      <c r="S29" s="152"/>
      <c r="T29" s="152"/>
      <c r="U29" s="152"/>
      <c r="V29" s="152"/>
      <c r="W29" s="152"/>
      <c r="X29" s="152"/>
      <c r="Y29" s="163"/>
      <c r="Z29" s="228"/>
      <c r="AA29" s="229"/>
      <c r="AB29" s="230"/>
      <c r="AC29" s="226"/>
      <c r="AD29" s="218"/>
      <c r="AE29" s="185" t="s">
        <v>4</v>
      </c>
      <c r="AF29" s="186"/>
      <c r="AG29" s="186"/>
      <c r="AI29" s="42"/>
    </row>
    <row r="30" spans="1:35" s="5" customFormat="1" ht="17.100000000000001" customHeight="1" x14ac:dyDescent="0.25">
      <c r="B30" s="219"/>
      <c r="C30" s="220"/>
      <c r="D30" s="210"/>
      <c r="E30" s="211"/>
      <c r="F30" s="213"/>
      <c r="G30" s="152"/>
      <c r="H30" s="221"/>
      <c r="I30" s="222"/>
      <c r="J30" s="152"/>
      <c r="K30" s="132"/>
      <c r="L30" s="223"/>
      <c r="M30" s="224"/>
      <c r="N30" s="224"/>
      <c r="O30" s="225"/>
      <c r="P30" s="226"/>
      <c r="Q30" s="226"/>
      <c r="R30" s="227"/>
      <c r="S30" s="152"/>
      <c r="T30" s="152"/>
      <c r="U30" s="152"/>
      <c r="V30" s="152"/>
      <c r="W30" s="152"/>
      <c r="X30" s="152"/>
      <c r="Y30" s="163"/>
      <c r="Z30" s="228"/>
      <c r="AA30" s="229"/>
      <c r="AB30" s="230"/>
      <c r="AC30" s="226"/>
      <c r="AD30" s="218"/>
      <c r="AE30" s="185" t="s">
        <v>4</v>
      </c>
      <c r="AF30" s="186"/>
      <c r="AG30" s="186"/>
      <c r="AI30" s="42"/>
    </row>
    <row r="31" spans="1:35" s="5" customFormat="1" ht="17.100000000000001" customHeight="1" x14ac:dyDescent="0.25">
      <c r="B31" s="219"/>
      <c r="C31" s="220"/>
      <c r="D31" s="210"/>
      <c r="E31" s="211"/>
      <c r="F31" s="213"/>
      <c r="G31" s="152"/>
      <c r="H31" s="221"/>
      <c r="I31" s="222"/>
      <c r="J31" s="152"/>
      <c r="K31" s="132"/>
      <c r="L31" s="223"/>
      <c r="M31" s="224"/>
      <c r="N31" s="224"/>
      <c r="O31" s="225"/>
      <c r="P31" s="226"/>
      <c r="Q31" s="226"/>
      <c r="R31" s="227"/>
      <c r="S31" s="152"/>
      <c r="T31" s="152"/>
      <c r="U31" s="152"/>
      <c r="V31" s="152"/>
      <c r="W31" s="152"/>
      <c r="X31" s="152"/>
      <c r="Y31" s="163"/>
      <c r="Z31" s="228"/>
      <c r="AA31" s="229"/>
      <c r="AB31" s="230"/>
      <c r="AC31" s="226"/>
      <c r="AD31" s="218"/>
      <c r="AE31" s="185" t="s">
        <v>4</v>
      </c>
      <c r="AF31" s="186"/>
      <c r="AG31" s="186"/>
      <c r="AI31" s="42"/>
    </row>
    <row r="32" spans="1:35" s="5" customFormat="1" ht="17.100000000000001" customHeight="1" x14ac:dyDescent="0.25">
      <c r="B32" s="219"/>
      <c r="C32" s="220"/>
      <c r="D32" s="210"/>
      <c r="E32" s="211"/>
      <c r="F32" s="213"/>
      <c r="G32" s="152"/>
      <c r="H32" s="221"/>
      <c r="I32" s="222"/>
      <c r="J32" s="152"/>
      <c r="K32" s="132"/>
      <c r="L32" s="223"/>
      <c r="M32" s="224"/>
      <c r="N32" s="224"/>
      <c r="O32" s="225"/>
      <c r="P32" s="226"/>
      <c r="Q32" s="226"/>
      <c r="R32" s="227"/>
      <c r="S32" s="152"/>
      <c r="T32" s="152"/>
      <c r="U32" s="152"/>
      <c r="V32" s="152"/>
      <c r="W32" s="152"/>
      <c r="X32" s="152"/>
      <c r="Y32" s="163"/>
      <c r="Z32" s="228"/>
      <c r="AA32" s="229"/>
      <c r="AB32" s="230"/>
      <c r="AC32" s="226"/>
      <c r="AD32" s="218"/>
      <c r="AE32" s="185" t="s">
        <v>4</v>
      </c>
      <c r="AF32" s="186"/>
      <c r="AG32" s="186"/>
      <c r="AI32" s="42"/>
    </row>
    <row r="33" spans="2:35" s="5" customFormat="1" ht="17.100000000000001" customHeight="1" x14ac:dyDescent="0.25">
      <c r="B33" s="219"/>
      <c r="C33" s="220"/>
      <c r="D33" s="210"/>
      <c r="E33" s="211"/>
      <c r="F33" s="213"/>
      <c r="G33" s="152"/>
      <c r="H33" s="221"/>
      <c r="I33" s="222"/>
      <c r="J33" s="152"/>
      <c r="K33" s="132"/>
      <c r="L33" s="223"/>
      <c r="M33" s="224"/>
      <c r="N33" s="224"/>
      <c r="O33" s="225"/>
      <c r="P33" s="226"/>
      <c r="Q33" s="226"/>
      <c r="R33" s="227"/>
      <c r="S33" s="152"/>
      <c r="T33" s="152"/>
      <c r="U33" s="152"/>
      <c r="V33" s="152"/>
      <c r="W33" s="152"/>
      <c r="X33" s="152"/>
      <c r="Y33" s="163"/>
      <c r="Z33" s="228"/>
      <c r="AA33" s="229"/>
      <c r="AB33" s="230"/>
      <c r="AC33" s="226"/>
      <c r="AD33" s="218"/>
      <c r="AE33" s="185" t="s">
        <v>4</v>
      </c>
      <c r="AF33" s="186"/>
      <c r="AG33" s="186"/>
      <c r="AI33" s="42"/>
    </row>
    <row r="34" spans="2:35" s="5" customFormat="1" ht="17.100000000000001" customHeight="1" x14ac:dyDescent="0.25">
      <c r="B34" s="231"/>
      <c r="C34" s="220"/>
      <c r="D34" s="210"/>
      <c r="E34" s="211"/>
      <c r="F34" s="213"/>
      <c r="G34" s="152"/>
      <c r="H34" s="221"/>
      <c r="I34" s="97"/>
      <c r="J34" s="152"/>
      <c r="K34" s="132"/>
      <c r="L34" s="223"/>
      <c r="M34" s="224"/>
      <c r="N34" s="224"/>
      <c r="O34" s="225"/>
      <c r="P34" s="226"/>
      <c r="Q34" s="226"/>
      <c r="R34" s="227"/>
      <c r="S34" s="152"/>
      <c r="T34" s="152"/>
      <c r="U34" s="152"/>
      <c r="V34" s="152"/>
      <c r="W34" s="152"/>
      <c r="X34" s="152"/>
      <c r="Y34" s="163"/>
      <c r="Z34" s="228"/>
      <c r="AA34" s="229"/>
      <c r="AB34" s="230"/>
      <c r="AC34" s="226"/>
      <c r="AD34" s="218"/>
      <c r="AE34" s="185" t="s">
        <v>4</v>
      </c>
      <c r="AF34" s="186"/>
      <c r="AG34" s="186"/>
      <c r="AI34" s="42"/>
    </row>
    <row r="35" spans="2:35" s="5" customFormat="1" ht="17.100000000000001" customHeight="1" x14ac:dyDescent="0.25">
      <c r="B35" s="231"/>
      <c r="C35" s="220"/>
      <c r="D35" s="210"/>
      <c r="E35" s="211"/>
      <c r="F35" s="213"/>
      <c r="G35" s="152"/>
      <c r="H35" s="221"/>
      <c r="I35" s="97"/>
      <c r="J35" s="152"/>
      <c r="K35" s="132"/>
      <c r="L35" s="223"/>
      <c r="M35" s="224"/>
      <c r="N35" s="224"/>
      <c r="O35" s="225"/>
      <c r="P35" s="226"/>
      <c r="Q35" s="226"/>
      <c r="R35" s="227"/>
      <c r="S35" s="152"/>
      <c r="T35" s="152"/>
      <c r="U35" s="152"/>
      <c r="V35" s="152"/>
      <c r="W35" s="152"/>
      <c r="X35" s="152"/>
      <c r="Y35" s="163"/>
      <c r="Z35" s="228"/>
      <c r="AA35" s="229"/>
      <c r="AB35" s="230"/>
      <c r="AC35" s="226"/>
      <c r="AD35" s="218"/>
      <c r="AE35" s="185" t="s">
        <v>4</v>
      </c>
      <c r="AF35" s="186"/>
      <c r="AG35" s="186"/>
      <c r="AI35" s="42"/>
    </row>
    <row r="36" spans="2:35" s="5" customFormat="1" ht="17.100000000000001" customHeight="1" x14ac:dyDescent="0.25">
      <c r="B36" s="231"/>
      <c r="C36" s="220"/>
      <c r="D36" s="210"/>
      <c r="E36" s="211"/>
      <c r="F36" s="213"/>
      <c r="G36" s="152"/>
      <c r="H36" s="221"/>
      <c r="I36" s="97"/>
      <c r="J36" s="152"/>
      <c r="K36" s="132"/>
      <c r="L36" s="223"/>
      <c r="M36" s="224"/>
      <c r="N36" s="224"/>
      <c r="O36" s="225"/>
      <c r="P36" s="226"/>
      <c r="Q36" s="226"/>
      <c r="R36" s="227"/>
      <c r="S36" s="152"/>
      <c r="T36" s="152"/>
      <c r="U36" s="152"/>
      <c r="V36" s="152"/>
      <c r="W36" s="152"/>
      <c r="X36" s="152"/>
      <c r="Y36" s="163"/>
      <c r="Z36" s="228"/>
      <c r="AA36" s="229"/>
      <c r="AB36" s="230"/>
      <c r="AC36" s="226"/>
      <c r="AD36" s="218"/>
      <c r="AE36" s="185" t="s">
        <v>4</v>
      </c>
      <c r="AF36" s="186"/>
      <c r="AG36" s="186"/>
      <c r="AI36" s="42"/>
    </row>
    <row r="37" spans="2:35" s="5" customFormat="1" ht="17.100000000000001" customHeight="1" x14ac:dyDescent="0.25">
      <c r="B37" s="231"/>
      <c r="C37" s="220"/>
      <c r="D37" s="210"/>
      <c r="E37" s="211"/>
      <c r="F37" s="213"/>
      <c r="G37" s="152"/>
      <c r="H37" s="221"/>
      <c r="I37" s="97"/>
      <c r="J37" s="152"/>
      <c r="K37" s="132"/>
      <c r="L37" s="223"/>
      <c r="M37" s="224"/>
      <c r="N37" s="224"/>
      <c r="O37" s="225"/>
      <c r="P37" s="226"/>
      <c r="Q37" s="226"/>
      <c r="R37" s="227"/>
      <c r="S37" s="152"/>
      <c r="T37" s="152"/>
      <c r="U37" s="152"/>
      <c r="V37" s="152"/>
      <c r="W37" s="152"/>
      <c r="X37" s="152"/>
      <c r="Y37" s="163"/>
      <c r="Z37" s="228"/>
      <c r="AA37" s="229"/>
      <c r="AB37" s="230"/>
      <c r="AC37" s="226"/>
      <c r="AD37" s="218"/>
      <c r="AE37" s="185" t="s">
        <v>4</v>
      </c>
      <c r="AF37" s="186"/>
      <c r="AG37" s="186"/>
      <c r="AI37" s="42"/>
    </row>
    <row r="38" spans="2:35" s="5" customFormat="1" ht="17.100000000000001" customHeight="1" x14ac:dyDescent="0.25">
      <c r="B38" s="219"/>
      <c r="C38" s="220"/>
      <c r="D38" s="210"/>
      <c r="E38" s="211"/>
      <c r="F38" s="213"/>
      <c r="G38" s="152"/>
      <c r="H38" s="221"/>
      <c r="I38" s="97"/>
      <c r="J38" s="152"/>
      <c r="K38" s="132"/>
      <c r="L38" s="223"/>
      <c r="M38" s="224"/>
      <c r="N38" s="224"/>
      <c r="O38" s="225"/>
      <c r="P38" s="226"/>
      <c r="Q38" s="226"/>
      <c r="R38" s="227"/>
      <c r="S38" s="152"/>
      <c r="T38" s="152"/>
      <c r="U38" s="152"/>
      <c r="V38" s="152"/>
      <c r="W38" s="152"/>
      <c r="X38" s="152"/>
      <c r="Y38" s="163"/>
      <c r="Z38" s="228"/>
      <c r="AA38" s="229"/>
      <c r="AB38" s="230"/>
      <c r="AC38" s="226"/>
      <c r="AD38" s="218"/>
      <c r="AE38" s="185" t="s">
        <v>4</v>
      </c>
      <c r="AF38" s="186"/>
      <c r="AG38" s="186"/>
      <c r="AI38" s="42"/>
    </row>
    <row r="39" spans="2:35" s="5" customFormat="1" ht="17.100000000000001" customHeight="1" x14ac:dyDescent="0.25">
      <c r="B39" s="219"/>
      <c r="C39" s="220"/>
      <c r="D39" s="210"/>
      <c r="E39" s="211"/>
      <c r="F39" s="213"/>
      <c r="G39" s="152"/>
      <c r="H39" s="221"/>
      <c r="I39" s="97"/>
      <c r="J39" s="152"/>
      <c r="K39" s="132"/>
      <c r="L39" s="223"/>
      <c r="M39" s="224"/>
      <c r="N39" s="224"/>
      <c r="O39" s="225"/>
      <c r="P39" s="226"/>
      <c r="Q39" s="226"/>
      <c r="R39" s="227"/>
      <c r="S39" s="152"/>
      <c r="T39" s="152"/>
      <c r="U39" s="152"/>
      <c r="V39" s="152"/>
      <c r="W39" s="152"/>
      <c r="X39" s="152"/>
      <c r="Y39" s="163"/>
      <c r="Z39" s="228"/>
      <c r="AA39" s="229"/>
      <c r="AB39" s="230"/>
      <c r="AC39" s="226"/>
      <c r="AD39" s="218"/>
      <c r="AE39" s="185" t="s">
        <v>4</v>
      </c>
      <c r="AF39" s="186"/>
      <c r="AG39" s="186"/>
      <c r="AI39" s="42"/>
    </row>
    <row r="40" spans="2:35" s="5" customFormat="1" ht="17.100000000000001" customHeight="1" x14ac:dyDescent="0.25">
      <c r="B40" s="219"/>
      <c r="C40" s="220"/>
      <c r="D40" s="210"/>
      <c r="E40" s="211"/>
      <c r="F40" s="213"/>
      <c r="G40" s="152"/>
      <c r="H40" s="221"/>
      <c r="I40" s="97"/>
      <c r="J40" s="152"/>
      <c r="K40" s="132"/>
      <c r="L40" s="223"/>
      <c r="M40" s="224"/>
      <c r="N40" s="224"/>
      <c r="O40" s="225"/>
      <c r="P40" s="226"/>
      <c r="Q40" s="226"/>
      <c r="R40" s="227"/>
      <c r="S40" s="152"/>
      <c r="T40" s="152"/>
      <c r="U40" s="152"/>
      <c r="V40" s="152"/>
      <c r="W40" s="152"/>
      <c r="X40" s="152"/>
      <c r="Y40" s="163"/>
      <c r="Z40" s="228"/>
      <c r="AA40" s="229"/>
      <c r="AB40" s="230"/>
      <c r="AC40" s="226"/>
      <c r="AD40" s="218"/>
      <c r="AE40" s="185" t="s">
        <v>4</v>
      </c>
      <c r="AF40" s="186"/>
      <c r="AG40" s="186"/>
      <c r="AI40" s="42"/>
    </row>
    <row r="41" spans="2:35" s="5" customFormat="1" ht="17.100000000000001" customHeight="1" x14ac:dyDescent="0.25">
      <c r="B41" s="219"/>
      <c r="C41" s="220"/>
      <c r="D41" s="210"/>
      <c r="E41" s="211"/>
      <c r="F41" s="213"/>
      <c r="G41" s="152"/>
      <c r="H41" s="221"/>
      <c r="I41" s="97"/>
      <c r="J41" s="152"/>
      <c r="K41" s="132"/>
      <c r="L41" s="223"/>
      <c r="M41" s="224"/>
      <c r="N41" s="224"/>
      <c r="O41" s="225"/>
      <c r="P41" s="226"/>
      <c r="Q41" s="226"/>
      <c r="R41" s="227"/>
      <c r="S41" s="152"/>
      <c r="T41" s="152"/>
      <c r="U41" s="152"/>
      <c r="V41" s="152"/>
      <c r="W41" s="152"/>
      <c r="X41" s="152"/>
      <c r="Y41" s="163"/>
      <c r="Z41" s="228"/>
      <c r="AA41" s="229"/>
      <c r="AB41" s="230"/>
      <c r="AC41" s="226"/>
      <c r="AD41" s="218"/>
      <c r="AE41" s="185" t="s">
        <v>4</v>
      </c>
      <c r="AF41" s="186"/>
      <c r="AG41" s="186"/>
      <c r="AI41" s="42"/>
    </row>
    <row r="42" spans="2:35" s="5" customFormat="1" ht="17.100000000000001" customHeight="1" x14ac:dyDescent="0.25">
      <c r="B42" s="219"/>
      <c r="C42" s="220"/>
      <c r="D42" s="210"/>
      <c r="E42" s="211"/>
      <c r="F42" s="213"/>
      <c r="G42" s="152"/>
      <c r="H42" s="221"/>
      <c r="I42" s="222"/>
      <c r="J42" s="152"/>
      <c r="K42" s="132"/>
      <c r="L42" s="223"/>
      <c r="M42" s="224"/>
      <c r="N42" s="224"/>
      <c r="O42" s="225"/>
      <c r="P42" s="226"/>
      <c r="Q42" s="226"/>
      <c r="R42" s="227"/>
      <c r="S42" s="152"/>
      <c r="T42" s="152"/>
      <c r="U42" s="152"/>
      <c r="V42" s="152"/>
      <c r="W42" s="152"/>
      <c r="X42" s="152"/>
      <c r="Y42" s="163"/>
      <c r="Z42" s="228"/>
      <c r="AA42" s="229"/>
      <c r="AB42" s="230"/>
      <c r="AC42" s="226"/>
      <c r="AD42" s="218"/>
      <c r="AE42" s="185" t="s">
        <v>4</v>
      </c>
      <c r="AF42" s="186"/>
      <c r="AG42" s="186"/>
      <c r="AI42" s="42"/>
    </row>
    <row r="43" spans="2:35" s="5" customFormat="1" ht="17.100000000000001" customHeight="1" x14ac:dyDescent="0.25">
      <c r="B43" s="219"/>
      <c r="C43" s="220"/>
      <c r="D43" s="210"/>
      <c r="E43" s="211"/>
      <c r="F43" s="213"/>
      <c r="G43" s="152"/>
      <c r="H43" s="221"/>
      <c r="I43" s="222"/>
      <c r="J43" s="152"/>
      <c r="K43" s="132"/>
      <c r="L43" s="223"/>
      <c r="M43" s="224"/>
      <c r="N43" s="224"/>
      <c r="O43" s="225"/>
      <c r="P43" s="226"/>
      <c r="Q43" s="226"/>
      <c r="R43" s="227"/>
      <c r="S43" s="152"/>
      <c r="T43" s="152"/>
      <c r="U43" s="152"/>
      <c r="V43" s="152"/>
      <c r="W43" s="152"/>
      <c r="X43" s="152"/>
      <c r="Y43" s="163"/>
      <c r="Z43" s="228"/>
      <c r="AA43" s="229"/>
      <c r="AB43" s="230"/>
      <c r="AC43" s="226"/>
      <c r="AD43" s="218"/>
      <c r="AE43" s="185" t="s">
        <v>4</v>
      </c>
      <c r="AF43" s="186"/>
      <c r="AG43" s="186"/>
      <c r="AI43" s="42"/>
    </row>
    <row r="44" spans="2:35" s="5" customFormat="1" ht="17.100000000000001" customHeight="1" x14ac:dyDescent="0.25">
      <c r="B44" s="219"/>
      <c r="C44" s="220"/>
      <c r="D44" s="210"/>
      <c r="E44" s="211"/>
      <c r="F44" s="213"/>
      <c r="G44" s="152"/>
      <c r="H44" s="221"/>
      <c r="I44" s="222"/>
      <c r="J44" s="152"/>
      <c r="K44" s="132"/>
      <c r="L44" s="223"/>
      <c r="M44" s="224"/>
      <c r="N44" s="224"/>
      <c r="O44" s="225"/>
      <c r="P44" s="226"/>
      <c r="Q44" s="226"/>
      <c r="R44" s="227"/>
      <c r="S44" s="152"/>
      <c r="T44" s="152"/>
      <c r="U44" s="152"/>
      <c r="V44" s="152"/>
      <c r="W44" s="152"/>
      <c r="X44" s="152"/>
      <c r="Y44" s="163"/>
      <c r="Z44" s="228"/>
      <c r="AA44" s="229"/>
      <c r="AB44" s="230"/>
      <c r="AC44" s="226"/>
      <c r="AD44" s="218"/>
      <c r="AE44" s="185" t="s">
        <v>4</v>
      </c>
      <c r="AF44" s="186"/>
      <c r="AG44" s="186"/>
      <c r="AI44" s="42"/>
    </row>
    <row r="45" spans="2:35" s="5" customFormat="1" ht="17.100000000000001" customHeight="1" x14ac:dyDescent="0.25">
      <c r="B45" s="219"/>
      <c r="C45" s="220"/>
      <c r="D45" s="210"/>
      <c r="E45" s="211"/>
      <c r="F45" s="213"/>
      <c r="G45" s="152"/>
      <c r="H45" s="221"/>
      <c r="I45" s="222"/>
      <c r="J45" s="152"/>
      <c r="K45" s="132"/>
      <c r="L45" s="223"/>
      <c r="M45" s="224"/>
      <c r="N45" s="224"/>
      <c r="O45" s="225"/>
      <c r="P45" s="226"/>
      <c r="Q45" s="226"/>
      <c r="R45" s="227"/>
      <c r="S45" s="152"/>
      <c r="T45" s="152"/>
      <c r="U45" s="152"/>
      <c r="V45" s="152"/>
      <c r="W45" s="152"/>
      <c r="X45" s="152"/>
      <c r="Y45" s="163"/>
      <c r="Z45" s="228"/>
      <c r="AA45" s="229"/>
      <c r="AB45" s="230"/>
      <c r="AC45" s="226"/>
      <c r="AD45" s="218"/>
      <c r="AE45" s="185" t="s">
        <v>4</v>
      </c>
      <c r="AF45" s="186"/>
      <c r="AG45" s="186"/>
      <c r="AI45" s="42"/>
    </row>
    <row r="46" spans="2:35" s="5" customFormat="1" ht="17.100000000000001" customHeight="1" x14ac:dyDescent="0.25">
      <c r="B46" s="219"/>
      <c r="C46" s="220"/>
      <c r="D46" s="210"/>
      <c r="E46" s="211"/>
      <c r="F46" s="213"/>
      <c r="G46" s="152"/>
      <c r="H46" s="221"/>
      <c r="I46" s="222"/>
      <c r="J46" s="152"/>
      <c r="K46" s="132"/>
      <c r="L46" s="223"/>
      <c r="M46" s="224"/>
      <c r="N46" s="224"/>
      <c r="O46" s="225"/>
      <c r="P46" s="226"/>
      <c r="Q46" s="226"/>
      <c r="R46" s="227"/>
      <c r="S46" s="152"/>
      <c r="T46" s="152"/>
      <c r="U46" s="152"/>
      <c r="V46" s="152"/>
      <c r="W46" s="152"/>
      <c r="X46" s="152"/>
      <c r="Y46" s="163"/>
      <c r="Z46" s="228"/>
      <c r="AA46" s="229"/>
      <c r="AB46" s="230"/>
      <c r="AC46" s="226"/>
      <c r="AD46" s="218"/>
      <c r="AE46" s="185" t="s">
        <v>4</v>
      </c>
      <c r="AF46" s="186"/>
      <c r="AG46" s="186"/>
      <c r="AI46" s="42"/>
    </row>
    <row r="47" spans="2:35" s="5" customFormat="1" ht="17.100000000000001" customHeight="1" x14ac:dyDescent="0.25">
      <c r="B47" s="219"/>
      <c r="C47" s="220"/>
      <c r="D47" s="210"/>
      <c r="E47" s="211"/>
      <c r="F47" s="213"/>
      <c r="G47" s="152"/>
      <c r="H47" s="221"/>
      <c r="I47" s="222"/>
      <c r="J47" s="152"/>
      <c r="K47" s="132"/>
      <c r="L47" s="223"/>
      <c r="M47" s="224"/>
      <c r="N47" s="224"/>
      <c r="O47" s="225"/>
      <c r="P47" s="226"/>
      <c r="Q47" s="226"/>
      <c r="R47" s="227"/>
      <c r="S47" s="152"/>
      <c r="T47" s="152"/>
      <c r="U47" s="152"/>
      <c r="V47" s="152"/>
      <c r="W47" s="152"/>
      <c r="X47" s="152"/>
      <c r="Y47" s="163"/>
      <c r="Z47" s="228"/>
      <c r="AA47" s="229"/>
      <c r="AB47" s="230"/>
      <c r="AC47" s="226"/>
      <c r="AD47" s="218"/>
      <c r="AE47" s="185" t="s">
        <v>4</v>
      </c>
      <c r="AF47" s="186"/>
      <c r="AG47" s="186"/>
      <c r="AI47" s="42"/>
    </row>
    <row r="48" spans="2:35" s="5" customFormat="1" ht="17.100000000000001" customHeight="1" x14ac:dyDescent="0.25">
      <c r="B48" s="219"/>
      <c r="C48" s="220"/>
      <c r="D48" s="210"/>
      <c r="E48" s="211"/>
      <c r="F48" s="213"/>
      <c r="G48" s="152"/>
      <c r="H48" s="221"/>
      <c r="I48" s="222"/>
      <c r="J48" s="152"/>
      <c r="K48" s="132"/>
      <c r="L48" s="223"/>
      <c r="M48" s="224"/>
      <c r="N48" s="232"/>
      <c r="O48" s="225"/>
      <c r="P48" s="226"/>
      <c r="Q48" s="233"/>
      <c r="R48" s="227"/>
      <c r="S48" s="152"/>
      <c r="T48" s="152"/>
      <c r="U48" s="152"/>
      <c r="V48" s="152"/>
      <c r="W48" s="152"/>
      <c r="X48" s="152"/>
      <c r="Y48" s="157"/>
      <c r="Z48" s="228"/>
      <c r="AA48" s="229"/>
      <c r="AB48" s="230"/>
      <c r="AC48" s="233"/>
      <c r="AD48" s="218"/>
      <c r="AE48" s="185" t="s">
        <v>4</v>
      </c>
      <c r="AF48" s="186"/>
      <c r="AG48" s="186"/>
      <c r="AI48" s="42"/>
    </row>
    <row r="49" spans="2:35" s="5" customFormat="1" ht="17.100000000000001" customHeight="1" x14ac:dyDescent="0.25">
      <c r="B49" s="219"/>
      <c r="C49" s="220"/>
      <c r="D49" s="210"/>
      <c r="E49" s="211"/>
      <c r="F49" s="213"/>
      <c r="G49" s="152"/>
      <c r="H49" s="221"/>
      <c r="I49" s="222"/>
      <c r="J49" s="152"/>
      <c r="K49" s="132"/>
      <c r="L49" s="223"/>
      <c r="M49" s="224"/>
      <c r="N49" s="232"/>
      <c r="O49" s="225"/>
      <c r="P49" s="226"/>
      <c r="Q49" s="233"/>
      <c r="R49" s="227"/>
      <c r="S49" s="152"/>
      <c r="T49" s="152"/>
      <c r="U49" s="152"/>
      <c r="V49" s="152"/>
      <c r="W49" s="152"/>
      <c r="X49" s="152"/>
      <c r="Y49" s="157"/>
      <c r="Z49" s="228"/>
      <c r="AA49" s="229"/>
      <c r="AB49" s="230"/>
      <c r="AC49" s="233"/>
      <c r="AD49" s="218"/>
      <c r="AE49" s="185" t="s">
        <v>4</v>
      </c>
      <c r="AF49" s="186"/>
      <c r="AG49" s="186"/>
      <c r="AI49" s="42"/>
    </row>
    <row r="50" spans="2:35" s="5" customFormat="1" ht="17.100000000000001" customHeight="1" x14ac:dyDescent="0.25">
      <c r="B50" s="219"/>
      <c r="C50" s="220"/>
      <c r="D50" s="210"/>
      <c r="E50" s="211"/>
      <c r="F50" s="213"/>
      <c r="G50" s="152"/>
      <c r="H50" s="221"/>
      <c r="I50" s="222"/>
      <c r="J50" s="152"/>
      <c r="K50" s="132"/>
      <c r="L50" s="223"/>
      <c r="M50" s="224"/>
      <c r="N50" s="232"/>
      <c r="O50" s="225"/>
      <c r="P50" s="226"/>
      <c r="Q50" s="233"/>
      <c r="R50" s="227"/>
      <c r="S50" s="152"/>
      <c r="T50" s="152"/>
      <c r="U50" s="152"/>
      <c r="V50" s="152"/>
      <c r="W50" s="152"/>
      <c r="X50" s="152"/>
      <c r="Y50" s="157"/>
      <c r="Z50" s="228"/>
      <c r="AA50" s="229"/>
      <c r="AB50" s="230"/>
      <c r="AC50" s="233"/>
      <c r="AD50" s="218"/>
      <c r="AE50" s="185" t="s">
        <v>4</v>
      </c>
      <c r="AF50" s="186"/>
      <c r="AG50" s="186"/>
      <c r="AI50" s="42"/>
    </row>
    <row r="51" spans="2:35" s="5" customFormat="1" ht="17.100000000000001" customHeight="1" x14ac:dyDescent="0.25">
      <c r="B51" s="219"/>
      <c r="C51" s="220"/>
      <c r="D51" s="210"/>
      <c r="E51" s="211"/>
      <c r="F51" s="213"/>
      <c r="G51" s="152"/>
      <c r="H51" s="221"/>
      <c r="I51" s="222"/>
      <c r="J51" s="152"/>
      <c r="K51" s="132"/>
      <c r="L51" s="223"/>
      <c r="M51" s="224"/>
      <c r="N51" s="232"/>
      <c r="O51" s="225"/>
      <c r="P51" s="226"/>
      <c r="Q51" s="233"/>
      <c r="R51" s="227"/>
      <c r="S51" s="152"/>
      <c r="T51" s="152"/>
      <c r="U51" s="152"/>
      <c r="V51" s="152"/>
      <c r="W51" s="152"/>
      <c r="X51" s="152"/>
      <c r="Y51" s="157"/>
      <c r="Z51" s="228"/>
      <c r="AA51" s="229"/>
      <c r="AB51" s="230"/>
      <c r="AC51" s="233"/>
      <c r="AD51" s="218"/>
      <c r="AE51" s="185" t="s">
        <v>4</v>
      </c>
      <c r="AF51" s="186"/>
      <c r="AG51" s="186"/>
      <c r="AI51" s="42"/>
    </row>
    <row r="52" spans="2:35" s="5" customFormat="1" ht="17.100000000000001" customHeight="1" x14ac:dyDescent="0.25">
      <c r="B52" s="219"/>
      <c r="C52" s="220"/>
      <c r="D52" s="210"/>
      <c r="E52" s="211"/>
      <c r="F52" s="213"/>
      <c r="G52" s="152"/>
      <c r="H52" s="221"/>
      <c r="I52" s="222"/>
      <c r="J52" s="152"/>
      <c r="K52" s="132"/>
      <c r="L52" s="223"/>
      <c r="M52" s="224"/>
      <c r="N52" s="232"/>
      <c r="O52" s="225"/>
      <c r="P52" s="226"/>
      <c r="Q52" s="233"/>
      <c r="R52" s="227"/>
      <c r="S52" s="152"/>
      <c r="T52" s="152"/>
      <c r="U52" s="152"/>
      <c r="V52" s="152"/>
      <c r="W52" s="152"/>
      <c r="X52" s="152"/>
      <c r="Y52" s="157"/>
      <c r="Z52" s="228"/>
      <c r="AA52" s="229"/>
      <c r="AB52" s="230"/>
      <c r="AC52" s="233"/>
      <c r="AD52" s="218"/>
      <c r="AE52" s="185" t="s">
        <v>4</v>
      </c>
      <c r="AF52" s="186"/>
      <c r="AG52" s="186"/>
      <c r="AI52" s="42"/>
    </row>
    <row r="53" spans="2:35" s="5" customFormat="1" ht="17.100000000000001" customHeight="1" x14ac:dyDescent="0.25">
      <c r="B53" s="219"/>
      <c r="C53" s="220"/>
      <c r="D53" s="210"/>
      <c r="E53" s="211"/>
      <c r="F53" s="213"/>
      <c r="G53" s="152"/>
      <c r="H53" s="221"/>
      <c r="I53" s="222"/>
      <c r="J53" s="152"/>
      <c r="K53" s="132"/>
      <c r="L53" s="223"/>
      <c r="M53" s="224"/>
      <c r="N53" s="232"/>
      <c r="O53" s="225"/>
      <c r="P53" s="226"/>
      <c r="Q53" s="233"/>
      <c r="R53" s="227"/>
      <c r="S53" s="152"/>
      <c r="T53" s="152"/>
      <c r="U53" s="152"/>
      <c r="V53" s="152"/>
      <c r="W53" s="152"/>
      <c r="X53" s="152"/>
      <c r="Y53" s="157"/>
      <c r="Z53" s="228"/>
      <c r="AA53" s="229"/>
      <c r="AB53" s="230"/>
      <c r="AC53" s="233"/>
      <c r="AD53" s="218"/>
      <c r="AE53" s="185" t="s">
        <v>4</v>
      </c>
      <c r="AF53" s="186"/>
      <c r="AG53" s="186"/>
      <c r="AI53" s="42"/>
    </row>
    <row r="54" spans="2:35" s="5" customFormat="1" ht="17.100000000000001" customHeight="1" x14ac:dyDescent="0.25">
      <c r="B54" s="219"/>
      <c r="C54" s="220"/>
      <c r="D54" s="210"/>
      <c r="E54" s="211"/>
      <c r="F54" s="213"/>
      <c r="G54" s="152"/>
      <c r="H54" s="221"/>
      <c r="I54" s="222"/>
      <c r="J54" s="152"/>
      <c r="K54" s="132"/>
      <c r="L54" s="223"/>
      <c r="M54" s="224"/>
      <c r="N54" s="232"/>
      <c r="O54" s="225"/>
      <c r="P54" s="226"/>
      <c r="Q54" s="233"/>
      <c r="R54" s="227"/>
      <c r="S54" s="152"/>
      <c r="T54" s="152"/>
      <c r="U54" s="152"/>
      <c r="V54" s="152"/>
      <c r="W54" s="152"/>
      <c r="X54" s="152"/>
      <c r="Y54" s="157"/>
      <c r="Z54" s="228"/>
      <c r="AA54" s="229"/>
      <c r="AB54" s="230"/>
      <c r="AC54" s="233"/>
      <c r="AD54" s="218"/>
      <c r="AE54" s="185" t="s">
        <v>4</v>
      </c>
      <c r="AF54" s="186"/>
      <c r="AG54" s="186"/>
      <c r="AI54" s="42"/>
    </row>
    <row r="55" spans="2:35" s="5" customFormat="1" ht="17.100000000000001" customHeight="1" x14ac:dyDescent="0.25">
      <c r="B55" s="219"/>
      <c r="C55" s="220"/>
      <c r="D55" s="210"/>
      <c r="E55" s="211"/>
      <c r="F55" s="213"/>
      <c r="G55" s="152"/>
      <c r="H55" s="221"/>
      <c r="I55" s="222"/>
      <c r="J55" s="152"/>
      <c r="K55" s="132"/>
      <c r="L55" s="223"/>
      <c r="M55" s="224"/>
      <c r="N55" s="224"/>
      <c r="O55" s="225"/>
      <c r="P55" s="226"/>
      <c r="Q55" s="226"/>
      <c r="R55" s="227"/>
      <c r="S55" s="152"/>
      <c r="T55" s="152"/>
      <c r="U55" s="152"/>
      <c r="V55" s="152"/>
      <c r="W55" s="152"/>
      <c r="X55" s="152"/>
      <c r="Y55" s="163"/>
      <c r="Z55" s="228"/>
      <c r="AA55" s="229"/>
      <c r="AB55" s="230"/>
      <c r="AC55" s="226"/>
      <c r="AD55" s="218"/>
      <c r="AE55" s="185" t="s">
        <v>4</v>
      </c>
      <c r="AF55" s="186"/>
      <c r="AG55" s="186"/>
      <c r="AI55" s="42"/>
    </row>
    <row r="56" spans="2:35" s="5" customFormat="1" ht="17.100000000000001" customHeight="1" x14ac:dyDescent="0.25">
      <c r="B56" s="219"/>
      <c r="C56" s="220"/>
      <c r="D56" s="210"/>
      <c r="E56" s="211"/>
      <c r="F56" s="213"/>
      <c r="G56" s="152"/>
      <c r="H56" s="221"/>
      <c r="I56" s="222"/>
      <c r="J56" s="152"/>
      <c r="K56" s="132"/>
      <c r="L56" s="223"/>
      <c r="M56" s="224"/>
      <c r="N56" s="224"/>
      <c r="O56" s="225"/>
      <c r="P56" s="226"/>
      <c r="Q56" s="226"/>
      <c r="R56" s="227"/>
      <c r="S56" s="152"/>
      <c r="T56" s="152"/>
      <c r="U56" s="152"/>
      <c r="V56" s="152"/>
      <c r="W56" s="152"/>
      <c r="X56" s="152"/>
      <c r="Y56" s="163"/>
      <c r="Z56" s="228"/>
      <c r="AA56" s="229"/>
      <c r="AB56" s="230"/>
      <c r="AC56" s="226"/>
      <c r="AD56" s="218"/>
      <c r="AE56" s="185" t="s">
        <v>4</v>
      </c>
      <c r="AF56" s="186"/>
      <c r="AG56" s="186"/>
      <c r="AI56" s="42"/>
    </row>
    <row r="57" spans="2:35" s="5" customFormat="1" ht="17.100000000000001" customHeight="1" x14ac:dyDescent="0.25">
      <c r="B57" s="219"/>
      <c r="C57" s="220"/>
      <c r="D57" s="210"/>
      <c r="E57" s="211"/>
      <c r="F57" s="213"/>
      <c r="G57" s="152"/>
      <c r="H57" s="221"/>
      <c r="I57" s="222"/>
      <c r="J57" s="152"/>
      <c r="K57" s="132"/>
      <c r="L57" s="223"/>
      <c r="M57" s="224"/>
      <c r="N57" s="224"/>
      <c r="O57" s="225"/>
      <c r="P57" s="226"/>
      <c r="Q57" s="226"/>
      <c r="R57" s="227"/>
      <c r="S57" s="152"/>
      <c r="T57" s="152"/>
      <c r="U57" s="152"/>
      <c r="V57" s="152"/>
      <c r="W57" s="152"/>
      <c r="X57" s="152"/>
      <c r="Y57" s="163"/>
      <c r="Z57" s="228"/>
      <c r="AA57" s="229"/>
      <c r="AB57" s="230"/>
      <c r="AC57" s="226"/>
      <c r="AD57" s="218"/>
      <c r="AE57" s="185" t="s">
        <v>4</v>
      </c>
      <c r="AF57" s="186"/>
      <c r="AG57" s="186"/>
      <c r="AI57" s="42"/>
    </row>
    <row r="58" spans="2:35" s="5" customFormat="1" ht="17.100000000000001" customHeight="1" x14ac:dyDescent="0.25">
      <c r="B58" s="234"/>
      <c r="C58" s="220"/>
      <c r="D58" s="235"/>
      <c r="E58" s="211"/>
      <c r="F58" s="213"/>
      <c r="G58" s="152"/>
      <c r="H58" s="221"/>
      <c r="I58" s="222"/>
      <c r="J58" s="152"/>
      <c r="K58" s="132"/>
      <c r="L58" s="223"/>
      <c r="M58" s="224"/>
      <c r="N58" s="232"/>
      <c r="O58" s="225"/>
      <c r="P58" s="233"/>
      <c r="Q58" s="233"/>
      <c r="R58" s="227"/>
      <c r="S58" s="156"/>
      <c r="T58" s="156"/>
      <c r="U58" s="152"/>
      <c r="V58" s="152"/>
      <c r="W58" s="152"/>
      <c r="X58" s="156"/>
      <c r="Y58" s="163"/>
      <c r="Z58" s="228"/>
      <c r="AA58" s="236"/>
      <c r="AB58" s="160"/>
      <c r="AC58" s="233"/>
      <c r="AD58" s="218"/>
      <c r="AE58" s="185" t="s">
        <v>4</v>
      </c>
      <c r="AF58" s="186"/>
      <c r="AG58" s="186"/>
      <c r="AI58" s="42"/>
    </row>
    <row r="59" spans="2:35" s="5" customFormat="1" ht="17.100000000000001" customHeight="1" x14ac:dyDescent="0.25">
      <c r="B59" s="234"/>
      <c r="C59" s="220"/>
      <c r="D59" s="237"/>
      <c r="E59" s="211"/>
      <c r="F59" s="213"/>
      <c r="G59" s="152"/>
      <c r="H59" s="221"/>
      <c r="I59" s="222"/>
      <c r="J59" s="152"/>
      <c r="K59" s="132"/>
      <c r="L59" s="223"/>
      <c r="M59" s="224"/>
      <c r="N59" s="232"/>
      <c r="O59" s="225"/>
      <c r="P59" s="233"/>
      <c r="Q59" s="233"/>
      <c r="R59" s="227"/>
      <c r="S59" s="156"/>
      <c r="T59" s="156"/>
      <c r="U59" s="152"/>
      <c r="V59" s="152"/>
      <c r="W59" s="152"/>
      <c r="X59" s="156"/>
      <c r="Y59" s="157"/>
      <c r="Z59" s="228"/>
      <c r="AA59" s="236"/>
      <c r="AB59" s="160"/>
      <c r="AC59" s="233"/>
      <c r="AD59" s="218"/>
      <c r="AE59" s="185" t="s">
        <v>4</v>
      </c>
      <c r="AF59" s="186"/>
      <c r="AG59" s="186"/>
      <c r="AI59" s="42"/>
    </row>
    <row r="60" spans="2:35" s="5" customFormat="1" ht="17.100000000000001" customHeight="1" x14ac:dyDescent="0.25">
      <c r="B60" s="234"/>
      <c r="C60" s="220"/>
      <c r="D60" s="210"/>
      <c r="E60" s="211"/>
      <c r="F60" s="213"/>
      <c r="G60" s="152"/>
      <c r="H60" s="221"/>
      <c r="I60" s="222"/>
      <c r="J60" s="152"/>
      <c r="K60" s="132"/>
      <c r="L60" s="223"/>
      <c r="M60" s="224"/>
      <c r="N60" s="224"/>
      <c r="O60" s="225"/>
      <c r="P60" s="226"/>
      <c r="Q60" s="226"/>
      <c r="R60" s="227"/>
      <c r="S60" s="152"/>
      <c r="T60" s="152"/>
      <c r="U60" s="152"/>
      <c r="V60" s="152"/>
      <c r="W60" s="152"/>
      <c r="X60" s="152"/>
      <c r="Y60" s="163"/>
      <c r="Z60" s="228"/>
      <c r="AA60" s="229"/>
      <c r="AB60" s="230"/>
      <c r="AC60" s="226"/>
      <c r="AD60" s="218"/>
      <c r="AE60" s="185" t="s">
        <v>4</v>
      </c>
      <c r="AF60" s="186"/>
      <c r="AG60" s="186"/>
      <c r="AI60" s="42"/>
    </row>
    <row r="61" spans="2:35" s="5" customFormat="1" ht="17.100000000000001" customHeight="1" x14ac:dyDescent="0.25">
      <c r="B61" s="234"/>
      <c r="C61" s="220"/>
      <c r="D61" s="210"/>
      <c r="E61" s="211"/>
      <c r="F61" s="213"/>
      <c r="G61" s="152"/>
      <c r="H61" s="221"/>
      <c r="I61" s="222"/>
      <c r="J61" s="152"/>
      <c r="K61" s="132"/>
      <c r="L61" s="223"/>
      <c r="M61" s="224"/>
      <c r="N61" s="224"/>
      <c r="O61" s="225"/>
      <c r="P61" s="226"/>
      <c r="Q61" s="226"/>
      <c r="R61" s="227"/>
      <c r="S61" s="152"/>
      <c r="T61" s="152"/>
      <c r="U61" s="152"/>
      <c r="V61" s="152"/>
      <c r="W61" s="152"/>
      <c r="X61" s="152"/>
      <c r="Y61" s="163"/>
      <c r="Z61" s="228"/>
      <c r="AA61" s="229"/>
      <c r="AB61" s="230"/>
      <c r="AC61" s="226"/>
      <c r="AD61" s="218"/>
      <c r="AE61" s="185" t="s">
        <v>4</v>
      </c>
      <c r="AF61" s="186"/>
      <c r="AG61" s="186"/>
      <c r="AI61" s="42"/>
    </row>
    <row r="62" spans="2:35" s="5" customFormat="1" ht="17.100000000000001" customHeight="1" x14ac:dyDescent="0.25">
      <c r="B62" s="234"/>
      <c r="C62" s="220"/>
      <c r="D62" s="210"/>
      <c r="E62" s="211"/>
      <c r="F62" s="213"/>
      <c r="G62" s="152"/>
      <c r="H62" s="221"/>
      <c r="I62" s="222"/>
      <c r="J62" s="152"/>
      <c r="K62" s="132"/>
      <c r="L62" s="223"/>
      <c r="M62" s="224"/>
      <c r="N62" s="224"/>
      <c r="O62" s="225"/>
      <c r="P62" s="226"/>
      <c r="Q62" s="226"/>
      <c r="R62" s="227"/>
      <c r="S62" s="152"/>
      <c r="T62" s="152"/>
      <c r="U62" s="152"/>
      <c r="V62" s="152"/>
      <c r="W62" s="152"/>
      <c r="X62" s="152"/>
      <c r="Y62" s="163"/>
      <c r="Z62" s="228"/>
      <c r="AA62" s="229"/>
      <c r="AB62" s="230"/>
      <c r="AC62" s="226"/>
      <c r="AD62" s="218"/>
      <c r="AE62" s="185" t="s">
        <v>4</v>
      </c>
      <c r="AF62" s="186"/>
      <c r="AG62" s="186"/>
      <c r="AI62" s="42"/>
    </row>
    <row r="63" spans="2:35" s="5" customFormat="1" ht="17.100000000000001" customHeight="1" x14ac:dyDescent="0.25">
      <c r="B63" s="234"/>
      <c r="C63" s="220"/>
      <c r="D63" s="210"/>
      <c r="E63" s="211"/>
      <c r="F63" s="213"/>
      <c r="G63" s="152"/>
      <c r="H63" s="221"/>
      <c r="I63" s="222"/>
      <c r="J63" s="152"/>
      <c r="K63" s="132"/>
      <c r="L63" s="223"/>
      <c r="M63" s="224"/>
      <c r="N63" s="224"/>
      <c r="O63" s="225"/>
      <c r="P63" s="226"/>
      <c r="Q63" s="226"/>
      <c r="R63" s="227"/>
      <c r="S63" s="152"/>
      <c r="T63" s="152"/>
      <c r="U63" s="152"/>
      <c r="V63" s="152"/>
      <c r="W63" s="152"/>
      <c r="X63" s="152"/>
      <c r="Y63" s="163"/>
      <c r="Z63" s="228"/>
      <c r="AA63" s="229"/>
      <c r="AB63" s="230"/>
      <c r="AC63" s="226"/>
      <c r="AD63" s="218"/>
      <c r="AE63" s="185" t="s">
        <v>4</v>
      </c>
      <c r="AF63" s="186"/>
      <c r="AG63" s="186"/>
      <c r="AI63" s="42"/>
    </row>
    <row r="64" spans="2:35" s="5" customFormat="1" ht="17.100000000000001" customHeight="1" x14ac:dyDescent="0.25">
      <c r="B64" s="234"/>
      <c r="C64" s="220"/>
      <c r="D64" s="210"/>
      <c r="E64" s="211"/>
      <c r="F64" s="213"/>
      <c r="G64" s="152"/>
      <c r="H64" s="221"/>
      <c r="I64" s="222"/>
      <c r="J64" s="152"/>
      <c r="K64" s="132"/>
      <c r="L64" s="223"/>
      <c r="M64" s="224"/>
      <c r="N64" s="224"/>
      <c r="O64" s="225"/>
      <c r="P64" s="226"/>
      <c r="Q64" s="226"/>
      <c r="R64" s="227"/>
      <c r="S64" s="152"/>
      <c r="T64" s="152"/>
      <c r="U64" s="152"/>
      <c r="V64" s="152"/>
      <c r="W64" s="152"/>
      <c r="X64" s="152"/>
      <c r="Y64" s="163"/>
      <c r="Z64" s="228"/>
      <c r="AA64" s="229"/>
      <c r="AB64" s="230"/>
      <c r="AC64" s="226"/>
      <c r="AD64" s="218"/>
      <c r="AE64" s="185" t="s">
        <v>4</v>
      </c>
      <c r="AF64" s="186"/>
      <c r="AG64" s="186"/>
      <c r="AI64" s="42"/>
    </row>
    <row r="65" spans="2:35" s="5" customFormat="1" ht="17.100000000000001" customHeight="1" x14ac:dyDescent="0.25">
      <c r="B65" s="234"/>
      <c r="C65" s="220"/>
      <c r="D65" s="210"/>
      <c r="E65" s="211"/>
      <c r="F65" s="213"/>
      <c r="G65" s="152"/>
      <c r="H65" s="221"/>
      <c r="I65" s="222"/>
      <c r="J65" s="152"/>
      <c r="K65" s="132"/>
      <c r="L65" s="223"/>
      <c r="M65" s="224"/>
      <c r="N65" s="224"/>
      <c r="O65" s="225"/>
      <c r="P65" s="226"/>
      <c r="Q65" s="226"/>
      <c r="R65" s="227"/>
      <c r="S65" s="152"/>
      <c r="T65" s="152"/>
      <c r="U65" s="152"/>
      <c r="V65" s="152"/>
      <c r="W65" s="152"/>
      <c r="X65" s="152"/>
      <c r="Y65" s="163"/>
      <c r="Z65" s="228"/>
      <c r="AA65" s="229"/>
      <c r="AB65" s="230"/>
      <c r="AC65" s="226"/>
      <c r="AD65" s="218"/>
      <c r="AE65" s="185" t="s">
        <v>4</v>
      </c>
      <c r="AF65" s="186"/>
      <c r="AG65" s="186"/>
      <c r="AI65" s="42"/>
    </row>
    <row r="66" spans="2:35" s="5" customFormat="1" ht="17.100000000000001" customHeight="1" x14ac:dyDescent="0.25">
      <c r="B66" s="219"/>
      <c r="C66" s="220"/>
      <c r="D66" s="210"/>
      <c r="E66" s="211"/>
      <c r="F66" s="213"/>
      <c r="G66" s="152"/>
      <c r="H66" s="221"/>
      <c r="I66" s="222"/>
      <c r="J66" s="152"/>
      <c r="K66" s="132"/>
      <c r="L66" s="223"/>
      <c r="M66" s="224"/>
      <c r="N66" s="224"/>
      <c r="O66" s="225"/>
      <c r="P66" s="226"/>
      <c r="Q66" s="226"/>
      <c r="R66" s="227"/>
      <c r="S66" s="152"/>
      <c r="T66" s="152"/>
      <c r="U66" s="152"/>
      <c r="V66" s="152"/>
      <c r="W66" s="152"/>
      <c r="X66" s="152"/>
      <c r="Y66" s="163"/>
      <c r="Z66" s="228"/>
      <c r="AA66" s="229"/>
      <c r="AB66" s="230"/>
      <c r="AC66" s="226"/>
      <c r="AD66" s="218"/>
      <c r="AE66" s="185" t="s">
        <v>4</v>
      </c>
      <c r="AF66" s="186"/>
      <c r="AG66" s="186"/>
      <c r="AI66" s="42"/>
    </row>
    <row r="67" spans="2:35" s="5" customFormat="1" ht="17.100000000000001" customHeight="1" x14ac:dyDescent="0.25">
      <c r="B67" s="219"/>
      <c r="C67" s="220"/>
      <c r="D67" s="210"/>
      <c r="E67" s="211"/>
      <c r="F67" s="213"/>
      <c r="G67" s="152"/>
      <c r="H67" s="221"/>
      <c r="I67" s="222"/>
      <c r="J67" s="152"/>
      <c r="K67" s="132"/>
      <c r="L67" s="223"/>
      <c r="M67" s="224"/>
      <c r="N67" s="224"/>
      <c r="O67" s="225"/>
      <c r="P67" s="226"/>
      <c r="Q67" s="226"/>
      <c r="R67" s="227"/>
      <c r="S67" s="152"/>
      <c r="T67" s="152"/>
      <c r="U67" s="152"/>
      <c r="V67" s="152"/>
      <c r="W67" s="152"/>
      <c r="X67" s="152"/>
      <c r="Y67" s="163"/>
      <c r="Z67" s="228"/>
      <c r="AA67" s="229"/>
      <c r="AB67" s="230"/>
      <c r="AC67" s="226"/>
      <c r="AD67" s="218"/>
      <c r="AE67" s="185" t="s">
        <v>4</v>
      </c>
      <c r="AF67" s="186"/>
      <c r="AG67" s="186"/>
      <c r="AI67" s="42"/>
    </row>
    <row r="68" spans="2:35" s="5" customFormat="1" ht="17.100000000000001" customHeight="1" x14ac:dyDescent="0.25">
      <c r="B68" s="219"/>
      <c r="C68" s="220"/>
      <c r="D68" s="210"/>
      <c r="E68" s="211"/>
      <c r="F68" s="213"/>
      <c r="G68" s="152"/>
      <c r="H68" s="221"/>
      <c r="I68" s="222"/>
      <c r="J68" s="152"/>
      <c r="K68" s="132"/>
      <c r="L68" s="223"/>
      <c r="M68" s="224"/>
      <c r="N68" s="224"/>
      <c r="O68" s="225"/>
      <c r="P68" s="226"/>
      <c r="Q68" s="226"/>
      <c r="R68" s="227"/>
      <c r="S68" s="152"/>
      <c r="T68" s="152"/>
      <c r="U68" s="152"/>
      <c r="V68" s="152"/>
      <c r="W68" s="152"/>
      <c r="X68" s="152"/>
      <c r="Y68" s="163"/>
      <c r="Z68" s="228"/>
      <c r="AA68" s="229"/>
      <c r="AB68" s="230"/>
      <c r="AC68" s="226"/>
      <c r="AD68" s="218"/>
      <c r="AE68" s="185" t="s">
        <v>4</v>
      </c>
      <c r="AF68" s="186"/>
      <c r="AG68" s="186"/>
      <c r="AI68" s="42"/>
    </row>
    <row r="69" spans="2:35" s="5" customFormat="1" ht="17.100000000000001" customHeight="1" x14ac:dyDescent="0.25">
      <c r="B69" s="219"/>
      <c r="C69" s="220"/>
      <c r="D69" s="237"/>
      <c r="E69" s="211"/>
      <c r="F69" s="213"/>
      <c r="G69" s="152"/>
      <c r="H69" s="221"/>
      <c r="I69" s="222"/>
      <c r="J69" s="152"/>
      <c r="K69" s="132"/>
      <c r="L69" s="223"/>
      <c r="M69" s="224"/>
      <c r="N69" s="232"/>
      <c r="O69" s="225"/>
      <c r="P69" s="233"/>
      <c r="Q69" s="233"/>
      <c r="R69" s="227"/>
      <c r="S69" s="156"/>
      <c r="T69" s="156"/>
      <c r="U69" s="152"/>
      <c r="V69" s="152"/>
      <c r="W69" s="152"/>
      <c r="X69" s="156"/>
      <c r="Y69" s="157"/>
      <c r="Z69" s="228"/>
      <c r="AA69" s="236"/>
      <c r="AB69" s="160"/>
      <c r="AC69" s="233"/>
      <c r="AD69" s="218"/>
      <c r="AE69" s="185" t="s">
        <v>4</v>
      </c>
      <c r="AF69" s="186"/>
      <c r="AG69" s="186"/>
      <c r="AI69" s="42"/>
    </row>
    <row r="70" spans="2:35" s="5" customFormat="1" ht="17.100000000000001" customHeight="1" x14ac:dyDescent="0.25">
      <c r="B70" s="219"/>
      <c r="C70" s="220"/>
      <c r="D70" s="210"/>
      <c r="E70" s="211"/>
      <c r="F70" s="213"/>
      <c r="G70" s="152"/>
      <c r="H70" s="221"/>
      <c r="I70" s="222"/>
      <c r="J70" s="152"/>
      <c r="K70" s="132"/>
      <c r="L70" s="223"/>
      <c r="M70" s="224"/>
      <c r="N70" s="232"/>
      <c r="O70" s="225"/>
      <c r="P70" s="226"/>
      <c r="Q70" s="233"/>
      <c r="R70" s="227"/>
      <c r="S70" s="152"/>
      <c r="T70" s="152"/>
      <c r="U70" s="152"/>
      <c r="V70" s="152"/>
      <c r="W70" s="152"/>
      <c r="X70" s="152"/>
      <c r="Y70" s="157"/>
      <c r="Z70" s="228"/>
      <c r="AA70" s="229"/>
      <c r="AB70" s="230"/>
      <c r="AC70" s="233"/>
      <c r="AD70" s="218"/>
      <c r="AE70" s="185" t="s">
        <v>4</v>
      </c>
      <c r="AF70" s="186"/>
      <c r="AG70" s="186"/>
      <c r="AI70" s="42"/>
    </row>
    <row r="71" spans="2:35" s="5" customFormat="1" ht="17.100000000000001" customHeight="1" x14ac:dyDescent="0.25">
      <c r="B71" s="231"/>
      <c r="C71" s="220"/>
      <c r="D71" s="210"/>
      <c r="E71" s="211"/>
      <c r="F71" s="213"/>
      <c r="G71" s="152"/>
      <c r="H71" s="221"/>
      <c r="I71" s="222"/>
      <c r="J71" s="152"/>
      <c r="K71" s="132"/>
      <c r="L71" s="223"/>
      <c r="M71" s="224"/>
      <c r="N71" s="232"/>
      <c r="O71" s="225"/>
      <c r="P71" s="226"/>
      <c r="Q71" s="233"/>
      <c r="R71" s="227"/>
      <c r="S71" s="152"/>
      <c r="T71" s="152"/>
      <c r="U71" s="152"/>
      <c r="V71" s="152"/>
      <c r="W71" s="152"/>
      <c r="X71" s="152"/>
      <c r="Y71" s="157"/>
      <c r="Z71" s="228"/>
      <c r="AA71" s="229"/>
      <c r="AB71" s="230"/>
      <c r="AC71" s="233"/>
      <c r="AD71" s="218"/>
      <c r="AE71" s="185" t="s">
        <v>4</v>
      </c>
      <c r="AF71" s="186"/>
      <c r="AG71" s="186"/>
      <c r="AI71" s="42"/>
    </row>
    <row r="72" spans="2:35" s="5" customFormat="1" ht="17.100000000000001" customHeight="1" x14ac:dyDescent="0.25">
      <c r="B72" s="231"/>
      <c r="C72" s="220"/>
      <c r="D72" s="210"/>
      <c r="E72" s="211"/>
      <c r="F72" s="213"/>
      <c r="G72" s="152"/>
      <c r="H72" s="221"/>
      <c r="I72" s="222"/>
      <c r="J72" s="152"/>
      <c r="K72" s="132"/>
      <c r="L72" s="223"/>
      <c r="M72" s="224"/>
      <c r="N72" s="232"/>
      <c r="O72" s="225"/>
      <c r="P72" s="226"/>
      <c r="Q72" s="233"/>
      <c r="R72" s="227"/>
      <c r="S72" s="152"/>
      <c r="T72" s="152"/>
      <c r="U72" s="152"/>
      <c r="V72" s="152"/>
      <c r="W72" s="152"/>
      <c r="X72" s="152"/>
      <c r="Y72" s="157"/>
      <c r="Z72" s="228"/>
      <c r="AA72" s="229"/>
      <c r="AB72" s="230"/>
      <c r="AC72" s="233"/>
      <c r="AD72" s="218"/>
      <c r="AE72" s="185" t="s">
        <v>4</v>
      </c>
      <c r="AF72" s="186"/>
      <c r="AG72" s="186"/>
      <c r="AI72" s="42"/>
    </row>
    <row r="73" spans="2:35" s="5" customFormat="1" ht="17.100000000000001" customHeight="1" x14ac:dyDescent="0.25">
      <c r="B73" s="219"/>
      <c r="C73" s="220"/>
      <c r="D73" s="210"/>
      <c r="E73" s="211"/>
      <c r="F73" s="213"/>
      <c r="G73" s="152"/>
      <c r="H73" s="221"/>
      <c r="I73" s="222"/>
      <c r="J73" s="152"/>
      <c r="K73" s="132"/>
      <c r="L73" s="223"/>
      <c r="M73" s="224"/>
      <c r="N73" s="224"/>
      <c r="O73" s="225"/>
      <c r="P73" s="226"/>
      <c r="Q73" s="226"/>
      <c r="R73" s="227"/>
      <c r="S73" s="152"/>
      <c r="T73" s="152"/>
      <c r="U73" s="152"/>
      <c r="V73" s="152"/>
      <c r="W73" s="152"/>
      <c r="X73" s="152"/>
      <c r="Y73" s="163"/>
      <c r="Z73" s="228"/>
      <c r="AA73" s="229"/>
      <c r="AB73" s="230"/>
      <c r="AC73" s="226"/>
      <c r="AD73" s="218"/>
      <c r="AE73" s="185" t="s">
        <v>4</v>
      </c>
      <c r="AF73" s="186"/>
      <c r="AG73" s="186"/>
      <c r="AI73" s="42"/>
    </row>
    <row r="74" spans="2:35" s="5" customFormat="1" ht="17.100000000000001" customHeight="1" x14ac:dyDescent="0.25">
      <c r="B74" s="219"/>
      <c r="C74" s="220"/>
      <c r="D74" s="210"/>
      <c r="E74" s="211"/>
      <c r="F74" s="213"/>
      <c r="G74" s="152"/>
      <c r="H74" s="221"/>
      <c r="I74" s="222"/>
      <c r="J74" s="152"/>
      <c r="K74" s="132"/>
      <c r="L74" s="223"/>
      <c r="M74" s="224"/>
      <c r="N74" s="224"/>
      <c r="O74" s="225"/>
      <c r="P74" s="226"/>
      <c r="Q74" s="226"/>
      <c r="R74" s="227"/>
      <c r="S74" s="152"/>
      <c r="T74" s="152"/>
      <c r="U74" s="152"/>
      <c r="V74" s="152"/>
      <c r="W74" s="152"/>
      <c r="X74" s="152"/>
      <c r="Y74" s="163"/>
      <c r="Z74" s="228"/>
      <c r="AA74" s="229"/>
      <c r="AB74" s="230"/>
      <c r="AC74" s="226"/>
      <c r="AD74" s="218"/>
      <c r="AE74" s="185" t="s">
        <v>4</v>
      </c>
      <c r="AF74" s="186"/>
      <c r="AG74" s="186"/>
      <c r="AI74" s="42"/>
    </row>
    <row r="75" spans="2:35" s="5" customFormat="1" ht="17.100000000000001" customHeight="1" x14ac:dyDescent="0.25">
      <c r="B75" s="219"/>
      <c r="C75" s="220"/>
      <c r="D75" s="210"/>
      <c r="E75" s="211"/>
      <c r="F75" s="213"/>
      <c r="G75" s="152"/>
      <c r="H75" s="221"/>
      <c r="I75" s="222"/>
      <c r="J75" s="152"/>
      <c r="K75" s="132"/>
      <c r="L75" s="223"/>
      <c r="M75" s="224"/>
      <c r="N75" s="224"/>
      <c r="O75" s="225"/>
      <c r="P75" s="226"/>
      <c r="Q75" s="226"/>
      <c r="R75" s="227"/>
      <c r="S75" s="152"/>
      <c r="T75" s="152"/>
      <c r="U75" s="152"/>
      <c r="V75" s="152"/>
      <c r="W75" s="152"/>
      <c r="X75" s="152"/>
      <c r="Y75" s="163"/>
      <c r="Z75" s="228"/>
      <c r="AA75" s="229"/>
      <c r="AB75" s="230"/>
      <c r="AC75" s="226"/>
      <c r="AD75" s="218"/>
      <c r="AE75" s="185" t="s">
        <v>4</v>
      </c>
      <c r="AF75" s="186"/>
      <c r="AG75" s="186"/>
      <c r="AI75" s="42"/>
    </row>
    <row r="76" spans="2:35" s="5" customFormat="1" ht="17.100000000000001" customHeight="1" x14ac:dyDescent="0.25">
      <c r="B76" s="231"/>
      <c r="C76" s="220"/>
      <c r="D76" s="210"/>
      <c r="E76" s="211"/>
      <c r="F76" s="213"/>
      <c r="G76" s="152"/>
      <c r="H76" s="221"/>
      <c r="I76" s="222"/>
      <c r="J76" s="152"/>
      <c r="K76" s="132"/>
      <c r="L76" s="223"/>
      <c r="M76" s="224"/>
      <c r="N76" s="224"/>
      <c r="O76" s="225"/>
      <c r="P76" s="226"/>
      <c r="Q76" s="226"/>
      <c r="R76" s="227"/>
      <c r="S76" s="152"/>
      <c r="T76" s="152"/>
      <c r="U76" s="152"/>
      <c r="V76" s="152"/>
      <c r="W76" s="152"/>
      <c r="X76" s="152"/>
      <c r="Y76" s="163"/>
      <c r="Z76" s="228"/>
      <c r="AA76" s="229"/>
      <c r="AB76" s="230"/>
      <c r="AC76" s="226"/>
      <c r="AD76" s="218"/>
      <c r="AE76" s="185" t="s">
        <v>4</v>
      </c>
      <c r="AF76" s="186"/>
      <c r="AG76" s="186"/>
      <c r="AI76" s="42"/>
    </row>
    <row r="77" spans="2:35" s="5" customFormat="1" ht="17.100000000000001" customHeight="1" x14ac:dyDescent="0.25">
      <c r="B77" s="219"/>
      <c r="C77" s="220"/>
      <c r="D77" s="210"/>
      <c r="E77" s="211"/>
      <c r="F77" s="213"/>
      <c r="G77" s="152"/>
      <c r="H77" s="221"/>
      <c r="I77" s="222"/>
      <c r="J77" s="152"/>
      <c r="K77" s="132"/>
      <c r="L77" s="223"/>
      <c r="M77" s="224"/>
      <c r="N77" s="224"/>
      <c r="O77" s="225"/>
      <c r="P77" s="226"/>
      <c r="Q77" s="226"/>
      <c r="R77" s="227"/>
      <c r="S77" s="152"/>
      <c r="T77" s="152"/>
      <c r="U77" s="152"/>
      <c r="V77" s="152"/>
      <c r="W77" s="152"/>
      <c r="X77" s="152"/>
      <c r="Y77" s="163"/>
      <c r="Z77" s="228"/>
      <c r="AA77" s="229"/>
      <c r="AB77" s="230"/>
      <c r="AC77" s="226"/>
      <c r="AD77" s="218"/>
      <c r="AE77" s="185" t="s">
        <v>4</v>
      </c>
      <c r="AF77" s="186"/>
      <c r="AG77" s="186"/>
      <c r="AI77" s="42"/>
    </row>
    <row r="78" spans="2:35" s="5" customFormat="1" ht="17.100000000000001" customHeight="1" x14ac:dyDescent="0.25">
      <c r="B78" s="219"/>
      <c r="C78" s="220"/>
      <c r="D78" s="210"/>
      <c r="E78" s="211"/>
      <c r="F78" s="213"/>
      <c r="G78" s="152"/>
      <c r="H78" s="221"/>
      <c r="I78" s="222"/>
      <c r="J78" s="152"/>
      <c r="K78" s="132"/>
      <c r="L78" s="223"/>
      <c r="M78" s="224"/>
      <c r="N78" s="224"/>
      <c r="O78" s="225"/>
      <c r="P78" s="226"/>
      <c r="Q78" s="226"/>
      <c r="R78" s="227"/>
      <c r="S78" s="152"/>
      <c r="T78" s="152"/>
      <c r="U78" s="152"/>
      <c r="V78" s="152"/>
      <c r="W78" s="152"/>
      <c r="X78" s="152"/>
      <c r="Y78" s="163"/>
      <c r="Z78" s="228"/>
      <c r="AA78" s="229"/>
      <c r="AB78" s="230"/>
      <c r="AC78" s="226"/>
      <c r="AD78" s="218"/>
      <c r="AE78" s="185" t="s">
        <v>4</v>
      </c>
      <c r="AF78" s="186"/>
      <c r="AG78" s="186"/>
      <c r="AI78" s="42"/>
    </row>
    <row r="79" spans="2:35" s="5" customFormat="1" ht="17.100000000000001" customHeight="1" x14ac:dyDescent="0.25">
      <c r="B79" s="219"/>
      <c r="C79" s="220"/>
      <c r="D79" s="210"/>
      <c r="E79" s="211"/>
      <c r="F79" s="213"/>
      <c r="G79" s="152"/>
      <c r="H79" s="221"/>
      <c r="I79" s="222"/>
      <c r="J79" s="152"/>
      <c r="K79" s="132"/>
      <c r="L79" s="223"/>
      <c r="M79" s="224"/>
      <c r="N79" s="224"/>
      <c r="O79" s="225"/>
      <c r="P79" s="226"/>
      <c r="Q79" s="226"/>
      <c r="R79" s="227"/>
      <c r="S79" s="152"/>
      <c r="T79" s="152"/>
      <c r="U79" s="152"/>
      <c r="V79" s="152"/>
      <c r="W79" s="152"/>
      <c r="X79" s="152"/>
      <c r="Y79" s="163"/>
      <c r="Z79" s="228"/>
      <c r="AA79" s="229"/>
      <c r="AB79" s="230"/>
      <c r="AC79" s="226"/>
      <c r="AD79" s="218"/>
      <c r="AE79" s="185" t="s">
        <v>4</v>
      </c>
      <c r="AF79" s="186"/>
      <c r="AG79" s="186"/>
      <c r="AI79" s="42"/>
    </row>
    <row r="80" spans="2:35" s="5" customFormat="1" ht="17.100000000000001" customHeight="1" x14ac:dyDescent="0.25">
      <c r="B80" s="219"/>
      <c r="C80" s="220"/>
      <c r="D80" s="210"/>
      <c r="E80" s="211"/>
      <c r="F80" s="213"/>
      <c r="G80" s="152"/>
      <c r="H80" s="221"/>
      <c r="I80" s="222"/>
      <c r="J80" s="152"/>
      <c r="K80" s="132"/>
      <c r="L80" s="223"/>
      <c r="M80" s="224"/>
      <c r="N80" s="224"/>
      <c r="O80" s="225"/>
      <c r="P80" s="226"/>
      <c r="Q80" s="226"/>
      <c r="R80" s="227"/>
      <c r="S80" s="152"/>
      <c r="T80" s="152"/>
      <c r="U80" s="152"/>
      <c r="V80" s="152"/>
      <c r="W80" s="152"/>
      <c r="X80" s="152"/>
      <c r="Y80" s="163"/>
      <c r="Z80" s="228"/>
      <c r="AA80" s="229"/>
      <c r="AB80" s="230"/>
      <c r="AC80" s="226"/>
      <c r="AD80" s="218"/>
      <c r="AE80" s="185" t="s">
        <v>4</v>
      </c>
      <c r="AF80" s="186"/>
      <c r="AG80" s="186"/>
      <c r="AI80" s="42"/>
    </row>
    <row r="81" spans="1:220" s="5" customFormat="1" ht="17.100000000000001" customHeight="1" x14ac:dyDescent="0.25">
      <c r="B81" s="219"/>
      <c r="C81" s="220"/>
      <c r="D81" s="210"/>
      <c r="E81" s="211"/>
      <c r="F81" s="213"/>
      <c r="G81" s="152"/>
      <c r="H81" s="221"/>
      <c r="I81" s="222"/>
      <c r="J81" s="152"/>
      <c r="K81" s="132"/>
      <c r="L81" s="223"/>
      <c r="M81" s="224"/>
      <c r="N81" s="224"/>
      <c r="O81" s="225"/>
      <c r="P81" s="226"/>
      <c r="Q81" s="226"/>
      <c r="R81" s="227"/>
      <c r="S81" s="152"/>
      <c r="T81" s="152"/>
      <c r="U81" s="152"/>
      <c r="V81" s="152"/>
      <c r="W81" s="152"/>
      <c r="X81" s="152"/>
      <c r="Y81" s="163"/>
      <c r="Z81" s="228"/>
      <c r="AA81" s="229"/>
      <c r="AB81" s="230"/>
      <c r="AC81" s="226"/>
      <c r="AD81" s="218"/>
      <c r="AE81" s="185" t="s">
        <v>4</v>
      </c>
      <c r="AF81" s="186"/>
      <c r="AG81" s="186"/>
      <c r="AI81" s="42"/>
    </row>
    <row r="82" spans="1:220" s="5" customFormat="1" ht="17.100000000000001" customHeight="1" x14ac:dyDescent="0.25">
      <c r="B82" s="219"/>
      <c r="C82" s="220"/>
      <c r="D82" s="210"/>
      <c r="E82" s="211"/>
      <c r="F82" s="213"/>
      <c r="G82" s="152"/>
      <c r="H82" s="221"/>
      <c r="I82" s="222"/>
      <c r="J82" s="152"/>
      <c r="K82" s="132"/>
      <c r="L82" s="223"/>
      <c r="M82" s="224"/>
      <c r="N82" s="224"/>
      <c r="O82" s="225"/>
      <c r="P82" s="226"/>
      <c r="Q82" s="226"/>
      <c r="R82" s="227"/>
      <c r="S82" s="152"/>
      <c r="T82" s="152"/>
      <c r="U82" s="152"/>
      <c r="V82" s="152"/>
      <c r="W82" s="152"/>
      <c r="X82" s="152"/>
      <c r="Y82" s="163"/>
      <c r="Z82" s="228"/>
      <c r="AA82" s="229"/>
      <c r="AB82" s="230"/>
      <c r="AC82" s="226"/>
      <c r="AD82" s="218"/>
      <c r="AE82" s="185" t="s">
        <v>4</v>
      </c>
      <c r="AF82" s="186"/>
      <c r="AG82" s="186"/>
      <c r="AI82" s="42"/>
    </row>
    <row r="83" spans="1:220" s="5" customFormat="1" ht="17.100000000000001" customHeight="1" x14ac:dyDescent="0.25">
      <c r="B83" s="219"/>
      <c r="C83" s="220"/>
      <c r="D83" s="210"/>
      <c r="E83" s="211"/>
      <c r="F83" s="213"/>
      <c r="G83" s="152"/>
      <c r="H83" s="221"/>
      <c r="I83" s="222"/>
      <c r="J83" s="152"/>
      <c r="K83" s="132"/>
      <c r="L83" s="223"/>
      <c r="M83" s="224"/>
      <c r="N83" s="224"/>
      <c r="O83" s="225"/>
      <c r="P83" s="226"/>
      <c r="Q83" s="226"/>
      <c r="R83" s="227"/>
      <c r="S83" s="152"/>
      <c r="T83" s="152"/>
      <c r="U83" s="152"/>
      <c r="V83" s="152"/>
      <c r="W83" s="152"/>
      <c r="X83" s="152"/>
      <c r="Y83" s="163"/>
      <c r="Z83" s="228"/>
      <c r="AA83" s="229"/>
      <c r="AB83" s="230"/>
      <c r="AC83" s="226"/>
      <c r="AD83" s="218"/>
      <c r="AE83" s="185" t="s">
        <v>4</v>
      </c>
      <c r="AF83" s="186"/>
      <c r="AG83" s="186"/>
      <c r="AI83" s="42"/>
    </row>
    <row r="84" spans="1:220" s="5" customFormat="1" ht="17.100000000000001" customHeight="1" x14ac:dyDescent="0.25">
      <c r="B84" s="231"/>
      <c r="C84" s="220"/>
      <c r="D84" s="210"/>
      <c r="E84" s="211"/>
      <c r="F84" s="213"/>
      <c r="G84" s="152"/>
      <c r="H84" s="221"/>
      <c r="I84" s="222"/>
      <c r="J84" s="152"/>
      <c r="K84" s="132"/>
      <c r="L84" s="223"/>
      <c r="M84" s="224"/>
      <c r="N84" s="224"/>
      <c r="O84" s="225"/>
      <c r="P84" s="226"/>
      <c r="Q84" s="226"/>
      <c r="R84" s="227"/>
      <c r="S84" s="152"/>
      <c r="T84" s="152"/>
      <c r="U84" s="152"/>
      <c r="V84" s="152"/>
      <c r="W84" s="152"/>
      <c r="X84" s="152"/>
      <c r="Y84" s="163"/>
      <c r="Z84" s="228"/>
      <c r="AA84" s="229"/>
      <c r="AB84" s="230"/>
      <c r="AC84" s="226"/>
      <c r="AD84" s="218"/>
      <c r="AE84" s="185" t="s">
        <v>4</v>
      </c>
      <c r="AF84" s="186"/>
      <c r="AG84" s="186"/>
      <c r="AI84" s="42"/>
    </row>
    <row r="85" spans="1:220" s="5" customFormat="1" ht="17.100000000000001" customHeight="1" x14ac:dyDescent="0.25">
      <c r="B85" s="219"/>
      <c r="C85" s="220"/>
      <c r="D85" s="210"/>
      <c r="E85" s="211"/>
      <c r="F85" s="213"/>
      <c r="G85" s="152"/>
      <c r="H85" s="221"/>
      <c r="I85" s="222"/>
      <c r="J85" s="152"/>
      <c r="K85" s="132"/>
      <c r="L85" s="223"/>
      <c r="M85" s="224"/>
      <c r="N85" s="224"/>
      <c r="O85" s="225"/>
      <c r="P85" s="226"/>
      <c r="Q85" s="226"/>
      <c r="R85" s="227"/>
      <c r="S85" s="152"/>
      <c r="T85" s="152"/>
      <c r="U85" s="152"/>
      <c r="V85" s="152"/>
      <c r="W85" s="152"/>
      <c r="X85" s="152"/>
      <c r="Y85" s="163"/>
      <c r="Z85" s="228"/>
      <c r="AA85" s="229"/>
      <c r="AB85" s="230"/>
      <c r="AC85" s="226"/>
      <c r="AD85" s="218"/>
      <c r="AE85" s="185" t="s">
        <v>4</v>
      </c>
      <c r="AF85" s="186"/>
      <c r="AG85" s="186"/>
      <c r="AI85" s="42"/>
    </row>
    <row r="86" spans="1:220" s="5" customFormat="1" ht="17.100000000000001" customHeight="1" x14ac:dyDescent="0.25">
      <c r="B86" s="219"/>
      <c r="C86" s="220"/>
      <c r="D86" s="210"/>
      <c r="E86" s="211"/>
      <c r="F86" s="213"/>
      <c r="G86" s="152"/>
      <c r="H86" s="221"/>
      <c r="I86" s="222"/>
      <c r="J86" s="152"/>
      <c r="K86" s="132"/>
      <c r="L86" s="223"/>
      <c r="M86" s="224"/>
      <c r="N86" s="224"/>
      <c r="O86" s="225"/>
      <c r="P86" s="226"/>
      <c r="Q86" s="226"/>
      <c r="R86" s="227"/>
      <c r="S86" s="152"/>
      <c r="T86" s="152"/>
      <c r="U86" s="152"/>
      <c r="V86" s="152"/>
      <c r="W86" s="152"/>
      <c r="X86" s="152"/>
      <c r="Y86" s="163"/>
      <c r="Z86" s="228"/>
      <c r="AA86" s="229"/>
      <c r="AB86" s="230"/>
      <c r="AC86" s="226"/>
      <c r="AD86" s="218"/>
      <c r="AE86" s="185" t="s">
        <v>4</v>
      </c>
      <c r="AF86" s="186"/>
      <c r="AG86" s="186"/>
      <c r="AI86" s="42"/>
    </row>
    <row r="87" spans="1:220" s="5" customFormat="1" ht="17.100000000000001" customHeight="1" x14ac:dyDescent="0.25">
      <c r="B87" s="219"/>
      <c r="C87" s="220"/>
      <c r="D87" s="210"/>
      <c r="E87" s="211"/>
      <c r="F87" s="213"/>
      <c r="G87" s="152"/>
      <c r="H87" s="221"/>
      <c r="I87" s="222"/>
      <c r="J87" s="152"/>
      <c r="K87" s="132"/>
      <c r="L87" s="223"/>
      <c r="M87" s="224"/>
      <c r="N87" s="224"/>
      <c r="O87" s="225"/>
      <c r="P87" s="226"/>
      <c r="Q87" s="226"/>
      <c r="R87" s="227"/>
      <c r="S87" s="152"/>
      <c r="T87" s="152"/>
      <c r="U87" s="152"/>
      <c r="V87" s="152"/>
      <c r="W87" s="152"/>
      <c r="X87" s="152"/>
      <c r="Y87" s="163"/>
      <c r="Z87" s="228"/>
      <c r="AA87" s="229"/>
      <c r="AB87" s="230"/>
      <c r="AC87" s="226"/>
      <c r="AD87" s="218"/>
      <c r="AE87" s="185" t="s">
        <v>4</v>
      </c>
      <c r="AF87" s="186"/>
      <c r="AG87" s="186"/>
      <c r="AI87" s="42"/>
    </row>
    <row r="88" spans="1:220" s="5" customFormat="1" ht="17.100000000000001" customHeight="1" x14ac:dyDescent="0.2">
      <c r="B88" s="234"/>
      <c r="C88" s="238"/>
      <c r="D88" s="235"/>
      <c r="E88" s="239"/>
      <c r="F88" s="240"/>
      <c r="G88" s="167"/>
      <c r="H88" s="241"/>
      <c r="I88" s="51"/>
      <c r="J88" s="169"/>
      <c r="K88" s="132"/>
      <c r="L88" s="242"/>
      <c r="M88" s="243"/>
      <c r="N88" s="244"/>
      <c r="O88" s="245"/>
      <c r="P88" s="246"/>
      <c r="Q88" s="247"/>
      <c r="R88" s="248"/>
      <c r="S88" s="169"/>
      <c r="T88" s="169"/>
      <c r="U88" s="169"/>
      <c r="V88" s="169"/>
      <c r="W88" s="169"/>
      <c r="X88" s="169"/>
      <c r="Y88" s="249"/>
      <c r="Z88" s="250"/>
      <c r="AA88" s="190"/>
      <c r="AB88" s="251"/>
      <c r="AC88" s="247"/>
      <c r="AD88" s="191"/>
      <c r="AE88" s="185" t="s">
        <v>4</v>
      </c>
      <c r="AF88" s="186"/>
      <c r="AG88" s="186"/>
      <c r="AI88" s="42"/>
    </row>
    <row r="89" spans="1:220" s="5" customFormat="1" ht="17.100000000000001" customHeight="1" x14ac:dyDescent="0.2">
      <c r="B89" s="234"/>
      <c r="C89" s="238"/>
      <c r="D89" s="235"/>
      <c r="E89" s="239"/>
      <c r="F89" s="240"/>
      <c r="G89" s="167"/>
      <c r="H89" s="241"/>
      <c r="I89" s="51"/>
      <c r="J89" s="169"/>
      <c r="K89" s="132"/>
      <c r="L89" s="242"/>
      <c r="M89" s="252"/>
      <c r="N89" s="244"/>
      <c r="O89" s="245"/>
      <c r="P89" s="246"/>
      <c r="Q89" s="247"/>
      <c r="R89" s="248"/>
      <c r="S89" s="169"/>
      <c r="T89" s="169"/>
      <c r="U89" s="169"/>
      <c r="V89" s="169"/>
      <c r="W89" s="169"/>
      <c r="X89" s="169"/>
      <c r="Y89" s="249"/>
      <c r="Z89" s="250"/>
      <c r="AA89" s="190"/>
      <c r="AB89" s="251"/>
      <c r="AC89" s="247"/>
      <c r="AD89" s="191"/>
      <c r="AE89" s="185" t="s">
        <v>4</v>
      </c>
      <c r="AF89" s="186"/>
      <c r="AG89" s="186"/>
      <c r="AI89" s="42"/>
    </row>
    <row r="90" spans="1:220" s="5" customFormat="1" ht="17.100000000000001" customHeight="1" x14ac:dyDescent="0.2">
      <c r="B90" s="234"/>
      <c r="C90" s="238"/>
      <c r="D90" s="235"/>
      <c r="E90" s="239"/>
      <c r="F90" s="240"/>
      <c r="G90" s="167"/>
      <c r="H90" s="241"/>
      <c r="I90" s="51"/>
      <c r="J90" s="169"/>
      <c r="K90" s="132"/>
      <c r="L90" s="242"/>
      <c r="M90" s="252"/>
      <c r="N90" s="244"/>
      <c r="O90" s="245"/>
      <c r="P90" s="246"/>
      <c r="Q90" s="247"/>
      <c r="R90" s="248"/>
      <c r="S90" s="169"/>
      <c r="T90" s="169"/>
      <c r="U90" s="169"/>
      <c r="V90" s="169"/>
      <c r="W90" s="169"/>
      <c r="X90" s="169"/>
      <c r="Y90" s="249"/>
      <c r="Z90" s="250"/>
      <c r="AA90" s="190"/>
      <c r="AB90" s="251"/>
      <c r="AC90" s="247"/>
      <c r="AD90" s="191"/>
      <c r="AE90" s="185" t="s">
        <v>4</v>
      </c>
      <c r="AF90" s="186"/>
      <c r="AG90" s="186"/>
      <c r="AI90" s="42"/>
    </row>
    <row r="91" spans="1:220" s="5" customFormat="1" ht="17.100000000000001" customHeight="1" x14ac:dyDescent="0.2">
      <c r="B91" s="234"/>
      <c r="C91" s="253"/>
      <c r="D91" s="254"/>
      <c r="E91" s="239"/>
      <c r="F91" s="240"/>
      <c r="G91" s="174"/>
      <c r="H91" s="241"/>
      <c r="I91" s="51"/>
      <c r="J91" s="193"/>
      <c r="K91" s="132"/>
      <c r="L91" s="242"/>
      <c r="M91" s="255"/>
      <c r="N91" s="244"/>
      <c r="O91" s="245"/>
      <c r="P91" s="256"/>
      <c r="Q91" s="247"/>
      <c r="R91" s="248"/>
      <c r="S91" s="175"/>
      <c r="T91" s="175"/>
      <c r="U91" s="175"/>
      <c r="V91" s="175"/>
      <c r="W91" s="175"/>
      <c r="X91" s="175"/>
      <c r="Y91" s="249"/>
      <c r="Z91" s="250"/>
      <c r="AA91" s="194"/>
      <c r="AB91" s="171"/>
      <c r="AC91" s="247"/>
      <c r="AD91" s="191"/>
      <c r="AE91" s="185" t="s">
        <v>4</v>
      </c>
      <c r="AF91" s="186"/>
      <c r="AG91" s="186"/>
      <c r="AI91" s="42"/>
    </row>
    <row r="92" spans="1:220" s="260" customFormat="1" ht="17.100000000000001" customHeight="1" x14ac:dyDescent="0.25">
      <c r="A92"/>
      <c r="B92" s="234"/>
      <c r="C92" s="238"/>
      <c r="D92" s="235"/>
      <c r="E92" s="239"/>
      <c r="F92" s="240"/>
      <c r="G92" s="167"/>
      <c r="H92" s="241"/>
      <c r="I92" s="86"/>
      <c r="J92" s="169"/>
      <c r="K92" s="132"/>
      <c r="L92" s="242"/>
      <c r="M92" s="252"/>
      <c r="N92" s="244"/>
      <c r="O92" s="245"/>
      <c r="P92" s="246"/>
      <c r="Q92" s="247"/>
      <c r="R92" s="248"/>
      <c r="S92" s="169"/>
      <c r="T92" s="169"/>
      <c r="U92" s="169"/>
      <c r="V92" s="169"/>
      <c r="W92" s="169"/>
      <c r="X92" s="169"/>
      <c r="Y92" s="249"/>
      <c r="Z92" s="250"/>
      <c r="AA92" s="257"/>
      <c r="AB92" s="251"/>
      <c r="AC92" s="247"/>
      <c r="AD92" s="191"/>
      <c r="AE92" s="258"/>
      <c r="AF92" s="259"/>
      <c r="AI92" s="26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c r="GF92" s="1"/>
      <c r="GG92" s="1"/>
      <c r="GH92" s="1"/>
      <c r="GI92" s="1"/>
      <c r="GJ92" s="1"/>
      <c r="GK92" s="1"/>
      <c r="GL92" s="1"/>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row>
    <row r="93" spans="1:220" s="260" customFormat="1" ht="17.100000000000001" customHeight="1" x14ac:dyDescent="0.25">
      <c r="A93"/>
      <c r="B93" s="234"/>
      <c r="C93" s="238"/>
      <c r="D93" s="235"/>
      <c r="E93" s="239"/>
      <c r="F93" s="240"/>
      <c r="G93" s="167"/>
      <c r="H93" s="241"/>
      <c r="I93" s="86"/>
      <c r="J93" s="169"/>
      <c r="K93" s="132"/>
      <c r="L93" s="242"/>
      <c r="M93" s="252"/>
      <c r="N93" s="244"/>
      <c r="O93" s="245"/>
      <c r="P93" s="246"/>
      <c r="Q93" s="247"/>
      <c r="R93" s="248"/>
      <c r="S93" s="169"/>
      <c r="T93" s="169"/>
      <c r="U93" s="169"/>
      <c r="V93" s="169"/>
      <c r="W93" s="169"/>
      <c r="X93" s="169"/>
      <c r="Y93" s="249"/>
      <c r="Z93" s="250"/>
      <c r="AA93" s="257"/>
      <c r="AB93" s="251"/>
      <c r="AC93" s="247"/>
      <c r="AD93" s="191"/>
      <c r="AE93" s="258"/>
      <c r="AF93" s="259"/>
      <c r="AI93" s="26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c r="GF93" s="1"/>
      <c r="GG93" s="1"/>
      <c r="GH93" s="1"/>
      <c r="GI93" s="1"/>
      <c r="GJ93" s="1"/>
      <c r="GK93" s="1"/>
      <c r="GL93" s="1"/>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row>
    <row r="94" spans="1:220" s="260" customFormat="1" ht="17.100000000000001" customHeight="1" x14ac:dyDescent="0.25">
      <c r="A94"/>
      <c r="B94" s="234"/>
      <c r="C94" s="238"/>
      <c r="D94" s="235"/>
      <c r="E94" s="239"/>
      <c r="F94" s="240"/>
      <c r="G94" s="167"/>
      <c r="H94" s="241"/>
      <c r="I94" s="86"/>
      <c r="J94" s="169"/>
      <c r="K94" s="132"/>
      <c r="L94" s="242"/>
      <c r="M94" s="252"/>
      <c r="N94" s="244"/>
      <c r="O94" s="245"/>
      <c r="P94" s="246"/>
      <c r="Q94" s="247"/>
      <c r="R94" s="248"/>
      <c r="S94" s="169"/>
      <c r="T94" s="169"/>
      <c r="U94" s="169"/>
      <c r="V94" s="169"/>
      <c r="W94" s="169"/>
      <c r="X94" s="169"/>
      <c r="Y94" s="249"/>
      <c r="Z94" s="250"/>
      <c r="AA94" s="257"/>
      <c r="AB94" s="251"/>
      <c r="AC94" s="247"/>
      <c r="AD94" s="191"/>
      <c r="AE94" s="258"/>
      <c r="AF94" s="259"/>
      <c r="AI94" s="26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c r="GF94" s="1"/>
      <c r="GG94" s="1"/>
      <c r="GH94" s="1"/>
      <c r="GI94" s="1"/>
      <c r="GJ94" s="1"/>
      <c r="GK94" s="1"/>
      <c r="GL94" s="1"/>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row>
    <row r="95" spans="1:220" s="260" customFormat="1" ht="17.100000000000001" customHeight="1" x14ac:dyDescent="0.25">
      <c r="A95"/>
      <c r="B95" s="234"/>
      <c r="C95" s="238"/>
      <c r="D95" s="235"/>
      <c r="E95" s="239"/>
      <c r="F95" s="240"/>
      <c r="G95" s="167"/>
      <c r="H95" s="241"/>
      <c r="I95" s="86"/>
      <c r="J95" s="169"/>
      <c r="K95" s="132"/>
      <c r="L95" s="242"/>
      <c r="M95" s="252"/>
      <c r="N95" s="244"/>
      <c r="O95" s="245"/>
      <c r="P95" s="246"/>
      <c r="Q95" s="247"/>
      <c r="R95" s="248"/>
      <c r="S95" s="169"/>
      <c r="T95" s="169"/>
      <c r="U95" s="169"/>
      <c r="V95" s="169"/>
      <c r="W95" s="169"/>
      <c r="X95" s="169"/>
      <c r="Y95" s="249"/>
      <c r="Z95" s="250"/>
      <c r="AA95" s="257"/>
      <c r="AB95" s="251"/>
      <c r="AC95" s="247"/>
      <c r="AD95" s="191"/>
      <c r="AE95" s="258"/>
      <c r="AF95" s="259"/>
      <c r="AI95" s="26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c r="GF95" s="1"/>
      <c r="GG95" s="1"/>
      <c r="GH95" s="1"/>
      <c r="GI95" s="1"/>
      <c r="GJ95" s="1"/>
      <c r="GK95" s="1"/>
      <c r="GL95" s="1"/>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row>
    <row r="96" spans="1:220" s="260" customFormat="1" ht="17.100000000000001" customHeight="1" x14ac:dyDescent="0.25">
      <c r="A96"/>
      <c r="B96" s="234"/>
      <c r="C96" s="238"/>
      <c r="D96" s="235"/>
      <c r="E96" s="239"/>
      <c r="F96" s="240"/>
      <c r="G96" s="167"/>
      <c r="H96" s="241"/>
      <c r="I96" s="86"/>
      <c r="J96" s="169"/>
      <c r="K96" s="132"/>
      <c r="L96" s="242"/>
      <c r="M96" s="252"/>
      <c r="N96" s="244"/>
      <c r="O96" s="245"/>
      <c r="P96" s="246"/>
      <c r="Q96" s="247"/>
      <c r="R96" s="248"/>
      <c r="S96" s="169"/>
      <c r="T96" s="169"/>
      <c r="U96" s="169"/>
      <c r="V96" s="169"/>
      <c r="W96" s="169"/>
      <c r="X96" s="169"/>
      <c r="Y96" s="249"/>
      <c r="Z96" s="250"/>
      <c r="AA96" s="257"/>
      <c r="AB96" s="251"/>
      <c r="AC96" s="247"/>
      <c r="AD96" s="191"/>
      <c r="AE96" s="258"/>
      <c r="AF96" s="259"/>
      <c r="AI96" s="26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c r="GF96" s="1"/>
      <c r="GG96" s="1"/>
      <c r="GH96" s="1"/>
      <c r="GI96" s="1"/>
      <c r="GJ96" s="1"/>
      <c r="GK96" s="1"/>
      <c r="GL96" s="1"/>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row>
    <row r="97" spans="1:220" s="260" customFormat="1" ht="17.100000000000001" customHeight="1" x14ac:dyDescent="0.25">
      <c r="A97"/>
      <c r="B97" s="234"/>
      <c r="C97" s="238"/>
      <c r="D97" s="235"/>
      <c r="E97" s="239"/>
      <c r="F97" s="240"/>
      <c r="G97" s="167"/>
      <c r="H97" s="241"/>
      <c r="I97" s="86"/>
      <c r="J97" s="169"/>
      <c r="K97" s="132"/>
      <c r="L97" s="242"/>
      <c r="M97" s="252"/>
      <c r="N97" s="244"/>
      <c r="O97" s="245"/>
      <c r="P97" s="246"/>
      <c r="Q97" s="247"/>
      <c r="R97" s="248"/>
      <c r="S97" s="169"/>
      <c r="T97" s="169"/>
      <c r="U97" s="169"/>
      <c r="V97" s="169"/>
      <c r="W97" s="169"/>
      <c r="X97" s="169"/>
      <c r="Y97" s="249"/>
      <c r="Z97" s="250"/>
      <c r="AA97" s="257"/>
      <c r="AB97" s="251"/>
      <c r="AC97" s="247"/>
      <c r="AD97" s="191"/>
      <c r="AE97" s="258"/>
      <c r="AF97" s="259"/>
      <c r="AI97" s="26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c r="GF97" s="1"/>
      <c r="GG97" s="1"/>
      <c r="GH97" s="1"/>
      <c r="GI97" s="1"/>
      <c r="GJ97" s="1"/>
      <c r="GK97" s="1"/>
      <c r="GL97" s="1"/>
      <c r="GM97" s="1"/>
      <c r="GN97" s="1"/>
      <c r="GO97" s="1"/>
      <c r="GP97" s="1"/>
      <c r="GQ97" s="1"/>
      <c r="GR97" s="1"/>
      <c r="GS97" s="1"/>
      <c r="GT97" s="1"/>
      <c r="GU97" s="1"/>
      <c r="GV97" s="1"/>
      <c r="GW97" s="1"/>
      <c r="GX97" s="1"/>
      <c r="GY97" s="1"/>
      <c r="GZ97" s="1"/>
      <c r="HA97" s="1"/>
      <c r="HB97" s="1"/>
      <c r="HC97" s="1"/>
      <c r="HD97" s="1"/>
      <c r="HE97" s="1"/>
      <c r="HF97" s="1"/>
      <c r="HG97" s="1"/>
      <c r="HH97" s="1"/>
      <c r="HI97" s="1"/>
      <c r="HJ97" s="1"/>
      <c r="HK97" s="1"/>
      <c r="HL97" s="1"/>
    </row>
    <row r="98" spans="1:220" s="260" customFormat="1" ht="17.100000000000001" customHeight="1" x14ac:dyDescent="0.25">
      <c r="A98"/>
      <c r="B98" s="234"/>
      <c r="C98" s="238"/>
      <c r="D98" s="235"/>
      <c r="E98" s="239"/>
      <c r="F98" s="240"/>
      <c r="G98" s="167"/>
      <c r="H98" s="241"/>
      <c r="I98" s="86"/>
      <c r="J98" s="169"/>
      <c r="K98" s="132"/>
      <c r="L98" s="242"/>
      <c r="M98" s="252"/>
      <c r="N98" s="244"/>
      <c r="O98" s="262"/>
      <c r="P98" s="246"/>
      <c r="Q98" s="247"/>
      <c r="R98" s="248"/>
      <c r="S98" s="169"/>
      <c r="T98" s="169"/>
      <c r="U98" s="169"/>
      <c r="V98" s="169"/>
      <c r="W98" s="169"/>
      <c r="X98" s="169"/>
      <c r="Y98" s="249"/>
      <c r="Z98" s="250"/>
      <c r="AA98" s="257"/>
      <c r="AB98" s="251"/>
      <c r="AC98" s="247"/>
      <c r="AD98" s="191"/>
      <c r="AE98" s="258"/>
      <c r="AF98" s="259"/>
      <c r="AI98" s="26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row>
    <row r="99" spans="1:220" s="260" customFormat="1" ht="17.100000000000001" customHeight="1" x14ac:dyDescent="0.25">
      <c r="A99"/>
      <c r="B99" s="234"/>
      <c r="C99" s="238"/>
      <c r="D99" s="235"/>
      <c r="E99" s="239"/>
      <c r="F99" s="240"/>
      <c r="G99" s="167"/>
      <c r="H99" s="241"/>
      <c r="I99" s="86"/>
      <c r="J99" s="169"/>
      <c r="K99" s="132"/>
      <c r="L99" s="242"/>
      <c r="M99" s="252"/>
      <c r="N99" s="244"/>
      <c r="O99" s="245"/>
      <c r="P99" s="246"/>
      <c r="Q99" s="247"/>
      <c r="R99" s="248"/>
      <c r="S99" s="169"/>
      <c r="T99" s="169"/>
      <c r="U99" s="169"/>
      <c r="V99" s="169"/>
      <c r="W99" s="169"/>
      <c r="X99" s="169"/>
      <c r="Y99" s="249"/>
      <c r="Z99" s="250"/>
      <c r="AA99" s="257"/>
      <c r="AB99" s="251"/>
      <c r="AC99" s="247"/>
      <c r="AD99" s="191"/>
      <c r="AE99" s="258"/>
      <c r="AF99" s="259"/>
      <c r="AI99" s="26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EG99" s="1"/>
      <c r="EH99" s="1"/>
      <c r="EI99" s="1"/>
      <c r="EJ99" s="1"/>
      <c r="EK99" s="1"/>
      <c r="EL99" s="1"/>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c r="GF99" s="1"/>
      <c r="GG99" s="1"/>
      <c r="GH99" s="1"/>
      <c r="GI99" s="1"/>
      <c r="GJ99" s="1"/>
      <c r="GK99" s="1"/>
      <c r="GL99" s="1"/>
      <c r="GM99" s="1"/>
      <c r="GN99" s="1"/>
      <c r="GO99" s="1"/>
      <c r="GP99" s="1"/>
      <c r="GQ99" s="1"/>
      <c r="GR99" s="1"/>
      <c r="GS99" s="1"/>
      <c r="GT99" s="1"/>
      <c r="GU99" s="1"/>
      <c r="GV99" s="1"/>
      <c r="GW99" s="1"/>
      <c r="GX99" s="1"/>
      <c r="GY99" s="1"/>
      <c r="GZ99" s="1"/>
      <c r="HA99" s="1"/>
      <c r="HB99" s="1"/>
      <c r="HC99" s="1"/>
      <c r="HD99" s="1"/>
      <c r="HE99" s="1"/>
      <c r="HF99" s="1"/>
      <c r="HG99" s="1"/>
      <c r="HH99" s="1"/>
      <c r="HI99" s="1"/>
      <c r="HJ99" s="1"/>
      <c r="HK99" s="1"/>
      <c r="HL99" s="1"/>
    </row>
    <row r="100" spans="1:220" s="258" customFormat="1" ht="17.100000000000001" customHeight="1" x14ac:dyDescent="0.25">
      <c r="A100"/>
      <c r="B100" s="234"/>
      <c r="C100" s="238"/>
      <c r="D100" s="235"/>
      <c r="E100" s="239"/>
      <c r="F100" s="240"/>
      <c r="G100" s="167"/>
      <c r="H100" s="241"/>
      <c r="I100" s="86"/>
      <c r="J100" s="169"/>
      <c r="K100" s="132"/>
      <c r="L100" s="242"/>
      <c r="M100" s="252"/>
      <c r="N100" s="244"/>
      <c r="O100" s="245"/>
      <c r="P100" s="246"/>
      <c r="Q100" s="247"/>
      <c r="R100" s="248"/>
      <c r="S100" s="169"/>
      <c r="T100" s="169"/>
      <c r="U100" s="169"/>
      <c r="V100" s="169"/>
      <c r="W100" s="169"/>
      <c r="X100" s="169"/>
      <c r="Y100" s="249"/>
      <c r="Z100" s="250"/>
      <c r="AA100" s="257"/>
      <c r="AB100" s="251"/>
      <c r="AC100" s="247"/>
      <c r="AD100" s="191"/>
      <c r="AF100" s="259"/>
      <c r="AG100" s="260"/>
      <c r="AH100" s="260"/>
      <c r="AI100" s="261"/>
      <c r="AJ100" s="260"/>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EG100" s="1"/>
      <c r="EH100" s="1"/>
      <c r="EI100" s="1"/>
      <c r="EJ100" s="1"/>
      <c r="EK100" s="1"/>
      <c r="EL100" s="1"/>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c r="GF100" s="1"/>
      <c r="GG100" s="1"/>
      <c r="GH100" s="1"/>
      <c r="GI100" s="1"/>
      <c r="GJ100" s="1"/>
      <c r="GK100" s="1"/>
      <c r="GL100" s="1"/>
      <c r="GM100" s="1"/>
      <c r="GN100" s="1"/>
      <c r="GO100" s="1"/>
      <c r="GP100" s="1"/>
      <c r="GQ100" s="1"/>
      <c r="GR100" s="1"/>
      <c r="GS100" s="1"/>
      <c r="GT100" s="1"/>
      <c r="GU100" s="1"/>
      <c r="GV100" s="1"/>
      <c r="GW100" s="1"/>
      <c r="GX100" s="1"/>
      <c r="GY100" s="1"/>
      <c r="GZ100" s="1"/>
      <c r="HA100" s="1"/>
      <c r="HB100" s="1"/>
      <c r="HC100" s="1"/>
      <c r="HD100" s="1"/>
      <c r="HE100" s="1"/>
      <c r="HF100" s="1"/>
      <c r="HG100" s="1"/>
      <c r="HH100" s="1"/>
      <c r="HI100" s="1"/>
      <c r="HJ100" s="1"/>
      <c r="HK100" s="1"/>
      <c r="HL100" s="1"/>
    </row>
    <row r="101" spans="1:220" s="258" customFormat="1" ht="17.100000000000001" customHeight="1" x14ac:dyDescent="0.25">
      <c r="A101"/>
      <c r="B101" s="234"/>
      <c r="C101" s="238"/>
      <c r="D101" s="235"/>
      <c r="E101" s="239"/>
      <c r="F101" s="240"/>
      <c r="G101" s="167"/>
      <c r="H101" s="241"/>
      <c r="I101" s="86"/>
      <c r="J101" s="169"/>
      <c r="K101" s="132"/>
      <c r="L101" s="242"/>
      <c r="M101" s="252"/>
      <c r="N101" s="244"/>
      <c r="O101" s="245"/>
      <c r="P101" s="246"/>
      <c r="Q101" s="247"/>
      <c r="R101" s="248"/>
      <c r="S101" s="169"/>
      <c r="T101" s="169"/>
      <c r="U101" s="169"/>
      <c r="V101" s="169"/>
      <c r="W101" s="169"/>
      <c r="X101" s="169"/>
      <c r="Y101" s="249"/>
      <c r="Z101" s="250"/>
      <c r="AA101" s="257"/>
      <c r="AB101" s="251"/>
      <c r="AC101" s="247"/>
      <c r="AD101" s="191"/>
      <c r="AF101" s="259"/>
      <c r="AG101" s="260"/>
      <c r="AH101" s="260"/>
      <c r="AI101" s="261"/>
      <c r="AJ101" s="260"/>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EG101" s="1"/>
      <c r="EH101" s="1"/>
      <c r="EI101" s="1"/>
      <c r="EJ101" s="1"/>
      <c r="EK101" s="1"/>
      <c r="EL101" s="1"/>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c r="GF101" s="1"/>
      <c r="GG101" s="1"/>
      <c r="GH101" s="1"/>
      <c r="GI101" s="1"/>
      <c r="GJ101" s="1"/>
      <c r="GK101" s="1"/>
      <c r="GL101" s="1"/>
      <c r="GM101" s="1"/>
      <c r="GN101" s="1"/>
      <c r="GO101" s="1"/>
      <c r="GP101" s="1"/>
      <c r="GQ101" s="1"/>
      <c r="GR101" s="1"/>
      <c r="GS101" s="1"/>
      <c r="GT101" s="1"/>
      <c r="GU101" s="1"/>
      <c r="GV101" s="1"/>
      <c r="GW101" s="1"/>
      <c r="GX101" s="1"/>
      <c r="GY101" s="1"/>
      <c r="GZ101" s="1"/>
      <c r="HA101" s="1"/>
      <c r="HB101" s="1"/>
      <c r="HC101" s="1"/>
      <c r="HD101" s="1"/>
      <c r="HE101" s="1"/>
      <c r="HF101" s="1"/>
      <c r="HG101" s="1"/>
      <c r="HH101" s="1"/>
      <c r="HI101" s="1"/>
      <c r="HJ101" s="1"/>
      <c r="HK101" s="1"/>
      <c r="HL101" s="1"/>
    </row>
    <row r="102" spans="1:220" s="258" customFormat="1" ht="17.100000000000001" customHeight="1" x14ac:dyDescent="0.25">
      <c r="A102"/>
      <c r="B102" s="234"/>
      <c r="C102" s="238"/>
      <c r="D102" s="235"/>
      <c r="E102" s="239"/>
      <c r="F102" s="240"/>
      <c r="G102" s="167"/>
      <c r="H102" s="241"/>
      <c r="I102" s="86"/>
      <c r="J102" s="169"/>
      <c r="K102" s="132"/>
      <c r="L102" s="242"/>
      <c r="M102" s="252"/>
      <c r="N102" s="244"/>
      <c r="O102" s="245"/>
      <c r="P102" s="246"/>
      <c r="Q102" s="247"/>
      <c r="R102" s="248"/>
      <c r="S102" s="169"/>
      <c r="T102" s="169"/>
      <c r="U102" s="169"/>
      <c r="V102" s="169"/>
      <c r="W102" s="169"/>
      <c r="X102" s="169"/>
      <c r="Y102" s="249"/>
      <c r="Z102" s="250"/>
      <c r="AA102" s="257"/>
      <c r="AB102" s="251"/>
      <c r="AC102" s="247"/>
      <c r="AD102" s="191"/>
      <c r="AF102" s="259"/>
      <c r="AG102" s="260"/>
      <c r="AH102" s="260"/>
      <c r="AI102" s="261"/>
      <c r="AJ102" s="260"/>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EG102" s="1"/>
      <c r="EH102" s="1"/>
      <c r="EI102" s="1"/>
      <c r="EJ102" s="1"/>
      <c r="EK102" s="1"/>
      <c r="EL102" s="1"/>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c r="GF102" s="1"/>
      <c r="GG102" s="1"/>
      <c r="GH102" s="1"/>
      <c r="GI102" s="1"/>
      <c r="GJ102" s="1"/>
      <c r="GK102" s="1"/>
      <c r="GL102" s="1"/>
      <c r="GM102" s="1"/>
      <c r="GN102" s="1"/>
      <c r="GO102" s="1"/>
      <c r="GP102" s="1"/>
      <c r="GQ102" s="1"/>
      <c r="GR102" s="1"/>
      <c r="GS102" s="1"/>
      <c r="GT102" s="1"/>
      <c r="GU102" s="1"/>
      <c r="GV102" s="1"/>
      <c r="GW102" s="1"/>
      <c r="GX102" s="1"/>
      <c r="GY102" s="1"/>
      <c r="GZ102" s="1"/>
      <c r="HA102" s="1"/>
      <c r="HB102" s="1"/>
      <c r="HC102" s="1"/>
      <c r="HD102" s="1"/>
      <c r="HE102" s="1"/>
      <c r="HF102" s="1"/>
      <c r="HG102" s="1"/>
      <c r="HH102" s="1"/>
      <c r="HI102" s="1"/>
      <c r="HJ102" s="1"/>
      <c r="HK102" s="1"/>
      <c r="HL102" s="1"/>
    </row>
    <row r="103" spans="1:220" s="258" customFormat="1" ht="17.100000000000001" customHeight="1" x14ac:dyDescent="0.25">
      <c r="A103"/>
      <c r="B103" s="234"/>
      <c r="C103" s="238"/>
      <c r="D103" s="235"/>
      <c r="E103" s="239"/>
      <c r="F103" s="240"/>
      <c r="G103" s="167"/>
      <c r="H103" s="241"/>
      <c r="I103" s="86"/>
      <c r="J103" s="169"/>
      <c r="K103" s="132"/>
      <c r="L103" s="242"/>
      <c r="M103" s="252"/>
      <c r="N103" s="244"/>
      <c r="O103" s="245"/>
      <c r="P103" s="246"/>
      <c r="Q103" s="247"/>
      <c r="R103" s="248"/>
      <c r="S103" s="169"/>
      <c r="T103" s="169"/>
      <c r="U103" s="169"/>
      <c r="V103" s="169"/>
      <c r="W103" s="169"/>
      <c r="X103" s="169"/>
      <c r="Y103" s="249"/>
      <c r="Z103" s="250"/>
      <c r="AA103" s="257"/>
      <c r="AB103" s="251"/>
      <c r="AC103" s="247"/>
      <c r="AD103" s="191"/>
      <c r="AF103" s="259"/>
      <c r="AG103" s="260"/>
      <c r="AH103" s="260"/>
      <c r="AI103" s="261"/>
      <c r="AJ103" s="260"/>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EG103" s="1"/>
      <c r="EH103" s="1"/>
      <c r="EI103" s="1"/>
      <c r="EJ103" s="1"/>
      <c r="EK103" s="1"/>
      <c r="EL103" s="1"/>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c r="GF103" s="1"/>
      <c r="GG103" s="1"/>
      <c r="GH103" s="1"/>
      <c r="GI103" s="1"/>
      <c r="GJ103" s="1"/>
      <c r="GK103" s="1"/>
      <c r="GL103" s="1"/>
      <c r="GM103" s="1"/>
      <c r="GN103" s="1"/>
      <c r="GO103" s="1"/>
      <c r="GP103" s="1"/>
      <c r="GQ103" s="1"/>
      <c r="GR103" s="1"/>
      <c r="GS103" s="1"/>
      <c r="GT103" s="1"/>
      <c r="GU103" s="1"/>
      <c r="GV103" s="1"/>
      <c r="GW103" s="1"/>
      <c r="GX103" s="1"/>
      <c r="GY103" s="1"/>
      <c r="GZ103" s="1"/>
      <c r="HA103" s="1"/>
      <c r="HB103" s="1"/>
      <c r="HC103" s="1"/>
      <c r="HD103" s="1"/>
      <c r="HE103" s="1"/>
      <c r="HF103" s="1"/>
      <c r="HG103" s="1"/>
      <c r="HH103" s="1"/>
      <c r="HI103" s="1"/>
      <c r="HJ103" s="1"/>
      <c r="HK103" s="1"/>
      <c r="HL103" s="1"/>
    </row>
    <row r="104" spans="1:220" s="258" customFormat="1" ht="17.100000000000001" customHeight="1" x14ac:dyDescent="0.25">
      <c r="A104"/>
      <c r="B104" s="234"/>
      <c r="C104" s="238"/>
      <c r="D104" s="235"/>
      <c r="E104" s="239"/>
      <c r="F104" s="240"/>
      <c r="G104" s="167"/>
      <c r="H104" s="241"/>
      <c r="I104" s="86"/>
      <c r="J104" s="169"/>
      <c r="K104" s="132"/>
      <c r="L104" s="242"/>
      <c r="M104" s="252"/>
      <c r="N104" s="244"/>
      <c r="O104" s="245"/>
      <c r="P104" s="246"/>
      <c r="Q104" s="247"/>
      <c r="R104" s="248"/>
      <c r="S104" s="169"/>
      <c r="T104" s="169"/>
      <c r="U104" s="169"/>
      <c r="V104" s="169"/>
      <c r="W104" s="169"/>
      <c r="X104" s="169"/>
      <c r="Y104" s="249"/>
      <c r="Z104" s="250"/>
      <c r="AA104" s="257"/>
      <c r="AB104" s="251"/>
      <c r="AC104" s="247"/>
      <c r="AD104" s="191"/>
      <c r="AF104" s="259"/>
      <c r="AG104" s="260"/>
      <c r="AH104" s="260"/>
      <c r="AI104" s="261"/>
      <c r="AJ104" s="260"/>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EG104" s="1"/>
      <c r="EH104" s="1"/>
      <c r="EI104" s="1"/>
      <c r="EJ104" s="1"/>
      <c r="EK104" s="1"/>
      <c r="EL104" s="1"/>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c r="GF104" s="1"/>
      <c r="GG104" s="1"/>
      <c r="GH104" s="1"/>
      <c r="GI104" s="1"/>
      <c r="GJ104" s="1"/>
      <c r="GK104" s="1"/>
      <c r="GL104" s="1"/>
      <c r="GM104" s="1"/>
      <c r="GN104" s="1"/>
      <c r="GO104" s="1"/>
      <c r="GP104" s="1"/>
      <c r="GQ104" s="1"/>
      <c r="GR104" s="1"/>
      <c r="GS104" s="1"/>
      <c r="GT104" s="1"/>
      <c r="GU104" s="1"/>
      <c r="GV104" s="1"/>
      <c r="GW104" s="1"/>
      <c r="GX104" s="1"/>
      <c r="GY104" s="1"/>
      <c r="GZ104" s="1"/>
      <c r="HA104" s="1"/>
      <c r="HB104" s="1"/>
      <c r="HC104" s="1"/>
      <c r="HD104" s="1"/>
      <c r="HE104" s="1"/>
      <c r="HF104" s="1"/>
      <c r="HG104" s="1"/>
      <c r="HH104" s="1"/>
      <c r="HI104" s="1"/>
      <c r="HJ104" s="1"/>
      <c r="HK104" s="1"/>
      <c r="HL104" s="1"/>
    </row>
    <row r="105" spans="1:220" s="258" customFormat="1" ht="17.100000000000001" customHeight="1" x14ac:dyDescent="0.25">
      <c r="A105"/>
      <c r="B105" s="234"/>
      <c r="C105" s="238"/>
      <c r="D105" s="235"/>
      <c r="E105" s="239"/>
      <c r="F105" s="240"/>
      <c r="G105" s="167"/>
      <c r="H105" s="241"/>
      <c r="I105" s="86"/>
      <c r="J105" s="169"/>
      <c r="K105" s="132"/>
      <c r="L105" s="242"/>
      <c r="M105" s="252"/>
      <c r="N105" s="244"/>
      <c r="O105" s="245"/>
      <c r="P105" s="246"/>
      <c r="Q105" s="247"/>
      <c r="R105" s="248"/>
      <c r="S105" s="169"/>
      <c r="T105" s="169"/>
      <c r="U105" s="169"/>
      <c r="V105" s="169"/>
      <c r="W105" s="169"/>
      <c r="X105" s="169"/>
      <c r="Y105" s="249"/>
      <c r="Z105" s="250"/>
      <c r="AA105" s="257"/>
      <c r="AB105" s="251"/>
      <c r="AC105" s="247"/>
      <c r="AD105" s="191"/>
      <c r="AF105" s="259"/>
      <c r="AG105" s="260"/>
      <c r="AH105" s="260"/>
      <c r="AI105" s="261"/>
      <c r="AJ105" s="260"/>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EG105" s="1"/>
      <c r="EH105" s="1"/>
      <c r="EI105" s="1"/>
      <c r="EJ105" s="1"/>
      <c r="EK105" s="1"/>
      <c r="EL105" s="1"/>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c r="GF105" s="1"/>
      <c r="GG105" s="1"/>
      <c r="GH105" s="1"/>
      <c r="GI105" s="1"/>
      <c r="GJ105" s="1"/>
      <c r="GK105" s="1"/>
      <c r="GL105" s="1"/>
      <c r="GM105" s="1"/>
      <c r="GN105" s="1"/>
      <c r="GO105" s="1"/>
      <c r="GP105" s="1"/>
      <c r="GQ105" s="1"/>
      <c r="GR105" s="1"/>
      <c r="GS105" s="1"/>
      <c r="GT105" s="1"/>
      <c r="GU105" s="1"/>
      <c r="GV105" s="1"/>
      <c r="GW105" s="1"/>
      <c r="GX105" s="1"/>
      <c r="GY105" s="1"/>
      <c r="GZ105" s="1"/>
      <c r="HA105" s="1"/>
      <c r="HB105" s="1"/>
      <c r="HC105" s="1"/>
      <c r="HD105" s="1"/>
      <c r="HE105" s="1"/>
      <c r="HF105" s="1"/>
      <c r="HG105" s="1"/>
      <c r="HH105" s="1"/>
      <c r="HI105" s="1"/>
      <c r="HJ105" s="1"/>
      <c r="HK105" s="1"/>
      <c r="HL105" s="1"/>
    </row>
    <row r="106" spans="1:220" s="258" customFormat="1" ht="17.100000000000001" customHeight="1" x14ac:dyDescent="0.25">
      <c r="A106"/>
      <c r="B106" s="234"/>
      <c r="C106" s="238"/>
      <c r="D106" s="235"/>
      <c r="E106" s="239"/>
      <c r="F106" s="240"/>
      <c r="G106" s="167"/>
      <c r="H106" s="241"/>
      <c r="I106" s="86"/>
      <c r="J106" s="169"/>
      <c r="K106" s="132"/>
      <c r="L106" s="242"/>
      <c r="M106" s="252"/>
      <c r="N106" s="244"/>
      <c r="O106" s="245"/>
      <c r="P106" s="246"/>
      <c r="Q106" s="247"/>
      <c r="R106" s="248"/>
      <c r="S106" s="169"/>
      <c r="T106" s="169"/>
      <c r="U106" s="169"/>
      <c r="V106" s="169"/>
      <c r="W106" s="169"/>
      <c r="X106" s="169"/>
      <c r="Y106" s="249"/>
      <c r="Z106" s="250"/>
      <c r="AA106" s="257"/>
      <c r="AB106" s="251"/>
      <c r="AC106" s="247"/>
      <c r="AD106" s="191"/>
      <c r="AF106" s="259"/>
      <c r="AG106" s="260"/>
      <c r="AH106" s="260"/>
      <c r="AI106" s="261"/>
      <c r="AJ106" s="260"/>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EG106" s="1"/>
      <c r="EH106" s="1"/>
      <c r="EI106" s="1"/>
      <c r="EJ106" s="1"/>
      <c r="EK106" s="1"/>
      <c r="EL106" s="1"/>
      <c r="EM106" s="1"/>
      <c r="EN106" s="1"/>
      <c r="EO106" s="1"/>
      <c r="EP106" s="1"/>
      <c r="EQ106" s="1"/>
      <c r="ER106" s="1"/>
      <c r="ES106" s="1"/>
      <c r="ET106" s="1"/>
      <c r="EU106" s="1"/>
      <c r="EV106" s="1"/>
      <c r="EW106" s="1"/>
      <c r="EX106" s="1"/>
      <c r="EY106" s="1"/>
      <c r="EZ106" s="1"/>
      <c r="FA106" s="1"/>
      <c r="FB106" s="1"/>
      <c r="FC106" s="1"/>
      <c r="FD106" s="1"/>
      <c r="FE106" s="1"/>
      <c r="FF106" s="1"/>
      <c r="FG106" s="1"/>
      <c r="FH106" s="1"/>
      <c r="FI106" s="1"/>
      <c r="FJ106" s="1"/>
      <c r="FK106" s="1"/>
      <c r="FL106" s="1"/>
      <c r="FM106" s="1"/>
      <c r="FN106" s="1"/>
      <c r="FO106" s="1"/>
      <c r="FP106" s="1"/>
      <c r="FQ106" s="1"/>
      <c r="FR106" s="1"/>
      <c r="FS106" s="1"/>
      <c r="FT106" s="1"/>
      <c r="FU106" s="1"/>
      <c r="FV106" s="1"/>
      <c r="FW106" s="1"/>
      <c r="FX106" s="1"/>
      <c r="FY106" s="1"/>
      <c r="FZ106" s="1"/>
      <c r="GA106" s="1"/>
      <c r="GB106" s="1"/>
      <c r="GC106" s="1"/>
      <c r="GD106" s="1"/>
      <c r="GE106" s="1"/>
      <c r="GF106" s="1"/>
      <c r="GG106" s="1"/>
      <c r="GH106" s="1"/>
      <c r="GI106" s="1"/>
      <c r="GJ106" s="1"/>
      <c r="GK106" s="1"/>
      <c r="GL106" s="1"/>
      <c r="GM106" s="1"/>
      <c r="GN106" s="1"/>
      <c r="GO106" s="1"/>
      <c r="GP106" s="1"/>
      <c r="GQ106" s="1"/>
      <c r="GR106" s="1"/>
      <c r="GS106" s="1"/>
      <c r="GT106" s="1"/>
      <c r="GU106" s="1"/>
      <c r="GV106" s="1"/>
      <c r="GW106" s="1"/>
      <c r="GX106" s="1"/>
      <c r="GY106" s="1"/>
      <c r="GZ106" s="1"/>
      <c r="HA106" s="1"/>
      <c r="HB106" s="1"/>
      <c r="HC106" s="1"/>
      <c r="HD106" s="1"/>
      <c r="HE106" s="1"/>
      <c r="HF106" s="1"/>
      <c r="HG106" s="1"/>
      <c r="HH106" s="1"/>
      <c r="HI106" s="1"/>
      <c r="HJ106" s="1"/>
      <c r="HK106" s="1"/>
      <c r="HL106" s="1"/>
    </row>
    <row r="107" spans="1:220" s="258" customFormat="1" ht="17.100000000000001" customHeight="1" x14ac:dyDescent="0.25">
      <c r="A107"/>
      <c r="B107" s="234"/>
      <c r="C107" s="238"/>
      <c r="D107" s="235"/>
      <c r="E107" s="239"/>
      <c r="F107" s="240"/>
      <c r="G107" s="167"/>
      <c r="H107" s="241"/>
      <c r="I107" s="86"/>
      <c r="J107" s="169"/>
      <c r="K107" s="132"/>
      <c r="L107" s="242"/>
      <c r="M107" s="252"/>
      <c r="N107" s="244"/>
      <c r="O107" s="245"/>
      <c r="P107" s="246"/>
      <c r="Q107" s="247"/>
      <c r="R107" s="248"/>
      <c r="S107" s="169"/>
      <c r="T107" s="169"/>
      <c r="U107" s="169"/>
      <c r="V107" s="169"/>
      <c r="W107" s="169"/>
      <c r="X107" s="169"/>
      <c r="Y107" s="249"/>
      <c r="Z107" s="250"/>
      <c r="AA107" s="257"/>
      <c r="AB107" s="251"/>
      <c r="AC107" s="247"/>
      <c r="AD107" s="191"/>
      <c r="AF107" s="259"/>
      <c r="AG107" s="260"/>
      <c r="AH107" s="260"/>
      <c r="AI107" s="261"/>
      <c r="AJ107" s="260"/>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EG107" s="1"/>
      <c r="EH107" s="1"/>
      <c r="EI107" s="1"/>
      <c r="EJ107" s="1"/>
      <c r="EK107" s="1"/>
      <c r="EL107" s="1"/>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c r="GF107" s="1"/>
      <c r="GG107" s="1"/>
      <c r="GH107" s="1"/>
      <c r="GI107" s="1"/>
      <c r="GJ107" s="1"/>
      <c r="GK107" s="1"/>
      <c r="GL107" s="1"/>
      <c r="GM107" s="1"/>
      <c r="GN107" s="1"/>
      <c r="GO107" s="1"/>
      <c r="GP107" s="1"/>
      <c r="GQ107" s="1"/>
      <c r="GR107" s="1"/>
      <c r="GS107" s="1"/>
      <c r="GT107" s="1"/>
      <c r="GU107" s="1"/>
      <c r="GV107" s="1"/>
      <c r="GW107" s="1"/>
      <c r="GX107" s="1"/>
      <c r="GY107" s="1"/>
      <c r="GZ107" s="1"/>
      <c r="HA107" s="1"/>
      <c r="HB107" s="1"/>
      <c r="HC107" s="1"/>
      <c r="HD107" s="1"/>
      <c r="HE107" s="1"/>
      <c r="HF107" s="1"/>
      <c r="HG107" s="1"/>
      <c r="HH107" s="1"/>
      <c r="HI107" s="1"/>
      <c r="HJ107" s="1"/>
      <c r="HK107" s="1"/>
      <c r="HL107" s="1"/>
    </row>
    <row r="108" spans="1:220" s="258" customFormat="1" ht="17.100000000000001" customHeight="1" x14ac:dyDescent="0.25">
      <c r="A108"/>
      <c r="B108" s="234"/>
      <c r="C108" s="238"/>
      <c r="D108" s="235"/>
      <c r="E108" s="239"/>
      <c r="F108" s="240"/>
      <c r="G108" s="167"/>
      <c r="H108" s="241"/>
      <c r="I108" s="86"/>
      <c r="J108" s="169"/>
      <c r="K108" s="132"/>
      <c r="L108" s="242"/>
      <c r="M108" s="252"/>
      <c r="N108" s="244"/>
      <c r="O108" s="245"/>
      <c r="P108" s="246"/>
      <c r="Q108" s="247"/>
      <c r="R108" s="248"/>
      <c r="S108" s="169"/>
      <c r="T108" s="169"/>
      <c r="U108" s="169"/>
      <c r="V108" s="169"/>
      <c r="W108" s="169"/>
      <c r="X108" s="169"/>
      <c r="Y108" s="249"/>
      <c r="Z108" s="250"/>
      <c r="AA108" s="257"/>
      <c r="AB108" s="251"/>
      <c r="AC108" s="247"/>
      <c r="AD108" s="191"/>
      <c r="AF108" s="259"/>
      <c r="AG108" s="260"/>
      <c r="AH108" s="260"/>
      <c r="AI108" s="261"/>
      <c r="AJ108" s="260"/>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EG108" s="1"/>
      <c r="EH108" s="1"/>
      <c r="EI108" s="1"/>
      <c r="EJ108" s="1"/>
      <c r="EK108" s="1"/>
      <c r="EL108" s="1"/>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c r="GF108" s="1"/>
      <c r="GG108" s="1"/>
      <c r="GH108" s="1"/>
      <c r="GI108" s="1"/>
      <c r="GJ108" s="1"/>
      <c r="GK108" s="1"/>
      <c r="GL108" s="1"/>
      <c r="GM108" s="1"/>
      <c r="GN108" s="1"/>
      <c r="GO108" s="1"/>
      <c r="GP108" s="1"/>
      <c r="GQ108" s="1"/>
      <c r="GR108" s="1"/>
      <c r="GS108" s="1"/>
      <c r="GT108" s="1"/>
      <c r="GU108" s="1"/>
      <c r="GV108" s="1"/>
      <c r="GW108" s="1"/>
      <c r="GX108" s="1"/>
      <c r="GY108" s="1"/>
      <c r="GZ108" s="1"/>
      <c r="HA108" s="1"/>
      <c r="HB108" s="1"/>
      <c r="HC108" s="1"/>
      <c r="HD108" s="1"/>
      <c r="HE108" s="1"/>
      <c r="HF108" s="1"/>
      <c r="HG108" s="1"/>
      <c r="HH108" s="1"/>
      <c r="HI108" s="1"/>
      <c r="HJ108" s="1"/>
      <c r="HK108" s="1"/>
      <c r="HL108" s="1"/>
    </row>
    <row r="109" spans="1:220" s="258" customFormat="1" ht="17.100000000000001" customHeight="1" x14ac:dyDescent="0.25">
      <c r="A109"/>
      <c r="B109" s="234"/>
      <c r="C109" s="238"/>
      <c r="D109" s="235"/>
      <c r="E109" s="239"/>
      <c r="F109" s="240"/>
      <c r="G109" s="167"/>
      <c r="H109" s="241"/>
      <c r="I109" s="86"/>
      <c r="J109" s="169"/>
      <c r="K109" s="132"/>
      <c r="L109" s="242"/>
      <c r="M109" s="252"/>
      <c r="N109" s="244"/>
      <c r="O109" s="245"/>
      <c r="P109" s="246"/>
      <c r="Q109" s="247"/>
      <c r="R109" s="248"/>
      <c r="S109" s="169"/>
      <c r="T109" s="169"/>
      <c r="U109" s="169"/>
      <c r="V109" s="169"/>
      <c r="W109" s="169"/>
      <c r="X109" s="169"/>
      <c r="Y109" s="249"/>
      <c r="Z109" s="250"/>
      <c r="AA109" s="257"/>
      <c r="AB109" s="251"/>
      <c r="AC109" s="247"/>
      <c r="AD109" s="191"/>
      <c r="AF109" s="259"/>
      <c r="AG109" s="260"/>
      <c r="AH109" s="260"/>
      <c r="AI109" s="261"/>
      <c r="AJ109" s="260"/>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EG109" s="1"/>
      <c r="EH109" s="1"/>
      <c r="EI109" s="1"/>
      <c r="EJ109" s="1"/>
      <c r="EK109" s="1"/>
      <c r="EL109" s="1"/>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c r="GF109" s="1"/>
      <c r="GG109" s="1"/>
      <c r="GH109" s="1"/>
      <c r="GI109" s="1"/>
      <c r="GJ109" s="1"/>
      <c r="GK109" s="1"/>
      <c r="GL109" s="1"/>
      <c r="GM109" s="1"/>
      <c r="GN109" s="1"/>
      <c r="GO109" s="1"/>
      <c r="GP109" s="1"/>
      <c r="GQ109" s="1"/>
      <c r="GR109" s="1"/>
      <c r="GS109" s="1"/>
      <c r="GT109" s="1"/>
      <c r="GU109" s="1"/>
      <c r="GV109" s="1"/>
      <c r="GW109" s="1"/>
      <c r="GX109" s="1"/>
      <c r="GY109" s="1"/>
      <c r="GZ109" s="1"/>
      <c r="HA109" s="1"/>
      <c r="HB109" s="1"/>
      <c r="HC109" s="1"/>
      <c r="HD109" s="1"/>
      <c r="HE109" s="1"/>
      <c r="HF109" s="1"/>
      <c r="HG109" s="1"/>
      <c r="HH109" s="1"/>
      <c r="HI109" s="1"/>
      <c r="HJ109" s="1"/>
      <c r="HK109" s="1"/>
      <c r="HL109" s="1"/>
    </row>
    <row r="110" spans="1:220" s="258" customFormat="1" ht="17.100000000000001" customHeight="1" x14ac:dyDescent="0.25">
      <c r="A110"/>
      <c r="B110" s="234"/>
      <c r="C110" s="238"/>
      <c r="D110" s="235"/>
      <c r="E110" s="239"/>
      <c r="F110" s="240"/>
      <c r="G110" s="167"/>
      <c r="H110" s="241"/>
      <c r="I110" s="86"/>
      <c r="J110" s="169"/>
      <c r="K110" s="132"/>
      <c r="L110" s="242"/>
      <c r="M110" s="252"/>
      <c r="N110" s="244"/>
      <c r="O110" s="245"/>
      <c r="P110" s="246"/>
      <c r="Q110" s="247"/>
      <c r="R110" s="248"/>
      <c r="S110" s="169"/>
      <c r="T110" s="169"/>
      <c r="U110" s="169"/>
      <c r="V110" s="169"/>
      <c r="W110" s="169"/>
      <c r="X110" s="169"/>
      <c r="Y110" s="249"/>
      <c r="Z110" s="250"/>
      <c r="AA110" s="257"/>
      <c r="AB110" s="251"/>
      <c r="AC110" s="247"/>
      <c r="AD110" s="191"/>
      <c r="AF110" s="259"/>
      <c r="AG110" s="260"/>
      <c r="AH110" s="260"/>
      <c r="AI110" s="261"/>
      <c r="AJ110" s="260"/>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EG110" s="1"/>
      <c r="EH110" s="1"/>
      <c r="EI110" s="1"/>
      <c r="EJ110" s="1"/>
      <c r="EK110" s="1"/>
      <c r="EL110" s="1"/>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c r="GF110" s="1"/>
      <c r="GG110" s="1"/>
      <c r="GH110" s="1"/>
      <c r="GI110" s="1"/>
      <c r="GJ110" s="1"/>
      <c r="GK110" s="1"/>
      <c r="GL110" s="1"/>
      <c r="GM110" s="1"/>
      <c r="GN110" s="1"/>
      <c r="GO110" s="1"/>
      <c r="GP110" s="1"/>
      <c r="GQ110" s="1"/>
      <c r="GR110" s="1"/>
      <c r="GS110" s="1"/>
      <c r="GT110" s="1"/>
      <c r="GU110" s="1"/>
      <c r="GV110" s="1"/>
      <c r="GW110" s="1"/>
      <c r="GX110" s="1"/>
      <c r="GY110" s="1"/>
      <c r="GZ110" s="1"/>
      <c r="HA110" s="1"/>
      <c r="HB110" s="1"/>
      <c r="HC110" s="1"/>
      <c r="HD110" s="1"/>
      <c r="HE110" s="1"/>
      <c r="HF110" s="1"/>
      <c r="HG110" s="1"/>
      <c r="HH110" s="1"/>
      <c r="HI110" s="1"/>
      <c r="HJ110" s="1"/>
      <c r="HK110" s="1"/>
      <c r="HL110" s="1"/>
    </row>
    <row r="111" spans="1:220" s="258" customFormat="1" ht="17.100000000000001" customHeight="1" x14ac:dyDescent="0.25">
      <c r="A111"/>
      <c r="B111" s="234"/>
      <c r="C111" s="238"/>
      <c r="D111" s="235"/>
      <c r="E111" s="239"/>
      <c r="F111" s="240"/>
      <c r="G111" s="167"/>
      <c r="H111" s="241"/>
      <c r="I111" s="86"/>
      <c r="J111" s="169"/>
      <c r="K111" s="132"/>
      <c r="L111" s="242"/>
      <c r="M111" s="252"/>
      <c r="N111" s="244"/>
      <c r="O111" s="245"/>
      <c r="P111" s="246"/>
      <c r="Q111" s="247"/>
      <c r="R111" s="248"/>
      <c r="S111" s="169"/>
      <c r="T111" s="169"/>
      <c r="U111" s="169"/>
      <c r="V111" s="169"/>
      <c r="W111" s="169"/>
      <c r="X111" s="169"/>
      <c r="Y111" s="249"/>
      <c r="Z111" s="250"/>
      <c r="AA111" s="257"/>
      <c r="AB111" s="251"/>
      <c r="AC111" s="247"/>
      <c r="AD111" s="191"/>
      <c r="AF111" s="259"/>
      <c r="AG111" s="260"/>
      <c r="AH111" s="260"/>
      <c r="AI111" s="261"/>
      <c r="AJ111" s="260"/>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EG111" s="1"/>
      <c r="EH111" s="1"/>
      <c r="EI111" s="1"/>
      <c r="EJ111" s="1"/>
      <c r="EK111" s="1"/>
      <c r="EL111" s="1"/>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c r="GF111" s="1"/>
      <c r="GG111" s="1"/>
      <c r="GH111" s="1"/>
      <c r="GI111" s="1"/>
      <c r="GJ111" s="1"/>
      <c r="GK111" s="1"/>
      <c r="GL111" s="1"/>
      <c r="GM111" s="1"/>
      <c r="GN111" s="1"/>
      <c r="GO111" s="1"/>
      <c r="GP111" s="1"/>
      <c r="GQ111" s="1"/>
      <c r="GR111" s="1"/>
      <c r="GS111" s="1"/>
      <c r="GT111" s="1"/>
      <c r="GU111" s="1"/>
      <c r="GV111" s="1"/>
      <c r="GW111" s="1"/>
      <c r="GX111" s="1"/>
      <c r="GY111" s="1"/>
      <c r="GZ111" s="1"/>
      <c r="HA111" s="1"/>
      <c r="HB111" s="1"/>
      <c r="HC111" s="1"/>
      <c r="HD111" s="1"/>
      <c r="HE111" s="1"/>
      <c r="HF111" s="1"/>
      <c r="HG111" s="1"/>
      <c r="HH111" s="1"/>
      <c r="HI111" s="1"/>
      <c r="HJ111" s="1"/>
      <c r="HK111" s="1"/>
      <c r="HL111" s="1"/>
    </row>
    <row r="112" spans="1:220" s="258" customFormat="1" ht="17.100000000000001" customHeight="1" x14ac:dyDescent="0.25">
      <c r="A112"/>
      <c r="B112" s="234"/>
      <c r="C112" s="238"/>
      <c r="D112" s="235"/>
      <c r="E112" s="239"/>
      <c r="F112" s="240"/>
      <c r="G112" s="167"/>
      <c r="H112" s="241"/>
      <c r="I112" s="86"/>
      <c r="J112" s="169"/>
      <c r="K112" s="132"/>
      <c r="L112" s="242"/>
      <c r="M112" s="252"/>
      <c r="N112" s="244"/>
      <c r="O112" s="245"/>
      <c r="P112" s="246"/>
      <c r="Q112" s="247"/>
      <c r="R112" s="248"/>
      <c r="S112" s="169"/>
      <c r="T112" s="169"/>
      <c r="U112" s="169"/>
      <c r="V112" s="169"/>
      <c r="W112" s="169"/>
      <c r="X112" s="169"/>
      <c r="Y112" s="249"/>
      <c r="Z112" s="250"/>
      <c r="AA112" s="257"/>
      <c r="AB112" s="251"/>
      <c r="AC112" s="247"/>
      <c r="AD112" s="191"/>
      <c r="AF112" s="259"/>
      <c r="AG112" s="260"/>
      <c r="AH112" s="260"/>
      <c r="AI112" s="261"/>
      <c r="AJ112" s="260"/>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row>
    <row r="113" spans="1:220" s="258" customFormat="1" ht="17.100000000000001" customHeight="1" x14ac:dyDescent="0.25">
      <c r="A113"/>
      <c r="B113" s="234"/>
      <c r="C113" s="238"/>
      <c r="D113" s="235"/>
      <c r="E113" s="239"/>
      <c r="F113" s="240"/>
      <c r="G113" s="167"/>
      <c r="H113" s="241"/>
      <c r="I113" s="86"/>
      <c r="J113" s="169"/>
      <c r="K113" s="132"/>
      <c r="L113" s="242"/>
      <c r="M113" s="252"/>
      <c r="N113" s="244"/>
      <c r="O113" s="245"/>
      <c r="P113" s="246"/>
      <c r="Q113" s="247"/>
      <c r="R113" s="248"/>
      <c r="S113" s="169"/>
      <c r="T113" s="169"/>
      <c r="U113" s="169"/>
      <c r="V113" s="169"/>
      <c r="W113" s="169"/>
      <c r="X113" s="169"/>
      <c r="Y113" s="249"/>
      <c r="Z113" s="250"/>
      <c r="AA113" s="257"/>
      <c r="AB113" s="251"/>
      <c r="AC113" s="247"/>
      <c r="AD113" s="191"/>
      <c r="AF113" s="259"/>
      <c r="AG113" s="260"/>
      <c r="AH113" s="260"/>
      <c r="AI113" s="261"/>
      <c r="AJ113" s="260"/>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row>
    <row r="114" spans="1:220" s="258" customFormat="1" ht="17.100000000000001" customHeight="1" x14ac:dyDescent="0.25">
      <c r="A114"/>
      <c r="B114" s="234"/>
      <c r="C114" s="238"/>
      <c r="D114" s="235"/>
      <c r="E114" s="239"/>
      <c r="F114" s="240"/>
      <c r="G114" s="167"/>
      <c r="H114" s="241"/>
      <c r="I114" s="86"/>
      <c r="J114" s="169"/>
      <c r="K114" s="132"/>
      <c r="L114" s="242"/>
      <c r="M114" s="252"/>
      <c r="N114" s="244"/>
      <c r="O114" s="245"/>
      <c r="P114" s="246"/>
      <c r="Q114" s="247"/>
      <c r="R114" s="248"/>
      <c r="S114" s="169"/>
      <c r="T114" s="169"/>
      <c r="U114" s="169"/>
      <c r="V114" s="169"/>
      <c r="W114" s="169"/>
      <c r="X114" s="169"/>
      <c r="Y114" s="249"/>
      <c r="Z114" s="250"/>
      <c r="AA114" s="257"/>
      <c r="AB114" s="251"/>
      <c r="AC114" s="247"/>
      <c r="AD114" s="191"/>
      <c r="AF114" s="259"/>
      <c r="AG114" s="260"/>
      <c r="AH114" s="260"/>
      <c r="AI114" s="261"/>
      <c r="AJ114" s="260"/>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row>
    <row r="115" spans="1:220" s="258" customFormat="1" ht="17.100000000000001" customHeight="1" x14ac:dyDescent="0.25">
      <c r="A115"/>
      <c r="B115" s="234"/>
      <c r="C115" s="238"/>
      <c r="D115" s="235"/>
      <c r="E115" s="239"/>
      <c r="F115" s="240"/>
      <c r="G115" s="167"/>
      <c r="H115" s="241"/>
      <c r="I115" s="86"/>
      <c r="J115" s="169"/>
      <c r="K115" s="132"/>
      <c r="L115" s="242"/>
      <c r="M115" s="252"/>
      <c r="N115" s="244"/>
      <c r="O115" s="245"/>
      <c r="P115" s="246"/>
      <c r="Q115" s="247"/>
      <c r="R115" s="248"/>
      <c r="S115" s="169"/>
      <c r="T115" s="169"/>
      <c r="U115" s="169"/>
      <c r="V115" s="169"/>
      <c r="W115" s="169"/>
      <c r="X115" s="169"/>
      <c r="Y115" s="249"/>
      <c r="Z115" s="250"/>
      <c r="AA115" s="257"/>
      <c r="AB115" s="251"/>
      <c r="AC115" s="247"/>
      <c r="AD115" s="191"/>
      <c r="AF115" s="259"/>
      <c r="AG115" s="260"/>
      <c r="AH115" s="260"/>
      <c r="AI115" s="261"/>
      <c r="AJ115" s="260"/>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row>
    <row r="116" spans="1:220" s="258" customFormat="1" ht="17.100000000000001" customHeight="1" x14ac:dyDescent="0.25">
      <c r="A116"/>
      <c r="B116" s="234"/>
      <c r="C116" s="238"/>
      <c r="D116" s="235"/>
      <c r="E116" s="239"/>
      <c r="F116" s="240"/>
      <c r="G116" s="167"/>
      <c r="H116" s="241"/>
      <c r="I116" s="86"/>
      <c r="J116" s="169"/>
      <c r="K116" s="132"/>
      <c r="L116" s="242"/>
      <c r="M116" s="252"/>
      <c r="N116" s="244"/>
      <c r="O116" s="245"/>
      <c r="P116" s="246"/>
      <c r="Q116" s="247"/>
      <c r="R116" s="248"/>
      <c r="S116" s="169"/>
      <c r="T116" s="169"/>
      <c r="U116" s="169"/>
      <c r="V116" s="169"/>
      <c r="W116" s="169"/>
      <c r="X116" s="169"/>
      <c r="Y116" s="249"/>
      <c r="Z116" s="250"/>
      <c r="AA116" s="257"/>
      <c r="AB116" s="251"/>
      <c r="AC116" s="247"/>
      <c r="AD116" s="191"/>
      <c r="AF116" s="259"/>
      <c r="AG116" s="260"/>
      <c r="AH116" s="260"/>
      <c r="AI116" s="261"/>
      <c r="AJ116" s="260"/>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row>
    <row r="117" spans="1:220" s="258" customFormat="1" ht="17.100000000000001" customHeight="1" x14ac:dyDescent="0.25">
      <c r="A117"/>
      <c r="B117" s="234"/>
      <c r="C117" s="238"/>
      <c r="D117" s="235"/>
      <c r="E117" s="239"/>
      <c r="F117" s="240"/>
      <c r="G117" s="167"/>
      <c r="H117" s="241"/>
      <c r="I117" s="86"/>
      <c r="J117" s="169"/>
      <c r="K117" s="132"/>
      <c r="L117" s="242"/>
      <c r="M117" s="252"/>
      <c r="N117" s="244"/>
      <c r="O117" s="245"/>
      <c r="P117" s="246"/>
      <c r="Q117" s="247"/>
      <c r="R117" s="248"/>
      <c r="S117" s="169"/>
      <c r="T117" s="169"/>
      <c r="U117" s="169"/>
      <c r="V117" s="169"/>
      <c r="W117" s="169"/>
      <c r="X117" s="169"/>
      <c r="Y117" s="249"/>
      <c r="Z117" s="250"/>
      <c r="AA117" s="257"/>
      <c r="AB117" s="251"/>
      <c r="AC117" s="247"/>
      <c r="AD117" s="191"/>
      <c r="AF117" s="259"/>
      <c r="AG117" s="260"/>
      <c r="AH117" s="260"/>
      <c r="AI117" s="261"/>
      <c r="AJ117" s="260"/>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row>
    <row r="118" spans="1:220" s="258" customFormat="1" ht="17.100000000000001" customHeight="1" x14ac:dyDescent="0.25">
      <c r="A118"/>
      <c r="B118" s="234"/>
      <c r="C118" s="238"/>
      <c r="D118" s="235"/>
      <c r="E118" s="239"/>
      <c r="F118" s="240"/>
      <c r="G118" s="167"/>
      <c r="H118" s="241"/>
      <c r="I118" s="86"/>
      <c r="J118" s="169"/>
      <c r="K118" s="132"/>
      <c r="L118" s="242"/>
      <c r="M118" s="252"/>
      <c r="N118" s="244"/>
      <c r="O118" s="245"/>
      <c r="P118" s="246"/>
      <c r="Q118" s="247"/>
      <c r="R118" s="248"/>
      <c r="S118" s="169"/>
      <c r="T118" s="169"/>
      <c r="U118" s="169"/>
      <c r="V118" s="169"/>
      <c r="W118" s="169"/>
      <c r="X118" s="169"/>
      <c r="Y118" s="249"/>
      <c r="Z118" s="250"/>
      <c r="AA118" s="257"/>
      <c r="AB118" s="251"/>
      <c r="AC118" s="247"/>
      <c r="AD118" s="191"/>
      <c r="AF118" s="259"/>
      <c r="AG118" s="260"/>
      <c r="AH118" s="260"/>
      <c r="AI118" s="261"/>
      <c r="AJ118" s="260"/>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row>
    <row r="119" spans="1:220" s="258" customFormat="1" ht="17.100000000000001" customHeight="1" x14ac:dyDescent="0.25">
      <c r="A119"/>
      <c r="B119" s="234"/>
      <c r="C119" s="238"/>
      <c r="D119" s="235"/>
      <c r="E119" s="239"/>
      <c r="F119" s="240"/>
      <c r="G119" s="167"/>
      <c r="H119" s="241"/>
      <c r="I119" s="86"/>
      <c r="J119" s="169"/>
      <c r="K119" s="132"/>
      <c r="L119" s="242"/>
      <c r="M119" s="252"/>
      <c r="N119" s="244"/>
      <c r="O119" s="245"/>
      <c r="P119" s="246"/>
      <c r="Q119" s="247"/>
      <c r="R119" s="248"/>
      <c r="S119" s="169"/>
      <c r="T119" s="169"/>
      <c r="U119" s="169"/>
      <c r="V119" s="169"/>
      <c r="W119" s="169"/>
      <c r="X119" s="169"/>
      <c r="Y119" s="249"/>
      <c r="Z119" s="250"/>
      <c r="AA119" s="257"/>
      <c r="AB119" s="251"/>
      <c r="AC119" s="247"/>
      <c r="AD119" s="191"/>
      <c r="AF119" s="259"/>
      <c r="AG119" s="260"/>
      <c r="AH119" s="260"/>
      <c r="AI119" s="261"/>
      <c r="AJ119" s="260"/>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row>
    <row r="120" spans="1:220" s="258" customFormat="1" ht="17.100000000000001" customHeight="1" x14ac:dyDescent="0.25">
      <c r="A120"/>
      <c r="B120" s="234"/>
      <c r="C120" s="238"/>
      <c r="D120" s="235"/>
      <c r="E120" s="239"/>
      <c r="F120" s="240"/>
      <c r="G120" s="167"/>
      <c r="H120" s="241"/>
      <c r="I120" s="86"/>
      <c r="J120" s="169"/>
      <c r="K120" s="132"/>
      <c r="L120" s="242"/>
      <c r="M120" s="252"/>
      <c r="N120" s="244"/>
      <c r="O120" s="245"/>
      <c r="P120" s="246"/>
      <c r="Q120" s="247"/>
      <c r="R120" s="248"/>
      <c r="S120" s="169"/>
      <c r="T120" s="169"/>
      <c r="U120" s="169"/>
      <c r="V120" s="169"/>
      <c r="W120" s="169"/>
      <c r="X120" s="169"/>
      <c r="Y120" s="249"/>
      <c r="Z120" s="250"/>
      <c r="AA120" s="257"/>
      <c r="AB120" s="251"/>
      <c r="AC120" s="247"/>
      <c r="AD120" s="191"/>
      <c r="AF120" s="259"/>
      <c r="AG120" s="260"/>
      <c r="AH120" s="260"/>
      <c r="AI120" s="261"/>
      <c r="AJ120" s="260"/>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row>
    <row r="121" spans="1:220" s="258" customFormat="1" ht="17.100000000000001" customHeight="1" x14ac:dyDescent="0.25">
      <c r="A121"/>
      <c r="B121" s="234"/>
      <c r="C121" s="238"/>
      <c r="D121" s="235"/>
      <c r="E121" s="239"/>
      <c r="F121" s="240"/>
      <c r="G121" s="167"/>
      <c r="H121" s="241"/>
      <c r="I121" s="86"/>
      <c r="J121" s="169"/>
      <c r="K121" s="132"/>
      <c r="L121" s="242"/>
      <c r="M121" s="252"/>
      <c r="N121" s="244"/>
      <c r="O121" s="245"/>
      <c r="P121" s="246"/>
      <c r="Q121" s="247"/>
      <c r="R121" s="248"/>
      <c r="S121" s="169"/>
      <c r="T121" s="169"/>
      <c r="U121" s="169"/>
      <c r="V121" s="169"/>
      <c r="W121" s="169"/>
      <c r="X121" s="169"/>
      <c r="Y121" s="249"/>
      <c r="Z121" s="250"/>
      <c r="AA121" s="257"/>
      <c r="AB121" s="251"/>
      <c r="AC121" s="247"/>
      <c r="AD121" s="191"/>
      <c r="AF121" s="259"/>
      <c r="AG121" s="260"/>
      <c r="AH121" s="260"/>
      <c r="AI121" s="261"/>
      <c r="AJ121" s="260"/>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row>
    <row r="122" spans="1:220" s="258" customFormat="1" ht="17.100000000000001" customHeight="1" x14ac:dyDescent="0.25">
      <c r="A122"/>
      <c r="B122" s="234"/>
      <c r="C122" s="238"/>
      <c r="D122" s="235"/>
      <c r="E122" s="239"/>
      <c r="F122" s="240"/>
      <c r="G122" s="167"/>
      <c r="H122" s="241"/>
      <c r="I122" s="86"/>
      <c r="J122" s="169"/>
      <c r="K122" s="132"/>
      <c r="L122" s="242"/>
      <c r="M122" s="252"/>
      <c r="N122" s="244"/>
      <c r="O122" s="245"/>
      <c r="P122" s="246"/>
      <c r="Q122" s="247"/>
      <c r="R122" s="248"/>
      <c r="S122" s="169"/>
      <c r="T122" s="169"/>
      <c r="U122" s="169"/>
      <c r="V122" s="169"/>
      <c r="W122" s="169"/>
      <c r="X122" s="169"/>
      <c r="Y122" s="249"/>
      <c r="Z122" s="250"/>
      <c r="AA122" s="257"/>
      <c r="AB122" s="251"/>
      <c r="AC122" s="247"/>
      <c r="AD122" s="191"/>
      <c r="AF122" s="259"/>
      <c r="AG122" s="260"/>
      <c r="AH122" s="260"/>
      <c r="AI122" s="261"/>
      <c r="AJ122" s="260"/>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row>
    <row r="123" spans="1:220" s="258" customFormat="1" ht="17.100000000000001" customHeight="1" x14ac:dyDescent="0.25">
      <c r="A123"/>
      <c r="B123" s="234"/>
      <c r="C123" s="238"/>
      <c r="D123" s="235"/>
      <c r="E123" s="239"/>
      <c r="F123" s="240"/>
      <c r="G123" s="167"/>
      <c r="H123" s="241"/>
      <c r="I123" s="86"/>
      <c r="J123" s="169"/>
      <c r="K123" s="132"/>
      <c r="L123" s="242"/>
      <c r="M123" s="252"/>
      <c r="N123" s="244"/>
      <c r="O123" s="245"/>
      <c r="P123" s="246"/>
      <c r="Q123" s="247"/>
      <c r="R123" s="248"/>
      <c r="S123" s="169"/>
      <c r="T123" s="169"/>
      <c r="U123" s="169"/>
      <c r="V123" s="169"/>
      <c r="W123" s="169"/>
      <c r="X123" s="169"/>
      <c r="Y123" s="249"/>
      <c r="Z123" s="250"/>
      <c r="AA123" s="257"/>
      <c r="AB123" s="251"/>
      <c r="AC123" s="247"/>
      <c r="AD123" s="191"/>
      <c r="AF123" s="259"/>
      <c r="AG123" s="260"/>
      <c r="AH123" s="260"/>
      <c r="AI123" s="261"/>
      <c r="AJ123" s="260"/>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row>
    <row r="124" spans="1:220" s="258" customFormat="1" ht="17.100000000000001" customHeight="1" x14ac:dyDescent="0.25">
      <c r="A124"/>
      <c r="B124" s="234"/>
      <c r="C124" s="238"/>
      <c r="D124" s="235"/>
      <c r="E124" s="239"/>
      <c r="F124" s="240"/>
      <c r="G124" s="167"/>
      <c r="H124" s="241"/>
      <c r="I124" s="86"/>
      <c r="J124" s="169"/>
      <c r="K124" s="132"/>
      <c r="L124" s="242"/>
      <c r="M124" s="252"/>
      <c r="N124" s="244"/>
      <c r="O124" s="245"/>
      <c r="P124" s="246"/>
      <c r="Q124" s="247"/>
      <c r="R124" s="248"/>
      <c r="S124" s="169"/>
      <c r="T124" s="169"/>
      <c r="U124" s="169"/>
      <c r="V124" s="169"/>
      <c r="W124" s="169"/>
      <c r="X124" s="169"/>
      <c r="Y124" s="249"/>
      <c r="Z124" s="250"/>
      <c r="AA124" s="257"/>
      <c r="AB124" s="251"/>
      <c r="AC124" s="247"/>
      <c r="AD124" s="191"/>
      <c r="AF124" s="259"/>
      <c r="AG124" s="260"/>
      <c r="AH124" s="260"/>
      <c r="AI124" s="261"/>
      <c r="AJ124" s="260"/>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EG124" s="1"/>
      <c r="EH124" s="1"/>
      <c r="EI124" s="1"/>
      <c r="EJ124" s="1"/>
      <c r="EK124" s="1"/>
      <c r="EL124" s="1"/>
      <c r="EM124" s="1"/>
      <c r="EN124" s="1"/>
      <c r="EO124" s="1"/>
      <c r="EP124" s="1"/>
      <c r="EQ124" s="1"/>
      <c r="ER124" s="1"/>
      <c r="ES124" s="1"/>
      <c r="ET124" s="1"/>
      <c r="EU124" s="1"/>
      <c r="EV124" s="1"/>
      <c r="EW124" s="1"/>
      <c r="EX124" s="1"/>
      <c r="EY124" s="1"/>
      <c r="EZ124" s="1"/>
      <c r="FA124" s="1"/>
      <c r="FB124" s="1"/>
      <c r="FC124" s="1"/>
      <c r="FD124" s="1"/>
      <c r="FE124" s="1"/>
      <c r="FF124" s="1"/>
      <c r="FG124" s="1"/>
      <c r="FH124" s="1"/>
      <c r="FI124" s="1"/>
      <c r="FJ124" s="1"/>
      <c r="FK124" s="1"/>
      <c r="FL124" s="1"/>
      <c r="FM124" s="1"/>
      <c r="FN124" s="1"/>
      <c r="FO124" s="1"/>
      <c r="FP124" s="1"/>
      <c r="FQ124" s="1"/>
      <c r="FR124" s="1"/>
      <c r="FS124" s="1"/>
      <c r="FT124" s="1"/>
      <c r="FU124" s="1"/>
      <c r="FV124" s="1"/>
      <c r="FW124" s="1"/>
      <c r="FX124" s="1"/>
      <c r="FY124" s="1"/>
      <c r="FZ124" s="1"/>
      <c r="GA124" s="1"/>
      <c r="GB124" s="1"/>
      <c r="GC124" s="1"/>
      <c r="GD124" s="1"/>
      <c r="GE124" s="1"/>
      <c r="GF124" s="1"/>
      <c r="GG124" s="1"/>
      <c r="GH124" s="1"/>
      <c r="GI124" s="1"/>
      <c r="GJ124" s="1"/>
      <c r="GK124" s="1"/>
      <c r="GL124" s="1"/>
      <c r="GM124" s="1"/>
      <c r="GN124" s="1"/>
      <c r="GO124" s="1"/>
      <c r="GP124" s="1"/>
      <c r="GQ124" s="1"/>
      <c r="GR124" s="1"/>
      <c r="GS124" s="1"/>
      <c r="GT124" s="1"/>
      <c r="GU124" s="1"/>
      <c r="GV124" s="1"/>
      <c r="GW124" s="1"/>
      <c r="GX124" s="1"/>
      <c r="GY124" s="1"/>
      <c r="GZ124" s="1"/>
      <c r="HA124" s="1"/>
      <c r="HB124" s="1"/>
      <c r="HC124" s="1"/>
      <c r="HD124" s="1"/>
      <c r="HE124" s="1"/>
      <c r="HF124" s="1"/>
      <c r="HG124" s="1"/>
      <c r="HH124" s="1"/>
      <c r="HI124" s="1"/>
      <c r="HJ124" s="1"/>
      <c r="HK124" s="1"/>
      <c r="HL124" s="1"/>
    </row>
    <row r="125" spans="1:220" s="258" customFormat="1" ht="17.100000000000001" customHeight="1" x14ac:dyDescent="0.25">
      <c r="A125"/>
      <c r="B125" s="234"/>
      <c r="C125" s="238"/>
      <c r="D125" s="235"/>
      <c r="E125" s="239"/>
      <c r="F125" s="240"/>
      <c r="G125" s="167"/>
      <c r="H125" s="241"/>
      <c r="I125" s="86"/>
      <c r="J125" s="169"/>
      <c r="K125" s="132"/>
      <c r="L125" s="242"/>
      <c r="M125" s="252"/>
      <c r="N125" s="244"/>
      <c r="O125" s="245"/>
      <c r="P125" s="246"/>
      <c r="Q125" s="247"/>
      <c r="R125" s="248"/>
      <c r="S125" s="169"/>
      <c r="T125" s="169"/>
      <c r="U125" s="169"/>
      <c r="V125" s="169"/>
      <c r="W125" s="169"/>
      <c r="X125" s="169"/>
      <c r="Y125" s="249"/>
      <c r="Z125" s="250"/>
      <c r="AA125" s="257"/>
      <c r="AB125" s="251"/>
      <c r="AC125" s="247"/>
      <c r="AD125" s="191"/>
      <c r="AF125" s="259"/>
      <c r="AG125" s="260"/>
      <c r="AH125" s="260"/>
      <c r="AI125" s="261"/>
      <c r="AJ125" s="260"/>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EG125" s="1"/>
      <c r="EH125" s="1"/>
      <c r="EI125" s="1"/>
      <c r="EJ125" s="1"/>
      <c r="EK125" s="1"/>
      <c r="EL125" s="1"/>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c r="GF125" s="1"/>
      <c r="GG125" s="1"/>
      <c r="GH125" s="1"/>
      <c r="GI125" s="1"/>
      <c r="GJ125" s="1"/>
      <c r="GK125" s="1"/>
      <c r="GL125" s="1"/>
      <c r="GM125" s="1"/>
      <c r="GN125" s="1"/>
      <c r="GO125" s="1"/>
      <c r="GP125" s="1"/>
      <c r="GQ125" s="1"/>
      <c r="GR125" s="1"/>
      <c r="GS125" s="1"/>
      <c r="GT125" s="1"/>
      <c r="GU125" s="1"/>
      <c r="GV125" s="1"/>
      <c r="GW125" s="1"/>
      <c r="GX125" s="1"/>
      <c r="GY125" s="1"/>
      <c r="GZ125" s="1"/>
      <c r="HA125" s="1"/>
      <c r="HB125" s="1"/>
      <c r="HC125" s="1"/>
      <c r="HD125" s="1"/>
      <c r="HE125" s="1"/>
      <c r="HF125" s="1"/>
      <c r="HG125" s="1"/>
      <c r="HH125" s="1"/>
      <c r="HI125" s="1"/>
      <c r="HJ125" s="1"/>
      <c r="HK125" s="1"/>
      <c r="HL125" s="1"/>
    </row>
    <row r="126" spans="1:220" s="258" customFormat="1" ht="17.100000000000001" customHeight="1" x14ac:dyDescent="0.25">
      <c r="A126"/>
      <c r="B126" s="234"/>
      <c r="C126" s="238"/>
      <c r="D126" s="235"/>
      <c r="E126" s="239"/>
      <c r="F126" s="240"/>
      <c r="G126" s="167"/>
      <c r="H126" s="241"/>
      <c r="I126" s="86"/>
      <c r="J126" s="169"/>
      <c r="K126" s="132"/>
      <c r="L126" s="242"/>
      <c r="M126" s="252"/>
      <c r="N126" s="244"/>
      <c r="O126" s="245"/>
      <c r="P126" s="246"/>
      <c r="Q126" s="247"/>
      <c r="R126" s="248"/>
      <c r="S126" s="169"/>
      <c r="T126" s="169"/>
      <c r="U126" s="169"/>
      <c r="V126" s="169"/>
      <c r="W126" s="169"/>
      <c r="X126" s="169"/>
      <c r="Y126" s="249"/>
      <c r="Z126" s="250"/>
      <c r="AA126" s="257"/>
      <c r="AB126" s="251"/>
      <c r="AC126" s="247"/>
      <c r="AD126" s="191"/>
      <c r="AF126" s="259"/>
      <c r="AG126" s="260"/>
      <c r="AH126" s="260"/>
      <c r="AI126" s="261"/>
      <c r="AJ126" s="260"/>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EG126" s="1"/>
      <c r="EH126" s="1"/>
      <c r="EI126" s="1"/>
      <c r="EJ126" s="1"/>
      <c r="EK126" s="1"/>
      <c r="EL126" s="1"/>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c r="GF126" s="1"/>
      <c r="GG126" s="1"/>
      <c r="GH126" s="1"/>
      <c r="GI126" s="1"/>
      <c r="GJ126" s="1"/>
      <c r="GK126" s="1"/>
      <c r="GL126" s="1"/>
      <c r="GM126" s="1"/>
      <c r="GN126" s="1"/>
      <c r="GO126" s="1"/>
      <c r="GP126" s="1"/>
      <c r="GQ126" s="1"/>
      <c r="GR126" s="1"/>
      <c r="GS126" s="1"/>
      <c r="GT126" s="1"/>
      <c r="GU126" s="1"/>
      <c r="GV126" s="1"/>
      <c r="GW126" s="1"/>
      <c r="GX126" s="1"/>
      <c r="GY126" s="1"/>
      <c r="GZ126" s="1"/>
      <c r="HA126" s="1"/>
      <c r="HB126" s="1"/>
      <c r="HC126" s="1"/>
      <c r="HD126" s="1"/>
      <c r="HE126" s="1"/>
      <c r="HF126" s="1"/>
      <c r="HG126" s="1"/>
      <c r="HH126" s="1"/>
      <c r="HI126" s="1"/>
      <c r="HJ126" s="1"/>
      <c r="HK126" s="1"/>
      <c r="HL126" s="1"/>
    </row>
    <row r="127" spans="1:220" s="258" customFormat="1" ht="17.100000000000001" customHeight="1" x14ac:dyDescent="0.25">
      <c r="A127"/>
      <c r="B127" s="234"/>
      <c r="C127" s="238"/>
      <c r="D127" s="235"/>
      <c r="E127" s="239"/>
      <c r="F127" s="240"/>
      <c r="G127" s="167"/>
      <c r="H127" s="241"/>
      <c r="I127" s="86"/>
      <c r="J127" s="169"/>
      <c r="K127" s="132"/>
      <c r="L127" s="242"/>
      <c r="M127" s="252"/>
      <c r="N127" s="244"/>
      <c r="O127" s="245"/>
      <c r="P127" s="246"/>
      <c r="Q127" s="247"/>
      <c r="R127" s="248"/>
      <c r="S127" s="169"/>
      <c r="T127" s="169"/>
      <c r="U127" s="169"/>
      <c r="V127" s="169"/>
      <c r="W127" s="169"/>
      <c r="X127" s="169"/>
      <c r="Y127" s="249"/>
      <c r="Z127" s="250"/>
      <c r="AA127" s="257"/>
      <c r="AB127" s="251"/>
      <c r="AC127" s="247"/>
      <c r="AD127" s="191"/>
      <c r="AF127" s="259"/>
      <c r="AG127" s="260"/>
      <c r="AH127" s="260"/>
      <c r="AI127" s="261"/>
      <c r="AJ127" s="260"/>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EG127" s="1"/>
      <c r="EH127" s="1"/>
      <c r="EI127" s="1"/>
      <c r="EJ127" s="1"/>
      <c r="EK127" s="1"/>
      <c r="EL127" s="1"/>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c r="GF127" s="1"/>
      <c r="GG127" s="1"/>
      <c r="GH127" s="1"/>
      <c r="GI127" s="1"/>
      <c r="GJ127" s="1"/>
      <c r="GK127" s="1"/>
      <c r="GL127" s="1"/>
      <c r="GM127" s="1"/>
      <c r="GN127" s="1"/>
      <c r="GO127" s="1"/>
      <c r="GP127" s="1"/>
      <c r="GQ127" s="1"/>
      <c r="GR127" s="1"/>
      <c r="GS127" s="1"/>
      <c r="GT127" s="1"/>
      <c r="GU127" s="1"/>
      <c r="GV127" s="1"/>
      <c r="GW127" s="1"/>
      <c r="GX127" s="1"/>
      <c r="GY127" s="1"/>
      <c r="GZ127" s="1"/>
      <c r="HA127" s="1"/>
      <c r="HB127" s="1"/>
      <c r="HC127" s="1"/>
      <c r="HD127" s="1"/>
      <c r="HE127" s="1"/>
      <c r="HF127" s="1"/>
      <c r="HG127" s="1"/>
      <c r="HH127" s="1"/>
      <c r="HI127" s="1"/>
      <c r="HJ127" s="1"/>
      <c r="HK127" s="1"/>
      <c r="HL127" s="1"/>
    </row>
    <row r="128" spans="1:220" s="258" customFormat="1" ht="17.100000000000001" customHeight="1" x14ac:dyDescent="0.25">
      <c r="A128"/>
      <c r="B128" s="234"/>
      <c r="C128" s="238"/>
      <c r="D128" s="235"/>
      <c r="E128" s="239"/>
      <c r="F128" s="240"/>
      <c r="G128" s="167"/>
      <c r="H128" s="241"/>
      <c r="I128" s="86"/>
      <c r="J128" s="169"/>
      <c r="K128" s="132"/>
      <c r="L128" s="242"/>
      <c r="M128" s="252"/>
      <c r="N128" s="244"/>
      <c r="O128" s="245"/>
      <c r="P128" s="246"/>
      <c r="Q128" s="247"/>
      <c r="R128" s="248"/>
      <c r="S128" s="169"/>
      <c r="T128" s="169"/>
      <c r="U128" s="169"/>
      <c r="V128" s="169"/>
      <c r="W128" s="169"/>
      <c r="X128" s="169"/>
      <c r="Y128" s="249"/>
      <c r="Z128" s="250"/>
      <c r="AA128" s="257"/>
      <c r="AB128" s="251"/>
      <c r="AC128" s="247"/>
      <c r="AD128" s="191"/>
      <c r="AF128" s="259"/>
      <c r="AG128" s="260"/>
      <c r="AH128" s="260"/>
      <c r="AI128" s="261"/>
      <c r="AJ128" s="260"/>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EG128" s="1"/>
      <c r="EH128" s="1"/>
      <c r="EI128" s="1"/>
      <c r="EJ128" s="1"/>
      <c r="EK128" s="1"/>
      <c r="EL128" s="1"/>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c r="GF128" s="1"/>
      <c r="GG128" s="1"/>
      <c r="GH128" s="1"/>
      <c r="GI128" s="1"/>
      <c r="GJ128" s="1"/>
      <c r="GK128" s="1"/>
      <c r="GL128" s="1"/>
      <c r="GM128" s="1"/>
      <c r="GN128" s="1"/>
      <c r="GO128" s="1"/>
      <c r="GP128" s="1"/>
      <c r="GQ128" s="1"/>
      <c r="GR128" s="1"/>
      <c r="GS128" s="1"/>
      <c r="GT128" s="1"/>
      <c r="GU128" s="1"/>
      <c r="GV128" s="1"/>
      <c r="GW128" s="1"/>
      <c r="GX128" s="1"/>
      <c r="GY128" s="1"/>
      <c r="GZ128" s="1"/>
      <c r="HA128" s="1"/>
      <c r="HB128" s="1"/>
      <c r="HC128" s="1"/>
      <c r="HD128" s="1"/>
      <c r="HE128" s="1"/>
      <c r="HF128" s="1"/>
      <c r="HG128" s="1"/>
      <c r="HH128" s="1"/>
      <c r="HI128" s="1"/>
      <c r="HJ128" s="1"/>
      <c r="HK128" s="1"/>
      <c r="HL128" s="1"/>
    </row>
    <row r="129" spans="1:220" s="258" customFormat="1" ht="17.100000000000001" customHeight="1" x14ac:dyDescent="0.25">
      <c r="A129"/>
      <c r="B129" s="234"/>
      <c r="C129" s="238"/>
      <c r="D129" s="235"/>
      <c r="E129" s="239"/>
      <c r="F129" s="240"/>
      <c r="G129" s="167"/>
      <c r="H129" s="241"/>
      <c r="I129" s="86"/>
      <c r="J129" s="169"/>
      <c r="K129" s="132"/>
      <c r="L129" s="242"/>
      <c r="M129" s="252"/>
      <c r="N129" s="244"/>
      <c r="O129" s="245"/>
      <c r="P129" s="246"/>
      <c r="Q129" s="247"/>
      <c r="R129" s="248"/>
      <c r="S129" s="169"/>
      <c r="T129" s="169"/>
      <c r="U129" s="169"/>
      <c r="V129" s="169"/>
      <c r="W129" s="169"/>
      <c r="X129" s="169"/>
      <c r="Y129" s="249"/>
      <c r="Z129" s="250"/>
      <c r="AA129" s="257"/>
      <c r="AB129" s="251"/>
      <c r="AC129" s="247"/>
      <c r="AD129" s="191"/>
      <c r="AF129" s="259"/>
      <c r="AG129" s="260"/>
      <c r="AH129" s="260"/>
      <c r="AI129" s="261"/>
      <c r="AJ129" s="260"/>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EG129" s="1"/>
      <c r="EH129" s="1"/>
      <c r="EI129" s="1"/>
      <c r="EJ129" s="1"/>
      <c r="EK129" s="1"/>
      <c r="EL129" s="1"/>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c r="GF129" s="1"/>
      <c r="GG129" s="1"/>
      <c r="GH129" s="1"/>
      <c r="GI129" s="1"/>
      <c r="GJ129" s="1"/>
      <c r="GK129" s="1"/>
      <c r="GL129" s="1"/>
      <c r="GM129" s="1"/>
      <c r="GN129" s="1"/>
      <c r="GO129" s="1"/>
      <c r="GP129" s="1"/>
      <c r="GQ129" s="1"/>
      <c r="GR129" s="1"/>
      <c r="GS129" s="1"/>
      <c r="GT129" s="1"/>
      <c r="GU129" s="1"/>
      <c r="GV129" s="1"/>
      <c r="GW129" s="1"/>
      <c r="GX129" s="1"/>
      <c r="GY129" s="1"/>
      <c r="GZ129" s="1"/>
      <c r="HA129" s="1"/>
      <c r="HB129" s="1"/>
      <c r="HC129" s="1"/>
      <c r="HD129" s="1"/>
      <c r="HE129" s="1"/>
      <c r="HF129" s="1"/>
      <c r="HG129" s="1"/>
      <c r="HH129" s="1"/>
      <c r="HI129" s="1"/>
      <c r="HJ129" s="1"/>
      <c r="HK129" s="1"/>
      <c r="HL129" s="1"/>
    </row>
    <row r="130" spans="1:220" s="258" customFormat="1" ht="17.100000000000001" customHeight="1" x14ac:dyDescent="0.25">
      <c r="A130"/>
      <c r="B130" s="234"/>
      <c r="C130" s="238"/>
      <c r="D130" s="235"/>
      <c r="E130" s="239"/>
      <c r="F130" s="240"/>
      <c r="G130" s="167"/>
      <c r="H130" s="241"/>
      <c r="I130" s="86"/>
      <c r="J130" s="169"/>
      <c r="K130" s="132"/>
      <c r="L130" s="242"/>
      <c r="M130" s="252"/>
      <c r="N130" s="244"/>
      <c r="O130" s="245"/>
      <c r="P130" s="246"/>
      <c r="Q130" s="247"/>
      <c r="R130" s="248"/>
      <c r="S130" s="169"/>
      <c r="T130" s="169"/>
      <c r="U130" s="169"/>
      <c r="V130" s="169"/>
      <c r="W130" s="169"/>
      <c r="X130" s="169"/>
      <c r="Y130" s="249"/>
      <c r="Z130" s="250"/>
      <c r="AA130" s="257"/>
      <c r="AB130" s="251"/>
      <c r="AC130" s="247"/>
      <c r="AD130" s="191"/>
      <c r="AF130" s="259"/>
      <c r="AG130" s="260"/>
      <c r="AH130" s="260"/>
      <c r="AI130" s="261"/>
      <c r="AJ130" s="260"/>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EG130" s="1"/>
      <c r="EH130" s="1"/>
      <c r="EI130" s="1"/>
      <c r="EJ130" s="1"/>
      <c r="EK130" s="1"/>
      <c r="EL130" s="1"/>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c r="GF130" s="1"/>
      <c r="GG130" s="1"/>
      <c r="GH130" s="1"/>
      <c r="GI130" s="1"/>
      <c r="GJ130" s="1"/>
      <c r="GK130" s="1"/>
      <c r="GL130" s="1"/>
      <c r="GM130" s="1"/>
      <c r="GN130" s="1"/>
      <c r="GO130" s="1"/>
      <c r="GP130" s="1"/>
      <c r="GQ130" s="1"/>
      <c r="GR130" s="1"/>
      <c r="GS130" s="1"/>
      <c r="GT130" s="1"/>
      <c r="GU130" s="1"/>
      <c r="GV130" s="1"/>
      <c r="GW130" s="1"/>
      <c r="GX130" s="1"/>
      <c r="GY130" s="1"/>
      <c r="GZ130" s="1"/>
      <c r="HA130" s="1"/>
      <c r="HB130" s="1"/>
      <c r="HC130" s="1"/>
      <c r="HD130" s="1"/>
      <c r="HE130" s="1"/>
      <c r="HF130" s="1"/>
      <c r="HG130" s="1"/>
      <c r="HH130" s="1"/>
      <c r="HI130" s="1"/>
      <c r="HJ130" s="1"/>
      <c r="HK130" s="1"/>
      <c r="HL130" s="1"/>
    </row>
    <row r="131" spans="1:220" s="258" customFormat="1" ht="17.100000000000001" customHeight="1" x14ac:dyDescent="0.25">
      <c r="A131"/>
      <c r="B131" s="234"/>
      <c r="C131" s="238"/>
      <c r="D131" s="235"/>
      <c r="E131" s="239"/>
      <c r="F131" s="240"/>
      <c r="G131" s="167"/>
      <c r="H131" s="241"/>
      <c r="I131" s="86"/>
      <c r="J131" s="169"/>
      <c r="K131" s="132"/>
      <c r="L131" s="242"/>
      <c r="M131" s="252"/>
      <c r="N131" s="244"/>
      <c r="O131" s="245"/>
      <c r="P131" s="246"/>
      <c r="Q131" s="247"/>
      <c r="R131" s="248"/>
      <c r="S131" s="169"/>
      <c r="T131" s="169"/>
      <c r="U131" s="169"/>
      <c r="V131" s="169"/>
      <c r="W131" s="169"/>
      <c r="X131" s="169"/>
      <c r="Y131" s="249"/>
      <c r="Z131" s="250"/>
      <c r="AA131" s="257"/>
      <c r="AB131" s="251"/>
      <c r="AC131" s="247"/>
      <c r="AD131" s="191"/>
      <c r="AF131" s="259"/>
      <c r="AG131" s="260"/>
      <c r="AH131" s="260"/>
      <c r="AI131" s="261"/>
      <c r="AJ131" s="260"/>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EG131" s="1"/>
      <c r="EH131" s="1"/>
      <c r="EI131" s="1"/>
      <c r="EJ131" s="1"/>
      <c r="EK131" s="1"/>
      <c r="EL131" s="1"/>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c r="GF131" s="1"/>
      <c r="GG131" s="1"/>
      <c r="GH131" s="1"/>
      <c r="GI131" s="1"/>
      <c r="GJ131" s="1"/>
      <c r="GK131" s="1"/>
      <c r="GL131" s="1"/>
      <c r="GM131" s="1"/>
      <c r="GN131" s="1"/>
      <c r="GO131" s="1"/>
      <c r="GP131" s="1"/>
      <c r="GQ131" s="1"/>
      <c r="GR131" s="1"/>
      <c r="GS131" s="1"/>
      <c r="GT131" s="1"/>
      <c r="GU131" s="1"/>
      <c r="GV131" s="1"/>
      <c r="GW131" s="1"/>
      <c r="GX131" s="1"/>
      <c r="GY131" s="1"/>
      <c r="GZ131" s="1"/>
      <c r="HA131" s="1"/>
      <c r="HB131" s="1"/>
      <c r="HC131" s="1"/>
      <c r="HD131" s="1"/>
      <c r="HE131" s="1"/>
      <c r="HF131" s="1"/>
      <c r="HG131" s="1"/>
      <c r="HH131" s="1"/>
      <c r="HI131" s="1"/>
      <c r="HJ131" s="1"/>
      <c r="HK131" s="1"/>
      <c r="HL131" s="1"/>
    </row>
    <row r="132" spans="1:220" s="258" customFormat="1" ht="17.100000000000001" customHeight="1" x14ac:dyDescent="0.25">
      <c r="A132"/>
      <c r="B132" s="234"/>
      <c r="C132" s="238"/>
      <c r="D132" s="235"/>
      <c r="E132" s="239"/>
      <c r="F132" s="240"/>
      <c r="G132" s="167"/>
      <c r="H132" s="241"/>
      <c r="I132" s="86"/>
      <c r="J132" s="169"/>
      <c r="K132" s="132"/>
      <c r="L132" s="242"/>
      <c r="M132" s="252"/>
      <c r="N132" s="244"/>
      <c r="O132" s="245"/>
      <c r="P132" s="246"/>
      <c r="Q132" s="247"/>
      <c r="R132" s="248"/>
      <c r="S132" s="169"/>
      <c r="T132" s="169"/>
      <c r="U132" s="169"/>
      <c r="V132" s="169"/>
      <c r="W132" s="169"/>
      <c r="X132" s="169"/>
      <c r="Y132" s="249"/>
      <c r="Z132" s="250"/>
      <c r="AA132" s="257"/>
      <c r="AB132" s="251"/>
      <c r="AC132" s="247"/>
      <c r="AD132" s="191"/>
      <c r="AF132" s="259"/>
      <c r="AG132" s="260"/>
      <c r="AH132" s="260"/>
      <c r="AI132" s="261"/>
      <c r="AJ132" s="260"/>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EG132" s="1"/>
      <c r="EH132" s="1"/>
      <c r="EI132" s="1"/>
      <c r="EJ132" s="1"/>
      <c r="EK132" s="1"/>
      <c r="EL132" s="1"/>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c r="GF132" s="1"/>
      <c r="GG132" s="1"/>
      <c r="GH132" s="1"/>
      <c r="GI132" s="1"/>
      <c r="GJ132" s="1"/>
      <c r="GK132" s="1"/>
      <c r="GL132" s="1"/>
      <c r="GM132" s="1"/>
      <c r="GN132" s="1"/>
      <c r="GO132" s="1"/>
      <c r="GP132" s="1"/>
      <c r="GQ132" s="1"/>
      <c r="GR132" s="1"/>
      <c r="GS132" s="1"/>
      <c r="GT132" s="1"/>
      <c r="GU132" s="1"/>
      <c r="GV132" s="1"/>
      <c r="GW132" s="1"/>
      <c r="GX132" s="1"/>
      <c r="GY132" s="1"/>
      <c r="GZ132" s="1"/>
      <c r="HA132" s="1"/>
      <c r="HB132" s="1"/>
      <c r="HC132" s="1"/>
      <c r="HD132" s="1"/>
      <c r="HE132" s="1"/>
      <c r="HF132" s="1"/>
      <c r="HG132" s="1"/>
      <c r="HH132" s="1"/>
      <c r="HI132" s="1"/>
      <c r="HJ132" s="1"/>
      <c r="HK132" s="1"/>
      <c r="HL132" s="1"/>
    </row>
    <row r="133" spans="1:220" s="258" customFormat="1" ht="17.100000000000001" customHeight="1" x14ac:dyDescent="0.25">
      <c r="A133"/>
      <c r="B133" s="234"/>
      <c r="C133" s="238"/>
      <c r="D133" s="235"/>
      <c r="E133" s="239"/>
      <c r="F133" s="240"/>
      <c r="G133" s="167"/>
      <c r="H133" s="241"/>
      <c r="I133" s="86"/>
      <c r="J133" s="169"/>
      <c r="K133" s="132"/>
      <c r="L133" s="242"/>
      <c r="M133" s="252"/>
      <c r="N133" s="244"/>
      <c r="O133" s="245"/>
      <c r="P133" s="246"/>
      <c r="Q133" s="247"/>
      <c r="R133" s="248"/>
      <c r="S133" s="169"/>
      <c r="T133" s="169"/>
      <c r="U133" s="169"/>
      <c r="V133" s="169"/>
      <c r="W133" s="169"/>
      <c r="X133" s="169"/>
      <c r="Y133" s="249"/>
      <c r="Z133" s="250"/>
      <c r="AA133" s="257"/>
      <c r="AB133" s="251"/>
      <c r="AC133" s="247"/>
      <c r="AD133" s="191"/>
      <c r="AF133" s="259"/>
      <c r="AG133" s="260"/>
      <c r="AH133" s="260"/>
      <c r="AI133" s="261"/>
      <c r="AJ133" s="260"/>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EG133" s="1"/>
      <c r="EH133" s="1"/>
      <c r="EI133" s="1"/>
      <c r="EJ133" s="1"/>
      <c r="EK133" s="1"/>
      <c r="EL133" s="1"/>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c r="GF133" s="1"/>
      <c r="GG133" s="1"/>
      <c r="GH133" s="1"/>
      <c r="GI133" s="1"/>
      <c r="GJ133" s="1"/>
      <c r="GK133" s="1"/>
      <c r="GL133" s="1"/>
      <c r="GM133" s="1"/>
      <c r="GN133" s="1"/>
      <c r="GO133" s="1"/>
      <c r="GP133" s="1"/>
      <c r="GQ133" s="1"/>
      <c r="GR133" s="1"/>
      <c r="GS133" s="1"/>
      <c r="GT133" s="1"/>
      <c r="GU133" s="1"/>
      <c r="GV133" s="1"/>
      <c r="GW133" s="1"/>
      <c r="GX133" s="1"/>
      <c r="GY133" s="1"/>
      <c r="GZ133" s="1"/>
      <c r="HA133" s="1"/>
      <c r="HB133" s="1"/>
      <c r="HC133" s="1"/>
      <c r="HD133" s="1"/>
      <c r="HE133" s="1"/>
      <c r="HF133" s="1"/>
      <c r="HG133" s="1"/>
      <c r="HH133" s="1"/>
      <c r="HI133" s="1"/>
      <c r="HJ133" s="1"/>
      <c r="HK133" s="1"/>
      <c r="HL133" s="1"/>
    </row>
    <row r="134" spans="1:220" s="258" customFormat="1" ht="17.100000000000001" customHeight="1" x14ac:dyDescent="0.25">
      <c r="A134"/>
      <c r="B134" s="234"/>
      <c r="C134" s="238"/>
      <c r="D134" s="235"/>
      <c r="E134" s="239"/>
      <c r="F134" s="240"/>
      <c r="G134" s="167"/>
      <c r="H134" s="241"/>
      <c r="I134" s="86"/>
      <c r="J134" s="169"/>
      <c r="K134" s="132"/>
      <c r="L134" s="242"/>
      <c r="M134" s="252"/>
      <c r="N134" s="244"/>
      <c r="O134" s="245"/>
      <c r="P134" s="246"/>
      <c r="Q134" s="247"/>
      <c r="R134" s="248"/>
      <c r="S134" s="169"/>
      <c r="T134" s="169"/>
      <c r="U134" s="169"/>
      <c r="V134" s="169"/>
      <c r="W134" s="169"/>
      <c r="X134" s="169"/>
      <c r="Y134" s="249"/>
      <c r="Z134" s="250"/>
      <c r="AA134" s="257"/>
      <c r="AB134" s="251"/>
      <c r="AC134" s="247"/>
      <c r="AD134" s="191"/>
      <c r="AF134" s="259"/>
      <c r="AG134" s="260"/>
      <c r="AH134" s="260"/>
      <c r="AI134" s="261"/>
      <c r="AJ134" s="260"/>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EG134" s="1"/>
      <c r="EH134" s="1"/>
      <c r="EI134" s="1"/>
      <c r="EJ134" s="1"/>
      <c r="EK134" s="1"/>
      <c r="EL134" s="1"/>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c r="GF134" s="1"/>
      <c r="GG134" s="1"/>
      <c r="GH134" s="1"/>
      <c r="GI134" s="1"/>
      <c r="GJ134" s="1"/>
      <c r="GK134" s="1"/>
      <c r="GL134" s="1"/>
      <c r="GM134" s="1"/>
      <c r="GN134" s="1"/>
      <c r="GO134" s="1"/>
      <c r="GP134" s="1"/>
      <c r="GQ134" s="1"/>
      <c r="GR134" s="1"/>
      <c r="GS134" s="1"/>
      <c r="GT134" s="1"/>
      <c r="GU134" s="1"/>
      <c r="GV134" s="1"/>
      <c r="GW134" s="1"/>
      <c r="GX134" s="1"/>
      <c r="GY134" s="1"/>
      <c r="GZ134" s="1"/>
      <c r="HA134" s="1"/>
      <c r="HB134" s="1"/>
      <c r="HC134" s="1"/>
      <c r="HD134" s="1"/>
      <c r="HE134" s="1"/>
      <c r="HF134" s="1"/>
      <c r="HG134" s="1"/>
      <c r="HH134" s="1"/>
      <c r="HI134" s="1"/>
      <c r="HJ134" s="1"/>
      <c r="HK134" s="1"/>
      <c r="HL134" s="1"/>
    </row>
    <row r="135" spans="1:220" s="258" customFormat="1" ht="17.100000000000001" customHeight="1" x14ac:dyDescent="0.25">
      <c r="A135"/>
      <c r="B135" s="234"/>
      <c r="C135" s="238"/>
      <c r="D135" s="235"/>
      <c r="E135" s="239"/>
      <c r="F135" s="240"/>
      <c r="G135" s="167"/>
      <c r="H135" s="241"/>
      <c r="I135" s="86"/>
      <c r="J135" s="169"/>
      <c r="K135" s="132"/>
      <c r="L135" s="242"/>
      <c r="M135" s="252"/>
      <c r="N135" s="244"/>
      <c r="O135" s="245"/>
      <c r="P135" s="246"/>
      <c r="Q135" s="247"/>
      <c r="R135" s="248"/>
      <c r="S135" s="169"/>
      <c r="T135" s="169"/>
      <c r="U135" s="169"/>
      <c r="V135" s="169"/>
      <c r="W135" s="169"/>
      <c r="X135" s="169"/>
      <c r="Y135" s="249"/>
      <c r="Z135" s="250"/>
      <c r="AA135" s="257"/>
      <c r="AB135" s="251"/>
      <c r="AC135" s="247"/>
      <c r="AD135" s="191"/>
      <c r="AF135" s="259"/>
      <c r="AG135" s="260"/>
      <c r="AH135" s="260"/>
      <c r="AI135" s="261"/>
      <c r="AJ135" s="260"/>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EG135" s="1"/>
      <c r="EH135" s="1"/>
      <c r="EI135" s="1"/>
      <c r="EJ135" s="1"/>
      <c r="EK135" s="1"/>
      <c r="EL135" s="1"/>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c r="GF135" s="1"/>
      <c r="GG135" s="1"/>
      <c r="GH135" s="1"/>
      <c r="GI135" s="1"/>
      <c r="GJ135" s="1"/>
      <c r="GK135" s="1"/>
      <c r="GL135" s="1"/>
      <c r="GM135" s="1"/>
      <c r="GN135" s="1"/>
      <c r="GO135" s="1"/>
      <c r="GP135" s="1"/>
      <c r="GQ135" s="1"/>
      <c r="GR135" s="1"/>
      <c r="GS135" s="1"/>
      <c r="GT135" s="1"/>
      <c r="GU135" s="1"/>
      <c r="GV135" s="1"/>
      <c r="GW135" s="1"/>
      <c r="GX135" s="1"/>
      <c r="GY135" s="1"/>
      <c r="GZ135" s="1"/>
      <c r="HA135" s="1"/>
      <c r="HB135" s="1"/>
      <c r="HC135" s="1"/>
      <c r="HD135" s="1"/>
      <c r="HE135" s="1"/>
      <c r="HF135" s="1"/>
      <c r="HG135" s="1"/>
      <c r="HH135" s="1"/>
      <c r="HI135" s="1"/>
      <c r="HJ135" s="1"/>
      <c r="HK135" s="1"/>
      <c r="HL135" s="1"/>
    </row>
    <row r="136" spans="1:220" s="258" customFormat="1" ht="17.100000000000001" customHeight="1" x14ac:dyDescent="0.25">
      <c r="A136"/>
      <c r="B136" s="234"/>
      <c r="C136" s="238"/>
      <c r="D136" s="235"/>
      <c r="E136" s="239"/>
      <c r="F136" s="240"/>
      <c r="G136" s="167"/>
      <c r="H136" s="241"/>
      <c r="I136" s="86"/>
      <c r="J136" s="169"/>
      <c r="K136" s="132"/>
      <c r="L136" s="242"/>
      <c r="M136" s="252"/>
      <c r="N136" s="244"/>
      <c r="O136" s="245"/>
      <c r="P136" s="246"/>
      <c r="Q136" s="247"/>
      <c r="R136" s="248"/>
      <c r="S136" s="169"/>
      <c r="T136" s="169"/>
      <c r="U136" s="169"/>
      <c r="V136" s="169"/>
      <c r="W136" s="169"/>
      <c r="X136" s="169"/>
      <c r="Y136" s="249"/>
      <c r="Z136" s="250"/>
      <c r="AA136" s="257"/>
      <c r="AB136" s="251"/>
      <c r="AC136" s="247"/>
      <c r="AD136" s="191"/>
      <c r="AF136" s="259"/>
      <c r="AG136" s="260"/>
      <c r="AH136" s="260"/>
      <c r="AI136" s="261"/>
      <c r="AJ136" s="260"/>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EG136" s="1"/>
      <c r="EH136" s="1"/>
      <c r="EI136" s="1"/>
      <c r="EJ136" s="1"/>
      <c r="EK136" s="1"/>
      <c r="EL136" s="1"/>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c r="GF136" s="1"/>
      <c r="GG136" s="1"/>
      <c r="GH136" s="1"/>
      <c r="GI136" s="1"/>
      <c r="GJ136" s="1"/>
      <c r="GK136" s="1"/>
      <c r="GL136" s="1"/>
      <c r="GM136" s="1"/>
      <c r="GN136" s="1"/>
      <c r="GO136" s="1"/>
      <c r="GP136" s="1"/>
      <c r="GQ136" s="1"/>
      <c r="GR136" s="1"/>
      <c r="GS136" s="1"/>
      <c r="GT136" s="1"/>
      <c r="GU136" s="1"/>
      <c r="GV136" s="1"/>
      <c r="GW136" s="1"/>
      <c r="GX136" s="1"/>
      <c r="GY136" s="1"/>
      <c r="GZ136" s="1"/>
      <c r="HA136" s="1"/>
      <c r="HB136" s="1"/>
      <c r="HC136" s="1"/>
      <c r="HD136" s="1"/>
      <c r="HE136" s="1"/>
      <c r="HF136" s="1"/>
      <c r="HG136" s="1"/>
      <c r="HH136" s="1"/>
      <c r="HI136" s="1"/>
      <c r="HJ136" s="1"/>
      <c r="HK136" s="1"/>
      <c r="HL136" s="1"/>
    </row>
    <row r="137" spans="1:220" s="258" customFormat="1" ht="17.100000000000001" customHeight="1" x14ac:dyDescent="0.25">
      <c r="A137"/>
      <c r="B137" s="234"/>
      <c r="C137" s="238"/>
      <c r="D137" s="235"/>
      <c r="E137" s="239"/>
      <c r="F137" s="240"/>
      <c r="G137" s="167"/>
      <c r="H137" s="241"/>
      <c r="I137" s="86"/>
      <c r="J137" s="169"/>
      <c r="K137" s="132"/>
      <c r="L137" s="242"/>
      <c r="M137" s="252"/>
      <c r="N137" s="244"/>
      <c r="O137" s="245"/>
      <c r="P137" s="246"/>
      <c r="Q137" s="247"/>
      <c r="R137" s="248"/>
      <c r="S137" s="169"/>
      <c r="T137" s="169"/>
      <c r="U137" s="169"/>
      <c r="V137" s="169"/>
      <c r="W137" s="169"/>
      <c r="X137" s="169"/>
      <c r="Y137" s="249"/>
      <c r="Z137" s="250"/>
      <c r="AA137" s="257"/>
      <c r="AB137" s="251"/>
      <c r="AC137" s="247"/>
      <c r="AD137" s="191"/>
      <c r="AF137" s="259"/>
      <c r="AG137" s="260"/>
      <c r="AH137" s="260"/>
      <c r="AI137" s="261"/>
      <c r="AJ137" s="260"/>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EG137" s="1"/>
      <c r="EH137" s="1"/>
      <c r="EI137" s="1"/>
      <c r="EJ137" s="1"/>
      <c r="EK137" s="1"/>
      <c r="EL137" s="1"/>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c r="GF137" s="1"/>
      <c r="GG137" s="1"/>
      <c r="GH137" s="1"/>
      <c r="GI137" s="1"/>
      <c r="GJ137" s="1"/>
      <c r="GK137" s="1"/>
      <c r="GL137" s="1"/>
      <c r="GM137" s="1"/>
      <c r="GN137" s="1"/>
      <c r="GO137" s="1"/>
      <c r="GP137" s="1"/>
      <c r="GQ137" s="1"/>
      <c r="GR137" s="1"/>
      <c r="GS137" s="1"/>
      <c r="GT137" s="1"/>
      <c r="GU137" s="1"/>
      <c r="GV137" s="1"/>
      <c r="GW137" s="1"/>
      <c r="GX137" s="1"/>
      <c r="GY137" s="1"/>
      <c r="GZ137" s="1"/>
      <c r="HA137" s="1"/>
      <c r="HB137" s="1"/>
      <c r="HC137" s="1"/>
      <c r="HD137" s="1"/>
      <c r="HE137" s="1"/>
      <c r="HF137" s="1"/>
      <c r="HG137" s="1"/>
      <c r="HH137" s="1"/>
      <c r="HI137" s="1"/>
      <c r="HJ137" s="1"/>
      <c r="HK137" s="1"/>
      <c r="HL137" s="1"/>
    </row>
    <row r="138" spans="1:220" s="258" customFormat="1" ht="17.100000000000001" customHeight="1" x14ac:dyDescent="0.25">
      <c r="A138"/>
      <c r="B138" s="234"/>
      <c r="C138" s="238"/>
      <c r="D138" s="235"/>
      <c r="E138" s="239"/>
      <c r="F138" s="240"/>
      <c r="G138" s="167"/>
      <c r="H138" s="241"/>
      <c r="I138" s="86"/>
      <c r="J138" s="169"/>
      <c r="K138" s="132"/>
      <c r="L138" s="242"/>
      <c r="M138" s="252"/>
      <c r="N138" s="244"/>
      <c r="O138" s="245"/>
      <c r="P138" s="246"/>
      <c r="Q138" s="247"/>
      <c r="R138" s="248"/>
      <c r="S138" s="169"/>
      <c r="T138" s="169"/>
      <c r="U138" s="169"/>
      <c r="V138" s="169"/>
      <c r="W138" s="169"/>
      <c r="X138" s="169"/>
      <c r="Y138" s="249"/>
      <c r="Z138" s="250"/>
      <c r="AA138" s="257"/>
      <c r="AB138" s="251"/>
      <c r="AC138" s="247"/>
      <c r="AD138" s="191"/>
      <c r="AF138" s="259"/>
      <c r="AG138" s="260"/>
      <c r="AH138" s="260"/>
      <c r="AI138" s="261"/>
      <c r="AJ138" s="260"/>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EG138" s="1"/>
      <c r="EH138" s="1"/>
      <c r="EI138" s="1"/>
      <c r="EJ138" s="1"/>
      <c r="EK138" s="1"/>
      <c r="EL138" s="1"/>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c r="GF138" s="1"/>
      <c r="GG138" s="1"/>
      <c r="GH138" s="1"/>
      <c r="GI138" s="1"/>
      <c r="GJ138" s="1"/>
      <c r="GK138" s="1"/>
      <c r="GL138" s="1"/>
      <c r="GM138" s="1"/>
      <c r="GN138" s="1"/>
      <c r="GO138" s="1"/>
      <c r="GP138" s="1"/>
      <c r="GQ138" s="1"/>
      <c r="GR138" s="1"/>
      <c r="GS138" s="1"/>
      <c r="GT138" s="1"/>
      <c r="GU138" s="1"/>
      <c r="GV138" s="1"/>
      <c r="GW138" s="1"/>
      <c r="GX138" s="1"/>
      <c r="GY138" s="1"/>
      <c r="GZ138" s="1"/>
      <c r="HA138" s="1"/>
      <c r="HB138" s="1"/>
      <c r="HC138" s="1"/>
      <c r="HD138" s="1"/>
      <c r="HE138" s="1"/>
      <c r="HF138" s="1"/>
      <c r="HG138" s="1"/>
      <c r="HH138" s="1"/>
      <c r="HI138" s="1"/>
      <c r="HJ138" s="1"/>
      <c r="HK138" s="1"/>
      <c r="HL138" s="1"/>
    </row>
    <row r="139" spans="1:220" s="258" customFormat="1" ht="17.100000000000001" customHeight="1" x14ac:dyDescent="0.25">
      <c r="A139"/>
      <c r="B139" s="234"/>
      <c r="C139" s="238"/>
      <c r="D139" s="235"/>
      <c r="E139" s="239"/>
      <c r="F139" s="240"/>
      <c r="G139" s="167"/>
      <c r="H139" s="241"/>
      <c r="I139" s="86"/>
      <c r="J139" s="169"/>
      <c r="K139" s="132"/>
      <c r="L139" s="242"/>
      <c r="M139" s="252"/>
      <c r="N139" s="244"/>
      <c r="O139" s="245"/>
      <c r="P139" s="246"/>
      <c r="Q139" s="247"/>
      <c r="R139" s="248"/>
      <c r="S139" s="169"/>
      <c r="T139" s="169"/>
      <c r="U139" s="169"/>
      <c r="V139" s="169"/>
      <c r="W139" s="169"/>
      <c r="X139" s="169"/>
      <c r="Y139" s="249"/>
      <c r="Z139" s="250"/>
      <c r="AA139" s="257"/>
      <c r="AB139" s="251"/>
      <c r="AC139" s="247"/>
      <c r="AD139" s="191"/>
      <c r="AF139" s="259"/>
      <c r="AG139" s="260"/>
      <c r="AH139" s="260"/>
      <c r="AI139" s="261"/>
      <c r="AJ139" s="260"/>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EG139" s="1"/>
      <c r="EH139" s="1"/>
      <c r="EI139" s="1"/>
      <c r="EJ139" s="1"/>
      <c r="EK139" s="1"/>
      <c r="EL139" s="1"/>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c r="GF139" s="1"/>
      <c r="GG139" s="1"/>
      <c r="GH139" s="1"/>
      <c r="GI139" s="1"/>
      <c r="GJ139" s="1"/>
      <c r="GK139" s="1"/>
      <c r="GL139" s="1"/>
      <c r="GM139" s="1"/>
      <c r="GN139" s="1"/>
      <c r="GO139" s="1"/>
      <c r="GP139" s="1"/>
      <c r="GQ139" s="1"/>
      <c r="GR139" s="1"/>
      <c r="GS139" s="1"/>
      <c r="GT139" s="1"/>
      <c r="GU139" s="1"/>
      <c r="GV139" s="1"/>
      <c r="GW139" s="1"/>
      <c r="GX139" s="1"/>
      <c r="GY139" s="1"/>
      <c r="GZ139" s="1"/>
      <c r="HA139" s="1"/>
      <c r="HB139" s="1"/>
      <c r="HC139" s="1"/>
      <c r="HD139" s="1"/>
      <c r="HE139" s="1"/>
      <c r="HF139" s="1"/>
      <c r="HG139" s="1"/>
      <c r="HH139" s="1"/>
      <c r="HI139" s="1"/>
      <c r="HJ139" s="1"/>
      <c r="HK139" s="1"/>
      <c r="HL139" s="1"/>
    </row>
    <row r="140" spans="1:220" s="258" customFormat="1" ht="17.100000000000001" customHeight="1" x14ac:dyDescent="0.25">
      <c r="A140"/>
      <c r="B140" s="234"/>
      <c r="C140" s="238"/>
      <c r="D140" s="235"/>
      <c r="E140" s="239"/>
      <c r="F140" s="240"/>
      <c r="G140" s="167"/>
      <c r="H140" s="241"/>
      <c r="I140" s="86"/>
      <c r="J140" s="169"/>
      <c r="K140" s="132"/>
      <c r="L140" s="242"/>
      <c r="M140" s="252"/>
      <c r="N140" s="244"/>
      <c r="O140" s="245"/>
      <c r="P140" s="246"/>
      <c r="Q140" s="247"/>
      <c r="R140" s="248"/>
      <c r="S140" s="169"/>
      <c r="T140" s="169"/>
      <c r="U140" s="169"/>
      <c r="V140" s="169"/>
      <c r="W140" s="169"/>
      <c r="X140" s="169"/>
      <c r="Y140" s="249"/>
      <c r="Z140" s="250"/>
      <c r="AA140" s="257"/>
      <c r="AB140" s="251"/>
      <c r="AC140" s="247"/>
      <c r="AD140" s="191"/>
      <c r="AF140" s="259"/>
      <c r="AG140" s="260"/>
      <c r="AH140" s="260"/>
      <c r="AI140" s="261"/>
      <c r="AJ140" s="260"/>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EG140" s="1"/>
      <c r="EH140" s="1"/>
      <c r="EI140" s="1"/>
      <c r="EJ140" s="1"/>
      <c r="EK140" s="1"/>
      <c r="EL140" s="1"/>
      <c r="EM140" s="1"/>
      <c r="EN140" s="1"/>
      <c r="EO140" s="1"/>
      <c r="EP140" s="1"/>
      <c r="EQ140" s="1"/>
      <c r="ER140" s="1"/>
      <c r="ES140" s="1"/>
      <c r="ET140" s="1"/>
      <c r="EU140" s="1"/>
      <c r="EV140" s="1"/>
      <c r="EW140" s="1"/>
      <c r="EX140" s="1"/>
      <c r="EY140" s="1"/>
      <c r="EZ140" s="1"/>
      <c r="FA140" s="1"/>
      <c r="FB140" s="1"/>
      <c r="FC140" s="1"/>
      <c r="FD140" s="1"/>
      <c r="FE140" s="1"/>
      <c r="FF140" s="1"/>
      <c r="FG140" s="1"/>
      <c r="FH140" s="1"/>
      <c r="FI140" s="1"/>
      <c r="FJ140" s="1"/>
      <c r="FK140" s="1"/>
      <c r="FL140" s="1"/>
      <c r="FM140" s="1"/>
      <c r="FN140" s="1"/>
      <c r="FO140" s="1"/>
      <c r="FP140" s="1"/>
      <c r="FQ140" s="1"/>
      <c r="FR140" s="1"/>
      <c r="FS140" s="1"/>
      <c r="FT140" s="1"/>
      <c r="FU140" s="1"/>
      <c r="FV140" s="1"/>
      <c r="FW140" s="1"/>
      <c r="FX140" s="1"/>
      <c r="FY140" s="1"/>
      <c r="FZ140" s="1"/>
      <c r="GA140" s="1"/>
      <c r="GB140" s="1"/>
      <c r="GC140" s="1"/>
      <c r="GD140" s="1"/>
      <c r="GE140" s="1"/>
      <c r="GF140" s="1"/>
      <c r="GG140" s="1"/>
      <c r="GH140" s="1"/>
      <c r="GI140" s="1"/>
      <c r="GJ140" s="1"/>
      <c r="GK140" s="1"/>
      <c r="GL140" s="1"/>
      <c r="GM140" s="1"/>
      <c r="GN140" s="1"/>
      <c r="GO140" s="1"/>
      <c r="GP140" s="1"/>
      <c r="GQ140" s="1"/>
      <c r="GR140" s="1"/>
      <c r="GS140" s="1"/>
      <c r="GT140" s="1"/>
      <c r="GU140" s="1"/>
      <c r="GV140" s="1"/>
      <c r="GW140" s="1"/>
      <c r="GX140" s="1"/>
      <c r="GY140" s="1"/>
      <c r="GZ140" s="1"/>
      <c r="HA140" s="1"/>
      <c r="HB140" s="1"/>
      <c r="HC140" s="1"/>
      <c r="HD140" s="1"/>
      <c r="HE140" s="1"/>
      <c r="HF140" s="1"/>
      <c r="HG140" s="1"/>
      <c r="HH140" s="1"/>
      <c r="HI140" s="1"/>
      <c r="HJ140" s="1"/>
      <c r="HK140" s="1"/>
      <c r="HL140" s="1"/>
    </row>
    <row r="141" spans="1:220" s="258" customFormat="1" ht="17.100000000000001" customHeight="1" x14ac:dyDescent="0.25">
      <c r="A141"/>
      <c r="B141" s="234"/>
      <c r="C141" s="238"/>
      <c r="D141" s="235"/>
      <c r="E141" s="239"/>
      <c r="F141" s="240"/>
      <c r="G141" s="167"/>
      <c r="H141" s="241"/>
      <c r="I141" s="86"/>
      <c r="J141" s="169"/>
      <c r="K141" s="132"/>
      <c r="L141" s="242"/>
      <c r="M141" s="252"/>
      <c r="N141" s="244"/>
      <c r="O141" s="245"/>
      <c r="P141" s="246"/>
      <c r="Q141" s="247"/>
      <c r="R141" s="248"/>
      <c r="S141" s="169"/>
      <c r="T141" s="169"/>
      <c r="U141" s="169"/>
      <c r="V141" s="169"/>
      <c r="W141" s="169"/>
      <c r="X141" s="169"/>
      <c r="Y141" s="249"/>
      <c r="Z141" s="250"/>
      <c r="AA141" s="257"/>
      <c r="AB141" s="251"/>
      <c r="AC141" s="247"/>
      <c r="AD141" s="191"/>
      <c r="AF141" s="259"/>
      <c r="AG141" s="260"/>
      <c r="AH141" s="260"/>
      <c r="AI141" s="261"/>
      <c r="AJ141" s="260"/>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EG141" s="1"/>
      <c r="EH141" s="1"/>
      <c r="EI141" s="1"/>
      <c r="EJ141" s="1"/>
      <c r="EK141" s="1"/>
      <c r="EL141" s="1"/>
      <c r="EM141" s="1"/>
      <c r="EN141" s="1"/>
      <c r="EO141" s="1"/>
      <c r="EP141" s="1"/>
      <c r="EQ141" s="1"/>
      <c r="ER141" s="1"/>
      <c r="ES141" s="1"/>
      <c r="ET141" s="1"/>
      <c r="EU141" s="1"/>
      <c r="EV141" s="1"/>
      <c r="EW141" s="1"/>
      <c r="EX141" s="1"/>
      <c r="EY141" s="1"/>
      <c r="EZ141" s="1"/>
      <c r="FA141" s="1"/>
      <c r="FB141" s="1"/>
      <c r="FC141" s="1"/>
      <c r="FD141" s="1"/>
      <c r="FE141" s="1"/>
      <c r="FF141" s="1"/>
      <c r="FG141" s="1"/>
      <c r="FH141" s="1"/>
      <c r="FI141" s="1"/>
      <c r="FJ141" s="1"/>
      <c r="FK141" s="1"/>
      <c r="FL141" s="1"/>
      <c r="FM141" s="1"/>
      <c r="FN141" s="1"/>
      <c r="FO141" s="1"/>
      <c r="FP141" s="1"/>
      <c r="FQ141" s="1"/>
      <c r="FR141" s="1"/>
      <c r="FS141" s="1"/>
      <c r="FT141" s="1"/>
      <c r="FU141" s="1"/>
      <c r="FV141" s="1"/>
      <c r="FW141" s="1"/>
      <c r="FX141" s="1"/>
      <c r="FY141" s="1"/>
      <c r="FZ141" s="1"/>
      <c r="GA141" s="1"/>
      <c r="GB141" s="1"/>
      <c r="GC141" s="1"/>
      <c r="GD141" s="1"/>
      <c r="GE141" s="1"/>
      <c r="GF141" s="1"/>
      <c r="GG141" s="1"/>
      <c r="GH141" s="1"/>
      <c r="GI141" s="1"/>
      <c r="GJ141" s="1"/>
      <c r="GK141" s="1"/>
      <c r="GL141" s="1"/>
      <c r="GM141" s="1"/>
      <c r="GN141" s="1"/>
      <c r="GO141" s="1"/>
      <c r="GP141" s="1"/>
      <c r="GQ141" s="1"/>
      <c r="GR141" s="1"/>
      <c r="GS141" s="1"/>
      <c r="GT141" s="1"/>
      <c r="GU141" s="1"/>
      <c r="GV141" s="1"/>
      <c r="GW141" s="1"/>
      <c r="GX141" s="1"/>
      <c r="GY141" s="1"/>
      <c r="GZ141" s="1"/>
      <c r="HA141" s="1"/>
      <c r="HB141" s="1"/>
      <c r="HC141" s="1"/>
      <c r="HD141" s="1"/>
      <c r="HE141" s="1"/>
      <c r="HF141" s="1"/>
      <c r="HG141" s="1"/>
      <c r="HH141" s="1"/>
      <c r="HI141" s="1"/>
      <c r="HJ141" s="1"/>
      <c r="HK141" s="1"/>
      <c r="HL141" s="1"/>
    </row>
    <row r="142" spans="1:220" s="258" customFormat="1" ht="17.100000000000001" customHeight="1" x14ac:dyDescent="0.25">
      <c r="A142"/>
      <c r="B142" s="234"/>
      <c r="C142" s="238"/>
      <c r="D142" s="235"/>
      <c r="E142" s="239"/>
      <c r="F142" s="240"/>
      <c r="G142" s="167"/>
      <c r="H142" s="241"/>
      <c r="I142" s="86"/>
      <c r="J142" s="169"/>
      <c r="K142" s="132"/>
      <c r="L142" s="242"/>
      <c r="M142" s="252"/>
      <c r="N142" s="244"/>
      <c r="O142" s="245"/>
      <c r="P142" s="246"/>
      <c r="Q142" s="247"/>
      <c r="R142" s="248"/>
      <c r="S142" s="169"/>
      <c r="T142" s="169"/>
      <c r="U142" s="169"/>
      <c r="V142" s="169"/>
      <c r="W142" s="169"/>
      <c r="X142" s="169"/>
      <c r="Y142" s="249"/>
      <c r="Z142" s="250"/>
      <c r="AA142" s="257"/>
      <c r="AB142" s="251"/>
      <c r="AC142" s="247"/>
      <c r="AD142" s="191"/>
      <c r="AF142" s="259"/>
      <c r="AG142" s="260"/>
      <c r="AH142" s="260"/>
      <c r="AI142" s="261"/>
      <c r="AJ142" s="260"/>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EG142" s="1"/>
      <c r="EH142" s="1"/>
      <c r="EI142" s="1"/>
      <c r="EJ142" s="1"/>
      <c r="EK142" s="1"/>
      <c r="EL142" s="1"/>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c r="GF142" s="1"/>
      <c r="GG142" s="1"/>
      <c r="GH142" s="1"/>
      <c r="GI142" s="1"/>
      <c r="GJ142" s="1"/>
      <c r="GK142" s="1"/>
      <c r="GL142" s="1"/>
      <c r="GM142" s="1"/>
      <c r="GN142" s="1"/>
      <c r="GO142" s="1"/>
      <c r="GP142" s="1"/>
      <c r="GQ142" s="1"/>
      <c r="GR142" s="1"/>
      <c r="GS142" s="1"/>
      <c r="GT142" s="1"/>
      <c r="GU142" s="1"/>
      <c r="GV142" s="1"/>
      <c r="GW142" s="1"/>
      <c r="GX142" s="1"/>
      <c r="GY142" s="1"/>
      <c r="GZ142" s="1"/>
      <c r="HA142" s="1"/>
      <c r="HB142" s="1"/>
      <c r="HC142" s="1"/>
      <c r="HD142" s="1"/>
      <c r="HE142" s="1"/>
      <c r="HF142" s="1"/>
      <c r="HG142" s="1"/>
      <c r="HH142" s="1"/>
      <c r="HI142" s="1"/>
      <c r="HJ142" s="1"/>
      <c r="HK142" s="1"/>
      <c r="HL142" s="1"/>
    </row>
    <row r="143" spans="1:220" s="258" customFormat="1" ht="17.100000000000001" customHeight="1" x14ac:dyDescent="0.25">
      <c r="A143"/>
      <c r="B143" s="234"/>
      <c r="C143" s="238"/>
      <c r="D143" s="235"/>
      <c r="E143" s="239"/>
      <c r="F143" s="240"/>
      <c r="G143" s="167"/>
      <c r="H143" s="241"/>
      <c r="I143" s="86"/>
      <c r="J143" s="169"/>
      <c r="K143" s="132"/>
      <c r="L143" s="242"/>
      <c r="M143" s="252"/>
      <c r="N143" s="244"/>
      <c r="O143" s="245"/>
      <c r="P143" s="246"/>
      <c r="Q143" s="247"/>
      <c r="R143" s="248"/>
      <c r="S143" s="169"/>
      <c r="T143" s="169"/>
      <c r="U143" s="169"/>
      <c r="V143" s="169"/>
      <c r="W143" s="169"/>
      <c r="X143" s="169"/>
      <c r="Y143" s="249"/>
      <c r="Z143" s="250"/>
      <c r="AA143" s="257"/>
      <c r="AB143" s="251"/>
      <c r="AC143" s="247"/>
      <c r="AD143" s="191"/>
      <c r="AF143" s="259"/>
      <c r="AG143" s="260"/>
      <c r="AH143" s="260"/>
      <c r="AI143" s="261"/>
      <c r="AJ143" s="260"/>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EG143" s="1"/>
      <c r="EH143" s="1"/>
      <c r="EI143" s="1"/>
      <c r="EJ143" s="1"/>
      <c r="EK143" s="1"/>
      <c r="EL143" s="1"/>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c r="GF143" s="1"/>
      <c r="GG143" s="1"/>
      <c r="GH143" s="1"/>
      <c r="GI143" s="1"/>
      <c r="GJ143" s="1"/>
      <c r="GK143" s="1"/>
      <c r="GL143" s="1"/>
      <c r="GM143" s="1"/>
      <c r="GN143" s="1"/>
      <c r="GO143" s="1"/>
      <c r="GP143" s="1"/>
      <c r="GQ143" s="1"/>
      <c r="GR143" s="1"/>
      <c r="GS143" s="1"/>
      <c r="GT143" s="1"/>
      <c r="GU143" s="1"/>
      <c r="GV143" s="1"/>
      <c r="GW143" s="1"/>
      <c r="GX143" s="1"/>
      <c r="GY143" s="1"/>
      <c r="GZ143" s="1"/>
      <c r="HA143" s="1"/>
      <c r="HB143" s="1"/>
      <c r="HC143" s="1"/>
      <c r="HD143" s="1"/>
      <c r="HE143" s="1"/>
      <c r="HF143" s="1"/>
      <c r="HG143" s="1"/>
      <c r="HH143" s="1"/>
      <c r="HI143" s="1"/>
      <c r="HJ143" s="1"/>
      <c r="HK143" s="1"/>
      <c r="HL143" s="1"/>
    </row>
    <row r="144" spans="1:220" s="258" customFormat="1" ht="17.100000000000001" customHeight="1" x14ac:dyDescent="0.25">
      <c r="A144"/>
      <c r="B144" s="234"/>
      <c r="C144" s="238"/>
      <c r="D144" s="235"/>
      <c r="E144" s="239"/>
      <c r="F144" s="240"/>
      <c r="G144" s="167"/>
      <c r="H144" s="241"/>
      <c r="I144" s="86"/>
      <c r="J144" s="169"/>
      <c r="K144" s="132"/>
      <c r="L144" s="242"/>
      <c r="M144" s="252"/>
      <c r="N144" s="244"/>
      <c r="O144" s="245"/>
      <c r="P144" s="246"/>
      <c r="Q144" s="247"/>
      <c r="R144" s="248"/>
      <c r="S144" s="169"/>
      <c r="T144" s="169"/>
      <c r="U144" s="169"/>
      <c r="V144" s="169"/>
      <c r="W144" s="169"/>
      <c r="X144" s="169"/>
      <c r="Y144" s="249"/>
      <c r="Z144" s="250"/>
      <c r="AA144" s="257"/>
      <c r="AB144" s="251"/>
      <c r="AC144" s="247"/>
      <c r="AD144" s="191"/>
      <c r="AF144" s="259"/>
      <c r="AG144" s="260"/>
      <c r="AH144" s="260"/>
      <c r="AI144" s="261"/>
      <c r="AJ144" s="260"/>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EG144" s="1"/>
      <c r="EH144" s="1"/>
      <c r="EI144" s="1"/>
      <c r="EJ144" s="1"/>
      <c r="EK144" s="1"/>
      <c r="EL144" s="1"/>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c r="GF144" s="1"/>
      <c r="GG144" s="1"/>
      <c r="GH144" s="1"/>
      <c r="GI144" s="1"/>
      <c r="GJ144" s="1"/>
      <c r="GK144" s="1"/>
      <c r="GL144" s="1"/>
      <c r="GM144" s="1"/>
      <c r="GN144" s="1"/>
      <c r="GO144" s="1"/>
      <c r="GP144" s="1"/>
      <c r="GQ144" s="1"/>
      <c r="GR144" s="1"/>
      <c r="GS144" s="1"/>
      <c r="GT144" s="1"/>
      <c r="GU144" s="1"/>
      <c r="GV144" s="1"/>
      <c r="GW144" s="1"/>
      <c r="GX144" s="1"/>
      <c r="GY144" s="1"/>
      <c r="GZ144" s="1"/>
      <c r="HA144" s="1"/>
      <c r="HB144" s="1"/>
      <c r="HC144" s="1"/>
      <c r="HD144" s="1"/>
      <c r="HE144" s="1"/>
      <c r="HF144" s="1"/>
      <c r="HG144" s="1"/>
      <c r="HH144" s="1"/>
      <c r="HI144" s="1"/>
      <c r="HJ144" s="1"/>
      <c r="HK144" s="1"/>
      <c r="HL144" s="1"/>
    </row>
    <row r="145" spans="1:220" s="258" customFormat="1" ht="17.100000000000001" customHeight="1" x14ac:dyDescent="0.25">
      <c r="A145"/>
      <c r="B145" s="234"/>
      <c r="C145" s="238"/>
      <c r="D145" s="235"/>
      <c r="E145" s="239"/>
      <c r="F145" s="240"/>
      <c r="G145" s="167"/>
      <c r="H145" s="241"/>
      <c r="I145" s="86"/>
      <c r="J145" s="169"/>
      <c r="K145" s="132"/>
      <c r="L145" s="242"/>
      <c r="M145" s="252"/>
      <c r="N145" s="244"/>
      <c r="O145" s="245"/>
      <c r="P145" s="246"/>
      <c r="Q145" s="247"/>
      <c r="R145" s="248"/>
      <c r="S145" s="169"/>
      <c r="T145" s="169"/>
      <c r="U145" s="169"/>
      <c r="V145" s="169"/>
      <c r="W145" s="169"/>
      <c r="X145" s="169"/>
      <c r="Y145" s="249"/>
      <c r="Z145" s="250"/>
      <c r="AA145" s="257"/>
      <c r="AB145" s="251"/>
      <c r="AC145" s="247"/>
      <c r="AD145" s="191"/>
      <c r="AF145" s="259"/>
      <c r="AG145" s="260"/>
      <c r="AH145" s="260"/>
      <c r="AI145" s="261"/>
      <c r="AJ145" s="260"/>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EG145" s="1"/>
      <c r="EH145" s="1"/>
      <c r="EI145" s="1"/>
      <c r="EJ145" s="1"/>
      <c r="EK145" s="1"/>
      <c r="EL145" s="1"/>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c r="GF145" s="1"/>
      <c r="GG145" s="1"/>
      <c r="GH145" s="1"/>
      <c r="GI145" s="1"/>
      <c r="GJ145" s="1"/>
      <c r="GK145" s="1"/>
      <c r="GL145" s="1"/>
      <c r="GM145" s="1"/>
      <c r="GN145" s="1"/>
      <c r="GO145" s="1"/>
      <c r="GP145" s="1"/>
      <c r="GQ145" s="1"/>
      <c r="GR145" s="1"/>
      <c r="GS145" s="1"/>
      <c r="GT145" s="1"/>
      <c r="GU145" s="1"/>
      <c r="GV145" s="1"/>
      <c r="GW145" s="1"/>
      <c r="GX145" s="1"/>
      <c r="GY145" s="1"/>
      <c r="GZ145" s="1"/>
      <c r="HA145" s="1"/>
      <c r="HB145" s="1"/>
      <c r="HC145" s="1"/>
      <c r="HD145" s="1"/>
      <c r="HE145" s="1"/>
      <c r="HF145" s="1"/>
      <c r="HG145" s="1"/>
      <c r="HH145" s="1"/>
      <c r="HI145" s="1"/>
      <c r="HJ145" s="1"/>
      <c r="HK145" s="1"/>
      <c r="HL145" s="1"/>
    </row>
    <row r="146" spans="1:220" s="258" customFormat="1" ht="17.100000000000001" customHeight="1" x14ac:dyDescent="0.25">
      <c r="A146"/>
      <c r="B146" s="234"/>
      <c r="C146" s="238"/>
      <c r="D146" s="235"/>
      <c r="E146" s="239"/>
      <c r="F146" s="240"/>
      <c r="G146" s="167"/>
      <c r="H146" s="241"/>
      <c r="I146" s="86"/>
      <c r="J146" s="169"/>
      <c r="K146" s="132"/>
      <c r="L146" s="242"/>
      <c r="M146" s="252"/>
      <c r="N146" s="244"/>
      <c r="O146" s="245"/>
      <c r="P146" s="246"/>
      <c r="Q146" s="247"/>
      <c r="R146" s="248"/>
      <c r="S146" s="169"/>
      <c r="T146" s="169"/>
      <c r="U146" s="169"/>
      <c r="V146" s="169"/>
      <c r="W146" s="169"/>
      <c r="X146" s="169"/>
      <c r="Y146" s="249"/>
      <c r="Z146" s="250"/>
      <c r="AA146" s="257"/>
      <c r="AB146" s="251"/>
      <c r="AC146" s="247"/>
      <c r="AD146" s="191"/>
      <c r="AF146" s="259"/>
      <c r="AG146" s="260"/>
      <c r="AH146" s="260"/>
      <c r="AI146" s="261"/>
      <c r="AJ146" s="260"/>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EG146" s="1"/>
      <c r="EH146" s="1"/>
      <c r="EI146" s="1"/>
      <c r="EJ146" s="1"/>
      <c r="EK146" s="1"/>
      <c r="EL146" s="1"/>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c r="GF146" s="1"/>
      <c r="GG146" s="1"/>
      <c r="GH146" s="1"/>
      <c r="GI146" s="1"/>
      <c r="GJ146" s="1"/>
      <c r="GK146" s="1"/>
      <c r="GL146" s="1"/>
      <c r="GM146" s="1"/>
      <c r="GN146" s="1"/>
      <c r="GO146" s="1"/>
      <c r="GP146" s="1"/>
      <c r="GQ146" s="1"/>
      <c r="GR146" s="1"/>
      <c r="GS146" s="1"/>
      <c r="GT146" s="1"/>
      <c r="GU146" s="1"/>
      <c r="GV146" s="1"/>
      <c r="GW146" s="1"/>
      <c r="GX146" s="1"/>
      <c r="GY146" s="1"/>
      <c r="GZ146" s="1"/>
      <c r="HA146" s="1"/>
      <c r="HB146" s="1"/>
      <c r="HC146" s="1"/>
      <c r="HD146" s="1"/>
      <c r="HE146" s="1"/>
      <c r="HF146" s="1"/>
      <c r="HG146" s="1"/>
      <c r="HH146" s="1"/>
      <c r="HI146" s="1"/>
      <c r="HJ146" s="1"/>
      <c r="HK146" s="1"/>
      <c r="HL146" s="1"/>
    </row>
    <row r="147" spans="1:220" s="258" customFormat="1" ht="17.100000000000001" customHeight="1" x14ac:dyDescent="0.25">
      <c r="A147"/>
      <c r="B147" s="234"/>
      <c r="C147" s="238"/>
      <c r="D147" s="235"/>
      <c r="E147" s="239"/>
      <c r="F147" s="240"/>
      <c r="G147" s="167"/>
      <c r="H147" s="241"/>
      <c r="I147" s="86"/>
      <c r="J147" s="169"/>
      <c r="K147" s="132"/>
      <c r="L147" s="242"/>
      <c r="M147" s="252"/>
      <c r="N147" s="244"/>
      <c r="O147" s="245"/>
      <c r="P147" s="246"/>
      <c r="Q147" s="247"/>
      <c r="R147" s="248"/>
      <c r="S147" s="169"/>
      <c r="T147" s="169"/>
      <c r="U147" s="169"/>
      <c r="V147" s="169"/>
      <c r="W147" s="169"/>
      <c r="X147" s="169"/>
      <c r="Y147" s="249"/>
      <c r="Z147" s="250"/>
      <c r="AA147" s="257"/>
      <c r="AB147" s="251"/>
      <c r="AC147" s="247"/>
      <c r="AD147" s="191"/>
      <c r="AF147" s="259"/>
      <c r="AG147" s="260"/>
      <c r="AH147" s="260"/>
      <c r="AI147" s="261"/>
      <c r="AJ147" s="260"/>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EG147" s="1"/>
      <c r="EH147" s="1"/>
      <c r="EI147" s="1"/>
      <c r="EJ147" s="1"/>
      <c r="EK147" s="1"/>
      <c r="EL147" s="1"/>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c r="GF147" s="1"/>
      <c r="GG147" s="1"/>
      <c r="GH147" s="1"/>
      <c r="GI147" s="1"/>
      <c r="GJ147" s="1"/>
      <c r="GK147" s="1"/>
      <c r="GL147" s="1"/>
      <c r="GM147" s="1"/>
      <c r="GN147" s="1"/>
      <c r="GO147" s="1"/>
      <c r="GP147" s="1"/>
      <c r="GQ147" s="1"/>
      <c r="GR147" s="1"/>
      <c r="GS147" s="1"/>
      <c r="GT147" s="1"/>
      <c r="GU147" s="1"/>
      <c r="GV147" s="1"/>
      <c r="GW147" s="1"/>
      <c r="GX147" s="1"/>
      <c r="GY147" s="1"/>
      <c r="GZ147" s="1"/>
      <c r="HA147" s="1"/>
      <c r="HB147" s="1"/>
      <c r="HC147" s="1"/>
      <c r="HD147" s="1"/>
      <c r="HE147" s="1"/>
      <c r="HF147" s="1"/>
      <c r="HG147" s="1"/>
      <c r="HH147" s="1"/>
      <c r="HI147" s="1"/>
      <c r="HJ147" s="1"/>
      <c r="HK147" s="1"/>
      <c r="HL147" s="1"/>
    </row>
    <row r="148" spans="1:220" s="258" customFormat="1" ht="17.100000000000001" customHeight="1" x14ac:dyDescent="0.25">
      <c r="A148"/>
      <c r="B148" s="234"/>
      <c r="C148" s="238"/>
      <c r="D148" s="235"/>
      <c r="E148" s="239"/>
      <c r="F148" s="240"/>
      <c r="G148" s="167"/>
      <c r="H148" s="241"/>
      <c r="I148" s="86"/>
      <c r="J148" s="169"/>
      <c r="K148" s="132"/>
      <c r="L148" s="242"/>
      <c r="M148" s="252"/>
      <c r="N148" s="244"/>
      <c r="O148" s="245"/>
      <c r="P148" s="246"/>
      <c r="Q148" s="247"/>
      <c r="R148" s="248"/>
      <c r="S148" s="169"/>
      <c r="T148" s="169"/>
      <c r="U148" s="169"/>
      <c r="V148" s="169"/>
      <c r="W148" s="169"/>
      <c r="X148" s="169"/>
      <c r="Y148" s="249"/>
      <c r="Z148" s="250"/>
      <c r="AA148" s="257"/>
      <c r="AB148" s="251"/>
      <c r="AC148" s="247"/>
      <c r="AD148" s="191"/>
      <c r="AF148" s="259"/>
      <c r="AG148" s="260"/>
      <c r="AH148" s="260"/>
      <c r="AI148" s="261"/>
      <c r="AJ148" s="260"/>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EG148" s="1"/>
      <c r="EH148" s="1"/>
      <c r="EI148" s="1"/>
      <c r="EJ148" s="1"/>
      <c r="EK148" s="1"/>
      <c r="EL148" s="1"/>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c r="GF148" s="1"/>
      <c r="GG148" s="1"/>
      <c r="GH148" s="1"/>
      <c r="GI148" s="1"/>
      <c r="GJ148" s="1"/>
      <c r="GK148" s="1"/>
      <c r="GL148" s="1"/>
      <c r="GM148" s="1"/>
      <c r="GN148" s="1"/>
      <c r="GO148" s="1"/>
      <c r="GP148" s="1"/>
      <c r="GQ148" s="1"/>
      <c r="GR148" s="1"/>
      <c r="GS148" s="1"/>
      <c r="GT148" s="1"/>
      <c r="GU148" s="1"/>
      <c r="GV148" s="1"/>
      <c r="GW148" s="1"/>
      <c r="GX148" s="1"/>
      <c r="GY148" s="1"/>
      <c r="GZ148" s="1"/>
      <c r="HA148" s="1"/>
      <c r="HB148" s="1"/>
      <c r="HC148" s="1"/>
      <c r="HD148" s="1"/>
      <c r="HE148" s="1"/>
      <c r="HF148" s="1"/>
      <c r="HG148" s="1"/>
      <c r="HH148" s="1"/>
      <c r="HI148" s="1"/>
      <c r="HJ148" s="1"/>
      <c r="HK148" s="1"/>
      <c r="HL148" s="1"/>
    </row>
    <row r="149" spans="1:220" s="258" customFormat="1" ht="17.100000000000001" customHeight="1" x14ac:dyDescent="0.25">
      <c r="A149"/>
      <c r="B149" s="234"/>
      <c r="C149" s="238"/>
      <c r="D149" s="235"/>
      <c r="E149" s="239"/>
      <c r="F149" s="240"/>
      <c r="G149" s="167"/>
      <c r="H149" s="241"/>
      <c r="I149" s="86"/>
      <c r="J149" s="169"/>
      <c r="K149" s="132"/>
      <c r="L149" s="242"/>
      <c r="M149" s="252"/>
      <c r="N149" s="244"/>
      <c r="O149" s="245"/>
      <c r="P149" s="246"/>
      <c r="Q149" s="247"/>
      <c r="R149" s="248"/>
      <c r="S149" s="169"/>
      <c r="T149" s="169"/>
      <c r="U149" s="169"/>
      <c r="V149" s="169"/>
      <c r="W149" s="169"/>
      <c r="X149" s="169"/>
      <c r="Y149" s="249"/>
      <c r="Z149" s="250"/>
      <c r="AA149" s="257"/>
      <c r="AB149" s="251"/>
      <c r="AC149" s="247"/>
      <c r="AD149" s="191"/>
      <c r="AF149" s="259"/>
      <c r="AG149" s="260"/>
      <c r="AH149" s="260"/>
      <c r="AI149" s="261"/>
      <c r="AJ149" s="260"/>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EG149" s="1"/>
      <c r="EH149" s="1"/>
      <c r="EI149" s="1"/>
      <c r="EJ149" s="1"/>
      <c r="EK149" s="1"/>
      <c r="EL149" s="1"/>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c r="GF149" s="1"/>
      <c r="GG149" s="1"/>
      <c r="GH149" s="1"/>
      <c r="GI149" s="1"/>
      <c r="GJ149" s="1"/>
      <c r="GK149" s="1"/>
      <c r="GL149" s="1"/>
      <c r="GM149" s="1"/>
      <c r="GN149" s="1"/>
      <c r="GO149" s="1"/>
      <c r="GP149" s="1"/>
      <c r="GQ149" s="1"/>
      <c r="GR149" s="1"/>
      <c r="GS149" s="1"/>
      <c r="GT149" s="1"/>
      <c r="GU149" s="1"/>
      <c r="GV149" s="1"/>
      <c r="GW149" s="1"/>
      <c r="GX149" s="1"/>
      <c r="GY149" s="1"/>
      <c r="GZ149" s="1"/>
      <c r="HA149" s="1"/>
      <c r="HB149" s="1"/>
      <c r="HC149" s="1"/>
      <c r="HD149" s="1"/>
      <c r="HE149" s="1"/>
      <c r="HF149" s="1"/>
      <c r="HG149" s="1"/>
      <c r="HH149" s="1"/>
      <c r="HI149" s="1"/>
      <c r="HJ149" s="1"/>
      <c r="HK149" s="1"/>
      <c r="HL149" s="1"/>
    </row>
    <row r="150" spans="1:220" s="258" customFormat="1" ht="17.100000000000001" customHeight="1" x14ac:dyDescent="0.25">
      <c r="A150"/>
      <c r="B150" s="234"/>
      <c r="C150" s="238"/>
      <c r="D150" s="235"/>
      <c r="E150" s="239"/>
      <c r="F150" s="240"/>
      <c r="G150" s="167"/>
      <c r="H150" s="241"/>
      <c r="I150" s="86"/>
      <c r="J150" s="169"/>
      <c r="K150" s="132"/>
      <c r="L150" s="242"/>
      <c r="M150" s="252"/>
      <c r="N150" s="244"/>
      <c r="O150" s="245"/>
      <c r="P150" s="246"/>
      <c r="Q150" s="247"/>
      <c r="R150" s="248"/>
      <c r="S150" s="169"/>
      <c r="T150" s="169"/>
      <c r="U150" s="169"/>
      <c r="V150" s="169"/>
      <c r="W150" s="169"/>
      <c r="X150" s="169"/>
      <c r="Y150" s="249"/>
      <c r="Z150" s="250"/>
      <c r="AA150" s="257"/>
      <c r="AB150" s="251"/>
      <c r="AC150" s="247"/>
      <c r="AD150" s="191"/>
      <c r="AF150" s="259"/>
      <c r="AG150" s="260"/>
      <c r="AH150" s="260"/>
      <c r="AI150" s="261"/>
      <c r="AJ150" s="260"/>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EG150" s="1"/>
      <c r="EH150" s="1"/>
      <c r="EI150" s="1"/>
      <c r="EJ150" s="1"/>
      <c r="EK150" s="1"/>
      <c r="EL150" s="1"/>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c r="GF150" s="1"/>
      <c r="GG150" s="1"/>
      <c r="GH150" s="1"/>
      <c r="GI150" s="1"/>
      <c r="GJ150" s="1"/>
      <c r="GK150" s="1"/>
      <c r="GL150" s="1"/>
      <c r="GM150" s="1"/>
      <c r="GN150" s="1"/>
      <c r="GO150" s="1"/>
      <c r="GP150" s="1"/>
      <c r="GQ150" s="1"/>
      <c r="GR150" s="1"/>
      <c r="GS150" s="1"/>
      <c r="GT150" s="1"/>
      <c r="GU150" s="1"/>
      <c r="GV150" s="1"/>
      <c r="GW150" s="1"/>
      <c r="GX150" s="1"/>
      <c r="GY150" s="1"/>
      <c r="GZ150" s="1"/>
      <c r="HA150" s="1"/>
      <c r="HB150" s="1"/>
      <c r="HC150" s="1"/>
      <c r="HD150" s="1"/>
      <c r="HE150" s="1"/>
      <c r="HF150" s="1"/>
      <c r="HG150" s="1"/>
      <c r="HH150" s="1"/>
      <c r="HI150" s="1"/>
      <c r="HJ150" s="1"/>
      <c r="HK150" s="1"/>
      <c r="HL150" s="1"/>
    </row>
    <row r="151" spans="1:220" s="258" customFormat="1" ht="17.100000000000001" customHeight="1" x14ac:dyDescent="0.25">
      <c r="A151"/>
      <c r="B151" s="234"/>
      <c r="C151" s="238"/>
      <c r="D151" s="235"/>
      <c r="E151" s="239"/>
      <c r="F151" s="240"/>
      <c r="G151" s="167"/>
      <c r="H151" s="241"/>
      <c r="I151" s="86"/>
      <c r="J151" s="169"/>
      <c r="K151" s="132"/>
      <c r="L151" s="242"/>
      <c r="M151" s="252"/>
      <c r="N151" s="244"/>
      <c r="O151" s="245"/>
      <c r="P151" s="246"/>
      <c r="Q151" s="247"/>
      <c r="R151" s="248"/>
      <c r="S151" s="169"/>
      <c r="T151" s="169"/>
      <c r="U151" s="169"/>
      <c r="V151" s="169"/>
      <c r="W151" s="169"/>
      <c r="X151" s="169"/>
      <c r="Y151" s="249"/>
      <c r="Z151" s="250"/>
      <c r="AA151" s="257"/>
      <c r="AB151" s="251"/>
      <c r="AC151" s="247"/>
      <c r="AD151" s="191"/>
      <c r="AF151" s="259"/>
      <c r="AG151" s="260"/>
      <c r="AH151" s="260"/>
      <c r="AI151" s="261"/>
      <c r="AJ151" s="260"/>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EG151" s="1"/>
      <c r="EH151" s="1"/>
      <c r="EI151" s="1"/>
      <c r="EJ151" s="1"/>
      <c r="EK151" s="1"/>
      <c r="EL151" s="1"/>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c r="GF151" s="1"/>
      <c r="GG151" s="1"/>
      <c r="GH151" s="1"/>
      <c r="GI151" s="1"/>
      <c r="GJ151" s="1"/>
      <c r="GK151" s="1"/>
      <c r="GL151" s="1"/>
      <c r="GM151" s="1"/>
      <c r="GN151" s="1"/>
      <c r="GO151" s="1"/>
      <c r="GP151" s="1"/>
      <c r="GQ151" s="1"/>
      <c r="GR151" s="1"/>
      <c r="GS151" s="1"/>
      <c r="GT151" s="1"/>
      <c r="GU151" s="1"/>
      <c r="GV151" s="1"/>
      <c r="GW151" s="1"/>
      <c r="GX151" s="1"/>
      <c r="GY151" s="1"/>
      <c r="GZ151" s="1"/>
      <c r="HA151" s="1"/>
      <c r="HB151" s="1"/>
      <c r="HC151" s="1"/>
      <c r="HD151" s="1"/>
      <c r="HE151" s="1"/>
      <c r="HF151" s="1"/>
      <c r="HG151" s="1"/>
      <c r="HH151" s="1"/>
      <c r="HI151" s="1"/>
      <c r="HJ151" s="1"/>
      <c r="HK151" s="1"/>
      <c r="HL151" s="1"/>
    </row>
    <row r="152" spans="1:220" s="258" customFormat="1" ht="17.100000000000001" customHeight="1" x14ac:dyDescent="0.25">
      <c r="A152"/>
      <c r="B152" s="234"/>
      <c r="C152" s="238"/>
      <c r="D152" s="235"/>
      <c r="E152" s="239"/>
      <c r="F152" s="240"/>
      <c r="G152" s="167"/>
      <c r="H152" s="241"/>
      <c r="I152" s="86"/>
      <c r="J152" s="169"/>
      <c r="K152" s="132"/>
      <c r="L152" s="242"/>
      <c r="M152" s="252"/>
      <c r="N152" s="244"/>
      <c r="O152" s="245"/>
      <c r="P152" s="246"/>
      <c r="Q152" s="247"/>
      <c r="R152" s="248"/>
      <c r="S152" s="169"/>
      <c r="T152" s="169"/>
      <c r="U152" s="169"/>
      <c r="V152" s="169"/>
      <c r="W152" s="169"/>
      <c r="X152" s="169"/>
      <c r="Y152" s="249"/>
      <c r="Z152" s="250"/>
      <c r="AA152" s="257"/>
      <c r="AB152" s="251"/>
      <c r="AC152" s="247"/>
      <c r="AD152" s="191"/>
      <c r="AF152" s="259"/>
      <c r="AG152" s="260"/>
      <c r="AH152" s="260"/>
      <c r="AI152" s="261"/>
      <c r="AJ152" s="260"/>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EG152" s="1"/>
      <c r="EH152" s="1"/>
      <c r="EI152" s="1"/>
      <c r="EJ152" s="1"/>
      <c r="EK152" s="1"/>
      <c r="EL152" s="1"/>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c r="GF152" s="1"/>
      <c r="GG152" s="1"/>
      <c r="GH152" s="1"/>
      <c r="GI152" s="1"/>
      <c r="GJ152" s="1"/>
      <c r="GK152" s="1"/>
      <c r="GL152" s="1"/>
      <c r="GM152" s="1"/>
      <c r="GN152" s="1"/>
      <c r="GO152" s="1"/>
      <c r="GP152" s="1"/>
      <c r="GQ152" s="1"/>
      <c r="GR152" s="1"/>
      <c r="GS152" s="1"/>
      <c r="GT152" s="1"/>
      <c r="GU152" s="1"/>
      <c r="GV152" s="1"/>
      <c r="GW152" s="1"/>
      <c r="GX152" s="1"/>
      <c r="GY152" s="1"/>
      <c r="GZ152" s="1"/>
      <c r="HA152" s="1"/>
      <c r="HB152" s="1"/>
      <c r="HC152" s="1"/>
      <c r="HD152" s="1"/>
      <c r="HE152" s="1"/>
      <c r="HF152" s="1"/>
      <c r="HG152" s="1"/>
      <c r="HH152" s="1"/>
      <c r="HI152" s="1"/>
      <c r="HJ152" s="1"/>
      <c r="HK152" s="1"/>
      <c r="HL152" s="1"/>
    </row>
    <row r="153" spans="1:220" s="258" customFormat="1" ht="17.100000000000001" customHeight="1" x14ac:dyDescent="0.25">
      <c r="A153"/>
      <c r="B153" s="234"/>
      <c r="C153" s="238"/>
      <c r="D153" s="235"/>
      <c r="E153" s="239"/>
      <c r="F153" s="240"/>
      <c r="G153" s="167"/>
      <c r="H153" s="241"/>
      <c r="I153" s="86"/>
      <c r="J153" s="169"/>
      <c r="K153" s="132"/>
      <c r="L153" s="242"/>
      <c r="M153" s="252"/>
      <c r="N153" s="244"/>
      <c r="O153" s="245"/>
      <c r="P153" s="246"/>
      <c r="Q153" s="247"/>
      <c r="R153" s="248"/>
      <c r="S153" s="169"/>
      <c r="T153" s="169"/>
      <c r="U153" s="169"/>
      <c r="V153" s="169"/>
      <c r="W153" s="169"/>
      <c r="X153" s="169"/>
      <c r="Y153" s="249"/>
      <c r="Z153" s="250"/>
      <c r="AA153" s="257"/>
      <c r="AB153" s="251"/>
      <c r="AC153" s="247"/>
      <c r="AD153" s="191"/>
      <c r="AF153" s="259"/>
      <c r="AG153" s="260"/>
      <c r="AH153" s="260"/>
      <c r="AI153" s="261"/>
      <c r="AJ153" s="260"/>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EG153" s="1"/>
      <c r="EH153" s="1"/>
      <c r="EI153" s="1"/>
      <c r="EJ153" s="1"/>
      <c r="EK153" s="1"/>
      <c r="EL153" s="1"/>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c r="GF153" s="1"/>
      <c r="GG153" s="1"/>
      <c r="GH153" s="1"/>
      <c r="GI153" s="1"/>
      <c r="GJ153" s="1"/>
      <c r="GK153" s="1"/>
      <c r="GL153" s="1"/>
      <c r="GM153" s="1"/>
      <c r="GN153" s="1"/>
      <c r="GO153" s="1"/>
      <c r="GP153" s="1"/>
      <c r="GQ153" s="1"/>
      <c r="GR153" s="1"/>
      <c r="GS153" s="1"/>
      <c r="GT153" s="1"/>
      <c r="GU153" s="1"/>
      <c r="GV153" s="1"/>
      <c r="GW153" s="1"/>
      <c r="GX153" s="1"/>
      <c r="GY153" s="1"/>
      <c r="GZ153" s="1"/>
      <c r="HA153" s="1"/>
      <c r="HB153" s="1"/>
      <c r="HC153" s="1"/>
      <c r="HD153" s="1"/>
      <c r="HE153" s="1"/>
      <c r="HF153" s="1"/>
      <c r="HG153" s="1"/>
      <c r="HH153" s="1"/>
      <c r="HI153" s="1"/>
      <c r="HJ153" s="1"/>
      <c r="HK153" s="1"/>
      <c r="HL153" s="1"/>
    </row>
    <row r="154" spans="1:220" s="258" customFormat="1" ht="17.100000000000001" customHeight="1" x14ac:dyDescent="0.25">
      <c r="A154"/>
      <c r="B154" s="234"/>
      <c r="C154" s="238"/>
      <c r="D154" s="235"/>
      <c r="E154" s="239"/>
      <c r="F154" s="240"/>
      <c r="G154" s="167"/>
      <c r="H154" s="241"/>
      <c r="I154" s="86"/>
      <c r="J154" s="169"/>
      <c r="K154" s="132"/>
      <c r="L154" s="242"/>
      <c r="M154" s="252"/>
      <c r="N154" s="244"/>
      <c r="O154" s="245"/>
      <c r="P154" s="246"/>
      <c r="Q154" s="247"/>
      <c r="R154" s="248"/>
      <c r="S154" s="169"/>
      <c r="T154" s="169"/>
      <c r="U154" s="169"/>
      <c r="V154" s="169"/>
      <c r="W154" s="169"/>
      <c r="X154" s="169"/>
      <c r="Y154" s="249"/>
      <c r="Z154" s="250"/>
      <c r="AA154" s="257"/>
      <c r="AB154" s="251"/>
      <c r="AC154" s="247"/>
      <c r="AD154" s="191"/>
      <c r="AF154" s="259"/>
      <c r="AG154" s="260"/>
      <c r="AH154" s="260"/>
      <c r="AI154" s="261"/>
      <c r="AJ154" s="260"/>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EG154" s="1"/>
      <c r="EH154" s="1"/>
      <c r="EI154" s="1"/>
      <c r="EJ154" s="1"/>
      <c r="EK154" s="1"/>
      <c r="EL154" s="1"/>
      <c r="EM154" s="1"/>
      <c r="EN154" s="1"/>
      <c r="EO154" s="1"/>
      <c r="EP154" s="1"/>
      <c r="EQ154" s="1"/>
      <c r="ER154" s="1"/>
      <c r="ES154" s="1"/>
      <c r="ET154" s="1"/>
      <c r="EU154" s="1"/>
      <c r="EV154" s="1"/>
      <c r="EW154" s="1"/>
      <c r="EX154" s="1"/>
      <c r="EY154" s="1"/>
      <c r="EZ154" s="1"/>
      <c r="FA154" s="1"/>
      <c r="FB154" s="1"/>
      <c r="FC154" s="1"/>
      <c r="FD154" s="1"/>
      <c r="FE154" s="1"/>
      <c r="FF154" s="1"/>
      <c r="FG154" s="1"/>
      <c r="FH154" s="1"/>
      <c r="FI154" s="1"/>
      <c r="FJ154" s="1"/>
      <c r="FK154" s="1"/>
      <c r="FL154" s="1"/>
      <c r="FM154" s="1"/>
      <c r="FN154" s="1"/>
      <c r="FO154" s="1"/>
      <c r="FP154" s="1"/>
      <c r="FQ154" s="1"/>
      <c r="FR154" s="1"/>
      <c r="FS154" s="1"/>
      <c r="FT154" s="1"/>
      <c r="FU154" s="1"/>
      <c r="FV154" s="1"/>
      <c r="FW154" s="1"/>
      <c r="FX154" s="1"/>
      <c r="FY154" s="1"/>
      <c r="FZ154" s="1"/>
      <c r="GA154" s="1"/>
      <c r="GB154" s="1"/>
      <c r="GC154" s="1"/>
      <c r="GD154" s="1"/>
      <c r="GE154" s="1"/>
      <c r="GF154" s="1"/>
      <c r="GG154" s="1"/>
      <c r="GH154" s="1"/>
      <c r="GI154" s="1"/>
      <c r="GJ154" s="1"/>
      <c r="GK154" s="1"/>
      <c r="GL154" s="1"/>
      <c r="GM154" s="1"/>
      <c r="GN154" s="1"/>
      <c r="GO154" s="1"/>
      <c r="GP154" s="1"/>
      <c r="GQ154" s="1"/>
      <c r="GR154" s="1"/>
      <c r="GS154" s="1"/>
      <c r="GT154" s="1"/>
      <c r="GU154" s="1"/>
      <c r="GV154" s="1"/>
      <c r="GW154" s="1"/>
      <c r="GX154" s="1"/>
      <c r="GY154" s="1"/>
      <c r="GZ154" s="1"/>
      <c r="HA154" s="1"/>
      <c r="HB154" s="1"/>
      <c r="HC154" s="1"/>
      <c r="HD154" s="1"/>
      <c r="HE154" s="1"/>
      <c r="HF154" s="1"/>
      <c r="HG154" s="1"/>
      <c r="HH154" s="1"/>
      <c r="HI154" s="1"/>
      <c r="HJ154" s="1"/>
      <c r="HK154" s="1"/>
      <c r="HL154" s="1"/>
    </row>
    <row r="155" spans="1:220" s="258" customFormat="1" ht="17.100000000000001" customHeight="1" x14ac:dyDescent="0.25">
      <c r="A155"/>
      <c r="B155" s="234"/>
      <c r="C155" s="238"/>
      <c r="D155" s="235"/>
      <c r="E155" s="239"/>
      <c r="F155" s="240"/>
      <c r="G155" s="167"/>
      <c r="H155" s="241"/>
      <c r="I155" s="86"/>
      <c r="J155" s="169"/>
      <c r="K155" s="132"/>
      <c r="L155" s="242"/>
      <c r="M155" s="252"/>
      <c r="N155" s="244"/>
      <c r="O155" s="245"/>
      <c r="P155" s="246"/>
      <c r="Q155" s="247"/>
      <c r="R155" s="248"/>
      <c r="S155" s="169"/>
      <c r="T155" s="169"/>
      <c r="U155" s="169"/>
      <c r="V155" s="169"/>
      <c r="W155" s="169"/>
      <c r="X155" s="169"/>
      <c r="Y155" s="249"/>
      <c r="Z155" s="250"/>
      <c r="AA155" s="257"/>
      <c r="AB155" s="251"/>
      <c r="AC155" s="247"/>
      <c r="AD155" s="191"/>
      <c r="AF155" s="259"/>
      <c r="AG155" s="260"/>
      <c r="AH155" s="260"/>
      <c r="AI155" s="261"/>
      <c r="AJ155" s="260"/>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EG155" s="1"/>
      <c r="EH155" s="1"/>
      <c r="EI155" s="1"/>
      <c r="EJ155" s="1"/>
      <c r="EK155" s="1"/>
      <c r="EL155" s="1"/>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c r="GF155" s="1"/>
      <c r="GG155" s="1"/>
      <c r="GH155" s="1"/>
      <c r="GI155" s="1"/>
      <c r="GJ155" s="1"/>
      <c r="GK155" s="1"/>
      <c r="GL155" s="1"/>
      <c r="GM155" s="1"/>
      <c r="GN155" s="1"/>
      <c r="GO155" s="1"/>
      <c r="GP155" s="1"/>
      <c r="GQ155" s="1"/>
      <c r="GR155" s="1"/>
      <c r="GS155" s="1"/>
      <c r="GT155" s="1"/>
      <c r="GU155" s="1"/>
      <c r="GV155" s="1"/>
      <c r="GW155" s="1"/>
      <c r="GX155" s="1"/>
      <c r="GY155" s="1"/>
      <c r="GZ155" s="1"/>
      <c r="HA155" s="1"/>
      <c r="HB155" s="1"/>
      <c r="HC155" s="1"/>
      <c r="HD155" s="1"/>
      <c r="HE155" s="1"/>
      <c r="HF155" s="1"/>
      <c r="HG155" s="1"/>
      <c r="HH155" s="1"/>
      <c r="HI155" s="1"/>
      <c r="HJ155" s="1"/>
      <c r="HK155" s="1"/>
      <c r="HL155" s="1"/>
    </row>
    <row r="156" spans="1:220" s="258" customFormat="1" ht="17.100000000000001" customHeight="1" x14ac:dyDescent="0.25">
      <c r="A156"/>
      <c r="B156" s="234"/>
      <c r="C156" s="238"/>
      <c r="D156" s="235"/>
      <c r="E156" s="239"/>
      <c r="F156" s="240"/>
      <c r="G156" s="167"/>
      <c r="H156" s="241"/>
      <c r="I156" s="86"/>
      <c r="J156" s="169"/>
      <c r="K156" s="132"/>
      <c r="L156" s="242"/>
      <c r="M156" s="252"/>
      <c r="N156" s="244"/>
      <c r="O156" s="245"/>
      <c r="P156" s="246"/>
      <c r="Q156" s="247"/>
      <c r="R156" s="248"/>
      <c r="S156" s="169"/>
      <c r="T156" s="169"/>
      <c r="U156" s="169"/>
      <c r="V156" s="169"/>
      <c r="W156" s="169"/>
      <c r="X156" s="169"/>
      <c r="Y156" s="249"/>
      <c r="Z156" s="250"/>
      <c r="AA156" s="257"/>
      <c r="AB156" s="251"/>
      <c r="AC156" s="247"/>
      <c r="AD156" s="191"/>
      <c r="AF156" s="259"/>
      <c r="AG156" s="260"/>
      <c r="AH156" s="260"/>
      <c r="AI156" s="261"/>
      <c r="AJ156" s="260"/>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EG156" s="1"/>
      <c r="EH156" s="1"/>
      <c r="EI156" s="1"/>
      <c r="EJ156" s="1"/>
      <c r="EK156" s="1"/>
      <c r="EL156" s="1"/>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c r="GF156" s="1"/>
      <c r="GG156" s="1"/>
      <c r="GH156" s="1"/>
      <c r="GI156" s="1"/>
      <c r="GJ156" s="1"/>
      <c r="GK156" s="1"/>
      <c r="GL156" s="1"/>
      <c r="GM156" s="1"/>
      <c r="GN156" s="1"/>
      <c r="GO156" s="1"/>
      <c r="GP156" s="1"/>
      <c r="GQ156" s="1"/>
      <c r="GR156" s="1"/>
      <c r="GS156" s="1"/>
      <c r="GT156" s="1"/>
      <c r="GU156" s="1"/>
      <c r="GV156" s="1"/>
      <c r="GW156" s="1"/>
      <c r="GX156" s="1"/>
      <c r="GY156" s="1"/>
      <c r="GZ156" s="1"/>
      <c r="HA156" s="1"/>
      <c r="HB156" s="1"/>
      <c r="HC156" s="1"/>
      <c r="HD156" s="1"/>
      <c r="HE156" s="1"/>
      <c r="HF156" s="1"/>
      <c r="HG156" s="1"/>
      <c r="HH156" s="1"/>
      <c r="HI156" s="1"/>
      <c r="HJ156" s="1"/>
      <c r="HK156" s="1"/>
      <c r="HL156" s="1"/>
    </row>
    <row r="157" spans="1:220" s="258" customFormat="1" ht="17.100000000000001" customHeight="1" x14ac:dyDescent="0.25">
      <c r="A157"/>
      <c r="B157" s="234"/>
      <c r="C157" s="238"/>
      <c r="D157" s="235"/>
      <c r="E157" s="239"/>
      <c r="F157" s="240"/>
      <c r="G157" s="167"/>
      <c r="H157" s="241"/>
      <c r="I157" s="86"/>
      <c r="J157" s="169"/>
      <c r="K157" s="132"/>
      <c r="L157" s="242"/>
      <c r="M157" s="252"/>
      <c r="N157" s="244"/>
      <c r="O157" s="245"/>
      <c r="P157" s="246"/>
      <c r="Q157" s="247"/>
      <c r="R157" s="248"/>
      <c r="S157" s="169"/>
      <c r="T157" s="169"/>
      <c r="U157" s="169"/>
      <c r="V157" s="169"/>
      <c r="W157" s="169"/>
      <c r="X157" s="169"/>
      <c r="Y157" s="249"/>
      <c r="Z157" s="250"/>
      <c r="AA157" s="257"/>
      <c r="AB157" s="251"/>
      <c r="AC157" s="247"/>
      <c r="AD157" s="191"/>
      <c r="AF157" s="259"/>
      <c r="AG157" s="260"/>
      <c r="AH157" s="260"/>
      <c r="AI157" s="261"/>
      <c r="AJ157" s="260"/>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EG157" s="1"/>
      <c r="EH157" s="1"/>
      <c r="EI157" s="1"/>
      <c r="EJ157" s="1"/>
      <c r="EK157" s="1"/>
      <c r="EL157" s="1"/>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c r="GF157" s="1"/>
      <c r="GG157" s="1"/>
      <c r="GH157" s="1"/>
      <c r="GI157" s="1"/>
      <c r="GJ157" s="1"/>
      <c r="GK157" s="1"/>
      <c r="GL157" s="1"/>
      <c r="GM157" s="1"/>
      <c r="GN157" s="1"/>
      <c r="GO157" s="1"/>
      <c r="GP157" s="1"/>
      <c r="GQ157" s="1"/>
      <c r="GR157" s="1"/>
      <c r="GS157" s="1"/>
      <c r="GT157" s="1"/>
      <c r="GU157" s="1"/>
      <c r="GV157" s="1"/>
      <c r="GW157" s="1"/>
      <c r="GX157" s="1"/>
      <c r="GY157" s="1"/>
      <c r="GZ157" s="1"/>
      <c r="HA157" s="1"/>
      <c r="HB157" s="1"/>
      <c r="HC157" s="1"/>
      <c r="HD157" s="1"/>
      <c r="HE157" s="1"/>
      <c r="HF157" s="1"/>
      <c r="HG157" s="1"/>
      <c r="HH157" s="1"/>
      <c r="HI157" s="1"/>
      <c r="HJ157" s="1"/>
      <c r="HK157" s="1"/>
      <c r="HL157" s="1"/>
    </row>
    <row r="158" spans="1:220" s="258" customFormat="1" ht="17.100000000000001" customHeight="1" x14ac:dyDescent="0.25">
      <c r="A158"/>
      <c r="B158" s="234"/>
      <c r="C158" s="238"/>
      <c r="D158" s="235"/>
      <c r="E158" s="239"/>
      <c r="F158" s="240"/>
      <c r="G158" s="167"/>
      <c r="H158" s="241"/>
      <c r="I158" s="86"/>
      <c r="J158" s="169"/>
      <c r="K158" s="132"/>
      <c r="L158" s="242"/>
      <c r="M158" s="252"/>
      <c r="N158" s="244"/>
      <c r="O158" s="245"/>
      <c r="P158" s="246"/>
      <c r="Q158" s="247"/>
      <c r="R158" s="248"/>
      <c r="S158" s="169"/>
      <c r="T158" s="169"/>
      <c r="U158" s="169"/>
      <c r="V158" s="169"/>
      <c r="W158" s="169"/>
      <c r="X158" s="169"/>
      <c r="Y158" s="249"/>
      <c r="Z158" s="250"/>
      <c r="AA158" s="257"/>
      <c r="AB158" s="251"/>
      <c r="AC158" s="247"/>
      <c r="AD158" s="191"/>
      <c r="AF158" s="259"/>
      <c r="AG158" s="260"/>
      <c r="AH158" s="260"/>
      <c r="AI158" s="261"/>
      <c r="AJ158" s="260"/>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EG158" s="1"/>
      <c r="EH158" s="1"/>
      <c r="EI158" s="1"/>
      <c r="EJ158" s="1"/>
      <c r="EK158" s="1"/>
      <c r="EL158" s="1"/>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c r="GF158" s="1"/>
      <c r="GG158" s="1"/>
      <c r="GH158" s="1"/>
      <c r="GI158" s="1"/>
      <c r="GJ158" s="1"/>
      <c r="GK158" s="1"/>
      <c r="GL158" s="1"/>
      <c r="GM158" s="1"/>
      <c r="GN158" s="1"/>
      <c r="GO158" s="1"/>
      <c r="GP158" s="1"/>
      <c r="GQ158" s="1"/>
      <c r="GR158" s="1"/>
      <c r="GS158" s="1"/>
      <c r="GT158" s="1"/>
      <c r="GU158" s="1"/>
      <c r="GV158" s="1"/>
      <c r="GW158" s="1"/>
      <c r="GX158" s="1"/>
      <c r="GY158" s="1"/>
      <c r="GZ158" s="1"/>
      <c r="HA158" s="1"/>
      <c r="HB158" s="1"/>
      <c r="HC158" s="1"/>
      <c r="HD158" s="1"/>
      <c r="HE158" s="1"/>
      <c r="HF158" s="1"/>
      <c r="HG158" s="1"/>
      <c r="HH158" s="1"/>
      <c r="HI158" s="1"/>
      <c r="HJ158" s="1"/>
      <c r="HK158" s="1"/>
      <c r="HL158" s="1"/>
    </row>
    <row r="159" spans="1:220" s="258" customFormat="1" ht="17.100000000000001" customHeight="1" x14ac:dyDescent="0.25">
      <c r="A159"/>
      <c r="B159" s="234"/>
      <c r="C159" s="238"/>
      <c r="D159" s="235"/>
      <c r="E159" s="239"/>
      <c r="F159" s="240"/>
      <c r="G159" s="167"/>
      <c r="H159" s="241"/>
      <c r="I159" s="86"/>
      <c r="J159" s="169"/>
      <c r="K159" s="132"/>
      <c r="L159" s="242"/>
      <c r="M159" s="252"/>
      <c r="N159" s="244"/>
      <c r="O159" s="245"/>
      <c r="P159" s="246"/>
      <c r="Q159" s="247"/>
      <c r="R159" s="248"/>
      <c r="S159" s="169"/>
      <c r="T159" s="169"/>
      <c r="U159" s="169"/>
      <c r="V159" s="169"/>
      <c r="W159" s="169"/>
      <c r="X159" s="169"/>
      <c r="Y159" s="249"/>
      <c r="Z159" s="250"/>
      <c r="AA159" s="257"/>
      <c r="AB159" s="251"/>
      <c r="AC159" s="247"/>
      <c r="AD159" s="191"/>
      <c r="AF159" s="259"/>
      <c r="AG159" s="260"/>
      <c r="AH159" s="260"/>
      <c r="AI159" s="261"/>
      <c r="AJ159" s="260"/>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EG159" s="1"/>
      <c r="EH159" s="1"/>
      <c r="EI159" s="1"/>
      <c r="EJ159" s="1"/>
      <c r="EK159" s="1"/>
      <c r="EL159" s="1"/>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c r="GF159" s="1"/>
      <c r="GG159" s="1"/>
      <c r="GH159" s="1"/>
      <c r="GI159" s="1"/>
      <c r="GJ159" s="1"/>
      <c r="GK159" s="1"/>
      <c r="GL159" s="1"/>
      <c r="GM159" s="1"/>
      <c r="GN159" s="1"/>
      <c r="GO159" s="1"/>
      <c r="GP159" s="1"/>
      <c r="GQ159" s="1"/>
      <c r="GR159" s="1"/>
      <c r="GS159" s="1"/>
      <c r="GT159" s="1"/>
      <c r="GU159" s="1"/>
      <c r="GV159" s="1"/>
      <c r="GW159" s="1"/>
      <c r="GX159" s="1"/>
      <c r="GY159" s="1"/>
      <c r="GZ159" s="1"/>
      <c r="HA159" s="1"/>
      <c r="HB159" s="1"/>
      <c r="HC159" s="1"/>
      <c r="HD159" s="1"/>
      <c r="HE159" s="1"/>
      <c r="HF159" s="1"/>
      <c r="HG159" s="1"/>
      <c r="HH159" s="1"/>
      <c r="HI159" s="1"/>
      <c r="HJ159" s="1"/>
      <c r="HK159" s="1"/>
      <c r="HL159" s="1"/>
    </row>
    <row r="160" spans="1:220" s="258" customFormat="1" ht="17.100000000000001" customHeight="1" x14ac:dyDescent="0.25">
      <c r="A160"/>
      <c r="B160" s="234"/>
      <c r="C160" s="238"/>
      <c r="D160" s="235"/>
      <c r="E160" s="239"/>
      <c r="F160" s="240"/>
      <c r="G160" s="167"/>
      <c r="H160" s="241"/>
      <c r="I160" s="86"/>
      <c r="J160" s="169"/>
      <c r="K160" s="132"/>
      <c r="L160" s="242"/>
      <c r="M160" s="252"/>
      <c r="N160" s="244"/>
      <c r="O160" s="245"/>
      <c r="P160" s="246"/>
      <c r="Q160" s="247"/>
      <c r="R160" s="248"/>
      <c r="S160" s="169"/>
      <c r="T160" s="169"/>
      <c r="U160" s="169"/>
      <c r="V160" s="169"/>
      <c r="W160" s="169"/>
      <c r="X160" s="169"/>
      <c r="Y160" s="249"/>
      <c r="Z160" s="250"/>
      <c r="AA160" s="257"/>
      <c r="AB160" s="251"/>
      <c r="AC160" s="247"/>
      <c r="AD160" s="191"/>
      <c r="AF160" s="259"/>
      <c r="AG160" s="260"/>
      <c r="AH160" s="260"/>
      <c r="AI160" s="261"/>
      <c r="AJ160" s="260"/>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EG160" s="1"/>
      <c r="EH160" s="1"/>
      <c r="EI160" s="1"/>
      <c r="EJ160" s="1"/>
      <c r="EK160" s="1"/>
      <c r="EL160" s="1"/>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c r="GF160" s="1"/>
      <c r="GG160" s="1"/>
      <c r="GH160" s="1"/>
      <c r="GI160" s="1"/>
      <c r="GJ160" s="1"/>
      <c r="GK160" s="1"/>
      <c r="GL160" s="1"/>
      <c r="GM160" s="1"/>
      <c r="GN160" s="1"/>
      <c r="GO160" s="1"/>
      <c r="GP160" s="1"/>
      <c r="GQ160" s="1"/>
      <c r="GR160" s="1"/>
      <c r="GS160" s="1"/>
      <c r="GT160" s="1"/>
      <c r="GU160" s="1"/>
      <c r="GV160" s="1"/>
      <c r="GW160" s="1"/>
      <c r="GX160" s="1"/>
      <c r="GY160" s="1"/>
      <c r="GZ160" s="1"/>
      <c r="HA160" s="1"/>
      <c r="HB160" s="1"/>
      <c r="HC160" s="1"/>
      <c r="HD160" s="1"/>
      <c r="HE160" s="1"/>
      <c r="HF160" s="1"/>
      <c r="HG160" s="1"/>
      <c r="HH160" s="1"/>
      <c r="HI160" s="1"/>
      <c r="HJ160" s="1"/>
      <c r="HK160" s="1"/>
      <c r="HL160" s="1"/>
    </row>
    <row r="161" spans="1:220" s="258" customFormat="1" ht="17.100000000000001" customHeight="1" x14ac:dyDescent="0.25">
      <c r="A161"/>
      <c r="B161" s="234"/>
      <c r="C161" s="238"/>
      <c r="D161" s="235"/>
      <c r="E161" s="239"/>
      <c r="F161" s="240"/>
      <c r="G161" s="167"/>
      <c r="H161" s="241"/>
      <c r="I161" s="86"/>
      <c r="J161" s="169"/>
      <c r="K161" s="132"/>
      <c r="L161" s="242"/>
      <c r="M161" s="252"/>
      <c r="N161" s="244"/>
      <c r="O161" s="245"/>
      <c r="P161" s="246"/>
      <c r="Q161" s="247"/>
      <c r="R161" s="248"/>
      <c r="S161" s="169"/>
      <c r="T161" s="169"/>
      <c r="U161" s="169"/>
      <c r="V161" s="169"/>
      <c r="W161" s="169"/>
      <c r="X161" s="169"/>
      <c r="Y161" s="249"/>
      <c r="Z161" s="250"/>
      <c r="AA161" s="257"/>
      <c r="AB161" s="251"/>
      <c r="AC161" s="247"/>
      <c r="AD161" s="191"/>
      <c r="AF161" s="259"/>
      <c r="AG161" s="260"/>
      <c r="AH161" s="260"/>
      <c r="AI161" s="261"/>
      <c r="AJ161" s="260"/>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EG161" s="1"/>
      <c r="EH161" s="1"/>
      <c r="EI161" s="1"/>
      <c r="EJ161" s="1"/>
      <c r="EK161" s="1"/>
      <c r="EL161" s="1"/>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c r="GF161" s="1"/>
      <c r="GG161" s="1"/>
      <c r="GH161" s="1"/>
      <c r="GI161" s="1"/>
      <c r="GJ161" s="1"/>
      <c r="GK161" s="1"/>
      <c r="GL161" s="1"/>
      <c r="GM161" s="1"/>
      <c r="GN161" s="1"/>
      <c r="GO161" s="1"/>
      <c r="GP161" s="1"/>
      <c r="GQ161" s="1"/>
      <c r="GR161" s="1"/>
      <c r="GS161" s="1"/>
      <c r="GT161" s="1"/>
      <c r="GU161" s="1"/>
      <c r="GV161" s="1"/>
      <c r="GW161" s="1"/>
      <c r="GX161" s="1"/>
      <c r="GY161" s="1"/>
      <c r="GZ161" s="1"/>
      <c r="HA161" s="1"/>
      <c r="HB161" s="1"/>
      <c r="HC161" s="1"/>
      <c r="HD161" s="1"/>
      <c r="HE161" s="1"/>
      <c r="HF161" s="1"/>
      <c r="HG161" s="1"/>
      <c r="HH161" s="1"/>
      <c r="HI161" s="1"/>
      <c r="HJ161" s="1"/>
      <c r="HK161" s="1"/>
      <c r="HL161" s="1"/>
    </row>
    <row r="162" spans="1:220" s="258" customFormat="1" ht="17.100000000000001" customHeight="1" x14ac:dyDescent="0.25">
      <c r="A162"/>
      <c r="B162" s="234"/>
      <c r="C162" s="238"/>
      <c r="D162" s="235"/>
      <c r="E162" s="239"/>
      <c r="F162" s="240"/>
      <c r="G162" s="167"/>
      <c r="H162" s="241"/>
      <c r="I162" s="86"/>
      <c r="J162" s="169"/>
      <c r="K162" s="132"/>
      <c r="L162" s="242"/>
      <c r="M162" s="252"/>
      <c r="N162" s="244"/>
      <c r="O162" s="245"/>
      <c r="P162" s="246"/>
      <c r="Q162" s="247"/>
      <c r="R162" s="248"/>
      <c r="S162" s="169"/>
      <c r="T162" s="169"/>
      <c r="U162" s="169"/>
      <c r="V162" s="169"/>
      <c r="W162" s="169"/>
      <c r="X162" s="169"/>
      <c r="Y162" s="249"/>
      <c r="Z162" s="250"/>
      <c r="AA162" s="257"/>
      <c r="AB162" s="251"/>
      <c r="AC162" s="247"/>
      <c r="AD162" s="191"/>
      <c r="AF162" s="259"/>
      <c r="AG162" s="260"/>
      <c r="AH162" s="260"/>
      <c r="AI162" s="261"/>
      <c r="AJ162" s="260"/>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EG162" s="1"/>
      <c r="EH162" s="1"/>
      <c r="EI162" s="1"/>
      <c r="EJ162" s="1"/>
      <c r="EK162" s="1"/>
      <c r="EL162" s="1"/>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c r="GF162" s="1"/>
      <c r="GG162" s="1"/>
      <c r="GH162" s="1"/>
      <c r="GI162" s="1"/>
      <c r="GJ162" s="1"/>
      <c r="GK162" s="1"/>
      <c r="GL162" s="1"/>
      <c r="GM162" s="1"/>
      <c r="GN162" s="1"/>
      <c r="GO162" s="1"/>
      <c r="GP162" s="1"/>
      <c r="GQ162" s="1"/>
      <c r="GR162" s="1"/>
      <c r="GS162" s="1"/>
      <c r="GT162" s="1"/>
      <c r="GU162" s="1"/>
      <c r="GV162" s="1"/>
      <c r="GW162" s="1"/>
      <c r="GX162" s="1"/>
      <c r="GY162" s="1"/>
      <c r="GZ162" s="1"/>
      <c r="HA162" s="1"/>
      <c r="HB162" s="1"/>
      <c r="HC162" s="1"/>
      <c r="HD162" s="1"/>
      <c r="HE162" s="1"/>
      <c r="HF162" s="1"/>
      <c r="HG162" s="1"/>
      <c r="HH162" s="1"/>
      <c r="HI162" s="1"/>
      <c r="HJ162" s="1"/>
      <c r="HK162" s="1"/>
      <c r="HL162" s="1"/>
    </row>
    <row r="163" spans="1:220" s="258" customFormat="1" ht="17.100000000000001" customHeight="1" x14ac:dyDescent="0.25">
      <c r="A163"/>
      <c r="B163" s="234"/>
      <c r="C163" s="238"/>
      <c r="D163" s="235"/>
      <c r="E163" s="239"/>
      <c r="F163" s="240"/>
      <c r="G163" s="167"/>
      <c r="H163" s="241"/>
      <c r="I163" s="86"/>
      <c r="J163" s="169"/>
      <c r="K163" s="132"/>
      <c r="L163" s="242"/>
      <c r="M163" s="252"/>
      <c r="N163" s="244"/>
      <c r="O163" s="245"/>
      <c r="P163" s="246"/>
      <c r="Q163" s="247"/>
      <c r="R163" s="248"/>
      <c r="S163" s="169"/>
      <c r="T163" s="169"/>
      <c r="U163" s="169"/>
      <c r="V163" s="169"/>
      <c r="W163" s="169"/>
      <c r="X163" s="169"/>
      <c r="Y163" s="249"/>
      <c r="Z163" s="250"/>
      <c r="AA163" s="257"/>
      <c r="AB163" s="251"/>
      <c r="AC163" s="247"/>
      <c r="AD163" s="191"/>
      <c r="AF163" s="259"/>
      <c r="AG163" s="260"/>
      <c r="AH163" s="260"/>
      <c r="AI163" s="261"/>
      <c r="AJ163" s="260"/>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EG163" s="1"/>
      <c r="EH163" s="1"/>
      <c r="EI163" s="1"/>
      <c r="EJ163" s="1"/>
      <c r="EK163" s="1"/>
      <c r="EL163" s="1"/>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c r="GF163" s="1"/>
      <c r="GG163" s="1"/>
      <c r="GH163" s="1"/>
      <c r="GI163" s="1"/>
      <c r="GJ163" s="1"/>
      <c r="GK163" s="1"/>
      <c r="GL163" s="1"/>
      <c r="GM163" s="1"/>
      <c r="GN163" s="1"/>
      <c r="GO163" s="1"/>
      <c r="GP163" s="1"/>
      <c r="GQ163" s="1"/>
      <c r="GR163" s="1"/>
      <c r="GS163" s="1"/>
      <c r="GT163" s="1"/>
      <c r="GU163" s="1"/>
      <c r="GV163" s="1"/>
      <c r="GW163" s="1"/>
      <c r="GX163" s="1"/>
      <c r="GY163" s="1"/>
      <c r="GZ163" s="1"/>
      <c r="HA163" s="1"/>
      <c r="HB163" s="1"/>
      <c r="HC163" s="1"/>
      <c r="HD163" s="1"/>
      <c r="HE163" s="1"/>
      <c r="HF163" s="1"/>
      <c r="HG163" s="1"/>
      <c r="HH163" s="1"/>
      <c r="HI163" s="1"/>
      <c r="HJ163" s="1"/>
      <c r="HK163" s="1"/>
      <c r="HL163" s="1"/>
    </row>
    <row r="164" spans="1:220" s="258" customFormat="1" ht="17.100000000000001" customHeight="1" x14ac:dyDescent="0.25">
      <c r="A164"/>
      <c r="B164" s="234"/>
      <c r="C164" s="238"/>
      <c r="D164" s="235"/>
      <c r="E164" s="239"/>
      <c r="F164" s="240"/>
      <c r="G164" s="167"/>
      <c r="H164" s="241"/>
      <c r="I164" s="86"/>
      <c r="J164" s="169"/>
      <c r="K164" s="132"/>
      <c r="L164" s="242"/>
      <c r="M164" s="252"/>
      <c r="N164" s="244"/>
      <c r="O164" s="245"/>
      <c r="P164" s="246"/>
      <c r="Q164" s="247"/>
      <c r="R164" s="248"/>
      <c r="S164" s="169"/>
      <c r="T164" s="169"/>
      <c r="U164" s="169"/>
      <c r="V164" s="169"/>
      <c r="W164" s="169"/>
      <c r="X164" s="169"/>
      <c r="Y164" s="249"/>
      <c r="Z164" s="250"/>
      <c r="AA164" s="257"/>
      <c r="AB164" s="251"/>
      <c r="AC164" s="247"/>
      <c r="AD164" s="191"/>
      <c r="AF164" s="259"/>
      <c r="AG164" s="260"/>
      <c r="AH164" s="260"/>
      <c r="AI164" s="261"/>
      <c r="AJ164" s="260"/>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EG164" s="1"/>
      <c r="EH164" s="1"/>
      <c r="EI164" s="1"/>
      <c r="EJ164" s="1"/>
      <c r="EK164" s="1"/>
      <c r="EL164" s="1"/>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c r="GF164" s="1"/>
      <c r="GG164" s="1"/>
      <c r="GH164" s="1"/>
      <c r="GI164" s="1"/>
      <c r="GJ164" s="1"/>
      <c r="GK164" s="1"/>
      <c r="GL164" s="1"/>
      <c r="GM164" s="1"/>
      <c r="GN164" s="1"/>
      <c r="GO164" s="1"/>
      <c r="GP164" s="1"/>
      <c r="GQ164" s="1"/>
      <c r="GR164" s="1"/>
      <c r="GS164" s="1"/>
      <c r="GT164" s="1"/>
      <c r="GU164" s="1"/>
      <c r="GV164" s="1"/>
      <c r="GW164" s="1"/>
      <c r="GX164" s="1"/>
      <c r="GY164" s="1"/>
      <c r="GZ164" s="1"/>
      <c r="HA164" s="1"/>
      <c r="HB164" s="1"/>
      <c r="HC164" s="1"/>
      <c r="HD164" s="1"/>
      <c r="HE164" s="1"/>
      <c r="HF164" s="1"/>
      <c r="HG164" s="1"/>
      <c r="HH164" s="1"/>
      <c r="HI164" s="1"/>
      <c r="HJ164" s="1"/>
      <c r="HK164" s="1"/>
      <c r="HL164" s="1"/>
    </row>
    <row r="165" spans="1:220" s="258" customFormat="1" ht="17.100000000000001" customHeight="1" x14ac:dyDescent="0.25">
      <c r="A165"/>
      <c r="B165" s="234"/>
      <c r="C165" s="238"/>
      <c r="D165" s="235"/>
      <c r="E165" s="239"/>
      <c r="F165" s="240"/>
      <c r="G165" s="167"/>
      <c r="H165" s="241"/>
      <c r="I165" s="86"/>
      <c r="J165" s="169"/>
      <c r="K165" s="132"/>
      <c r="L165" s="242"/>
      <c r="M165" s="252"/>
      <c r="N165" s="244"/>
      <c r="O165" s="245"/>
      <c r="P165" s="246"/>
      <c r="Q165" s="247"/>
      <c r="R165" s="248"/>
      <c r="S165" s="169"/>
      <c r="T165" s="169"/>
      <c r="U165" s="169"/>
      <c r="V165" s="169"/>
      <c r="W165" s="169"/>
      <c r="X165" s="169"/>
      <c r="Y165" s="249"/>
      <c r="Z165" s="250"/>
      <c r="AA165" s="257"/>
      <c r="AB165" s="251"/>
      <c r="AC165" s="247"/>
      <c r="AD165" s="191"/>
      <c r="AF165" s="259"/>
      <c r="AG165" s="260"/>
      <c r="AH165" s="260"/>
      <c r="AI165" s="261"/>
      <c r="AJ165" s="260"/>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EG165" s="1"/>
      <c r="EH165" s="1"/>
      <c r="EI165" s="1"/>
      <c r="EJ165" s="1"/>
      <c r="EK165" s="1"/>
      <c r="EL165" s="1"/>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c r="GF165" s="1"/>
      <c r="GG165" s="1"/>
      <c r="GH165" s="1"/>
      <c r="GI165" s="1"/>
      <c r="GJ165" s="1"/>
      <c r="GK165" s="1"/>
      <c r="GL165" s="1"/>
      <c r="GM165" s="1"/>
      <c r="GN165" s="1"/>
      <c r="GO165" s="1"/>
      <c r="GP165" s="1"/>
      <c r="GQ165" s="1"/>
      <c r="GR165" s="1"/>
      <c r="GS165" s="1"/>
      <c r="GT165" s="1"/>
      <c r="GU165" s="1"/>
      <c r="GV165" s="1"/>
      <c r="GW165" s="1"/>
      <c r="GX165" s="1"/>
      <c r="GY165" s="1"/>
      <c r="GZ165" s="1"/>
      <c r="HA165" s="1"/>
      <c r="HB165" s="1"/>
      <c r="HC165" s="1"/>
      <c r="HD165" s="1"/>
      <c r="HE165" s="1"/>
      <c r="HF165" s="1"/>
      <c r="HG165" s="1"/>
      <c r="HH165" s="1"/>
      <c r="HI165" s="1"/>
      <c r="HJ165" s="1"/>
      <c r="HK165" s="1"/>
      <c r="HL165" s="1"/>
    </row>
    <row r="166" spans="1:220" s="258" customFormat="1" ht="17.100000000000001" customHeight="1" x14ac:dyDescent="0.25">
      <c r="A166"/>
      <c r="B166" s="234"/>
      <c r="C166" s="238"/>
      <c r="D166" s="235"/>
      <c r="E166" s="239"/>
      <c r="F166" s="240"/>
      <c r="G166" s="167"/>
      <c r="H166" s="241"/>
      <c r="I166" s="86"/>
      <c r="J166" s="169"/>
      <c r="K166" s="132"/>
      <c r="L166" s="242"/>
      <c r="M166" s="252"/>
      <c r="N166" s="244"/>
      <c r="O166" s="245"/>
      <c r="P166" s="246"/>
      <c r="Q166" s="247"/>
      <c r="R166" s="248"/>
      <c r="S166" s="169"/>
      <c r="T166" s="169"/>
      <c r="U166" s="169"/>
      <c r="V166" s="169"/>
      <c r="W166" s="169"/>
      <c r="X166" s="169"/>
      <c r="Y166" s="249"/>
      <c r="Z166" s="250"/>
      <c r="AA166" s="257"/>
      <c r="AB166" s="251"/>
      <c r="AC166" s="247"/>
      <c r="AD166" s="191"/>
      <c r="AF166" s="259"/>
      <c r="AG166" s="260"/>
      <c r="AH166" s="260"/>
      <c r="AI166" s="261"/>
      <c r="AJ166" s="260"/>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row>
    <row r="167" spans="1:220" s="258" customFormat="1" ht="17.100000000000001" customHeight="1" x14ac:dyDescent="0.25">
      <c r="A167"/>
      <c r="B167" s="234"/>
      <c r="C167" s="238"/>
      <c r="D167" s="235"/>
      <c r="E167" s="239"/>
      <c r="F167" s="240"/>
      <c r="G167" s="167"/>
      <c r="H167" s="241"/>
      <c r="I167" s="86"/>
      <c r="J167" s="169"/>
      <c r="K167" s="132"/>
      <c r="L167" s="242"/>
      <c r="M167" s="252"/>
      <c r="N167" s="244"/>
      <c r="O167" s="245"/>
      <c r="P167" s="246"/>
      <c r="Q167" s="247"/>
      <c r="R167" s="248"/>
      <c r="S167" s="169"/>
      <c r="T167" s="169"/>
      <c r="U167" s="169"/>
      <c r="V167" s="169"/>
      <c r="W167" s="169"/>
      <c r="X167" s="169"/>
      <c r="Y167" s="249"/>
      <c r="Z167" s="250"/>
      <c r="AA167" s="257"/>
      <c r="AB167" s="251"/>
      <c r="AC167" s="247"/>
      <c r="AD167" s="191"/>
      <c r="AF167" s="259"/>
      <c r="AG167" s="260"/>
      <c r="AH167" s="260"/>
      <c r="AI167" s="261"/>
      <c r="AJ167" s="260"/>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EG167" s="1"/>
      <c r="EH167" s="1"/>
      <c r="EI167" s="1"/>
      <c r="EJ167" s="1"/>
      <c r="EK167" s="1"/>
      <c r="EL167" s="1"/>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c r="GF167" s="1"/>
      <c r="GG167" s="1"/>
      <c r="GH167" s="1"/>
      <c r="GI167" s="1"/>
      <c r="GJ167" s="1"/>
      <c r="GK167" s="1"/>
      <c r="GL167" s="1"/>
      <c r="GM167" s="1"/>
      <c r="GN167" s="1"/>
      <c r="GO167" s="1"/>
      <c r="GP167" s="1"/>
      <c r="GQ167" s="1"/>
      <c r="GR167" s="1"/>
      <c r="GS167" s="1"/>
      <c r="GT167" s="1"/>
      <c r="GU167" s="1"/>
      <c r="GV167" s="1"/>
      <c r="GW167" s="1"/>
      <c r="GX167" s="1"/>
      <c r="GY167" s="1"/>
      <c r="GZ167" s="1"/>
      <c r="HA167" s="1"/>
      <c r="HB167" s="1"/>
      <c r="HC167" s="1"/>
      <c r="HD167" s="1"/>
      <c r="HE167" s="1"/>
      <c r="HF167" s="1"/>
      <c r="HG167" s="1"/>
      <c r="HH167" s="1"/>
      <c r="HI167" s="1"/>
      <c r="HJ167" s="1"/>
      <c r="HK167" s="1"/>
      <c r="HL167" s="1"/>
    </row>
    <row r="168" spans="1:220" s="258" customFormat="1" ht="17.100000000000001" customHeight="1" x14ac:dyDescent="0.25">
      <c r="A168"/>
      <c r="B168" s="234"/>
      <c r="C168" s="238"/>
      <c r="D168" s="235"/>
      <c r="E168" s="239"/>
      <c r="F168" s="240"/>
      <c r="G168" s="167"/>
      <c r="H168" s="241"/>
      <c r="I168" s="86"/>
      <c r="J168" s="169"/>
      <c r="K168" s="132"/>
      <c r="L168" s="242"/>
      <c r="M168" s="252"/>
      <c r="N168" s="244"/>
      <c r="O168" s="245"/>
      <c r="P168" s="246"/>
      <c r="Q168" s="247"/>
      <c r="R168" s="248"/>
      <c r="S168" s="169"/>
      <c r="T168" s="169"/>
      <c r="U168" s="169"/>
      <c r="V168" s="169"/>
      <c r="W168" s="169"/>
      <c r="X168" s="169"/>
      <c r="Y168" s="249"/>
      <c r="Z168" s="250"/>
      <c r="AA168" s="257"/>
      <c r="AB168" s="251"/>
      <c r="AC168" s="247"/>
      <c r="AD168" s="191"/>
      <c r="AF168" s="259"/>
      <c r="AG168" s="260"/>
      <c r="AH168" s="260"/>
      <c r="AI168" s="261"/>
      <c r="AJ168" s="260"/>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EG168" s="1"/>
      <c r="EH168" s="1"/>
      <c r="EI168" s="1"/>
      <c r="EJ168" s="1"/>
      <c r="EK168" s="1"/>
      <c r="EL168" s="1"/>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c r="GF168" s="1"/>
      <c r="GG168" s="1"/>
      <c r="GH168" s="1"/>
      <c r="GI168" s="1"/>
      <c r="GJ168" s="1"/>
      <c r="GK168" s="1"/>
      <c r="GL168" s="1"/>
      <c r="GM168" s="1"/>
      <c r="GN168" s="1"/>
      <c r="GO168" s="1"/>
      <c r="GP168" s="1"/>
      <c r="GQ168" s="1"/>
      <c r="GR168" s="1"/>
      <c r="GS168" s="1"/>
      <c r="GT168" s="1"/>
      <c r="GU168" s="1"/>
      <c r="GV168" s="1"/>
      <c r="GW168" s="1"/>
      <c r="GX168" s="1"/>
      <c r="GY168" s="1"/>
      <c r="GZ168" s="1"/>
      <c r="HA168" s="1"/>
      <c r="HB168" s="1"/>
      <c r="HC168" s="1"/>
      <c r="HD168" s="1"/>
      <c r="HE168" s="1"/>
      <c r="HF168" s="1"/>
      <c r="HG168" s="1"/>
      <c r="HH168" s="1"/>
      <c r="HI168" s="1"/>
      <c r="HJ168" s="1"/>
      <c r="HK168" s="1"/>
      <c r="HL168" s="1"/>
    </row>
    <row r="169" spans="1:220" s="258" customFormat="1" ht="17.100000000000001" customHeight="1" x14ac:dyDescent="0.25">
      <c r="A169"/>
      <c r="B169" s="234"/>
      <c r="C169" s="238"/>
      <c r="D169" s="235"/>
      <c r="E169" s="239"/>
      <c r="F169" s="240"/>
      <c r="G169" s="167"/>
      <c r="H169" s="241"/>
      <c r="I169" s="86"/>
      <c r="J169" s="169"/>
      <c r="K169" s="132"/>
      <c r="L169" s="242"/>
      <c r="M169" s="252"/>
      <c r="N169" s="244"/>
      <c r="O169" s="245"/>
      <c r="P169" s="246"/>
      <c r="Q169" s="247"/>
      <c r="R169" s="248"/>
      <c r="S169" s="169"/>
      <c r="T169" s="169"/>
      <c r="U169" s="169"/>
      <c r="V169" s="169"/>
      <c r="W169" s="169"/>
      <c r="X169" s="169"/>
      <c r="Y169" s="249"/>
      <c r="Z169" s="250"/>
      <c r="AA169" s="257"/>
      <c r="AB169" s="251"/>
      <c r="AC169" s="247"/>
      <c r="AD169" s="191"/>
      <c r="AF169" s="259"/>
      <c r="AG169" s="260"/>
      <c r="AH169" s="260"/>
      <c r="AI169" s="261"/>
      <c r="AJ169" s="260"/>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EG169" s="1"/>
      <c r="EH169" s="1"/>
      <c r="EI169" s="1"/>
      <c r="EJ169" s="1"/>
      <c r="EK169" s="1"/>
      <c r="EL169" s="1"/>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c r="GF169" s="1"/>
      <c r="GG169" s="1"/>
      <c r="GH169" s="1"/>
      <c r="GI169" s="1"/>
      <c r="GJ169" s="1"/>
      <c r="GK169" s="1"/>
      <c r="GL169" s="1"/>
      <c r="GM169" s="1"/>
      <c r="GN169" s="1"/>
      <c r="GO169" s="1"/>
      <c r="GP169" s="1"/>
      <c r="GQ169" s="1"/>
      <c r="GR169" s="1"/>
      <c r="GS169" s="1"/>
      <c r="GT169" s="1"/>
      <c r="GU169" s="1"/>
      <c r="GV169" s="1"/>
      <c r="GW169" s="1"/>
      <c r="GX169" s="1"/>
      <c r="GY169" s="1"/>
      <c r="GZ169" s="1"/>
      <c r="HA169" s="1"/>
      <c r="HB169" s="1"/>
      <c r="HC169" s="1"/>
      <c r="HD169" s="1"/>
      <c r="HE169" s="1"/>
      <c r="HF169" s="1"/>
      <c r="HG169" s="1"/>
      <c r="HH169" s="1"/>
      <c r="HI169" s="1"/>
      <c r="HJ169" s="1"/>
      <c r="HK169" s="1"/>
      <c r="HL169" s="1"/>
    </row>
    <row r="170" spans="1:220" s="258" customFormat="1" ht="17.100000000000001" customHeight="1" x14ac:dyDescent="0.25">
      <c r="A170"/>
      <c r="B170" s="234"/>
      <c r="C170" s="238"/>
      <c r="D170" s="235"/>
      <c r="E170" s="239"/>
      <c r="F170" s="240"/>
      <c r="G170" s="167"/>
      <c r="H170" s="241"/>
      <c r="I170" s="86"/>
      <c r="J170" s="169"/>
      <c r="K170" s="132"/>
      <c r="L170" s="242"/>
      <c r="M170" s="252"/>
      <c r="N170" s="244"/>
      <c r="O170" s="245"/>
      <c r="P170" s="246"/>
      <c r="Q170" s="247"/>
      <c r="R170" s="248"/>
      <c r="S170" s="169"/>
      <c r="T170" s="169"/>
      <c r="U170" s="169"/>
      <c r="V170" s="169"/>
      <c r="W170" s="169"/>
      <c r="X170" s="169"/>
      <c r="Y170" s="249"/>
      <c r="Z170" s="250"/>
      <c r="AA170" s="257"/>
      <c r="AB170" s="251"/>
      <c r="AC170" s="247"/>
      <c r="AD170" s="191"/>
      <c r="AF170" s="259"/>
      <c r="AG170" s="260"/>
      <c r="AH170" s="260"/>
      <c r="AI170" s="261"/>
      <c r="AJ170" s="260"/>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EG170" s="1"/>
      <c r="EH170" s="1"/>
      <c r="EI170" s="1"/>
      <c r="EJ170" s="1"/>
      <c r="EK170" s="1"/>
      <c r="EL170" s="1"/>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c r="GF170" s="1"/>
      <c r="GG170" s="1"/>
      <c r="GH170" s="1"/>
      <c r="GI170" s="1"/>
      <c r="GJ170" s="1"/>
      <c r="GK170" s="1"/>
      <c r="GL170" s="1"/>
      <c r="GM170" s="1"/>
      <c r="GN170" s="1"/>
      <c r="GO170" s="1"/>
      <c r="GP170" s="1"/>
      <c r="GQ170" s="1"/>
      <c r="GR170" s="1"/>
      <c r="GS170" s="1"/>
      <c r="GT170" s="1"/>
      <c r="GU170" s="1"/>
      <c r="GV170" s="1"/>
      <c r="GW170" s="1"/>
      <c r="GX170" s="1"/>
      <c r="GY170" s="1"/>
      <c r="GZ170" s="1"/>
      <c r="HA170" s="1"/>
      <c r="HB170" s="1"/>
      <c r="HC170" s="1"/>
      <c r="HD170" s="1"/>
      <c r="HE170" s="1"/>
      <c r="HF170" s="1"/>
      <c r="HG170" s="1"/>
      <c r="HH170" s="1"/>
      <c r="HI170" s="1"/>
      <c r="HJ170" s="1"/>
      <c r="HK170" s="1"/>
      <c r="HL170" s="1"/>
    </row>
    <row r="171" spans="1:220" s="258" customFormat="1" ht="17.100000000000001" customHeight="1" x14ac:dyDescent="0.25">
      <c r="A171"/>
      <c r="B171" s="234"/>
      <c r="C171" s="238"/>
      <c r="D171" s="235"/>
      <c r="E171" s="239"/>
      <c r="F171" s="240"/>
      <c r="G171" s="167"/>
      <c r="H171" s="241"/>
      <c r="I171" s="86"/>
      <c r="J171" s="169"/>
      <c r="K171" s="132"/>
      <c r="L171" s="242"/>
      <c r="M171" s="252"/>
      <c r="N171" s="244"/>
      <c r="O171" s="245"/>
      <c r="P171" s="246"/>
      <c r="Q171" s="247"/>
      <c r="R171" s="248"/>
      <c r="S171" s="169"/>
      <c r="T171" s="169"/>
      <c r="U171" s="169"/>
      <c r="V171" s="169"/>
      <c r="W171" s="169"/>
      <c r="X171" s="169"/>
      <c r="Y171" s="249"/>
      <c r="Z171" s="250"/>
      <c r="AA171" s="257"/>
      <c r="AB171" s="251"/>
      <c r="AC171" s="247"/>
      <c r="AD171" s="191"/>
      <c r="AF171" s="259"/>
      <c r="AG171" s="260"/>
      <c r="AH171" s="260"/>
      <c r="AI171" s="261"/>
      <c r="AJ171" s="260"/>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EG171" s="1"/>
      <c r="EH171" s="1"/>
      <c r="EI171" s="1"/>
      <c r="EJ171" s="1"/>
      <c r="EK171" s="1"/>
      <c r="EL171" s="1"/>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c r="GF171" s="1"/>
      <c r="GG171" s="1"/>
      <c r="GH171" s="1"/>
      <c r="GI171" s="1"/>
      <c r="GJ171" s="1"/>
      <c r="GK171" s="1"/>
      <c r="GL171" s="1"/>
      <c r="GM171" s="1"/>
      <c r="GN171" s="1"/>
      <c r="GO171" s="1"/>
      <c r="GP171" s="1"/>
      <c r="GQ171" s="1"/>
      <c r="GR171" s="1"/>
      <c r="GS171" s="1"/>
      <c r="GT171" s="1"/>
      <c r="GU171" s="1"/>
      <c r="GV171" s="1"/>
      <c r="GW171" s="1"/>
      <c r="GX171" s="1"/>
      <c r="GY171" s="1"/>
      <c r="GZ171" s="1"/>
      <c r="HA171" s="1"/>
      <c r="HB171" s="1"/>
      <c r="HC171" s="1"/>
      <c r="HD171" s="1"/>
      <c r="HE171" s="1"/>
      <c r="HF171" s="1"/>
      <c r="HG171" s="1"/>
      <c r="HH171" s="1"/>
      <c r="HI171" s="1"/>
      <c r="HJ171" s="1"/>
      <c r="HK171" s="1"/>
      <c r="HL171" s="1"/>
    </row>
    <row r="172" spans="1:220" s="258" customFormat="1" ht="17.100000000000001" customHeight="1" x14ac:dyDescent="0.25">
      <c r="A172"/>
      <c r="B172" s="234"/>
      <c r="C172" s="238"/>
      <c r="D172" s="235"/>
      <c r="E172" s="239"/>
      <c r="F172" s="240"/>
      <c r="G172" s="167"/>
      <c r="H172" s="241"/>
      <c r="I172" s="86"/>
      <c r="J172" s="169"/>
      <c r="K172" s="132"/>
      <c r="L172" s="242"/>
      <c r="M172" s="252"/>
      <c r="N172" s="244"/>
      <c r="O172" s="245"/>
      <c r="P172" s="246"/>
      <c r="Q172" s="247"/>
      <c r="R172" s="248"/>
      <c r="S172" s="169"/>
      <c r="T172" s="169"/>
      <c r="U172" s="169"/>
      <c r="V172" s="169"/>
      <c r="W172" s="169"/>
      <c r="X172" s="169"/>
      <c r="Y172" s="249"/>
      <c r="Z172" s="250"/>
      <c r="AA172" s="257"/>
      <c r="AB172" s="251"/>
      <c r="AC172" s="247"/>
      <c r="AD172" s="191"/>
      <c r="AF172" s="259"/>
      <c r="AG172" s="260"/>
      <c r="AH172" s="260"/>
      <c r="AI172" s="261"/>
      <c r="AJ172" s="260"/>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EG172" s="1"/>
      <c r="EH172" s="1"/>
      <c r="EI172" s="1"/>
      <c r="EJ172" s="1"/>
      <c r="EK172" s="1"/>
      <c r="EL172" s="1"/>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c r="GF172" s="1"/>
      <c r="GG172" s="1"/>
      <c r="GH172" s="1"/>
      <c r="GI172" s="1"/>
      <c r="GJ172" s="1"/>
      <c r="GK172" s="1"/>
      <c r="GL172" s="1"/>
      <c r="GM172" s="1"/>
      <c r="GN172" s="1"/>
      <c r="GO172" s="1"/>
      <c r="GP172" s="1"/>
      <c r="GQ172" s="1"/>
      <c r="GR172" s="1"/>
      <c r="GS172" s="1"/>
      <c r="GT172" s="1"/>
      <c r="GU172" s="1"/>
      <c r="GV172" s="1"/>
      <c r="GW172" s="1"/>
      <c r="GX172" s="1"/>
      <c r="GY172" s="1"/>
      <c r="GZ172" s="1"/>
      <c r="HA172" s="1"/>
      <c r="HB172" s="1"/>
      <c r="HC172" s="1"/>
      <c r="HD172" s="1"/>
      <c r="HE172" s="1"/>
      <c r="HF172" s="1"/>
      <c r="HG172" s="1"/>
      <c r="HH172" s="1"/>
      <c r="HI172" s="1"/>
      <c r="HJ172" s="1"/>
      <c r="HK172" s="1"/>
      <c r="HL172" s="1"/>
    </row>
    <row r="173" spans="1:220" s="258" customFormat="1" ht="17.100000000000001" customHeight="1" x14ac:dyDescent="0.25">
      <c r="A173"/>
      <c r="B173" s="234"/>
      <c r="C173" s="238"/>
      <c r="D173" s="235"/>
      <c r="E173" s="239"/>
      <c r="F173" s="240"/>
      <c r="G173" s="167"/>
      <c r="H173" s="241"/>
      <c r="I173" s="86"/>
      <c r="J173" s="169"/>
      <c r="K173" s="132"/>
      <c r="L173" s="242"/>
      <c r="M173" s="252"/>
      <c r="N173" s="244"/>
      <c r="O173" s="245"/>
      <c r="P173" s="246"/>
      <c r="Q173" s="247"/>
      <c r="R173" s="248"/>
      <c r="S173" s="169"/>
      <c r="T173" s="169"/>
      <c r="U173" s="169"/>
      <c r="V173" s="169"/>
      <c r="W173" s="169"/>
      <c r="X173" s="169"/>
      <c r="Y173" s="249"/>
      <c r="Z173" s="250"/>
      <c r="AA173" s="257"/>
      <c r="AB173" s="251"/>
      <c r="AC173" s="247"/>
      <c r="AD173" s="191"/>
      <c r="AF173" s="259"/>
      <c r="AG173" s="260"/>
      <c r="AH173" s="260"/>
      <c r="AI173" s="261"/>
      <c r="AJ173" s="260"/>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EG173" s="1"/>
      <c r="EH173" s="1"/>
      <c r="EI173" s="1"/>
      <c r="EJ173" s="1"/>
      <c r="EK173" s="1"/>
      <c r="EL173" s="1"/>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c r="GF173" s="1"/>
      <c r="GG173" s="1"/>
      <c r="GH173" s="1"/>
      <c r="GI173" s="1"/>
      <c r="GJ173" s="1"/>
      <c r="GK173" s="1"/>
      <c r="GL173" s="1"/>
      <c r="GM173" s="1"/>
      <c r="GN173" s="1"/>
      <c r="GO173" s="1"/>
      <c r="GP173" s="1"/>
      <c r="GQ173" s="1"/>
      <c r="GR173" s="1"/>
      <c r="GS173" s="1"/>
      <c r="GT173" s="1"/>
      <c r="GU173" s="1"/>
      <c r="GV173" s="1"/>
      <c r="GW173" s="1"/>
      <c r="GX173" s="1"/>
      <c r="GY173" s="1"/>
      <c r="GZ173" s="1"/>
      <c r="HA173" s="1"/>
      <c r="HB173" s="1"/>
      <c r="HC173" s="1"/>
      <c r="HD173" s="1"/>
      <c r="HE173" s="1"/>
      <c r="HF173" s="1"/>
      <c r="HG173" s="1"/>
      <c r="HH173" s="1"/>
      <c r="HI173" s="1"/>
      <c r="HJ173" s="1"/>
      <c r="HK173" s="1"/>
      <c r="HL173" s="1"/>
    </row>
    <row r="174" spans="1:220" s="258" customFormat="1" ht="17.100000000000001" customHeight="1" x14ac:dyDescent="0.25">
      <c r="A174"/>
      <c r="B174" s="234"/>
      <c r="C174" s="238"/>
      <c r="D174" s="235"/>
      <c r="E174" s="239"/>
      <c r="F174" s="240"/>
      <c r="G174" s="167"/>
      <c r="H174" s="241"/>
      <c r="I174" s="86"/>
      <c r="J174" s="169"/>
      <c r="K174" s="132"/>
      <c r="L174" s="242"/>
      <c r="M174" s="252"/>
      <c r="N174" s="244"/>
      <c r="O174" s="245"/>
      <c r="P174" s="246"/>
      <c r="Q174" s="247"/>
      <c r="R174" s="248"/>
      <c r="S174" s="169"/>
      <c r="T174" s="169"/>
      <c r="U174" s="169"/>
      <c r="V174" s="169"/>
      <c r="W174" s="169"/>
      <c r="X174" s="169"/>
      <c r="Y174" s="249"/>
      <c r="Z174" s="250"/>
      <c r="AA174" s="257"/>
      <c r="AB174" s="251"/>
      <c r="AC174" s="247"/>
      <c r="AD174" s="191"/>
      <c r="AF174" s="259"/>
      <c r="AG174" s="260"/>
      <c r="AH174" s="260"/>
      <c r="AI174" s="261"/>
      <c r="AJ174" s="260"/>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EG174" s="1"/>
      <c r="EH174" s="1"/>
      <c r="EI174" s="1"/>
      <c r="EJ174" s="1"/>
      <c r="EK174" s="1"/>
      <c r="EL174" s="1"/>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c r="GF174" s="1"/>
      <c r="GG174" s="1"/>
      <c r="GH174" s="1"/>
      <c r="GI174" s="1"/>
      <c r="GJ174" s="1"/>
      <c r="GK174" s="1"/>
      <c r="GL174" s="1"/>
      <c r="GM174" s="1"/>
      <c r="GN174" s="1"/>
      <c r="GO174" s="1"/>
      <c r="GP174" s="1"/>
      <c r="GQ174" s="1"/>
      <c r="GR174" s="1"/>
      <c r="GS174" s="1"/>
      <c r="GT174" s="1"/>
      <c r="GU174" s="1"/>
      <c r="GV174" s="1"/>
      <c r="GW174" s="1"/>
      <c r="GX174" s="1"/>
      <c r="GY174" s="1"/>
      <c r="GZ174" s="1"/>
      <c r="HA174" s="1"/>
      <c r="HB174" s="1"/>
      <c r="HC174" s="1"/>
      <c r="HD174" s="1"/>
      <c r="HE174" s="1"/>
      <c r="HF174" s="1"/>
      <c r="HG174" s="1"/>
      <c r="HH174" s="1"/>
      <c r="HI174" s="1"/>
      <c r="HJ174" s="1"/>
      <c r="HK174" s="1"/>
      <c r="HL174" s="1"/>
    </row>
    <row r="175" spans="1:220" s="258" customFormat="1" ht="17.100000000000001" customHeight="1" x14ac:dyDescent="0.25">
      <c r="A175"/>
      <c r="B175" s="234"/>
      <c r="C175" s="238"/>
      <c r="D175" s="235"/>
      <c r="E175" s="239"/>
      <c r="F175" s="240"/>
      <c r="G175" s="167"/>
      <c r="H175" s="241"/>
      <c r="I175" s="86"/>
      <c r="J175" s="169"/>
      <c r="K175" s="132"/>
      <c r="L175" s="242"/>
      <c r="M175" s="252"/>
      <c r="N175" s="244"/>
      <c r="O175" s="245"/>
      <c r="P175" s="246"/>
      <c r="Q175" s="247"/>
      <c r="R175" s="248"/>
      <c r="S175" s="169"/>
      <c r="T175" s="169"/>
      <c r="U175" s="169"/>
      <c r="V175" s="169"/>
      <c r="W175" s="169"/>
      <c r="X175" s="169"/>
      <c r="Y175" s="249"/>
      <c r="Z175" s="250"/>
      <c r="AA175" s="257"/>
      <c r="AB175" s="251"/>
      <c r="AC175" s="247"/>
      <c r="AD175" s="191"/>
      <c r="AF175" s="259"/>
      <c r="AG175" s="260"/>
      <c r="AH175" s="260"/>
      <c r="AI175" s="261"/>
      <c r="AJ175" s="260"/>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EG175" s="1"/>
      <c r="EH175" s="1"/>
      <c r="EI175" s="1"/>
      <c r="EJ175" s="1"/>
      <c r="EK175" s="1"/>
      <c r="EL175" s="1"/>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c r="GF175" s="1"/>
      <c r="GG175" s="1"/>
      <c r="GH175" s="1"/>
      <c r="GI175" s="1"/>
      <c r="GJ175" s="1"/>
      <c r="GK175" s="1"/>
      <c r="GL175" s="1"/>
      <c r="GM175" s="1"/>
      <c r="GN175" s="1"/>
      <c r="GO175" s="1"/>
      <c r="GP175" s="1"/>
      <c r="GQ175" s="1"/>
      <c r="GR175" s="1"/>
      <c r="GS175" s="1"/>
      <c r="GT175" s="1"/>
      <c r="GU175" s="1"/>
      <c r="GV175" s="1"/>
      <c r="GW175" s="1"/>
      <c r="GX175" s="1"/>
      <c r="GY175" s="1"/>
      <c r="GZ175" s="1"/>
      <c r="HA175" s="1"/>
      <c r="HB175" s="1"/>
      <c r="HC175" s="1"/>
      <c r="HD175" s="1"/>
      <c r="HE175" s="1"/>
      <c r="HF175" s="1"/>
      <c r="HG175" s="1"/>
      <c r="HH175" s="1"/>
      <c r="HI175" s="1"/>
      <c r="HJ175" s="1"/>
      <c r="HK175" s="1"/>
      <c r="HL175" s="1"/>
    </row>
    <row r="176" spans="1:220" s="258" customFormat="1" ht="17.100000000000001" customHeight="1" x14ac:dyDescent="0.25">
      <c r="A176"/>
      <c r="B176" s="234"/>
      <c r="C176" s="238"/>
      <c r="D176" s="235"/>
      <c r="E176" s="239"/>
      <c r="F176" s="240"/>
      <c r="G176" s="167"/>
      <c r="H176" s="241"/>
      <c r="I176" s="86"/>
      <c r="J176" s="169"/>
      <c r="K176" s="132"/>
      <c r="L176" s="242"/>
      <c r="M176" s="252"/>
      <c r="N176" s="244"/>
      <c r="O176" s="245"/>
      <c r="P176" s="246"/>
      <c r="Q176" s="247"/>
      <c r="R176" s="248"/>
      <c r="S176" s="169"/>
      <c r="T176" s="169"/>
      <c r="U176" s="169"/>
      <c r="V176" s="169"/>
      <c r="W176" s="169"/>
      <c r="X176" s="169"/>
      <c r="Y176" s="249"/>
      <c r="Z176" s="250"/>
      <c r="AA176" s="257"/>
      <c r="AB176" s="251"/>
      <c r="AC176" s="247"/>
      <c r="AD176" s="191"/>
      <c r="AF176" s="259"/>
      <c r="AG176" s="260"/>
      <c r="AH176" s="260"/>
      <c r="AI176" s="261"/>
      <c r="AJ176" s="260"/>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EG176" s="1"/>
      <c r="EH176" s="1"/>
      <c r="EI176" s="1"/>
      <c r="EJ176" s="1"/>
      <c r="EK176" s="1"/>
      <c r="EL176" s="1"/>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c r="GF176" s="1"/>
      <c r="GG176" s="1"/>
      <c r="GH176" s="1"/>
      <c r="GI176" s="1"/>
      <c r="GJ176" s="1"/>
      <c r="GK176" s="1"/>
      <c r="GL176" s="1"/>
      <c r="GM176" s="1"/>
      <c r="GN176" s="1"/>
      <c r="GO176" s="1"/>
      <c r="GP176" s="1"/>
      <c r="GQ176" s="1"/>
      <c r="GR176" s="1"/>
      <c r="GS176" s="1"/>
      <c r="GT176" s="1"/>
      <c r="GU176" s="1"/>
      <c r="GV176" s="1"/>
      <c r="GW176" s="1"/>
      <c r="GX176" s="1"/>
      <c r="GY176" s="1"/>
      <c r="GZ176" s="1"/>
      <c r="HA176" s="1"/>
      <c r="HB176" s="1"/>
      <c r="HC176" s="1"/>
      <c r="HD176" s="1"/>
      <c r="HE176" s="1"/>
      <c r="HF176" s="1"/>
      <c r="HG176" s="1"/>
      <c r="HH176" s="1"/>
      <c r="HI176" s="1"/>
      <c r="HJ176" s="1"/>
      <c r="HK176" s="1"/>
      <c r="HL176" s="1"/>
    </row>
    <row r="177" spans="1:220" s="258" customFormat="1" ht="17.100000000000001" customHeight="1" x14ac:dyDescent="0.25">
      <c r="A177"/>
      <c r="B177" s="234"/>
      <c r="C177" s="238"/>
      <c r="D177" s="235"/>
      <c r="E177" s="239"/>
      <c r="F177" s="240"/>
      <c r="G177" s="167"/>
      <c r="H177" s="241"/>
      <c r="I177" s="86"/>
      <c r="J177" s="169"/>
      <c r="K177" s="132"/>
      <c r="L177" s="242"/>
      <c r="M177" s="252"/>
      <c r="N177" s="244"/>
      <c r="O177" s="245"/>
      <c r="P177" s="246"/>
      <c r="Q177" s="247"/>
      <c r="R177" s="248"/>
      <c r="S177" s="169"/>
      <c r="T177" s="169"/>
      <c r="U177" s="169"/>
      <c r="V177" s="169"/>
      <c r="W177" s="169"/>
      <c r="X177" s="169"/>
      <c r="Y177" s="249"/>
      <c r="Z177" s="250"/>
      <c r="AA177" s="257"/>
      <c r="AB177" s="251"/>
      <c r="AC177" s="247"/>
      <c r="AD177" s="191"/>
      <c r="AF177" s="259"/>
      <c r="AG177" s="260"/>
      <c r="AH177" s="260"/>
      <c r="AI177" s="261"/>
      <c r="AJ177" s="260"/>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EG177" s="1"/>
      <c r="EH177" s="1"/>
      <c r="EI177" s="1"/>
      <c r="EJ177" s="1"/>
      <c r="EK177" s="1"/>
      <c r="EL177" s="1"/>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c r="GF177" s="1"/>
      <c r="GG177" s="1"/>
      <c r="GH177" s="1"/>
      <c r="GI177" s="1"/>
      <c r="GJ177" s="1"/>
      <c r="GK177" s="1"/>
      <c r="GL177" s="1"/>
      <c r="GM177" s="1"/>
      <c r="GN177" s="1"/>
      <c r="GO177" s="1"/>
      <c r="GP177" s="1"/>
      <c r="GQ177" s="1"/>
      <c r="GR177" s="1"/>
      <c r="GS177" s="1"/>
      <c r="GT177" s="1"/>
      <c r="GU177" s="1"/>
      <c r="GV177" s="1"/>
      <c r="GW177" s="1"/>
      <c r="GX177" s="1"/>
      <c r="GY177" s="1"/>
      <c r="GZ177" s="1"/>
      <c r="HA177" s="1"/>
      <c r="HB177" s="1"/>
      <c r="HC177" s="1"/>
      <c r="HD177" s="1"/>
      <c r="HE177" s="1"/>
      <c r="HF177" s="1"/>
      <c r="HG177" s="1"/>
      <c r="HH177" s="1"/>
      <c r="HI177" s="1"/>
      <c r="HJ177" s="1"/>
      <c r="HK177" s="1"/>
      <c r="HL177" s="1"/>
    </row>
    <row r="178" spans="1:220" s="258" customFormat="1" ht="17.100000000000001" customHeight="1" x14ac:dyDescent="0.25">
      <c r="A178"/>
      <c r="B178" s="234"/>
      <c r="C178" s="238"/>
      <c r="D178" s="235"/>
      <c r="E178" s="239"/>
      <c r="F178" s="240"/>
      <c r="G178" s="167"/>
      <c r="H178" s="241"/>
      <c r="I178" s="86"/>
      <c r="J178" s="169"/>
      <c r="K178" s="132"/>
      <c r="L178" s="242"/>
      <c r="M178" s="252"/>
      <c r="N178" s="244"/>
      <c r="O178" s="245"/>
      <c r="P178" s="246"/>
      <c r="Q178" s="247"/>
      <c r="R178" s="248"/>
      <c r="S178" s="169"/>
      <c r="T178" s="169"/>
      <c r="U178" s="169"/>
      <c r="V178" s="169"/>
      <c r="W178" s="169"/>
      <c r="X178" s="169"/>
      <c r="Y178" s="249"/>
      <c r="Z178" s="250"/>
      <c r="AA178" s="257"/>
      <c r="AB178" s="251"/>
      <c r="AC178" s="247"/>
      <c r="AD178" s="191"/>
      <c r="AF178" s="259"/>
      <c r="AG178" s="260"/>
      <c r="AH178" s="260"/>
      <c r="AI178" s="261"/>
      <c r="AJ178" s="260"/>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EG178" s="1"/>
      <c r="EH178" s="1"/>
      <c r="EI178" s="1"/>
      <c r="EJ178" s="1"/>
      <c r="EK178" s="1"/>
      <c r="EL178" s="1"/>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c r="GF178" s="1"/>
      <c r="GG178" s="1"/>
      <c r="GH178" s="1"/>
      <c r="GI178" s="1"/>
      <c r="GJ178" s="1"/>
      <c r="GK178" s="1"/>
      <c r="GL178" s="1"/>
      <c r="GM178" s="1"/>
      <c r="GN178" s="1"/>
      <c r="GO178" s="1"/>
      <c r="GP178" s="1"/>
      <c r="GQ178" s="1"/>
      <c r="GR178" s="1"/>
      <c r="GS178" s="1"/>
      <c r="GT178" s="1"/>
      <c r="GU178" s="1"/>
      <c r="GV178" s="1"/>
      <c r="GW178" s="1"/>
      <c r="GX178" s="1"/>
      <c r="GY178" s="1"/>
      <c r="GZ178" s="1"/>
      <c r="HA178" s="1"/>
      <c r="HB178" s="1"/>
      <c r="HC178" s="1"/>
      <c r="HD178" s="1"/>
      <c r="HE178" s="1"/>
      <c r="HF178" s="1"/>
      <c r="HG178" s="1"/>
      <c r="HH178" s="1"/>
      <c r="HI178" s="1"/>
      <c r="HJ178" s="1"/>
      <c r="HK178" s="1"/>
      <c r="HL178" s="1"/>
    </row>
    <row r="179" spans="1:220" s="258" customFormat="1" ht="17.100000000000001" customHeight="1" x14ac:dyDescent="0.25">
      <c r="A179"/>
      <c r="B179" s="234"/>
      <c r="C179" s="238"/>
      <c r="D179" s="235"/>
      <c r="E179" s="239"/>
      <c r="F179" s="240"/>
      <c r="G179" s="167"/>
      <c r="H179" s="241"/>
      <c r="I179" s="86"/>
      <c r="J179" s="169"/>
      <c r="K179" s="132"/>
      <c r="L179" s="242"/>
      <c r="M179" s="252"/>
      <c r="N179" s="244"/>
      <c r="O179" s="245"/>
      <c r="P179" s="246"/>
      <c r="Q179" s="247"/>
      <c r="R179" s="248"/>
      <c r="S179" s="169"/>
      <c r="T179" s="169"/>
      <c r="U179" s="169"/>
      <c r="V179" s="169"/>
      <c r="W179" s="169"/>
      <c r="X179" s="169"/>
      <c r="Y179" s="249"/>
      <c r="Z179" s="250"/>
      <c r="AA179" s="257"/>
      <c r="AB179" s="251"/>
      <c r="AC179" s="247"/>
      <c r="AD179" s="191"/>
      <c r="AF179" s="259"/>
      <c r="AG179" s="260"/>
      <c r="AH179" s="260"/>
      <c r="AI179" s="261"/>
      <c r="AJ179" s="260"/>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EG179" s="1"/>
      <c r="EH179" s="1"/>
      <c r="EI179" s="1"/>
      <c r="EJ179" s="1"/>
      <c r="EK179" s="1"/>
      <c r="EL179" s="1"/>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c r="GF179" s="1"/>
      <c r="GG179" s="1"/>
      <c r="GH179" s="1"/>
      <c r="GI179" s="1"/>
      <c r="GJ179" s="1"/>
      <c r="GK179" s="1"/>
      <c r="GL179" s="1"/>
      <c r="GM179" s="1"/>
      <c r="GN179" s="1"/>
      <c r="GO179" s="1"/>
      <c r="GP179" s="1"/>
      <c r="GQ179" s="1"/>
      <c r="GR179" s="1"/>
      <c r="GS179" s="1"/>
      <c r="GT179" s="1"/>
      <c r="GU179" s="1"/>
      <c r="GV179" s="1"/>
      <c r="GW179" s="1"/>
      <c r="GX179" s="1"/>
      <c r="GY179" s="1"/>
      <c r="GZ179" s="1"/>
      <c r="HA179" s="1"/>
      <c r="HB179" s="1"/>
      <c r="HC179" s="1"/>
      <c r="HD179" s="1"/>
      <c r="HE179" s="1"/>
      <c r="HF179" s="1"/>
      <c r="HG179" s="1"/>
      <c r="HH179" s="1"/>
      <c r="HI179" s="1"/>
      <c r="HJ179" s="1"/>
      <c r="HK179" s="1"/>
      <c r="HL179" s="1"/>
    </row>
    <row r="180" spans="1:220" s="258" customFormat="1" ht="17.100000000000001" customHeight="1" x14ac:dyDescent="0.25">
      <c r="A180"/>
      <c r="B180" s="234"/>
      <c r="C180" s="238"/>
      <c r="D180" s="235"/>
      <c r="E180" s="239"/>
      <c r="F180" s="240"/>
      <c r="G180" s="167"/>
      <c r="H180" s="241"/>
      <c r="I180" s="86"/>
      <c r="J180" s="169"/>
      <c r="K180" s="132"/>
      <c r="L180" s="242"/>
      <c r="M180" s="252"/>
      <c r="N180" s="244"/>
      <c r="O180" s="245"/>
      <c r="P180" s="246"/>
      <c r="Q180" s="247"/>
      <c r="R180" s="248"/>
      <c r="S180" s="169"/>
      <c r="T180" s="169"/>
      <c r="U180" s="169"/>
      <c r="V180" s="169"/>
      <c r="W180" s="169"/>
      <c r="X180" s="169"/>
      <c r="Y180" s="249"/>
      <c r="Z180" s="250"/>
      <c r="AA180" s="257"/>
      <c r="AB180" s="251"/>
      <c r="AC180" s="247"/>
      <c r="AD180" s="191"/>
      <c r="AF180" s="259"/>
      <c r="AG180" s="260"/>
      <c r="AH180" s="260"/>
      <c r="AI180" s="261"/>
      <c r="AJ180" s="260"/>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EG180" s="1"/>
      <c r="EH180" s="1"/>
      <c r="EI180" s="1"/>
      <c r="EJ180" s="1"/>
      <c r="EK180" s="1"/>
      <c r="EL180" s="1"/>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c r="GF180" s="1"/>
      <c r="GG180" s="1"/>
      <c r="GH180" s="1"/>
      <c r="GI180" s="1"/>
      <c r="GJ180" s="1"/>
      <c r="GK180" s="1"/>
      <c r="GL180" s="1"/>
      <c r="GM180" s="1"/>
      <c r="GN180" s="1"/>
      <c r="GO180" s="1"/>
      <c r="GP180" s="1"/>
      <c r="GQ180" s="1"/>
      <c r="GR180" s="1"/>
      <c r="GS180" s="1"/>
      <c r="GT180" s="1"/>
      <c r="GU180" s="1"/>
      <c r="GV180" s="1"/>
      <c r="GW180" s="1"/>
      <c r="GX180" s="1"/>
      <c r="GY180" s="1"/>
      <c r="GZ180" s="1"/>
      <c r="HA180" s="1"/>
      <c r="HB180" s="1"/>
      <c r="HC180" s="1"/>
      <c r="HD180" s="1"/>
      <c r="HE180" s="1"/>
      <c r="HF180" s="1"/>
      <c r="HG180" s="1"/>
      <c r="HH180" s="1"/>
      <c r="HI180" s="1"/>
      <c r="HJ180" s="1"/>
      <c r="HK180" s="1"/>
      <c r="HL180" s="1"/>
    </row>
    <row r="181" spans="1:220" s="258" customFormat="1" ht="17.100000000000001" customHeight="1" x14ac:dyDescent="0.25">
      <c r="A181"/>
      <c r="B181" s="234"/>
      <c r="C181" s="238"/>
      <c r="D181" s="235"/>
      <c r="E181" s="239"/>
      <c r="F181" s="240"/>
      <c r="G181" s="167"/>
      <c r="H181" s="241"/>
      <c r="I181" s="86"/>
      <c r="J181" s="169"/>
      <c r="K181" s="132"/>
      <c r="L181" s="242"/>
      <c r="M181" s="252"/>
      <c r="N181" s="244"/>
      <c r="O181" s="245"/>
      <c r="P181" s="246"/>
      <c r="Q181" s="247"/>
      <c r="R181" s="248"/>
      <c r="S181" s="169"/>
      <c r="T181" s="169"/>
      <c r="U181" s="169"/>
      <c r="V181" s="169"/>
      <c r="W181" s="169"/>
      <c r="X181" s="169"/>
      <c r="Y181" s="249"/>
      <c r="Z181" s="250"/>
      <c r="AA181" s="257"/>
      <c r="AB181" s="251"/>
      <c r="AC181" s="247"/>
      <c r="AD181" s="191"/>
      <c r="AF181" s="259"/>
      <c r="AG181" s="260"/>
      <c r="AH181" s="260"/>
      <c r="AI181" s="261"/>
      <c r="AJ181" s="260"/>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EG181" s="1"/>
      <c r="EH181" s="1"/>
      <c r="EI181" s="1"/>
      <c r="EJ181" s="1"/>
      <c r="EK181" s="1"/>
      <c r="EL181" s="1"/>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c r="GF181" s="1"/>
      <c r="GG181" s="1"/>
      <c r="GH181" s="1"/>
      <c r="GI181" s="1"/>
      <c r="GJ181" s="1"/>
      <c r="GK181" s="1"/>
      <c r="GL181" s="1"/>
      <c r="GM181" s="1"/>
      <c r="GN181" s="1"/>
      <c r="GO181" s="1"/>
      <c r="GP181" s="1"/>
      <c r="GQ181" s="1"/>
      <c r="GR181" s="1"/>
      <c r="GS181" s="1"/>
      <c r="GT181" s="1"/>
      <c r="GU181" s="1"/>
      <c r="GV181" s="1"/>
      <c r="GW181" s="1"/>
      <c r="GX181" s="1"/>
      <c r="GY181" s="1"/>
      <c r="GZ181" s="1"/>
      <c r="HA181" s="1"/>
      <c r="HB181" s="1"/>
      <c r="HC181" s="1"/>
      <c r="HD181" s="1"/>
      <c r="HE181" s="1"/>
      <c r="HF181" s="1"/>
      <c r="HG181" s="1"/>
      <c r="HH181" s="1"/>
      <c r="HI181" s="1"/>
      <c r="HJ181" s="1"/>
      <c r="HK181" s="1"/>
      <c r="HL181" s="1"/>
    </row>
    <row r="182" spans="1:220" s="258" customFormat="1" ht="17.100000000000001" customHeight="1" x14ac:dyDescent="0.25">
      <c r="A182"/>
      <c r="B182" s="234"/>
      <c r="C182" s="238"/>
      <c r="D182" s="235"/>
      <c r="E182" s="239"/>
      <c r="F182" s="240"/>
      <c r="G182" s="167"/>
      <c r="H182" s="241"/>
      <c r="I182" s="86"/>
      <c r="J182" s="169"/>
      <c r="K182" s="132"/>
      <c r="L182" s="242"/>
      <c r="M182" s="252"/>
      <c r="N182" s="244"/>
      <c r="O182" s="245"/>
      <c r="P182" s="246"/>
      <c r="Q182" s="247"/>
      <c r="R182" s="248"/>
      <c r="S182" s="169"/>
      <c r="T182" s="169"/>
      <c r="U182" s="169"/>
      <c r="V182" s="169"/>
      <c r="W182" s="169"/>
      <c r="X182" s="169"/>
      <c r="Y182" s="249"/>
      <c r="Z182" s="250"/>
      <c r="AA182" s="257"/>
      <c r="AB182" s="251"/>
      <c r="AC182" s="247"/>
      <c r="AD182" s="191"/>
      <c r="AF182" s="259"/>
      <c r="AG182" s="260"/>
      <c r="AH182" s="260"/>
      <c r="AI182" s="261"/>
      <c r="AJ182" s="260"/>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EG182" s="1"/>
      <c r="EH182" s="1"/>
      <c r="EI182" s="1"/>
      <c r="EJ182" s="1"/>
      <c r="EK182" s="1"/>
      <c r="EL182" s="1"/>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c r="GF182" s="1"/>
      <c r="GG182" s="1"/>
      <c r="GH182" s="1"/>
      <c r="GI182" s="1"/>
      <c r="GJ182" s="1"/>
      <c r="GK182" s="1"/>
      <c r="GL182" s="1"/>
      <c r="GM182" s="1"/>
      <c r="GN182" s="1"/>
      <c r="GO182" s="1"/>
      <c r="GP182" s="1"/>
      <c r="GQ182" s="1"/>
      <c r="GR182" s="1"/>
      <c r="GS182" s="1"/>
      <c r="GT182" s="1"/>
      <c r="GU182" s="1"/>
      <c r="GV182" s="1"/>
      <c r="GW182" s="1"/>
      <c r="GX182" s="1"/>
      <c r="GY182" s="1"/>
      <c r="GZ182" s="1"/>
      <c r="HA182" s="1"/>
      <c r="HB182" s="1"/>
      <c r="HC182" s="1"/>
      <c r="HD182" s="1"/>
      <c r="HE182" s="1"/>
      <c r="HF182" s="1"/>
      <c r="HG182" s="1"/>
      <c r="HH182" s="1"/>
      <c r="HI182" s="1"/>
      <c r="HJ182" s="1"/>
      <c r="HK182" s="1"/>
      <c r="HL182" s="1"/>
    </row>
    <row r="183" spans="1:220" s="258" customFormat="1" ht="17.100000000000001" customHeight="1" x14ac:dyDescent="0.25">
      <c r="A183"/>
      <c r="B183" s="234"/>
      <c r="C183" s="238"/>
      <c r="D183" s="235"/>
      <c r="E183" s="239"/>
      <c r="F183" s="240"/>
      <c r="G183" s="167"/>
      <c r="H183" s="241"/>
      <c r="I183" s="86"/>
      <c r="J183" s="169"/>
      <c r="K183" s="132"/>
      <c r="L183" s="242"/>
      <c r="M183" s="252"/>
      <c r="N183" s="244"/>
      <c r="O183" s="245"/>
      <c r="P183" s="246"/>
      <c r="Q183" s="247"/>
      <c r="R183" s="248"/>
      <c r="S183" s="169"/>
      <c r="T183" s="169"/>
      <c r="U183" s="169"/>
      <c r="V183" s="169"/>
      <c r="W183" s="169"/>
      <c r="X183" s="169"/>
      <c r="Y183" s="249"/>
      <c r="Z183" s="250"/>
      <c r="AA183" s="257"/>
      <c r="AB183" s="251"/>
      <c r="AC183" s="247"/>
      <c r="AD183" s="191"/>
      <c r="AF183" s="259"/>
      <c r="AG183" s="260"/>
      <c r="AH183" s="260"/>
      <c r="AI183" s="261"/>
      <c r="AJ183" s="260"/>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EG183" s="1"/>
      <c r="EH183" s="1"/>
      <c r="EI183" s="1"/>
      <c r="EJ183" s="1"/>
      <c r="EK183" s="1"/>
      <c r="EL183" s="1"/>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c r="GF183" s="1"/>
      <c r="GG183" s="1"/>
      <c r="GH183" s="1"/>
      <c r="GI183" s="1"/>
      <c r="GJ183" s="1"/>
      <c r="GK183" s="1"/>
      <c r="GL183" s="1"/>
      <c r="GM183" s="1"/>
      <c r="GN183" s="1"/>
      <c r="GO183" s="1"/>
      <c r="GP183" s="1"/>
      <c r="GQ183" s="1"/>
      <c r="GR183" s="1"/>
      <c r="GS183" s="1"/>
      <c r="GT183" s="1"/>
      <c r="GU183" s="1"/>
      <c r="GV183" s="1"/>
      <c r="GW183" s="1"/>
      <c r="GX183" s="1"/>
      <c r="GY183" s="1"/>
      <c r="GZ183" s="1"/>
      <c r="HA183" s="1"/>
      <c r="HB183" s="1"/>
      <c r="HC183" s="1"/>
      <c r="HD183" s="1"/>
      <c r="HE183" s="1"/>
      <c r="HF183" s="1"/>
      <c r="HG183" s="1"/>
      <c r="HH183" s="1"/>
      <c r="HI183" s="1"/>
      <c r="HJ183" s="1"/>
      <c r="HK183" s="1"/>
      <c r="HL183" s="1"/>
    </row>
    <row r="184" spans="1:220" s="258" customFormat="1" ht="17.100000000000001" customHeight="1" x14ac:dyDescent="0.25">
      <c r="A184"/>
      <c r="B184" s="234"/>
      <c r="C184" s="238"/>
      <c r="D184" s="235"/>
      <c r="E184" s="239"/>
      <c r="F184" s="240"/>
      <c r="G184" s="167"/>
      <c r="H184" s="241"/>
      <c r="I184" s="86"/>
      <c r="J184" s="169"/>
      <c r="K184" s="132"/>
      <c r="L184" s="242"/>
      <c r="M184" s="252"/>
      <c r="N184" s="244"/>
      <c r="O184" s="245"/>
      <c r="P184" s="246"/>
      <c r="Q184" s="247"/>
      <c r="R184" s="248"/>
      <c r="S184" s="169"/>
      <c r="T184" s="169"/>
      <c r="U184" s="169"/>
      <c r="V184" s="169"/>
      <c r="W184" s="169"/>
      <c r="X184" s="169"/>
      <c r="Y184" s="249"/>
      <c r="Z184" s="250"/>
      <c r="AA184" s="257"/>
      <c r="AB184" s="251"/>
      <c r="AC184" s="247"/>
      <c r="AD184" s="191"/>
      <c r="AF184" s="259"/>
      <c r="AG184" s="260"/>
      <c r="AH184" s="260"/>
      <c r="AI184" s="261"/>
      <c r="AJ184" s="260"/>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EG184" s="1"/>
      <c r="EH184" s="1"/>
      <c r="EI184" s="1"/>
      <c r="EJ184" s="1"/>
      <c r="EK184" s="1"/>
      <c r="EL184" s="1"/>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c r="GF184" s="1"/>
      <c r="GG184" s="1"/>
      <c r="GH184" s="1"/>
      <c r="GI184" s="1"/>
      <c r="GJ184" s="1"/>
      <c r="GK184" s="1"/>
      <c r="GL184" s="1"/>
      <c r="GM184" s="1"/>
      <c r="GN184" s="1"/>
      <c r="GO184" s="1"/>
      <c r="GP184" s="1"/>
      <c r="GQ184" s="1"/>
      <c r="GR184" s="1"/>
      <c r="GS184" s="1"/>
      <c r="GT184" s="1"/>
      <c r="GU184" s="1"/>
      <c r="GV184" s="1"/>
      <c r="GW184" s="1"/>
      <c r="GX184" s="1"/>
      <c r="GY184" s="1"/>
      <c r="GZ184" s="1"/>
      <c r="HA184" s="1"/>
      <c r="HB184" s="1"/>
      <c r="HC184" s="1"/>
      <c r="HD184" s="1"/>
      <c r="HE184" s="1"/>
      <c r="HF184" s="1"/>
      <c r="HG184" s="1"/>
      <c r="HH184" s="1"/>
      <c r="HI184" s="1"/>
      <c r="HJ184" s="1"/>
      <c r="HK184" s="1"/>
      <c r="HL184" s="1"/>
    </row>
    <row r="185" spans="1:220" s="258" customFormat="1" ht="17.100000000000001" customHeight="1" x14ac:dyDescent="0.25">
      <c r="A185"/>
      <c r="B185" s="234"/>
      <c r="C185" s="238"/>
      <c r="D185" s="235"/>
      <c r="E185" s="239"/>
      <c r="F185" s="240"/>
      <c r="G185" s="167"/>
      <c r="H185" s="241"/>
      <c r="I185" s="86"/>
      <c r="J185" s="169"/>
      <c r="K185" s="132"/>
      <c r="L185" s="242"/>
      <c r="M185" s="252"/>
      <c r="N185" s="244"/>
      <c r="O185" s="245"/>
      <c r="P185" s="246"/>
      <c r="Q185" s="247"/>
      <c r="R185" s="248"/>
      <c r="S185" s="169"/>
      <c r="T185" s="169"/>
      <c r="U185" s="169"/>
      <c r="V185" s="169"/>
      <c r="W185" s="169"/>
      <c r="X185" s="169"/>
      <c r="Y185" s="249"/>
      <c r="Z185" s="250"/>
      <c r="AA185" s="257"/>
      <c r="AB185" s="251"/>
      <c r="AC185" s="247"/>
      <c r="AD185" s="191"/>
      <c r="AF185" s="259"/>
      <c r="AG185" s="260"/>
      <c r="AH185" s="260"/>
      <c r="AI185" s="261"/>
      <c r="AJ185" s="260"/>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EG185" s="1"/>
      <c r="EH185" s="1"/>
      <c r="EI185" s="1"/>
      <c r="EJ185" s="1"/>
      <c r="EK185" s="1"/>
      <c r="EL185" s="1"/>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c r="GF185" s="1"/>
      <c r="GG185" s="1"/>
      <c r="GH185" s="1"/>
      <c r="GI185" s="1"/>
      <c r="GJ185" s="1"/>
      <c r="GK185" s="1"/>
      <c r="GL185" s="1"/>
      <c r="GM185" s="1"/>
      <c r="GN185" s="1"/>
      <c r="GO185" s="1"/>
      <c r="GP185" s="1"/>
      <c r="GQ185" s="1"/>
      <c r="GR185" s="1"/>
      <c r="GS185" s="1"/>
      <c r="GT185" s="1"/>
      <c r="GU185" s="1"/>
      <c r="GV185" s="1"/>
      <c r="GW185" s="1"/>
      <c r="GX185" s="1"/>
      <c r="GY185" s="1"/>
      <c r="GZ185" s="1"/>
      <c r="HA185" s="1"/>
      <c r="HB185" s="1"/>
      <c r="HC185" s="1"/>
      <c r="HD185" s="1"/>
      <c r="HE185" s="1"/>
      <c r="HF185" s="1"/>
      <c r="HG185" s="1"/>
      <c r="HH185" s="1"/>
      <c r="HI185" s="1"/>
      <c r="HJ185" s="1"/>
      <c r="HK185" s="1"/>
      <c r="HL185" s="1"/>
    </row>
    <row r="186" spans="1:220" s="258" customFormat="1" ht="17.100000000000001" customHeight="1" x14ac:dyDescent="0.25">
      <c r="A186"/>
      <c r="B186" s="234"/>
      <c r="C186" s="238"/>
      <c r="D186" s="235"/>
      <c r="E186" s="239"/>
      <c r="F186" s="240"/>
      <c r="G186" s="167"/>
      <c r="H186" s="241"/>
      <c r="I186" s="86"/>
      <c r="J186" s="169"/>
      <c r="K186" s="132"/>
      <c r="L186" s="242"/>
      <c r="M186" s="252"/>
      <c r="N186" s="244"/>
      <c r="O186" s="245"/>
      <c r="P186" s="246"/>
      <c r="Q186" s="247"/>
      <c r="R186" s="248"/>
      <c r="S186" s="169"/>
      <c r="T186" s="169"/>
      <c r="U186" s="169"/>
      <c r="V186" s="169"/>
      <c r="W186" s="169"/>
      <c r="X186" s="169"/>
      <c r="Y186" s="249"/>
      <c r="Z186" s="250"/>
      <c r="AA186" s="257"/>
      <c r="AB186" s="251"/>
      <c r="AC186" s="247"/>
      <c r="AD186" s="191"/>
      <c r="AF186" s="259"/>
      <c r="AG186" s="260"/>
      <c r="AH186" s="260"/>
      <c r="AI186" s="261"/>
      <c r="AJ186" s="260"/>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EG186" s="1"/>
      <c r="EH186" s="1"/>
      <c r="EI186" s="1"/>
      <c r="EJ186" s="1"/>
      <c r="EK186" s="1"/>
      <c r="EL186" s="1"/>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c r="GF186" s="1"/>
      <c r="GG186" s="1"/>
      <c r="GH186" s="1"/>
      <c r="GI186" s="1"/>
      <c r="GJ186" s="1"/>
      <c r="GK186" s="1"/>
      <c r="GL186" s="1"/>
      <c r="GM186" s="1"/>
      <c r="GN186" s="1"/>
      <c r="GO186" s="1"/>
      <c r="GP186" s="1"/>
      <c r="GQ186" s="1"/>
      <c r="GR186" s="1"/>
      <c r="GS186" s="1"/>
      <c r="GT186" s="1"/>
      <c r="GU186" s="1"/>
      <c r="GV186" s="1"/>
      <c r="GW186" s="1"/>
      <c r="GX186" s="1"/>
      <c r="GY186" s="1"/>
      <c r="GZ186" s="1"/>
      <c r="HA186" s="1"/>
      <c r="HB186" s="1"/>
      <c r="HC186" s="1"/>
      <c r="HD186" s="1"/>
      <c r="HE186" s="1"/>
      <c r="HF186" s="1"/>
      <c r="HG186" s="1"/>
      <c r="HH186" s="1"/>
      <c r="HI186" s="1"/>
      <c r="HJ186" s="1"/>
      <c r="HK186" s="1"/>
      <c r="HL186" s="1"/>
    </row>
    <row r="187" spans="1:220" s="258" customFormat="1" ht="17.100000000000001" customHeight="1" x14ac:dyDescent="0.25">
      <c r="A187"/>
      <c r="B187" s="234"/>
      <c r="C187" s="238"/>
      <c r="D187" s="235"/>
      <c r="E187" s="239"/>
      <c r="F187" s="240"/>
      <c r="G187" s="167"/>
      <c r="H187" s="241"/>
      <c r="I187" s="86"/>
      <c r="J187" s="169"/>
      <c r="K187" s="132"/>
      <c r="L187" s="242"/>
      <c r="M187" s="252"/>
      <c r="N187" s="244"/>
      <c r="O187" s="245"/>
      <c r="P187" s="246"/>
      <c r="Q187" s="247"/>
      <c r="R187" s="248"/>
      <c r="S187" s="169"/>
      <c r="T187" s="169"/>
      <c r="U187" s="169"/>
      <c r="V187" s="169"/>
      <c r="W187" s="169"/>
      <c r="X187" s="169"/>
      <c r="Y187" s="249"/>
      <c r="Z187" s="250"/>
      <c r="AA187" s="257"/>
      <c r="AB187" s="251"/>
      <c r="AC187" s="247"/>
      <c r="AD187" s="191"/>
      <c r="AF187" s="259"/>
      <c r="AG187" s="260"/>
      <c r="AH187" s="260"/>
      <c r="AI187" s="261"/>
      <c r="AJ187" s="260"/>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EG187" s="1"/>
      <c r="EH187" s="1"/>
      <c r="EI187" s="1"/>
      <c r="EJ187" s="1"/>
      <c r="EK187" s="1"/>
      <c r="EL187" s="1"/>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c r="GF187" s="1"/>
      <c r="GG187" s="1"/>
      <c r="GH187" s="1"/>
      <c r="GI187" s="1"/>
      <c r="GJ187" s="1"/>
      <c r="GK187" s="1"/>
      <c r="GL187" s="1"/>
      <c r="GM187" s="1"/>
      <c r="GN187" s="1"/>
      <c r="GO187" s="1"/>
      <c r="GP187" s="1"/>
      <c r="GQ187" s="1"/>
      <c r="GR187" s="1"/>
      <c r="GS187" s="1"/>
      <c r="GT187" s="1"/>
      <c r="GU187" s="1"/>
      <c r="GV187" s="1"/>
      <c r="GW187" s="1"/>
      <c r="GX187" s="1"/>
      <c r="GY187" s="1"/>
      <c r="GZ187" s="1"/>
      <c r="HA187" s="1"/>
      <c r="HB187" s="1"/>
      <c r="HC187" s="1"/>
      <c r="HD187" s="1"/>
      <c r="HE187" s="1"/>
      <c r="HF187" s="1"/>
      <c r="HG187" s="1"/>
      <c r="HH187" s="1"/>
      <c r="HI187" s="1"/>
      <c r="HJ187" s="1"/>
      <c r="HK187" s="1"/>
      <c r="HL187" s="1"/>
    </row>
    <row r="188" spans="1:220" s="258" customFormat="1" ht="17.100000000000001" customHeight="1" x14ac:dyDescent="0.25">
      <c r="A188"/>
      <c r="B188" s="234"/>
      <c r="C188" s="238"/>
      <c r="D188" s="235"/>
      <c r="E188" s="239"/>
      <c r="F188" s="240"/>
      <c r="G188" s="167"/>
      <c r="H188" s="241"/>
      <c r="I188" s="86"/>
      <c r="J188" s="169"/>
      <c r="K188" s="132"/>
      <c r="L188" s="242"/>
      <c r="M188" s="252"/>
      <c r="N188" s="244"/>
      <c r="O188" s="245"/>
      <c r="P188" s="246"/>
      <c r="Q188" s="247"/>
      <c r="R188" s="248"/>
      <c r="S188" s="169"/>
      <c r="T188" s="169"/>
      <c r="U188" s="169"/>
      <c r="V188" s="169"/>
      <c r="W188" s="169"/>
      <c r="X188" s="169"/>
      <c r="Y188" s="249"/>
      <c r="Z188" s="250"/>
      <c r="AA188" s="257"/>
      <c r="AB188" s="251"/>
      <c r="AC188" s="247"/>
      <c r="AD188" s="191"/>
      <c r="AF188" s="259"/>
      <c r="AG188" s="260"/>
      <c r="AH188" s="260"/>
      <c r="AI188" s="261"/>
      <c r="AJ188" s="260"/>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EG188" s="1"/>
      <c r="EH188" s="1"/>
      <c r="EI188" s="1"/>
      <c r="EJ188" s="1"/>
      <c r="EK188" s="1"/>
      <c r="EL188" s="1"/>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c r="GF188" s="1"/>
      <c r="GG188" s="1"/>
      <c r="GH188" s="1"/>
      <c r="GI188" s="1"/>
      <c r="GJ188" s="1"/>
      <c r="GK188" s="1"/>
      <c r="GL188" s="1"/>
      <c r="GM188" s="1"/>
      <c r="GN188" s="1"/>
      <c r="GO188" s="1"/>
      <c r="GP188" s="1"/>
      <c r="GQ188" s="1"/>
      <c r="GR188" s="1"/>
      <c r="GS188" s="1"/>
      <c r="GT188" s="1"/>
      <c r="GU188" s="1"/>
      <c r="GV188" s="1"/>
      <c r="GW188" s="1"/>
      <c r="GX188" s="1"/>
      <c r="GY188" s="1"/>
      <c r="GZ188" s="1"/>
      <c r="HA188" s="1"/>
      <c r="HB188" s="1"/>
      <c r="HC188" s="1"/>
      <c r="HD188" s="1"/>
      <c r="HE188" s="1"/>
      <c r="HF188" s="1"/>
      <c r="HG188" s="1"/>
      <c r="HH188" s="1"/>
      <c r="HI188" s="1"/>
      <c r="HJ188" s="1"/>
      <c r="HK188" s="1"/>
      <c r="HL188" s="1"/>
    </row>
    <row r="189" spans="1:220" s="258" customFormat="1" ht="17.100000000000001" customHeight="1" x14ac:dyDescent="0.25">
      <c r="A189"/>
      <c r="B189" s="234"/>
      <c r="C189" s="238"/>
      <c r="D189" s="235"/>
      <c r="E189" s="239"/>
      <c r="F189" s="240"/>
      <c r="G189" s="167"/>
      <c r="H189" s="241"/>
      <c r="I189" s="86"/>
      <c r="J189" s="169"/>
      <c r="K189" s="132"/>
      <c r="L189" s="242"/>
      <c r="M189" s="252"/>
      <c r="N189" s="244"/>
      <c r="O189" s="245"/>
      <c r="P189" s="246"/>
      <c r="Q189" s="247"/>
      <c r="R189" s="248"/>
      <c r="S189" s="169"/>
      <c r="T189" s="169"/>
      <c r="U189" s="169"/>
      <c r="V189" s="169"/>
      <c r="W189" s="169"/>
      <c r="X189" s="169"/>
      <c r="Y189" s="249"/>
      <c r="Z189" s="250"/>
      <c r="AA189" s="257"/>
      <c r="AB189" s="251"/>
      <c r="AC189" s="247"/>
      <c r="AD189" s="191"/>
      <c r="AF189" s="259"/>
      <c r="AG189" s="260"/>
      <c r="AH189" s="260"/>
      <c r="AI189" s="261"/>
      <c r="AJ189" s="260"/>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EG189" s="1"/>
      <c r="EH189" s="1"/>
      <c r="EI189" s="1"/>
      <c r="EJ189" s="1"/>
      <c r="EK189" s="1"/>
      <c r="EL189" s="1"/>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c r="GF189" s="1"/>
      <c r="GG189" s="1"/>
      <c r="GH189" s="1"/>
      <c r="GI189" s="1"/>
      <c r="GJ189" s="1"/>
      <c r="GK189" s="1"/>
      <c r="GL189" s="1"/>
      <c r="GM189" s="1"/>
      <c r="GN189" s="1"/>
      <c r="GO189" s="1"/>
      <c r="GP189" s="1"/>
      <c r="GQ189" s="1"/>
      <c r="GR189" s="1"/>
      <c r="GS189" s="1"/>
      <c r="GT189" s="1"/>
      <c r="GU189" s="1"/>
      <c r="GV189" s="1"/>
      <c r="GW189" s="1"/>
      <c r="GX189" s="1"/>
      <c r="GY189" s="1"/>
      <c r="GZ189" s="1"/>
      <c r="HA189" s="1"/>
      <c r="HB189" s="1"/>
      <c r="HC189" s="1"/>
      <c r="HD189" s="1"/>
      <c r="HE189" s="1"/>
      <c r="HF189" s="1"/>
      <c r="HG189" s="1"/>
      <c r="HH189" s="1"/>
      <c r="HI189" s="1"/>
      <c r="HJ189" s="1"/>
      <c r="HK189" s="1"/>
      <c r="HL189" s="1"/>
    </row>
    <row r="190" spans="1:220" s="258" customFormat="1" ht="17.100000000000001" customHeight="1" x14ac:dyDescent="0.25">
      <c r="A190"/>
      <c r="B190" s="234"/>
      <c r="C190" s="238"/>
      <c r="D190" s="235"/>
      <c r="E190" s="239"/>
      <c r="F190" s="240"/>
      <c r="G190" s="167"/>
      <c r="H190" s="241"/>
      <c r="I190" s="86"/>
      <c r="J190" s="169"/>
      <c r="K190" s="132"/>
      <c r="L190" s="242"/>
      <c r="M190" s="252"/>
      <c r="N190" s="244"/>
      <c r="O190" s="245"/>
      <c r="P190" s="246"/>
      <c r="Q190" s="247"/>
      <c r="R190" s="248"/>
      <c r="S190" s="169"/>
      <c r="T190" s="169"/>
      <c r="U190" s="169"/>
      <c r="V190" s="169"/>
      <c r="W190" s="169"/>
      <c r="X190" s="169"/>
      <c r="Y190" s="249"/>
      <c r="Z190" s="250"/>
      <c r="AA190" s="257"/>
      <c r="AB190" s="251"/>
      <c r="AC190" s="247"/>
      <c r="AD190" s="191"/>
      <c r="AF190" s="259"/>
      <c r="AG190" s="260"/>
      <c r="AH190" s="260"/>
      <c r="AI190" s="261"/>
      <c r="AJ190" s="260"/>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EG190" s="1"/>
      <c r="EH190" s="1"/>
      <c r="EI190" s="1"/>
      <c r="EJ190" s="1"/>
      <c r="EK190" s="1"/>
      <c r="EL190" s="1"/>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c r="GF190" s="1"/>
      <c r="GG190" s="1"/>
      <c r="GH190" s="1"/>
      <c r="GI190" s="1"/>
      <c r="GJ190" s="1"/>
      <c r="GK190" s="1"/>
      <c r="GL190" s="1"/>
      <c r="GM190" s="1"/>
      <c r="GN190" s="1"/>
      <c r="GO190" s="1"/>
      <c r="GP190" s="1"/>
      <c r="GQ190" s="1"/>
      <c r="GR190" s="1"/>
      <c r="GS190" s="1"/>
      <c r="GT190" s="1"/>
      <c r="GU190" s="1"/>
      <c r="GV190" s="1"/>
      <c r="GW190" s="1"/>
      <c r="GX190" s="1"/>
      <c r="GY190" s="1"/>
      <c r="GZ190" s="1"/>
      <c r="HA190" s="1"/>
      <c r="HB190" s="1"/>
      <c r="HC190" s="1"/>
      <c r="HD190" s="1"/>
      <c r="HE190" s="1"/>
      <c r="HF190" s="1"/>
      <c r="HG190" s="1"/>
      <c r="HH190" s="1"/>
      <c r="HI190" s="1"/>
      <c r="HJ190" s="1"/>
      <c r="HK190" s="1"/>
      <c r="HL190" s="1"/>
    </row>
    <row r="191" spans="1:220" s="258" customFormat="1" ht="17.100000000000001" customHeight="1" x14ac:dyDescent="0.25">
      <c r="A191"/>
      <c r="B191" s="234"/>
      <c r="C191" s="238"/>
      <c r="D191" s="235"/>
      <c r="E191" s="239"/>
      <c r="F191" s="240"/>
      <c r="G191" s="167"/>
      <c r="H191" s="241"/>
      <c r="I191" s="86"/>
      <c r="J191" s="169"/>
      <c r="K191" s="132"/>
      <c r="L191" s="242"/>
      <c r="M191" s="252"/>
      <c r="N191" s="244"/>
      <c r="O191" s="245"/>
      <c r="P191" s="246"/>
      <c r="Q191" s="247"/>
      <c r="R191" s="248"/>
      <c r="S191" s="169"/>
      <c r="T191" s="169"/>
      <c r="U191" s="169"/>
      <c r="V191" s="169"/>
      <c r="W191" s="169"/>
      <c r="X191" s="169"/>
      <c r="Y191" s="249"/>
      <c r="Z191" s="250"/>
      <c r="AA191" s="257"/>
      <c r="AB191" s="251"/>
      <c r="AC191" s="247"/>
      <c r="AD191" s="191"/>
      <c r="AF191" s="259"/>
      <c r="AG191" s="260"/>
      <c r="AH191" s="260"/>
      <c r="AI191" s="261"/>
      <c r="AJ191" s="260"/>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EG191" s="1"/>
      <c r="EH191" s="1"/>
      <c r="EI191" s="1"/>
      <c r="EJ191" s="1"/>
      <c r="EK191" s="1"/>
      <c r="EL191" s="1"/>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c r="GF191" s="1"/>
      <c r="GG191" s="1"/>
      <c r="GH191" s="1"/>
      <c r="GI191" s="1"/>
      <c r="GJ191" s="1"/>
      <c r="GK191" s="1"/>
      <c r="GL191" s="1"/>
      <c r="GM191" s="1"/>
      <c r="GN191" s="1"/>
      <c r="GO191" s="1"/>
      <c r="GP191" s="1"/>
      <c r="GQ191" s="1"/>
      <c r="GR191" s="1"/>
      <c r="GS191" s="1"/>
      <c r="GT191" s="1"/>
      <c r="GU191" s="1"/>
      <c r="GV191" s="1"/>
      <c r="GW191" s="1"/>
      <c r="GX191" s="1"/>
      <c r="GY191" s="1"/>
      <c r="GZ191" s="1"/>
      <c r="HA191" s="1"/>
      <c r="HB191" s="1"/>
      <c r="HC191" s="1"/>
      <c r="HD191" s="1"/>
      <c r="HE191" s="1"/>
      <c r="HF191" s="1"/>
      <c r="HG191" s="1"/>
      <c r="HH191" s="1"/>
      <c r="HI191" s="1"/>
      <c r="HJ191" s="1"/>
      <c r="HK191" s="1"/>
      <c r="HL191" s="1"/>
    </row>
    <row r="192" spans="1:220" s="258" customFormat="1" ht="17.100000000000001" customHeight="1" x14ac:dyDescent="0.25">
      <c r="A192"/>
      <c r="B192" s="234"/>
      <c r="C192" s="238"/>
      <c r="D192" s="235"/>
      <c r="E192" s="239"/>
      <c r="F192" s="240"/>
      <c r="G192" s="167"/>
      <c r="H192" s="241"/>
      <c r="I192" s="86"/>
      <c r="J192" s="169"/>
      <c r="K192" s="132"/>
      <c r="L192" s="242"/>
      <c r="M192" s="252"/>
      <c r="N192" s="244"/>
      <c r="O192" s="245"/>
      <c r="P192" s="246"/>
      <c r="Q192" s="247"/>
      <c r="R192" s="248"/>
      <c r="S192" s="169"/>
      <c r="T192" s="169"/>
      <c r="U192" s="169"/>
      <c r="V192" s="169"/>
      <c r="W192" s="169"/>
      <c r="X192" s="169"/>
      <c r="Y192" s="249"/>
      <c r="Z192" s="250"/>
      <c r="AA192" s="257"/>
      <c r="AB192" s="251"/>
      <c r="AC192" s="247"/>
      <c r="AD192" s="191"/>
      <c r="AF192" s="259"/>
      <c r="AG192" s="260"/>
      <c r="AH192" s="260"/>
      <c r="AI192" s="261"/>
      <c r="AJ192" s="260"/>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EG192" s="1"/>
      <c r="EH192" s="1"/>
      <c r="EI192" s="1"/>
      <c r="EJ192" s="1"/>
      <c r="EK192" s="1"/>
      <c r="EL192" s="1"/>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c r="GF192" s="1"/>
      <c r="GG192" s="1"/>
      <c r="GH192" s="1"/>
      <c r="GI192" s="1"/>
      <c r="GJ192" s="1"/>
      <c r="GK192" s="1"/>
      <c r="GL192" s="1"/>
      <c r="GM192" s="1"/>
      <c r="GN192" s="1"/>
      <c r="GO192" s="1"/>
      <c r="GP192" s="1"/>
      <c r="GQ192" s="1"/>
      <c r="GR192" s="1"/>
      <c r="GS192" s="1"/>
      <c r="GT192" s="1"/>
      <c r="GU192" s="1"/>
      <c r="GV192" s="1"/>
      <c r="GW192" s="1"/>
      <c r="GX192" s="1"/>
      <c r="GY192" s="1"/>
      <c r="GZ192" s="1"/>
      <c r="HA192" s="1"/>
      <c r="HB192" s="1"/>
      <c r="HC192" s="1"/>
      <c r="HD192" s="1"/>
      <c r="HE192" s="1"/>
      <c r="HF192" s="1"/>
      <c r="HG192" s="1"/>
      <c r="HH192" s="1"/>
      <c r="HI192" s="1"/>
      <c r="HJ192" s="1"/>
      <c r="HK192" s="1"/>
      <c r="HL192" s="1"/>
    </row>
    <row r="193" spans="1:220" s="258" customFormat="1" ht="17.100000000000001" customHeight="1" x14ac:dyDescent="0.25">
      <c r="A193"/>
      <c r="B193" s="234"/>
      <c r="C193" s="238"/>
      <c r="D193" s="235"/>
      <c r="E193" s="239"/>
      <c r="F193" s="240"/>
      <c r="G193" s="167"/>
      <c r="H193" s="241"/>
      <c r="I193" s="86"/>
      <c r="J193" s="169"/>
      <c r="K193" s="132"/>
      <c r="L193" s="242"/>
      <c r="M193" s="252"/>
      <c r="N193" s="244"/>
      <c r="O193" s="245"/>
      <c r="P193" s="246"/>
      <c r="Q193" s="247"/>
      <c r="R193" s="248"/>
      <c r="S193" s="169"/>
      <c r="T193" s="169"/>
      <c r="U193" s="169"/>
      <c r="V193" s="169"/>
      <c r="W193" s="169"/>
      <c r="X193" s="169"/>
      <c r="Y193" s="249"/>
      <c r="Z193" s="250"/>
      <c r="AA193" s="257"/>
      <c r="AB193" s="251"/>
      <c r="AC193" s="247"/>
      <c r="AD193" s="191"/>
      <c r="AF193" s="259"/>
      <c r="AG193" s="260"/>
      <c r="AH193" s="260"/>
      <c r="AI193" s="261"/>
      <c r="AJ193" s="260"/>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EG193" s="1"/>
      <c r="EH193" s="1"/>
      <c r="EI193" s="1"/>
      <c r="EJ193" s="1"/>
      <c r="EK193" s="1"/>
      <c r="EL193" s="1"/>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c r="GF193" s="1"/>
      <c r="GG193" s="1"/>
      <c r="GH193" s="1"/>
      <c r="GI193" s="1"/>
      <c r="GJ193" s="1"/>
      <c r="GK193" s="1"/>
      <c r="GL193" s="1"/>
      <c r="GM193" s="1"/>
      <c r="GN193" s="1"/>
      <c r="GO193" s="1"/>
      <c r="GP193" s="1"/>
      <c r="GQ193" s="1"/>
      <c r="GR193" s="1"/>
      <c r="GS193" s="1"/>
      <c r="GT193" s="1"/>
      <c r="GU193" s="1"/>
      <c r="GV193" s="1"/>
      <c r="GW193" s="1"/>
      <c r="GX193" s="1"/>
      <c r="GY193" s="1"/>
      <c r="GZ193" s="1"/>
      <c r="HA193" s="1"/>
      <c r="HB193" s="1"/>
      <c r="HC193" s="1"/>
      <c r="HD193" s="1"/>
      <c r="HE193" s="1"/>
      <c r="HF193" s="1"/>
      <c r="HG193" s="1"/>
      <c r="HH193" s="1"/>
      <c r="HI193" s="1"/>
      <c r="HJ193" s="1"/>
      <c r="HK193" s="1"/>
      <c r="HL193" s="1"/>
    </row>
    <row r="194" spans="1:220" s="258" customFormat="1" ht="17.100000000000001" customHeight="1" x14ac:dyDescent="0.25">
      <c r="A194"/>
      <c r="B194" s="234"/>
      <c r="C194" s="238"/>
      <c r="D194" s="235"/>
      <c r="E194" s="239"/>
      <c r="F194" s="240"/>
      <c r="G194" s="167"/>
      <c r="H194" s="241"/>
      <c r="I194" s="86"/>
      <c r="J194" s="169"/>
      <c r="K194" s="132"/>
      <c r="L194" s="242"/>
      <c r="M194" s="252"/>
      <c r="N194" s="244"/>
      <c r="O194" s="245"/>
      <c r="P194" s="246"/>
      <c r="Q194" s="247"/>
      <c r="R194" s="248"/>
      <c r="S194" s="169"/>
      <c r="T194" s="169"/>
      <c r="U194" s="169"/>
      <c r="V194" s="169"/>
      <c r="W194" s="169"/>
      <c r="X194" s="169"/>
      <c r="Y194" s="249"/>
      <c r="Z194" s="250"/>
      <c r="AA194" s="257"/>
      <c r="AB194" s="251"/>
      <c r="AC194" s="247"/>
      <c r="AD194" s="191"/>
      <c r="AF194" s="259"/>
      <c r="AG194" s="260"/>
      <c r="AH194" s="260"/>
      <c r="AI194" s="261"/>
      <c r="AJ194" s="260"/>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EG194" s="1"/>
      <c r="EH194" s="1"/>
      <c r="EI194" s="1"/>
      <c r="EJ194" s="1"/>
      <c r="EK194" s="1"/>
      <c r="EL194" s="1"/>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c r="GF194" s="1"/>
      <c r="GG194" s="1"/>
      <c r="GH194" s="1"/>
      <c r="GI194" s="1"/>
      <c r="GJ194" s="1"/>
      <c r="GK194" s="1"/>
      <c r="GL194" s="1"/>
      <c r="GM194" s="1"/>
      <c r="GN194" s="1"/>
      <c r="GO194" s="1"/>
      <c r="GP194" s="1"/>
      <c r="GQ194" s="1"/>
      <c r="GR194" s="1"/>
      <c r="GS194" s="1"/>
      <c r="GT194" s="1"/>
      <c r="GU194" s="1"/>
      <c r="GV194" s="1"/>
      <c r="GW194" s="1"/>
      <c r="GX194" s="1"/>
      <c r="GY194" s="1"/>
      <c r="GZ194" s="1"/>
      <c r="HA194" s="1"/>
      <c r="HB194" s="1"/>
      <c r="HC194" s="1"/>
      <c r="HD194" s="1"/>
      <c r="HE194" s="1"/>
      <c r="HF194" s="1"/>
      <c r="HG194" s="1"/>
      <c r="HH194" s="1"/>
      <c r="HI194" s="1"/>
      <c r="HJ194" s="1"/>
      <c r="HK194" s="1"/>
      <c r="HL194" s="1"/>
    </row>
    <row r="195" spans="1:220" s="258" customFormat="1" ht="17.100000000000001" customHeight="1" x14ac:dyDescent="0.25">
      <c r="A195"/>
      <c r="B195" s="234"/>
      <c r="C195" s="238"/>
      <c r="D195" s="235"/>
      <c r="E195" s="239"/>
      <c r="F195" s="240"/>
      <c r="G195" s="167"/>
      <c r="H195" s="241"/>
      <c r="I195" s="86"/>
      <c r="J195" s="169"/>
      <c r="K195" s="132"/>
      <c r="L195" s="242"/>
      <c r="M195" s="252"/>
      <c r="N195" s="244"/>
      <c r="O195" s="245"/>
      <c r="P195" s="246"/>
      <c r="Q195" s="247"/>
      <c r="R195" s="248"/>
      <c r="S195" s="169"/>
      <c r="T195" s="169"/>
      <c r="U195" s="169"/>
      <c r="V195" s="169"/>
      <c r="W195" s="169"/>
      <c r="X195" s="169"/>
      <c r="Y195" s="249"/>
      <c r="Z195" s="250"/>
      <c r="AA195" s="257"/>
      <c r="AB195" s="251"/>
      <c r="AC195" s="247"/>
      <c r="AD195" s="191"/>
      <c r="AF195" s="259"/>
      <c r="AG195" s="260"/>
      <c r="AH195" s="260"/>
      <c r="AI195" s="261"/>
      <c r="AJ195" s="260"/>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EG195" s="1"/>
      <c r="EH195" s="1"/>
      <c r="EI195" s="1"/>
      <c r="EJ195" s="1"/>
      <c r="EK195" s="1"/>
      <c r="EL195" s="1"/>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c r="GF195" s="1"/>
      <c r="GG195" s="1"/>
      <c r="GH195" s="1"/>
      <c r="GI195" s="1"/>
      <c r="GJ195" s="1"/>
      <c r="GK195" s="1"/>
      <c r="GL195" s="1"/>
      <c r="GM195" s="1"/>
      <c r="GN195" s="1"/>
      <c r="GO195" s="1"/>
      <c r="GP195" s="1"/>
      <c r="GQ195" s="1"/>
      <c r="GR195" s="1"/>
      <c r="GS195" s="1"/>
      <c r="GT195" s="1"/>
      <c r="GU195" s="1"/>
      <c r="GV195" s="1"/>
      <c r="GW195" s="1"/>
      <c r="GX195" s="1"/>
      <c r="GY195" s="1"/>
      <c r="GZ195" s="1"/>
      <c r="HA195" s="1"/>
      <c r="HB195" s="1"/>
      <c r="HC195" s="1"/>
      <c r="HD195" s="1"/>
      <c r="HE195" s="1"/>
      <c r="HF195" s="1"/>
      <c r="HG195" s="1"/>
      <c r="HH195" s="1"/>
      <c r="HI195" s="1"/>
      <c r="HJ195" s="1"/>
      <c r="HK195" s="1"/>
      <c r="HL195" s="1"/>
    </row>
    <row r="196" spans="1:220" s="258" customFormat="1" ht="17.100000000000001" customHeight="1" x14ac:dyDescent="0.25">
      <c r="A196"/>
      <c r="B196" s="234"/>
      <c r="C196" s="238"/>
      <c r="D196" s="235"/>
      <c r="E196" s="239"/>
      <c r="F196" s="240"/>
      <c r="G196" s="167"/>
      <c r="H196" s="241"/>
      <c r="I196" s="86"/>
      <c r="J196" s="169"/>
      <c r="K196" s="132"/>
      <c r="L196" s="242"/>
      <c r="M196" s="252"/>
      <c r="N196" s="244"/>
      <c r="O196" s="245"/>
      <c r="P196" s="246"/>
      <c r="Q196" s="247"/>
      <c r="R196" s="248"/>
      <c r="S196" s="169"/>
      <c r="T196" s="169"/>
      <c r="U196" s="169"/>
      <c r="V196" s="169"/>
      <c r="W196" s="169"/>
      <c r="X196" s="169"/>
      <c r="Y196" s="249"/>
      <c r="Z196" s="250"/>
      <c r="AA196" s="257"/>
      <c r="AB196" s="251"/>
      <c r="AC196" s="247"/>
      <c r="AD196" s="191"/>
      <c r="AF196" s="259"/>
      <c r="AG196" s="260"/>
      <c r="AH196" s="260"/>
      <c r="AI196" s="261"/>
      <c r="AJ196" s="260"/>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EG196" s="1"/>
      <c r="EH196" s="1"/>
      <c r="EI196" s="1"/>
      <c r="EJ196" s="1"/>
      <c r="EK196" s="1"/>
      <c r="EL196" s="1"/>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c r="GF196" s="1"/>
      <c r="GG196" s="1"/>
      <c r="GH196" s="1"/>
      <c r="GI196" s="1"/>
      <c r="GJ196" s="1"/>
      <c r="GK196" s="1"/>
      <c r="GL196" s="1"/>
      <c r="GM196" s="1"/>
      <c r="GN196" s="1"/>
      <c r="GO196" s="1"/>
      <c r="GP196" s="1"/>
      <c r="GQ196" s="1"/>
      <c r="GR196" s="1"/>
      <c r="GS196" s="1"/>
      <c r="GT196" s="1"/>
      <c r="GU196" s="1"/>
      <c r="GV196" s="1"/>
      <c r="GW196" s="1"/>
      <c r="GX196" s="1"/>
      <c r="GY196" s="1"/>
      <c r="GZ196" s="1"/>
      <c r="HA196" s="1"/>
      <c r="HB196" s="1"/>
      <c r="HC196" s="1"/>
      <c r="HD196" s="1"/>
      <c r="HE196" s="1"/>
      <c r="HF196" s="1"/>
      <c r="HG196" s="1"/>
      <c r="HH196" s="1"/>
      <c r="HI196" s="1"/>
      <c r="HJ196" s="1"/>
      <c r="HK196" s="1"/>
      <c r="HL196" s="1"/>
    </row>
    <row r="197" spans="1:220" s="258" customFormat="1" ht="17.100000000000001" customHeight="1" x14ac:dyDescent="0.25">
      <c r="A197"/>
      <c r="B197" s="234"/>
      <c r="C197" s="238"/>
      <c r="D197" s="235"/>
      <c r="E197" s="239"/>
      <c r="F197" s="240"/>
      <c r="G197" s="167"/>
      <c r="H197" s="241"/>
      <c r="I197" s="86"/>
      <c r="J197" s="169"/>
      <c r="K197" s="132"/>
      <c r="L197" s="242"/>
      <c r="M197" s="252"/>
      <c r="N197" s="244"/>
      <c r="O197" s="245"/>
      <c r="P197" s="246"/>
      <c r="Q197" s="247"/>
      <c r="R197" s="248"/>
      <c r="S197" s="169"/>
      <c r="T197" s="169"/>
      <c r="U197" s="169"/>
      <c r="V197" s="169"/>
      <c r="W197" s="169"/>
      <c r="X197" s="169"/>
      <c r="Y197" s="249"/>
      <c r="Z197" s="250"/>
      <c r="AA197" s="257"/>
      <c r="AB197" s="251"/>
      <c r="AC197" s="247"/>
      <c r="AD197" s="191"/>
      <c r="AF197" s="259"/>
      <c r="AG197" s="260"/>
      <c r="AH197" s="260"/>
      <c r="AI197" s="261"/>
      <c r="AJ197" s="260"/>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EG197" s="1"/>
      <c r="EH197" s="1"/>
      <c r="EI197" s="1"/>
      <c r="EJ197" s="1"/>
      <c r="EK197" s="1"/>
      <c r="EL197" s="1"/>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c r="GF197" s="1"/>
      <c r="GG197" s="1"/>
      <c r="GH197" s="1"/>
      <c r="GI197" s="1"/>
      <c r="GJ197" s="1"/>
      <c r="GK197" s="1"/>
      <c r="GL197" s="1"/>
      <c r="GM197" s="1"/>
      <c r="GN197" s="1"/>
      <c r="GO197" s="1"/>
      <c r="GP197" s="1"/>
      <c r="GQ197" s="1"/>
      <c r="GR197" s="1"/>
      <c r="GS197" s="1"/>
      <c r="GT197" s="1"/>
      <c r="GU197" s="1"/>
      <c r="GV197" s="1"/>
      <c r="GW197" s="1"/>
      <c r="GX197" s="1"/>
      <c r="GY197" s="1"/>
      <c r="GZ197" s="1"/>
      <c r="HA197" s="1"/>
      <c r="HB197" s="1"/>
      <c r="HC197" s="1"/>
      <c r="HD197" s="1"/>
      <c r="HE197" s="1"/>
      <c r="HF197" s="1"/>
      <c r="HG197" s="1"/>
      <c r="HH197" s="1"/>
      <c r="HI197" s="1"/>
      <c r="HJ197" s="1"/>
      <c r="HK197" s="1"/>
      <c r="HL197" s="1"/>
    </row>
    <row r="198" spans="1:220" s="258" customFormat="1" ht="17.100000000000001" customHeight="1" x14ac:dyDescent="0.25">
      <c r="A198"/>
      <c r="B198" s="234"/>
      <c r="C198" s="238"/>
      <c r="D198" s="235"/>
      <c r="E198" s="239"/>
      <c r="F198" s="240"/>
      <c r="G198" s="167"/>
      <c r="H198" s="241"/>
      <c r="I198" s="86"/>
      <c r="J198" s="169"/>
      <c r="K198" s="132"/>
      <c r="L198" s="242"/>
      <c r="M198" s="252"/>
      <c r="N198" s="244"/>
      <c r="O198" s="245"/>
      <c r="P198" s="246"/>
      <c r="Q198" s="247"/>
      <c r="R198" s="248"/>
      <c r="S198" s="169"/>
      <c r="T198" s="169"/>
      <c r="U198" s="169"/>
      <c r="V198" s="169"/>
      <c r="W198" s="169"/>
      <c r="X198" s="169"/>
      <c r="Y198" s="249"/>
      <c r="Z198" s="250"/>
      <c r="AA198" s="257"/>
      <c r="AB198" s="251"/>
      <c r="AC198" s="247"/>
      <c r="AD198" s="191"/>
      <c r="AF198" s="259"/>
      <c r="AG198" s="260"/>
      <c r="AH198" s="260"/>
      <c r="AI198" s="261"/>
      <c r="AJ198" s="260"/>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EG198" s="1"/>
      <c r="EH198" s="1"/>
      <c r="EI198" s="1"/>
      <c r="EJ198" s="1"/>
      <c r="EK198" s="1"/>
      <c r="EL198" s="1"/>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c r="GF198" s="1"/>
      <c r="GG198" s="1"/>
      <c r="GH198" s="1"/>
      <c r="GI198" s="1"/>
      <c r="GJ198" s="1"/>
      <c r="GK198" s="1"/>
      <c r="GL198" s="1"/>
      <c r="GM198" s="1"/>
      <c r="GN198" s="1"/>
      <c r="GO198" s="1"/>
      <c r="GP198" s="1"/>
      <c r="GQ198" s="1"/>
      <c r="GR198" s="1"/>
      <c r="GS198" s="1"/>
      <c r="GT198" s="1"/>
      <c r="GU198" s="1"/>
      <c r="GV198" s="1"/>
      <c r="GW198" s="1"/>
      <c r="GX198" s="1"/>
      <c r="GY198" s="1"/>
      <c r="GZ198" s="1"/>
      <c r="HA198" s="1"/>
      <c r="HB198" s="1"/>
      <c r="HC198" s="1"/>
      <c r="HD198" s="1"/>
      <c r="HE198" s="1"/>
      <c r="HF198" s="1"/>
      <c r="HG198" s="1"/>
      <c r="HH198" s="1"/>
      <c r="HI198" s="1"/>
      <c r="HJ198" s="1"/>
      <c r="HK198" s="1"/>
      <c r="HL198" s="1"/>
    </row>
    <row r="199" spans="1:220" s="258" customFormat="1" ht="17.100000000000001" customHeight="1" x14ac:dyDescent="0.25">
      <c r="A199"/>
      <c r="B199" s="234"/>
      <c r="C199" s="238"/>
      <c r="D199" s="235"/>
      <c r="E199" s="239"/>
      <c r="F199" s="240"/>
      <c r="G199" s="167"/>
      <c r="H199" s="241"/>
      <c r="I199" s="86"/>
      <c r="J199" s="169"/>
      <c r="K199" s="132"/>
      <c r="L199" s="242"/>
      <c r="M199" s="252"/>
      <c r="N199" s="244"/>
      <c r="O199" s="245"/>
      <c r="P199" s="246"/>
      <c r="Q199" s="247"/>
      <c r="R199" s="248"/>
      <c r="S199" s="169"/>
      <c r="T199" s="169"/>
      <c r="U199" s="169"/>
      <c r="V199" s="169"/>
      <c r="W199" s="169"/>
      <c r="X199" s="169"/>
      <c r="Y199" s="249"/>
      <c r="Z199" s="250"/>
      <c r="AA199" s="257"/>
      <c r="AB199" s="251"/>
      <c r="AC199" s="247"/>
      <c r="AD199" s="191"/>
      <c r="AF199" s="259"/>
      <c r="AG199" s="260"/>
      <c r="AH199" s="260"/>
      <c r="AI199" s="261"/>
      <c r="AJ199" s="260"/>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EG199" s="1"/>
      <c r="EH199" s="1"/>
      <c r="EI199" s="1"/>
      <c r="EJ199" s="1"/>
      <c r="EK199" s="1"/>
      <c r="EL199" s="1"/>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c r="GF199" s="1"/>
      <c r="GG199" s="1"/>
      <c r="GH199" s="1"/>
      <c r="GI199" s="1"/>
      <c r="GJ199" s="1"/>
      <c r="GK199" s="1"/>
      <c r="GL199" s="1"/>
      <c r="GM199" s="1"/>
      <c r="GN199" s="1"/>
      <c r="GO199" s="1"/>
      <c r="GP199" s="1"/>
      <c r="GQ199" s="1"/>
      <c r="GR199" s="1"/>
      <c r="GS199" s="1"/>
      <c r="GT199" s="1"/>
      <c r="GU199" s="1"/>
      <c r="GV199" s="1"/>
      <c r="GW199" s="1"/>
      <c r="GX199" s="1"/>
      <c r="GY199" s="1"/>
      <c r="GZ199" s="1"/>
      <c r="HA199" s="1"/>
      <c r="HB199" s="1"/>
      <c r="HC199" s="1"/>
      <c r="HD199" s="1"/>
      <c r="HE199" s="1"/>
      <c r="HF199" s="1"/>
      <c r="HG199" s="1"/>
      <c r="HH199" s="1"/>
      <c r="HI199" s="1"/>
      <c r="HJ199" s="1"/>
      <c r="HK199" s="1"/>
      <c r="HL199" s="1"/>
    </row>
    <row r="200" spans="1:220" s="258" customFormat="1" ht="17.100000000000001" customHeight="1" x14ac:dyDescent="0.25">
      <c r="A200"/>
      <c r="B200" s="234"/>
      <c r="C200" s="238"/>
      <c r="D200" s="235"/>
      <c r="E200" s="239"/>
      <c r="F200" s="240"/>
      <c r="G200" s="167"/>
      <c r="H200" s="241"/>
      <c r="I200" s="86"/>
      <c r="J200" s="169"/>
      <c r="K200" s="132"/>
      <c r="L200" s="242"/>
      <c r="M200" s="252"/>
      <c r="N200" s="244"/>
      <c r="O200" s="245"/>
      <c r="P200" s="246"/>
      <c r="Q200" s="247"/>
      <c r="R200" s="248"/>
      <c r="S200" s="169"/>
      <c r="T200" s="169"/>
      <c r="U200" s="169"/>
      <c r="V200" s="169"/>
      <c r="W200" s="169"/>
      <c r="X200" s="169"/>
      <c r="Y200" s="249"/>
      <c r="Z200" s="250"/>
      <c r="AA200" s="257"/>
      <c r="AB200" s="251"/>
      <c r="AC200" s="247"/>
      <c r="AD200" s="191"/>
      <c r="AF200" s="259"/>
      <c r="AG200" s="260"/>
      <c r="AH200" s="260"/>
      <c r="AI200" s="261"/>
      <c r="AJ200" s="260"/>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EG200" s="1"/>
      <c r="EH200" s="1"/>
      <c r="EI200" s="1"/>
      <c r="EJ200" s="1"/>
      <c r="EK200" s="1"/>
      <c r="EL200" s="1"/>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c r="GF200" s="1"/>
      <c r="GG200" s="1"/>
      <c r="GH200" s="1"/>
      <c r="GI200" s="1"/>
      <c r="GJ200" s="1"/>
      <c r="GK200" s="1"/>
      <c r="GL200" s="1"/>
      <c r="GM200" s="1"/>
      <c r="GN200" s="1"/>
      <c r="GO200" s="1"/>
      <c r="GP200" s="1"/>
      <c r="GQ200" s="1"/>
      <c r="GR200" s="1"/>
      <c r="GS200" s="1"/>
      <c r="GT200" s="1"/>
      <c r="GU200" s="1"/>
      <c r="GV200" s="1"/>
      <c r="GW200" s="1"/>
      <c r="GX200" s="1"/>
      <c r="GY200" s="1"/>
      <c r="GZ200" s="1"/>
      <c r="HA200" s="1"/>
      <c r="HB200" s="1"/>
      <c r="HC200" s="1"/>
      <c r="HD200" s="1"/>
      <c r="HE200" s="1"/>
      <c r="HF200" s="1"/>
      <c r="HG200" s="1"/>
      <c r="HH200" s="1"/>
      <c r="HI200" s="1"/>
      <c r="HJ200" s="1"/>
      <c r="HK200" s="1"/>
      <c r="HL200" s="1"/>
    </row>
    <row r="201" spans="1:220" s="258" customFormat="1" ht="17.100000000000001" customHeight="1" x14ac:dyDescent="0.25">
      <c r="A201"/>
      <c r="B201" s="234"/>
      <c r="C201" s="238"/>
      <c r="D201" s="235"/>
      <c r="E201" s="239"/>
      <c r="F201" s="240"/>
      <c r="G201" s="167"/>
      <c r="H201" s="241"/>
      <c r="I201" s="86"/>
      <c r="J201" s="169"/>
      <c r="K201" s="132"/>
      <c r="L201" s="242"/>
      <c r="M201" s="252"/>
      <c r="N201" s="244"/>
      <c r="O201" s="245"/>
      <c r="P201" s="246"/>
      <c r="Q201" s="247"/>
      <c r="R201" s="248"/>
      <c r="S201" s="169"/>
      <c r="T201" s="169"/>
      <c r="U201" s="169"/>
      <c r="V201" s="169"/>
      <c r="W201" s="169"/>
      <c r="X201" s="169"/>
      <c r="Y201" s="249"/>
      <c r="Z201" s="250"/>
      <c r="AA201" s="257"/>
      <c r="AB201" s="251"/>
      <c r="AC201" s="247"/>
      <c r="AD201" s="191"/>
      <c r="AF201" s="259"/>
      <c r="AG201" s="260"/>
      <c r="AH201" s="260"/>
      <c r="AI201" s="261"/>
      <c r="AJ201" s="260"/>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EG201" s="1"/>
      <c r="EH201" s="1"/>
      <c r="EI201" s="1"/>
      <c r="EJ201" s="1"/>
      <c r="EK201" s="1"/>
      <c r="EL201" s="1"/>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c r="GF201" s="1"/>
      <c r="GG201" s="1"/>
      <c r="GH201" s="1"/>
      <c r="GI201" s="1"/>
      <c r="GJ201" s="1"/>
      <c r="GK201" s="1"/>
      <c r="GL201" s="1"/>
      <c r="GM201" s="1"/>
      <c r="GN201" s="1"/>
      <c r="GO201" s="1"/>
      <c r="GP201" s="1"/>
      <c r="GQ201" s="1"/>
      <c r="GR201" s="1"/>
      <c r="GS201" s="1"/>
      <c r="GT201" s="1"/>
      <c r="GU201" s="1"/>
      <c r="GV201" s="1"/>
      <c r="GW201" s="1"/>
      <c r="GX201" s="1"/>
      <c r="GY201" s="1"/>
      <c r="GZ201" s="1"/>
      <c r="HA201" s="1"/>
      <c r="HB201" s="1"/>
      <c r="HC201" s="1"/>
      <c r="HD201" s="1"/>
      <c r="HE201" s="1"/>
      <c r="HF201" s="1"/>
      <c r="HG201" s="1"/>
      <c r="HH201" s="1"/>
      <c r="HI201" s="1"/>
      <c r="HJ201" s="1"/>
      <c r="HK201" s="1"/>
      <c r="HL201" s="1"/>
    </row>
  </sheetData>
  <mergeCells count="7">
    <mergeCell ref="B4:Y4"/>
    <mergeCell ref="AF4:AG4"/>
    <mergeCell ref="D5:Y5"/>
    <mergeCell ref="C6:E6"/>
    <mergeCell ref="L6:N6"/>
    <mergeCell ref="O6:Q6"/>
    <mergeCell ref="R6:Y6"/>
  </mergeCells>
  <conditionalFormatting sqref="C6">
    <cfRule type="cellIs" dxfId="127" priority="18" operator="equal">
      <formula>"Rush"</formula>
    </cfRule>
  </conditionalFormatting>
  <conditionalFormatting sqref="C6">
    <cfRule type="cellIs" dxfId="126" priority="17" operator="equal">
      <formula>"Rush"</formula>
    </cfRule>
  </conditionalFormatting>
  <conditionalFormatting sqref="K7">
    <cfRule type="cellIs" dxfId="125" priority="14" operator="equal">
      <formula>"reject"</formula>
    </cfRule>
    <cfRule type="cellIs" dxfId="124" priority="15" operator="equal">
      <formula>"dupe"</formula>
    </cfRule>
    <cfRule type="containsBlanks" dxfId="123" priority="16">
      <formula>LEN(TRIM(K7))=0</formula>
    </cfRule>
  </conditionalFormatting>
  <conditionalFormatting sqref="K6">
    <cfRule type="cellIs" dxfId="122" priority="11" operator="equal">
      <formula>"reject"</formula>
    </cfRule>
    <cfRule type="cellIs" dxfId="121" priority="12" operator="equal">
      <formula>"dupe"</formula>
    </cfRule>
    <cfRule type="containsBlanks" dxfId="120" priority="13">
      <formula>LEN(TRIM(K6))=0</formula>
    </cfRule>
  </conditionalFormatting>
  <conditionalFormatting sqref="B9:AD9">
    <cfRule type="cellIs" dxfId="119" priority="1" operator="equal">
      <formula>"standardized"</formula>
    </cfRule>
    <cfRule type="cellIs" dxfId="118" priority="2" operator="equal">
      <formula>"modular"</formula>
    </cfRule>
  </conditionalFormatting>
  <hyperlinks>
    <hyperlink ref="A2" r:id="rId1" xr:uid="{1DD1B09D-E90D-4B36-8EAD-CFBB5A98896B}"/>
  </hyperlinks>
  <pageMargins left="0.7" right="0.7" top="0.75" bottom="0.75" header="0.3" footer="0.3"/>
  <pageSetup orientation="portrait" r:id="rId2"/>
  <legacyDrawing r:id="rId3"/>
  <tableParts count="2">
    <tablePart r:id="rId4"/>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B4A2B526-122C-4D46-B0EE-56815E28A5BB}">
          <x14:formula1>
            <xm:f>'Data Validation'!$E$2:$E$4</xm:f>
          </x14:formula1>
          <xm:sqref>B66 D59:D103 D21:D57</xm:sqref>
        </x14:dataValidation>
        <x14:dataValidation type="list" allowBlank="1" showInputMessage="1" showErrorMessage="1" xr:uid="{61ADC26D-F970-46FF-B7DF-0B0613358101}">
          <x14:formula1>
            <xm:f>'Data Validation'!$C$2:$C$18</xm:f>
          </x14:formula1>
          <xm:sqref>G21:G201</xm:sqref>
        </x14:dataValidation>
        <x14:dataValidation type="list" allowBlank="1" showInputMessage="1" showErrorMessage="1" xr:uid="{D981664D-617D-4655-A2D6-AD57F4490CA1}">
          <x14:formula1>
            <xm:f>'Data Validation'!$A$2:$A$10</xm:f>
          </x14:formula1>
          <xm:sqref>J21:J201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C5659-FB42-4A9E-A631-93A7B0576981}">
  <sheetPr codeName="Sheet12">
    <tabColor theme="9" tint="0.79998168889431442"/>
  </sheetPr>
  <dimension ref="A1:N79"/>
  <sheetViews>
    <sheetView view="pageLayout" zoomScaleNormal="100" workbookViewId="0">
      <selection activeCell="N2" sqref="N2"/>
    </sheetView>
  </sheetViews>
  <sheetFormatPr defaultColWidth="9.140625" defaultRowHeight="36" x14ac:dyDescent="0.55000000000000004"/>
  <cols>
    <col min="1" max="1" width="4" bestFit="1" customWidth="1"/>
    <col min="2" max="2" width="5" style="100" customWidth="1"/>
    <col min="3" max="3" width="5" customWidth="1"/>
    <col min="4" max="4" width="10.140625" style="112" customWidth="1"/>
    <col min="5" max="5" width="2.5703125" customWidth="1"/>
    <col min="6" max="6" width="6.42578125" customWidth="1"/>
    <col min="7" max="7" width="2.5703125" customWidth="1"/>
    <col min="8" max="8" width="6.42578125" customWidth="1"/>
    <col min="9" max="9" width="3.7109375" customWidth="1"/>
    <col min="10" max="10" width="12.140625" customWidth="1"/>
    <col min="11" max="11" width="6.42578125" customWidth="1"/>
    <col min="12" max="12" width="3.7109375" customWidth="1"/>
    <col min="13" max="13" width="6.42578125" customWidth="1"/>
    <col min="14" max="14" width="26.7109375" customWidth="1"/>
  </cols>
  <sheetData>
    <row r="1" spans="1:14" ht="72" customHeight="1" x14ac:dyDescent="0.25">
      <c r="A1" s="99" t="s">
        <v>124</v>
      </c>
      <c r="B1" s="101" t="s">
        <v>125</v>
      </c>
      <c r="C1" s="101" t="s">
        <v>119</v>
      </c>
      <c r="D1" s="111"/>
      <c r="E1" s="103" t="s">
        <v>118</v>
      </c>
      <c r="F1" s="106"/>
      <c r="G1" s="104" t="s">
        <v>120</v>
      </c>
      <c r="H1" s="108" t="s">
        <v>121</v>
      </c>
      <c r="I1" s="107"/>
      <c r="J1" s="105" t="s">
        <v>122</v>
      </c>
      <c r="K1" s="110"/>
      <c r="L1" s="109" t="s">
        <v>123</v>
      </c>
      <c r="M1" s="110"/>
      <c r="N1" s="115" t="s">
        <v>126</v>
      </c>
    </row>
    <row r="2" spans="1:14" ht="72" customHeight="1" x14ac:dyDescent="0.25">
      <c r="A2" s="99" t="s">
        <v>124</v>
      </c>
      <c r="B2" s="101" t="s">
        <v>125</v>
      </c>
      <c r="C2" s="101" t="s">
        <v>119</v>
      </c>
      <c r="D2" s="111"/>
      <c r="E2" s="103" t="s">
        <v>118</v>
      </c>
      <c r="F2" s="106"/>
      <c r="G2" s="104" t="s">
        <v>120</v>
      </c>
      <c r="H2" s="108" t="s">
        <v>121</v>
      </c>
      <c r="I2" s="107"/>
      <c r="J2" s="105" t="s">
        <v>122</v>
      </c>
      <c r="K2" s="110"/>
      <c r="L2" s="109" t="s">
        <v>123</v>
      </c>
      <c r="M2" s="110"/>
      <c r="N2" s="102"/>
    </row>
    <row r="3" spans="1:14" ht="72" customHeight="1" x14ac:dyDescent="0.25">
      <c r="A3" s="99" t="s">
        <v>124</v>
      </c>
      <c r="B3" s="101" t="s">
        <v>125</v>
      </c>
      <c r="C3" s="101" t="s">
        <v>119</v>
      </c>
      <c r="D3" s="111"/>
      <c r="E3" s="103" t="s">
        <v>118</v>
      </c>
      <c r="F3" s="106"/>
      <c r="G3" s="104" t="s">
        <v>120</v>
      </c>
      <c r="H3" s="108" t="s">
        <v>121</v>
      </c>
      <c r="I3" s="107"/>
      <c r="J3" s="105" t="s">
        <v>122</v>
      </c>
      <c r="K3" s="110"/>
      <c r="L3" s="109" t="s">
        <v>123</v>
      </c>
      <c r="M3" s="110"/>
      <c r="N3" s="102"/>
    </row>
    <row r="4" spans="1:14" ht="72" customHeight="1" x14ac:dyDescent="0.25">
      <c r="A4" s="99" t="s">
        <v>124</v>
      </c>
      <c r="B4" s="101" t="s">
        <v>125</v>
      </c>
      <c r="C4" s="101" t="s">
        <v>119</v>
      </c>
      <c r="D4" s="111"/>
      <c r="E4" s="103" t="s">
        <v>118</v>
      </c>
      <c r="F4" s="106"/>
      <c r="G4" s="104" t="s">
        <v>120</v>
      </c>
      <c r="H4" s="108" t="s">
        <v>121</v>
      </c>
      <c r="I4" s="107"/>
      <c r="J4" s="105" t="s">
        <v>122</v>
      </c>
      <c r="K4" s="110"/>
      <c r="L4" s="109" t="s">
        <v>123</v>
      </c>
      <c r="M4" s="110"/>
      <c r="N4" s="102"/>
    </row>
    <row r="5" spans="1:14" ht="72" customHeight="1" x14ac:dyDescent="0.25">
      <c r="A5" s="99" t="s">
        <v>124</v>
      </c>
      <c r="B5" s="101" t="s">
        <v>125</v>
      </c>
      <c r="C5" s="101" t="s">
        <v>119</v>
      </c>
      <c r="D5" s="111"/>
      <c r="E5" s="103" t="s">
        <v>118</v>
      </c>
      <c r="F5" s="106"/>
      <c r="G5" s="104" t="s">
        <v>120</v>
      </c>
      <c r="H5" s="108" t="s">
        <v>121</v>
      </c>
      <c r="I5" s="107"/>
      <c r="J5" s="105" t="s">
        <v>122</v>
      </c>
      <c r="K5" s="110"/>
      <c r="L5" s="109" t="s">
        <v>123</v>
      </c>
      <c r="M5" s="110"/>
      <c r="N5" s="102"/>
    </row>
    <row r="6" spans="1:14" ht="72" customHeight="1" x14ac:dyDescent="0.25">
      <c r="A6" s="99" t="s">
        <v>124</v>
      </c>
      <c r="B6" s="101" t="s">
        <v>125</v>
      </c>
      <c r="C6" s="101" t="s">
        <v>119</v>
      </c>
      <c r="D6" s="111"/>
      <c r="E6" s="103" t="s">
        <v>118</v>
      </c>
      <c r="F6" s="106"/>
      <c r="G6" s="104" t="s">
        <v>120</v>
      </c>
      <c r="H6" s="108" t="s">
        <v>121</v>
      </c>
      <c r="I6" s="107"/>
      <c r="J6" s="105" t="s">
        <v>122</v>
      </c>
      <c r="K6" s="110"/>
      <c r="L6" s="109" t="s">
        <v>123</v>
      </c>
      <c r="M6" s="110"/>
      <c r="N6" s="102"/>
    </row>
    <row r="7" spans="1:14" ht="72" customHeight="1" x14ac:dyDescent="0.25">
      <c r="A7" s="99" t="s">
        <v>124</v>
      </c>
      <c r="B7" s="101" t="s">
        <v>125</v>
      </c>
      <c r="C7" s="101" t="s">
        <v>119</v>
      </c>
      <c r="D7" s="111"/>
      <c r="E7" s="103" t="s">
        <v>118</v>
      </c>
      <c r="F7" s="106"/>
      <c r="G7" s="104" t="s">
        <v>120</v>
      </c>
      <c r="H7" s="108" t="s">
        <v>121</v>
      </c>
      <c r="I7" s="107"/>
      <c r="J7" s="105" t="s">
        <v>122</v>
      </c>
      <c r="K7" s="110"/>
      <c r="L7" s="109" t="s">
        <v>123</v>
      </c>
      <c r="M7" s="110"/>
      <c r="N7" s="102"/>
    </row>
    <row r="8" spans="1:14" ht="72" customHeight="1" x14ac:dyDescent="0.25">
      <c r="A8" s="99" t="s">
        <v>124</v>
      </c>
      <c r="B8" s="101" t="s">
        <v>125</v>
      </c>
      <c r="C8" s="101" t="s">
        <v>119</v>
      </c>
      <c r="D8" s="111"/>
      <c r="E8" s="103" t="s">
        <v>118</v>
      </c>
      <c r="F8" s="106"/>
      <c r="G8" s="104" t="s">
        <v>120</v>
      </c>
      <c r="H8" s="108" t="s">
        <v>121</v>
      </c>
      <c r="I8" s="107"/>
      <c r="J8" s="105" t="s">
        <v>122</v>
      </c>
      <c r="K8" s="110"/>
      <c r="L8" s="109" t="s">
        <v>123</v>
      </c>
      <c r="M8" s="110"/>
      <c r="N8" s="102"/>
    </row>
    <row r="9" spans="1:14" ht="72" customHeight="1" x14ac:dyDescent="0.25">
      <c r="A9" s="99" t="s">
        <v>124</v>
      </c>
      <c r="B9" s="101" t="s">
        <v>125</v>
      </c>
      <c r="C9" s="101" t="s">
        <v>119</v>
      </c>
      <c r="D9" s="111"/>
      <c r="E9" s="103" t="s">
        <v>118</v>
      </c>
      <c r="F9" s="106"/>
      <c r="G9" s="104" t="s">
        <v>120</v>
      </c>
      <c r="H9" s="108" t="s">
        <v>121</v>
      </c>
      <c r="I9" s="107"/>
      <c r="J9" s="105" t="s">
        <v>122</v>
      </c>
      <c r="K9" s="110"/>
      <c r="L9" s="109" t="s">
        <v>123</v>
      </c>
      <c r="M9" s="110"/>
      <c r="N9" s="102"/>
    </row>
    <row r="10" spans="1:14" ht="72" customHeight="1" x14ac:dyDescent="0.25">
      <c r="A10" s="99" t="s">
        <v>124</v>
      </c>
      <c r="B10" s="101" t="s">
        <v>125</v>
      </c>
      <c r="C10" s="101" t="s">
        <v>119</v>
      </c>
      <c r="D10" s="111"/>
      <c r="E10" s="103" t="s">
        <v>118</v>
      </c>
      <c r="F10" s="106"/>
      <c r="G10" s="104" t="s">
        <v>120</v>
      </c>
      <c r="H10" s="108" t="s">
        <v>121</v>
      </c>
      <c r="I10" s="107"/>
      <c r="J10" s="105" t="s">
        <v>122</v>
      </c>
      <c r="K10" s="110"/>
      <c r="L10" s="109" t="s">
        <v>123</v>
      </c>
      <c r="M10" s="110"/>
      <c r="N10" s="102"/>
    </row>
    <row r="11" spans="1:14" ht="72" customHeight="1" x14ac:dyDescent="0.25">
      <c r="A11" s="99" t="s">
        <v>124</v>
      </c>
      <c r="B11" s="101" t="s">
        <v>125</v>
      </c>
      <c r="C11" s="101" t="s">
        <v>119</v>
      </c>
      <c r="D11" s="111"/>
      <c r="E11" s="103" t="s">
        <v>118</v>
      </c>
      <c r="F11" s="106"/>
      <c r="G11" s="104" t="s">
        <v>120</v>
      </c>
      <c r="H11" s="108" t="s">
        <v>121</v>
      </c>
      <c r="I11" s="107"/>
      <c r="J11" s="105" t="s">
        <v>122</v>
      </c>
      <c r="K11" s="110"/>
      <c r="L11" s="109" t="s">
        <v>123</v>
      </c>
      <c r="M11" s="110"/>
      <c r="N11" s="102"/>
    </row>
    <row r="12" spans="1:14" ht="72" customHeight="1" x14ac:dyDescent="0.25">
      <c r="A12" s="99" t="s">
        <v>124</v>
      </c>
      <c r="B12" s="101" t="s">
        <v>125</v>
      </c>
      <c r="C12" s="101" t="s">
        <v>119</v>
      </c>
      <c r="D12" s="111"/>
      <c r="E12" s="103" t="s">
        <v>118</v>
      </c>
      <c r="F12" s="106"/>
      <c r="G12" s="104" t="s">
        <v>120</v>
      </c>
      <c r="H12" s="108" t="s">
        <v>121</v>
      </c>
      <c r="I12" s="107"/>
      <c r="J12" s="105" t="s">
        <v>122</v>
      </c>
      <c r="K12" s="110"/>
      <c r="L12" s="109" t="s">
        <v>123</v>
      </c>
      <c r="M12" s="110"/>
      <c r="N12" s="102"/>
    </row>
    <row r="13" spans="1:14" ht="72" customHeight="1" x14ac:dyDescent="0.25">
      <c r="A13" s="99" t="s">
        <v>124</v>
      </c>
      <c r="B13" s="101" t="s">
        <v>125</v>
      </c>
      <c r="C13" s="101" t="s">
        <v>119</v>
      </c>
      <c r="D13" s="111"/>
      <c r="E13" s="103" t="s">
        <v>118</v>
      </c>
      <c r="F13" s="106"/>
      <c r="G13" s="104" t="s">
        <v>120</v>
      </c>
      <c r="H13" s="108" t="s">
        <v>121</v>
      </c>
      <c r="I13" s="107"/>
      <c r="J13" s="105" t="s">
        <v>122</v>
      </c>
      <c r="K13" s="110"/>
      <c r="L13" s="109" t="s">
        <v>123</v>
      </c>
      <c r="M13" s="110"/>
      <c r="N13" s="102"/>
    </row>
    <row r="14" spans="1:14" ht="72" customHeight="1" x14ac:dyDescent="0.25">
      <c r="A14" s="99" t="s">
        <v>124</v>
      </c>
      <c r="B14" s="101" t="s">
        <v>125</v>
      </c>
      <c r="C14" s="101" t="s">
        <v>119</v>
      </c>
      <c r="D14" s="111"/>
      <c r="E14" s="103" t="s">
        <v>118</v>
      </c>
      <c r="F14" s="106"/>
      <c r="G14" s="104" t="s">
        <v>120</v>
      </c>
      <c r="H14" s="108" t="s">
        <v>121</v>
      </c>
      <c r="I14" s="107"/>
      <c r="J14" s="105" t="s">
        <v>122</v>
      </c>
      <c r="K14" s="110"/>
      <c r="L14" s="109" t="s">
        <v>123</v>
      </c>
      <c r="M14" s="110"/>
      <c r="N14" s="102"/>
    </row>
    <row r="15" spans="1:14" ht="72" customHeight="1" x14ac:dyDescent="0.25">
      <c r="A15" s="99" t="s">
        <v>124</v>
      </c>
      <c r="B15" s="101" t="s">
        <v>125</v>
      </c>
      <c r="C15" s="101" t="s">
        <v>119</v>
      </c>
      <c r="D15" s="111"/>
      <c r="E15" s="103" t="s">
        <v>118</v>
      </c>
      <c r="F15" s="106"/>
      <c r="G15" s="104" t="s">
        <v>120</v>
      </c>
      <c r="H15" s="108" t="s">
        <v>121</v>
      </c>
      <c r="I15" s="107"/>
      <c r="J15" s="105" t="s">
        <v>122</v>
      </c>
      <c r="K15" s="110"/>
      <c r="L15" s="109" t="s">
        <v>123</v>
      </c>
      <c r="M15" s="110"/>
      <c r="N15" s="102"/>
    </row>
    <row r="16" spans="1:14" ht="72" customHeight="1" x14ac:dyDescent="0.25">
      <c r="A16" s="99" t="s">
        <v>124</v>
      </c>
      <c r="B16" s="101" t="s">
        <v>125</v>
      </c>
      <c r="C16" s="101" t="s">
        <v>119</v>
      </c>
      <c r="D16" s="111"/>
      <c r="E16" s="103" t="s">
        <v>118</v>
      </c>
      <c r="F16" s="106"/>
      <c r="G16" s="104" t="s">
        <v>120</v>
      </c>
      <c r="H16" s="108" t="s">
        <v>121</v>
      </c>
      <c r="I16" s="107"/>
      <c r="J16" s="105" t="s">
        <v>122</v>
      </c>
      <c r="K16" s="110"/>
      <c r="L16" s="109" t="s">
        <v>123</v>
      </c>
      <c r="M16" s="110"/>
      <c r="N16" s="102"/>
    </row>
    <row r="17" spans="1:14" ht="72" customHeight="1" x14ac:dyDescent="0.25">
      <c r="A17" s="99" t="s">
        <v>124</v>
      </c>
      <c r="B17" s="101" t="s">
        <v>125</v>
      </c>
      <c r="C17" s="101" t="s">
        <v>119</v>
      </c>
      <c r="D17" s="111"/>
      <c r="E17" s="103" t="s">
        <v>118</v>
      </c>
      <c r="F17" s="106"/>
      <c r="G17" s="104" t="s">
        <v>120</v>
      </c>
      <c r="H17" s="108" t="s">
        <v>121</v>
      </c>
      <c r="I17" s="107"/>
      <c r="J17" s="105" t="s">
        <v>122</v>
      </c>
      <c r="K17" s="110"/>
      <c r="L17" s="109" t="s">
        <v>123</v>
      </c>
      <c r="M17" s="110"/>
      <c r="N17" s="102"/>
    </row>
    <row r="18" spans="1:14" ht="72" customHeight="1" x14ac:dyDescent="0.25">
      <c r="A18" s="99" t="s">
        <v>124</v>
      </c>
      <c r="B18" s="101" t="s">
        <v>125</v>
      </c>
      <c r="C18" s="101" t="s">
        <v>119</v>
      </c>
      <c r="D18" s="111"/>
      <c r="E18" s="103" t="s">
        <v>118</v>
      </c>
      <c r="F18" s="106"/>
      <c r="G18" s="104" t="s">
        <v>120</v>
      </c>
      <c r="H18" s="108" t="s">
        <v>121</v>
      </c>
      <c r="I18" s="107"/>
      <c r="J18" s="105" t="s">
        <v>122</v>
      </c>
      <c r="K18" s="110"/>
      <c r="L18" s="109" t="s">
        <v>123</v>
      </c>
      <c r="M18" s="110"/>
      <c r="N18" s="102"/>
    </row>
    <row r="19" spans="1:14" ht="72" customHeight="1" x14ac:dyDescent="0.25">
      <c r="A19" s="99" t="s">
        <v>124</v>
      </c>
      <c r="B19" s="101" t="s">
        <v>125</v>
      </c>
      <c r="C19" s="101" t="s">
        <v>119</v>
      </c>
      <c r="D19" s="111"/>
      <c r="E19" s="103" t="s">
        <v>118</v>
      </c>
      <c r="F19" s="106"/>
      <c r="G19" s="104" t="s">
        <v>120</v>
      </c>
      <c r="H19" s="108" t="s">
        <v>121</v>
      </c>
      <c r="I19" s="107"/>
      <c r="J19" s="105" t="s">
        <v>122</v>
      </c>
      <c r="K19" s="110"/>
      <c r="L19" s="109" t="s">
        <v>123</v>
      </c>
      <c r="M19" s="110"/>
      <c r="N19" s="102"/>
    </row>
    <row r="20" spans="1:14" ht="72" customHeight="1" x14ac:dyDescent="0.25">
      <c r="A20" s="99" t="s">
        <v>124</v>
      </c>
      <c r="B20" s="101" t="s">
        <v>125</v>
      </c>
      <c r="C20" s="101" t="s">
        <v>119</v>
      </c>
      <c r="D20" s="111"/>
      <c r="E20" s="103" t="s">
        <v>118</v>
      </c>
      <c r="F20" s="106"/>
      <c r="G20" s="104" t="s">
        <v>120</v>
      </c>
      <c r="H20" s="108" t="s">
        <v>121</v>
      </c>
      <c r="I20" s="107"/>
      <c r="J20" s="105" t="s">
        <v>122</v>
      </c>
      <c r="K20" s="110"/>
      <c r="L20" s="109" t="s">
        <v>123</v>
      </c>
      <c r="M20" s="110"/>
      <c r="N20" s="102"/>
    </row>
    <row r="21" spans="1:14" ht="72" customHeight="1" x14ac:dyDescent="0.25">
      <c r="A21" s="99" t="s">
        <v>124</v>
      </c>
      <c r="B21" s="101" t="s">
        <v>125</v>
      </c>
      <c r="C21" s="101" t="s">
        <v>119</v>
      </c>
      <c r="D21" s="111"/>
      <c r="E21" s="103" t="s">
        <v>118</v>
      </c>
      <c r="F21" s="106"/>
      <c r="G21" s="104" t="s">
        <v>120</v>
      </c>
      <c r="H21" s="108" t="s">
        <v>121</v>
      </c>
      <c r="I21" s="107"/>
      <c r="J21" s="105" t="s">
        <v>122</v>
      </c>
      <c r="K21" s="110"/>
      <c r="L21" s="109" t="s">
        <v>123</v>
      </c>
      <c r="M21" s="110"/>
      <c r="N21" s="102"/>
    </row>
    <row r="22" spans="1:14" ht="72" customHeight="1" x14ac:dyDescent="0.25">
      <c r="A22" s="99" t="s">
        <v>124</v>
      </c>
      <c r="B22" s="101" t="s">
        <v>125</v>
      </c>
      <c r="C22" s="101" t="s">
        <v>119</v>
      </c>
      <c r="D22" s="111"/>
      <c r="E22" s="103" t="s">
        <v>118</v>
      </c>
      <c r="F22" s="106"/>
      <c r="G22" s="104" t="s">
        <v>120</v>
      </c>
      <c r="H22" s="108" t="s">
        <v>121</v>
      </c>
      <c r="I22" s="107"/>
      <c r="J22" s="105" t="s">
        <v>122</v>
      </c>
      <c r="K22" s="110"/>
      <c r="L22" s="109" t="s">
        <v>123</v>
      </c>
      <c r="M22" s="110"/>
      <c r="N22" s="102"/>
    </row>
    <row r="23" spans="1:14" ht="72" customHeight="1" x14ac:dyDescent="0.25">
      <c r="A23" s="99" t="s">
        <v>124</v>
      </c>
      <c r="B23" s="101" t="s">
        <v>125</v>
      </c>
      <c r="C23" s="101" t="s">
        <v>119</v>
      </c>
      <c r="D23" s="111"/>
      <c r="E23" s="103" t="s">
        <v>118</v>
      </c>
      <c r="F23" s="106"/>
      <c r="G23" s="104" t="s">
        <v>120</v>
      </c>
      <c r="H23" s="108" t="s">
        <v>121</v>
      </c>
      <c r="I23" s="107"/>
      <c r="J23" s="105" t="s">
        <v>122</v>
      </c>
      <c r="K23" s="110"/>
      <c r="L23" s="109" t="s">
        <v>123</v>
      </c>
      <c r="M23" s="110"/>
      <c r="N23" s="102"/>
    </row>
    <row r="24" spans="1:14" ht="72" customHeight="1" x14ac:dyDescent="0.25">
      <c r="A24" s="99" t="s">
        <v>124</v>
      </c>
      <c r="B24" s="101" t="s">
        <v>125</v>
      </c>
      <c r="C24" s="101" t="s">
        <v>119</v>
      </c>
      <c r="D24" s="111"/>
      <c r="E24" s="103" t="s">
        <v>118</v>
      </c>
      <c r="F24" s="106"/>
      <c r="G24" s="104" t="s">
        <v>120</v>
      </c>
      <c r="H24" s="108" t="s">
        <v>121</v>
      </c>
      <c r="I24" s="107"/>
      <c r="J24" s="105" t="s">
        <v>122</v>
      </c>
      <c r="K24" s="110"/>
      <c r="L24" s="109" t="s">
        <v>123</v>
      </c>
      <c r="M24" s="110"/>
      <c r="N24" s="102"/>
    </row>
    <row r="25" spans="1:14" ht="72" customHeight="1" x14ac:dyDescent="0.25">
      <c r="A25" s="99" t="s">
        <v>124</v>
      </c>
      <c r="B25" s="101" t="s">
        <v>125</v>
      </c>
      <c r="C25" s="101" t="s">
        <v>119</v>
      </c>
      <c r="D25" s="111"/>
      <c r="E25" s="103" t="s">
        <v>118</v>
      </c>
      <c r="F25" s="106"/>
      <c r="G25" s="104" t="s">
        <v>120</v>
      </c>
      <c r="H25" s="108" t="s">
        <v>121</v>
      </c>
      <c r="I25" s="107"/>
      <c r="J25" s="105" t="s">
        <v>122</v>
      </c>
      <c r="K25" s="110"/>
      <c r="L25" s="109" t="s">
        <v>123</v>
      </c>
      <c r="M25" s="110"/>
      <c r="N25" s="102"/>
    </row>
    <row r="26" spans="1:14" ht="72" customHeight="1" x14ac:dyDescent="0.25">
      <c r="A26" s="99" t="s">
        <v>124</v>
      </c>
      <c r="B26" s="101" t="s">
        <v>125</v>
      </c>
      <c r="C26" s="101" t="s">
        <v>119</v>
      </c>
      <c r="D26" s="111"/>
      <c r="E26" s="103" t="s">
        <v>118</v>
      </c>
      <c r="F26" s="106"/>
      <c r="G26" s="104" t="s">
        <v>120</v>
      </c>
      <c r="H26" s="108" t="s">
        <v>121</v>
      </c>
      <c r="I26" s="107"/>
      <c r="J26" s="105" t="s">
        <v>122</v>
      </c>
      <c r="K26" s="110"/>
      <c r="L26" s="109" t="s">
        <v>123</v>
      </c>
      <c r="M26" s="110"/>
      <c r="N26" s="102"/>
    </row>
    <row r="27" spans="1:14" ht="72" customHeight="1" x14ac:dyDescent="0.25">
      <c r="A27" s="99" t="s">
        <v>124</v>
      </c>
      <c r="B27" s="101" t="s">
        <v>125</v>
      </c>
      <c r="C27" s="101" t="s">
        <v>119</v>
      </c>
      <c r="D27" s="111"/>
      <c r="E27" s="103" t="s">
        <v>118</v>
      </c>
      <c r="F27" s="106"/>
      <c r="G27" s="104" t="s">
        <v>120</v>
      </c>
      <c r="H27" s="108" t="s">
        <v>121</v>
      </c>
      <c r="I27" s="107"/>
      <c r="J27" s="105" t="s">
        <v>122</v>
      </c>
      <c r="K27" s="110"/>
      <c r="L27" s="109" t="s">
        <v>123</v>
      </c>
      <c r="M27" s="110"/>
      <c r="N27" s="102"/>
    </row>
    <row r="28" spans="1:14" ht="72" customHeight="1" x14ac:dyDescent="0.25">
      <c r="A28" s="99" t="s">
        <v>124</v>
      </c>
      <c r="B28" s="101" t="s">
        <v>125</v>
      </c>
      <c r="C28" s="101" t="s">
        <v>119</v>
      </c>
      <c r="D28" s="111"/>
      <c r="E28" s="103" t="s">
        <v>118</v>
      </c>
      <c r="F28" s="106"/>
      <c r="G28" s="104" t="s">
        <v>120</v>
      </c>
      <c r="H28" s="108" t="s">
        <v>121</v>
      </c>
      <c r="I28" s="107"/>
      <c r="J28" s="105" t="s">
        <v>122</v>
      </c>
      <c r="K28" s="110"/>
      <c r="L28" s="109" t="s">
        <v>123</v>
      </c>
      <c r="M28" s="110"/>
      <c r="N28" s="102"/>
    </row>
    <row r="29" spans="1:14" ht="72" customHeight="1" x14ac:dyDescent="0.25">
      <c r="A29" s="99" t="s">
        <v>124</v>
      </c>
      <c r="B29" s="101" t="s">
        <v>125</v>
      </c>
      <c r="C29" s="101" t="s">
        <v>119</v>
      </c>
      <c r="D29" s="111"/>
      <c r="E29" s="103" t="s">
        <v>118</v>
      </c>
      <c r="F29" s="106"/>
      <c r="G29" s="104" t="s">
        <v>120</v>
      </c>
      <c r="H29" s="108" t="s">
        <v>121</v>
      </c>
      <c r="I29" s="107"/>
      <c r="J29" s="105" t="s">
        <v>122</v>
      </c>
      <c r="K29" s="110"/>
      <c r="L29" s="109" t="s">
        <v>123</v>
      </c>
      <c r="M29" s="110"/>
      <c r="N29" s="102"/>
    </row>
    <row r="30" spans="1:14" ht="72" customHeight="1" x14ac:dyDescent="0.25">
      <c r="A30" s="99" t="s">
        <v>124</v>
      </c>
      <c r="B30" s="101" t="s">
        <v>125</v>
      </c>
      <c r="C30" s="101" t="s">
        <v>119</v>
      </c>
      <c r="D30" s="111"/>
      <c r="E30" s="103" t="s">
        <v>118</v>
      </c>
      <c r="F30" s="106"/>
      <c r="G30" s="104" t="s">
        <v>120</v>
      </c>
      <c r="H30" s="108" t="s">
        <v>121</v>
      </c>
      <c r="I30" s="107"/>
      <c r="J30" s="105" t="s">
        <v>122</v>
      </c>
      <c r="K30" s="110"/>
      <c r="L30" s="109" t="s">
        <v>123</v>
      </c>
      <c r="M30" s="110"/>
      <c r="N30" s="102"/>
    </row>
    <row r="31" spans="1:14" ht="72" customHeight="1" x14ac:dyDescent="0.25">
      <c r="A31" s="99" t="s">
        <v>124</v>
      </c>
      <c r="B31" s="101" t="s">
        <v>125</v>
      </c>
      <c r="C31" s="101" t="s">
        <v>119</v>
      </c>
      <c r="D31" s="111"/>
      <c r="E31" s="103" t="s">
        <v>118</v>
      </c>
      <c r="F31" s="106"/>
      <c r="G31" s="104" t="s">
        <v>120</v>
      </c>
      <c r="H31" s="108" t="s">
        <v>121</v>
      </c>
      <c r="I31" s="107"/>
      <c r="J31" s="105" t="s">
        <v>122</v>
      </c>
      <c r="K31" s="110"/>
      <c r="L31" s="109" t="s">
        <v>123</v>
      </c>
      <c r="M31" s="110"/>
      <c r="N31" s="102"/>
    </row>
    <row r="32" spans="1:14" ht="72" customHeight="1" x14ac:dyDescent="0.25">
      <c r="A32" s="99" t="s">
        <v>124</v>
      </c>
      <c r="B32" s="101" t="s">
        <v>125</v>
      </c>
      <c r="C32" s="101" t="s">
        <v>119</v>
      </c>
      <c r="D32" s="111"/>
      <c r="E32" s="103" t="s">
        <v>118</v>
      </c>
      <c r="F32" s="106"/>
      <c r="G32" s="104" t="s">
        <v>120</v>
      </c>
      <c r="H32" s="108" t="s">
        <v>121</v>
      </c>
      <c r="I32" s="107"/>
      <c r="J32" s="105" t="s">
        <v>122</v>
      </c>
      <c r="K32" s="110"/>
      <c r="L32" s="109" t="s">
        <v>123</v>
      </c>
      <c r="M32" s="110"/>
      <c r="N32" s="102"/>
    </row>
    <row r="33" spans="1:14" ht="72" customHeight="1" x14ac:dyDescent="0.25">
      <c r="A33" s="99" t="s">
        <v>124</v>
      </c>
      <c r="B33" s="101" t="s">
        <v>125</v>
      </c>
      <c r="C33" s="101" t="s">
        <v>119</v>
      </c>
      <c r="D33" s="111"/>
      <c r="E33" s="103" t="s">
        <v>118</v>
      </c>
      <c r="F33" s="106"/>
      <c r="G33" s="104" t="s">
        <v>120</v>
      </c>
      <c r="H33" s="108" t="s">
        <v>121</v>
      </c>
      <c r="I33" s="107"/>
      <c r="J33" s="105" t="s">
        <v>122</v>
      </c>
      <c r="K33" s="110"/>
      <c r="L33" s="109" t="s">
        <v>123</v>
      </c>
      <c r="M33" s="110"/>
      <c r="N33" s="102"/>
    </row>
    <row r="34" spans="1:14" ht="72" customHeight="1" x14ac:dyDescent="0.25">
      <c r="A34" s="99" t="s">
        <v>124</v>
      </c>
      <c r="B34" s="101" t="s">
        <v>125</v>
      </c>
      <c r="C34" s="101" t="s">
        <v>119</v>
      </c>
      <c r="D34" s="111"/>
      <c r="E34" s="103" t="s">
        <v>118</v>
      </c>
      <c r="F34" s="106"/>
      <c r="G34" s="104" t="s">
        <v>120</v>
      </c>
      <c r="H34" s="108" t="s">
        <v>121</v>
      </c>
      <c r="I34" s="107"/>
      <c r="J34" s="105" t="s">
        <v>122</v>
      </c>
      <c r="K34" s="110"/>
      <c r="L34" s="109" t="s">
        <v>123</v>
      </c>
      <c r="M34" s="110"/>
      <c r="N34" s="102"/>
    </row>
    <row r="35" spans="1:14" ht="72" customHeight="1" x14ac:dyDescent="0.25">
      <c r="A35" s="99" t="s">
        <v>124</v>
      </c>
      <c r="B35" s="101" t="s">
        <v>125</v>
      </c>
      <c r="C35" s="101" t="s">
        <v>119</v>
      </c>
      <c r="D35" s="111"/>
      <c r="E35" s="103" t="s">
        <v>118</v>
      </c>
      <c r="F35" s="106"/>
      <c r="G35" s="104" t="s">
        <v>120</v>
      </c>
      <c r="H35" s="108" t="s">
        <v>121</v>
      </c>
      <c r="I35" s="107"/>
      <c r="J35" s="105" t="s">
        <v>122</v>
      </c>
      <c r="K35" s="110"/>
      <c r="L35" s="109" t="s">
        <v>123</v>
      </c>
      <c r="M35" s="110"/>
      <c r="N35" s="102"/>
    </row>
    <row r="36" spans="1:14" ht="72" customHeight="1" x14ac:dyDescent="0.25">
      <c r="A36" s="99" t="s">
        <v>124</v>
      </c>
      <c r="B36" s="101" t="s">
        <v>125</v>
      </c>
      <c r="C36" s="101" t="s">
        <v>119</v>
      </c>
      <c r="D36" s="111"/>
      <c r="E36" s="103" t="s">
        <v>118</v>
      </c>
      <c r="F36" s="106"/>
      <c r="G36" s="104" t="s">
        <v>120</v>
      </c>
      <c r="H36" s="108" t="s">
        <v>121</v>
      </c>
      <c r="I36" s="107"/>
      <c r="J36" s="105" t="s">
        <v>122</v>
      </c>
      <c r="K36" s="110"/>
      <c r="L36" s="109" t="s">
        <v>123</v>
      </c>
      <c r="M36" s="110"/>
      <c r="N36" s="102"/>
    </row>
    <row r="37" spans="1:14" ht="72" customHeight="1" x14ac:dyDescent="0.25">
      <c r="A37" s="99" t="s">
        <v>124</v>
      </c>
      <c r="B37" s="101" t="s">
        <v>125</v>
      </c>
      <c r="C37" s="101" t="s">
        <v>119</v>
      </c>
      <c r="D37" s="111"/>
      <c r="E37" s="103" t="s">
        <v>118</v>
      </c>
      <c r="F37" s="106"/>
      <c r="G37" s="104" t="s">
        <v>120</v>
      </c>
      <c r="H37" s="108" t="s">
        <v>121</v>
      </c>
      <c r="I37" s="107"/>
      <c r="J37" s="105" t="s">
        <v>122</v>
      </c>
      <c r="K37" s="110"/>
      <c r="L37" s="109" t="s">
        <v>123</v>
      </c>
      <c r="M37" s="110"/>
      <c r="N37" s="102"/>
    </row>
    <row r="38" spans="1:14" ht="72" customHeight="1" x14ac:dyDescent="0.25">
      <c r="A38" s="99" t="s">
        <v>124</v>
      </c>
      <c r="B38" s="101" t="s">
        <v>125</v>
      </c>
      <c r="C38" s="101" t="s">
        <v>119</v>
      </c>
      <c r="D38" s="111"/>
      <c r="E38" s="103" t="s">
        <v>118</v>
      </c>
      <c r="F38" s="106"/>
      <c r="G38" s="104" t="s">
        <v>120</v>
      </c>
      <c r="H38" s="108" t="s">
        <v>121</v>
      </c>
      <c r="I38" s="107"/>
      <c r="J38" s="105" t="s">
        <v>122</v>
      </c>
      <c r="K38" s="113" t="s">
        <v>88</v>
      </c>
      <c r="L38" s="109" t="s">
        <v>123</v>
      </c>
      <c r="M38" s="110" t="s">
        <v>87</v>
      </c>
      <c r="N38" s="102"/>
    </row>
    <row r="39" spans="1:14" ht="72" customHeight="1" x14ac:dyDescent="0.25">
      <c r="A39" s="99" t="s">
        <v>124</v>
      </c>
      <c r="B39" s="101" t="s">
        <v>125</v>
      </c>
      <c r="C39" s="101" t="s">
        <v>119</v>
      </c>
      <c r="D39" s="111"/>
      <c r="E39" s="103" t="s">
        <v>118</v>
      </c>
      <c r="F39" s="106"/>
      <c r="G39" s="104" t="s">
        <v>120</v>
      </c>
      <c r="H39" s="108" t="s">
        <v>121</v>
      </c>
      <c r="I39" s="107"/>
      <c r="J39" s="105" t="s">
        <v>122</v>
      </c>
      <c r="K39" s="113" t="s">
        <v>89</v>
      </c>
      <c r="L39" s="109" t="s">
        <v>123</v>
      </c>
      <c r="M39" s="110" t="s">
        <v>87</v>
      </c>
      <c r="N39" s="102"/>
    </row>
    <row r="40" spans="1:14" ht="72" customHeight="1" x14ac:dyDescent="0.25">
      <c r="A40" s="99" t="s">
        <v>124</v>
      </c>
      <c r="B40" s="101" t="s">
        <v>125</v>
      </c>
      <c r="C40" s="101" t="s">
        <v>119</v>
      </c>
      <c r="D40" s="111"/>
      <c r="E40" s="103" t="s">
        <v>118</v>
      </c>
      <c r="F40" s="106"/>
      <c r="G40" s="104" t="s">
        <v>120</v>
      </c>
      <c r="H40" s="108" t="s">
        <v>121</v>
      </c>
      <c r="I40" s="107"/>
      <c r="J40" s="105" t="s">
        <v>122</v>
      </c>
      <c r="K40" s="113" t="s">
        <v>90</v>
      </c>
      <c r="L40" s="109" t="s">
        <v>123</v>
      </c>
      <c r="M40" s="110" t="s">
        <v>87</v>
      </c>
      <c r="N40" s="102"/>
    </row>
    <row r="41" spans="1:14" ht="72" customHeight="1" x14ac:dyDescent="0.25">
      <c r="A41" s="99" t="s">
        <v>124</v>
      </c>
      <c r="B41" s="101" t="s">
        <v>125</v>
      </c>
      <c r="C41" s="101" t="s">
        <v>119</v>
      </c>
      <c r="D41" s="111"/>
      <c r="E41" s="103" t="s">
        <v>118</v>
      </c>
      <c r="F41" s="106"/>
      <c r="G41" s="104" t="s">
        <v>120</v>
      </c>
      <c r="H41" s="108" t="s">
        <v>121</v>
      </c>
      <c r="I41" s="107"/>
      <c r="J41" s="105" t="s">
        <v>122</v>
      </c>
      <c r="K41" s="113" t="s">
        <v>91</v>
      </c>
      <c r="L41" s="109" t="s">
        <v>123</v>
      </c>
      <c r="M41" s="110" t="s">
        <v>87</v>
      </c>
      <c r="N41" s="102"/>
    </row>
    <row r="42" spans="1:14" ht="72" customHeight="1" x14ac:dyDescent="0.25">
      <c r="A42" s="99" t="s">
        <v>124</v>
      </c>
      <c r="B42" s="101" t="s">
        <v>125</v>
      </c>
      <c r="C42" s="101" t="s">
        <v>119</v>
      </c>
      <c r="D42" s="111"/>
      <c r="E42" s="103" t="s">
        <v>118</v>
      </c>
      <c r="F42" s="106"/>
      <c r="G42" s="104" t="s">
        <v>120</v>
      </c>
      <c r="H42" s="108" t="s">
        <v>121</v>
      </c>
      <c r="I42" s="107"/>
      <c r="J42" s="105" t="s">
        <v>122</v>
      </c>
      <c r="K42" s="113" t="s">
        <v>92</v>
      </c>
      <c r="L42" s="109" t="s">
        <v>123</v>
      </c>
      <c r="M42" s="110" t="s">
        <v>87</v>
      </c>
      <c r="N42" s="102"/>
    </row>
    <row r="43" spans="1:14" ht="72" customHeight="1" x14ac:dyDescent="0.25">
      <c r="A43" s="99" t="s">
        <v>124</v>
      </c>
      <c r="B43" s="101" t="s">
        <v>125</v>
      </c>
      <c r="C43" s="101" t="s">
        <v>119</v>
      </c>
      <c r="D43" s="111"/>
      <c r="E43" s="103" t="s">
        <v>118</v>
      </c>
      <c r="F43" s="106"/>
      <c r="G43" s="104" t="s">
        <v>120</v>
      </c>
      <c r="H43" s="108" t="s">
        <v>121</v>
      </c>
      <c r="I43" s="107"/>
      <c r="J43" s="105" t="s">
        <v>122</v>
      </c>
      <c r="K43" s="113" t="s">
        <v>93</v>
      </c>
      <c r="L43" s="109" t="s">
        <v>123</v>
      </c>
      <c r="M43" s="110" t="s">
        <v>87</v>
      </c>
      <c r="N43" s="102"/>
    </row>
    <row r="44" spans="1:14" ht="72" customHeight="1" x14ac:dyDescent="0.25">
      <c r="A44" s="99" t="s">
        <v>124</v>
      </c>
      <c r="B44" s="101" t="s">
        <v>125</v>
      </c>
      <c r="C44" s="101" t="s">
        <v>119</v>
      </c>
      <c r="D44" s="111"/>
      <c r="E44" s="103" t="s">
        <v>118</v>
      </c>
      <c r="F44" s="106"/>
      <c r="G44" s="104" t="s">
        <v>120</v>
      </c>
      <c r="H44" s="108" t="s">
        <v>121</v>
      </c>
      <c r="I44" s="107"/>
      <c r="J44" s="105" t="s">
        <v>122</v>
      </c>
      <c r="K44" s="113" t="s">
        <v>94</v>
      </c>
      <c r="L44" s="109" t="s">
        <v>123</v>
      </c>
      <c r="M44" s="110" t="s">
        <v>87</v>
      </c>
      <c r="N44" s="102"/>
    </row>
    <row r="45" spans="1:14" ht="72" customHeight="1" x14ac:dyDescent="0.25">
      <c r="A45" s="99" t="s">
        <v>124</v>
      </c>
      <c r="B45" s="101" t="s">
        <v>125</v>
      </c>
      <c r="C45" s="101" t="s">
        <v>119</v>
      </c>
      <c r="D45" s="111"/>
      <c r="E45" s="103" t="s">
        <v>118</v>
      </c>
      <c r="F45" s="106"/>
      <c r="G45" s="104" t="s">
        <v>120</v>
      </c>
      <c r="H45" s="108" t="s">
        <v>121</v>
      </c>
      <c r="I45" s="107"/>
      <c r="J45" s="105" t="s">
        <v>122</v>
      </c>
      <c r="K45" s="113" t="s">
        <v>95</v>
      </c>
      <c r="L45" s="109" t="s">
        <v>123</v>
      </c>
      <c r="M45" s="110" t="s">
        <v>87</v>
      </c>
      <c r="N45" s="102"/>
    </row>
    <row r="46" spans="1:14" ht="72" customHeight="1" x14ac:dyDescent="0.25">
      <c r="A46" s="99" t="s">
        <v>124</v>
      </c>
      <c r="B46" s="101" t="s">
        <v>125</v>
      </c>
      <c r="C46" s="101" t="s">
        <v>119</v>
      </c>
      <c r="D46" s="111"/>
      <c r="E46" s="103" t="s">
        <v>118</v>
      </c>
      <c r="F46" s="106"/>
      <c r="G46" s="104" t="s">
        <v>120</v>
      </c>
      <c r="H46" s="108" t="s">
        <v>121</v>
      </c>
      <c r="I46" s="107"/>
      <c r="J46" s="105" t="s">
        <v>122</v>
      </c>
      <c r="K46" s="113" t="s">
        <v>96</v>
      </c>
      <c r="L46" s="109" t="s">
        <v>123</v>
      </c>
      <c r="M46" s="110" t="s">
        <v>87</v>
      </c>
      <c r="N46" s="102"/>
    </row>
    <row r="47" spans="1:14" ht="72" customHeight="1" x14ac:dyDescent="0.25">
      <c r="A47" s="99" t="s">
        <v>124</v>
      </c>
      <c r="B47" s="101" t="s">
        <v>125</v>
      </c>
      <c r="C47" s="101" t="s">
        <v>119</v>
      </c>
      <c r="D47" s="111"/>
      <c r="E47" s="103" t="s">
        <v>118</v>
      </c>
      <c r="F47" s="106"/>
      <c r="G47" s="104" t="s">
        <v>120</v>
      </c>
      <c r="H47" s="108" t="s">
        <v>121</v>
      </c>
      <c r="I47" s="107"/>
      <c r="J47" s="105" t="s">
        <v>122</v>
      </c>
      <c r="K47" s="113" t="s">
        <v>97</v>
      </c>
      <c r="L47" s="109" t="s">
        <v>123</v>
      </c>
      <c r="M47" s="110" t="s">
        <v>87</v>
      </c>
      <c r="N47" s="102"/>
    </row>
    <row r="48" spans="1:14" ht="72" customHeight="1" x14ac:dyDescent="0.25">
      <c r="A48" s="99" t="s">
        <v>124</v>
      </c>
      <c r="B48" s="101" t="s">
        <v>125</v>
      </c>
      <c r="C48" s="101" t="s">
        <v>119</v>
      </c>
      <c r="D48" s="111"/>
      <c r="E48" s="103" t="s">
        <v>118</v>
      </c>
      <c r="F48" s="106"/>
      <c r="G48" s="104" t="s">
        <v>120</v>
      </c>
      <c r="H48" s="108" t="s">
        <v>121</v>
      </c>
      <c r="I48" s="107"/>
      <c r="J48" s="105" t="s">
        <v>122</v>
      </c>
      <c r="K48" s="113" t="s">
        <v>98</v>
      </c>
      <c r="L48" s="109" t="s">
        <v>123</v>
      </c>
      <c r="M48" s="110" t="s">
        <v>87</v>
      </c>
      <c r="N48" s="102"/>
    </row>
    <row r="49" spans="1:14" ht="72" customHeight="1" x14ac:dyDescent="0.25">
      <c r="A49" s="99" t="s">
        <v>124</v>
      </c>
      <c r="B49" s="101" t="s">
        <v>125</v>
      </c>
      <c r="C49" s="101" t="s">
        <v>119</v>
      </c>
      <c r="D49" s="111"/>
      <c r="E49" s="103" t="s">
        <v>118</v>
      </c>
      <c r="F49" s="106"/>
      <c r="G49" s="104" t="s">
        <v>120</v>
      </c>
      <c r="H49" s="108" t="s">
        <v>121</v>
      </c>
      <c r="I49" s="107"/>
      <c r="J49" s="105" t="s">
        <v>122</v>
      </c>
      <c r="K49" s="113" t="s">
        <v>99</v>
      </c>
      <c r="L49" s="109" t="s">
        <v>123</v>
      </c>
      <c r="M49" s="110" t="s">
        <v>87</v>
      </c>
      <c r="N49" s="102"/>
    </row>
    <row r="50" spans="1:14" ht="72" customHeight="1" x14ac:dyDescent="0.25">
      <c r="A50" s="99" t="s">
        <v>124</v>
      </c>
      <c r="B50" s="101" t="s">
        <v>125</v>
      </c>
      <c r="C50" s="101" t="s">
        <v>119</v>
      </c>
      <c r="D50" s="111"/>
      <c r="E50" s="103" t="s">
        <v>118</v>
      </c>
      <c r="F50" s="106"/>
      <c r="G50" s="104" t="s">
        <v>120</v>
      </c>
      <c r="H50" s="108" t="s">
        <v>121</v>
      </c>
      <c r="I50" s="107"/>
      <c r="J50" s="105" t="s">
        <v>122</v>
      </c>
      <c r="K50" s="113" t="s">
        <v>100</v>
      </c>
      <c r="L50" s="109" t="s">
        <v>123</v>
      </c>
      <c r="M50" s="110" t="s">
        <v>87</v>
      </c>
      <c r="N50" s="102"/>
    </row>
    <row r="51" spans="1:14" ht="72" customHeight="1" x14ac:dyDescent="0.25">
      <c r="A51" s="99" t="s">
        <v>124</v>
      </c>
      <c r="B51" s="101" t="s">
        <v>125</v>
      </c>
      <c r="C51" s="101" t="s">
        <v>119</v>
      </c>
      <c r="D51" s="111"/>
      <c r="E51" s="103" t="s">
        <v>118</v>
      </c>
      <c r="F51" s="106"/>
      <c r="G51" s="104" t="s">
        <v>120</v>
      </c>
      <c r="H51" s="108" t="s">
        <v>121</v>
      </c>
      <c r="I51" s="107"/>
      <c r="J51" s="105" t="s">
        <v>122</v>
      </c>
      <c r="K51" s="113" t="s">
        <v>101</v>
      </c>
      <c r="L51" s="109" t="s">
        <v>123</v>
      </c>
      <c r="M51" s="110" t="s">
        <v>87</v>
      </c>
      <c r="N51" s="102"/>
    </row>
    <row r="52" spans="1:14" ht="72" customHeight="1" x14ac:dyDescent="0.25">
      <c r="A52" s="99" t="s">
        <v>124</v>
      </c>
      <c r="B52" s="101" t="s">
        <v>125</v>
      </c>
      <c r="C52" s="101" t="s">
        <v>119</v>
      </c>
      <c r="D52" s="111"/>
      <c r="E52" s="103" t="s">
        <v>118</v>
      </c>
      <c r="F52" s="106"/>
      <c r="G52" s="104" t="s">
        <v>120</v>
      </c>
      <c r="H52" s="108" t="s">
        <v>121</v>
      </c>
      <c r="I52" s="107"/>
      <c r="J52" s="105" t="s">
        <v>122</v>
      </c>
      <c r="K52" s="113" t="s">
        <v>102</v>
      </c>
      <c r="L52" s="109" t="s">
        <v>123</v>
      </c>
      <c r="M52" s="110" t="s">
        <v>87</v>
      </c>
      <c r="N52" s="102"/>
    </row>
    <row r="53" spans="1:14" ht="72" customHeight="1" x14ac:dyDescent="0.25">
      <c r="A53" s="99" t="s">
        <v>124</v>
      </c>
      <c r="B53" s="101" t="s">
        <v>125</v>
      </c>
      <c r="C53" s="101" t="s">
        <v>119</v>
      </c>
      <c r="D53" s="111"/>
      <c r="E53" s="103" t="s">
        <v>118</v>
      </c>
      <c r="F53" s="106"/>
      <c r="G53" s="104" t="s">
        <v>120</v>
      </c>
      <c r="H53" s="108" t="s">
        <v>121</v>
      </c>
      <c r="I53" s="107"/>
      <c r="J53" s="105" t="s">
        <v>122</v>
      </c>
      <c r="K53" s="113" t="s">
        <v>103</v>
      </c>
      <c r="L53" s="109" t="s">
        <v>123</v>
      </c>
      <c r="M53" s="110" t="s">
        <v>87</v>
      </c>
      <c r="N53" s="102"/>
    </row>
    <row r="54" spans="1:14" ht="72" customHeight="1" x14ac:dyDescent="0.25">
      <c r="A54" s="99" t="s">
        <v>124</v>
      </c>
      <c r="B54" s="101" t="s">
        <v>125</v>
      </c>
      <c r="C54" s="101" t="s">
        <v>119</v>
      </c>
      <c r="D54" s="111"/>
      <c r="E54" s="103" t="s">
        <v>118</v>
      </c>
      <c r="F54" s="106"/>
      <c r="G54" s="104" t="s">
        <v>120</v>
      </c>
      <c r="H54" s="108" t="s">
        <v>121</v>
      </c>
      <c r="I54" s="107"/>
      <c r="J54" s="105" t="s">
        <v>122</v>
      </c>
      <c r="K54" s="113" t="s">
        <v>104</v>
      </c>
      <c r="L54" s="109" t="s">
        <v>123</v>
      </c>
      <c r="M54" s="110" t="s">
        <v>87</v>
      </c>
      <c r="N54" s="102"/>
    </row>
    <row r="55" spans="1:14" ht="72" customHeight="1" x14ac:dyDescent="0.25">
      <c r="A55" s="99" t="s">
        <v>124</v>
      </c>
      <c r="B55" s="101" t="s">
        <v>125</v>
      </c>
      <c r="C55" s="101" t="s">
        <v>119</v>
      </c>
      <c r="D55" s="111"/>
      <c r="E55" s="103" t="s">
        <v>118</v>
      </c>
      <c r="F55" s="106"/>
      <c r="G55" s="104" t="s">
        <v>120</v>
      </c>
      <c r="H55" s="108" t="s">
        <v>121</v>
      </c>
      <c r="I55" s="107"/>
      <c r="J55" s="105" t="s">
        <v>122</v>
      </c>
      <c r="K55" s="113" t="s">
        <v>105</v>
      </c>
      <c r="L55" s="109" t="s">
        <v>123</v>
      </c>
      <c r="M55" s="110" t="s">
        <v>87</v>
      </c>
      <c r="N55" s="102"/>
    </row>
    <row r="56" spans="1:14" ht="72" customHeight="1" x14ac:dyDescent="0.25">
      <c r="A56" s="99" t="s">
        <v>124</v>
      </c>
      <c r="B56" s="101" t="s">
        <v>125</v>
      </c>
      <c r="C56" s="101" t="s">
        <v>119</v>
      </c>
      <c r="D56" s="111"/>
      <c r="E56" s="103" t="s">
        <v>118</v>
      </c>
      <c r="F56" s="106"/>
      <c r="G56" s="104" t="s">
        <v>120</v>
      </c>
      <c r="H56" s="108" t="s">
        <v>121</v>
      </c>
      <c r="I56" s="107"/>
      <c r="J56" s="105" t="s">
        <v>122</v>
      </c>
      <c r="K56" s="113" t="s">
        <v>106</v>
      </c>
      <c r="L56" s="109" t="s">
        <v>123</v>
      </c>
      <c r="M56" s="110" t="s">
        <v>87</v>
      </c>
      <c r="N56" s="102"/>
    </row>
    <row r="57" spans="1:14" ht="72" customHeight="1" x14ac:dyDescent="0.25">
      <c r="A57" s="99" t="s">
        <v>124</v>
      </c>
      <c r="B57" s="101" t="s">
        <v>125</v>
      </c>
      <c r="C57" s="101" t="s">
        <v>119</v>
      </c>
      <c r="D57" s="111"/>
      <c r="E57" s="103" t="s">
        <v>118</v>
      </c>
      <c r="F57" s="106"/>
      <c r="G57" s="104" t="s">
        <v>120</v>
      </c>
      <c r="H57" s="108" t="s">
        <v>121</v>
      </c>
      <c r="I57" s="107"/>
      <c r="J57" s="105" t="s">
        <v>122</v>
      </c>
      <c r="K57" s="113" t="s">
        <v>107</v>
      </c>
      <c r="L57" s="109" t="s">
        <v>123</v>
      </c>
      <c r="M57" s="110" t="s">
        <v>87</v>
      </c>
      <c r="N57" s="102"/>
    </row>
    <row r="58" spans="1:14" ht="72" customHeight="1" x14ac:dyDescent="0.25">
      <c r="A58" s="99" t="s">
        <v>124</v>
      </c>
      <c r="B58" s="101" t="s">
        <v>125</v>
      </c>
      <c r="C58" s="101" t="s">
        <v>119</v>
      </c>
      <c r="D58" s="111"/>
      <c r="E58" s="103" t="s">
        <v>118</v>
      </c>
      <c r="F58" s="106"/>
      <c r="G58" s="104" t="s">
        <v>120</v>
      </c>
      <c r="H58" s="108" t="s">
        <v>121</v>
      </c>
      <c r="I58" s="107"/>
      <c r="J58" s="105" t="s">
        <v>122</v>
      </c>
      <c r="K58" s="113" t="s">
        <v>108</v>
      </c>
      <c r="L58" s="109" t="s">
        <v>123</v>
      </c>
      <c r="M58" s="110" t="s">
        <v>87</v>
      </c>
      <c r="N58" s="102"/>
    </row>
    <row r="59" spans="1:14" ht="72" customHeight="1" x14ac:dyDescent="0.25">
      <c r="A59" s="99" t="s">
        <v>124</v>
      </c>
      <c r="B59" s="101" t="s">
        <v>125</v>
      </c>
      <c r="C59" s="101" t="s">
        <v>119</v>
      </c>
      <c r="D59" s="111"/>
      <c r="E59" s="103" t="s">
        <v>118</v>
      </c>
      <c r="F59" s="106"/>
      <c r="G59" s="104" t="s">
        <v>120</v>
      </c>
      <c r="H59" s="108" t="s">
        <v>121</v>
      </c>
      <c r="I59" s="107"/>
      <c r="J59" s="105" t="s">
        <v>122</v>
      </c>
      <c r="K59" s="113" t="s">
        <v>109</v>
      </c>
      <c r="L59" s="109" t="s">
        <v>123</v>
      </c>
      <c r="M59" s="110" t="s">
        <v>87</v>
      </c>
      <c r="N59" s="102"/>
    </row>
    <row r="60" spans="1:14" ht="72" customHeight="1" x14ac:dyDescent="0.25">
      <c r="A60" s="99" t="s">
        <v>124</v>
      </c>
      <c r="B60" s="101" t="s">
        <v>125</v>
      </c>
      <c r="C60" s="101" t="s">
        <v>119</v>
      </c>
      <c r="D60" s="111"/>
      <c r="E60" s="103" t="s">
        <v>118</v>
      </c>
      <c r="F60" s="106"/>
      <c r="G60" s="104" t="s">
        <v>120</v>
      </c>
      <c r="H60" s="108" t="s">
        <v>121</v>
      </c>
      <c r="I60" s="107"/>
      <c r="J60" s="105" t="s">
        <v>122</v>
      </c>
      <c r="K60" s="113" t="s">
        <v>110</v>
      </c>
      <c r="L60" s="109" t="s">
        <v>123</v>
      </c>
      <c r="M60" s="110" t="s">
        <v>87</v>
      </c>
      <c r="N60" s="102"/>
    </row>
    <row r="61" spans="1:14" ht="72" customHeight="1" x14ac:dyDescent="0.25">
      <c r="A61" s="99" t="s">
        <v>124</v>
      </c>
      <c r="B61" s="101" t="s">
        <v>125</v>
      </c>
      <c r="C61" s="101" t="s">
        <v>119</v>
      </c>
      <c r="D61" s="111"/>
      <c r="E61" s="103" t="s">
        <v>118</v>
      </c>
      <c r="F61" s="106"/>
      <c r="G61" s="104" t="s">
        <v>120</v>
      </c>
      <c r="H61" s="108" t="s">
        <v>121</v>
      </c>
      <c r="I61" s="107"/>
      <c r="J61" s="105" t="s">
        <v>122</v>
      </c>
      <c r="K61" s="113" t="s">
        <v>111</v>
      </c>
      <c r="L61" s="109" t="s">
        <v>123</v>
      </c>
      <c r="M61" s="110" t="s">
        <v>87</v>
      </c>
      <c r="N61" s="102"/>
    </row>
    <row r="62" spans="1:14" ht="72" customHeight="1" x14ac:dyDescent="0.25">
      <c r="A62" s="99" t="s">
        <v>124</v>
      </c>
      <c r="B62" s="101" t="s">
        <v>125</v>
      </c>
      <c r="C62" s="101" t="s">
        <v>119</v>
      </c>
      <c r="D62" s="111"/>
      <c r="E62" s="103" t="s">
        <v>118</v>
      </c>
      <c r="F62" s="106"/>
      <c r="G62" s="104" t="s">
        <v>120</v>
      </c>
      <c r="H62" s="108" t="s">
        <v>121</v>
      </c>
      <c r="I62" s="107"/>
      <c r="J62" s="105" t="s">
        <v>122</v>
      </c>
      <c r="K62" s="113" t="s">
        <v>112</v>
      </c>
      <c r="L62" s="109" t="s">
        <v>123</v>
      </c>
      <c r="M62" s="110" t="s">
        <v>87</v>
      </c>
      <c r="N62" s="102"/>
    </row>
    <row r="63" spans="1:14" ht="72" customHeight="1" x14ac:dyDescent="0.25">
      <c r="A63" s="99" t="s">
        <v>124</v>
      </c>
      <c r="B63" s="101" t="s">
        <v>125</v>
      </c>
      <c r="C63" s="101" t="s">
        <v>119</v>
      </c>
      <c r="D63" s="111"/>
      <c r="E63" s="103" t="s">
        <v>118</v>
      </c>
      <c r="F63" s="106"/>
      <c r="G63" s="104" t="s">
        <v>120</v>
      </c>
      <c r="H63" s="108" t="s">
        <v>121</v>
      </c>
      <c r="I63" s="107"/>
      <c r="J63" s="105" t="s">
        <v>122</v>
      </c>
      <c r="K63" s="113" t="s">
        <v>113</v>
      </c>
      <c r="L63" s="109" t="s">
        <v>123</v>
      </c>
      <c r="M63" s="110" t="s">
        <v>87</v>
      </c>
      <c r="N63" s="102"/>
    </row>
    <row r="64" spans="1:14" ht="72" customHeight="1" x14ac:dyDescent="0.25">
      <c r="A64" s="99" t="s">
        <v>124</v>
      </c>
      <c r="B64" s="101" t="s">
        <v>125</v>
      </c>
      <c r="C64" s="101" t="s">
        <v>119</v>
      </c>
      <c r="D64" s="111"/>
      <c r="E64" s="103" t="s">
        <v>118</v>
      </c>
      <c r="F64" s="106"/>
      <c r="G64" s="104" t="s">
        <v>120</v>
      </c>
      <c r="H64" s="108" t="s">
        <v>121</v>
      </c>
      <c r="I64" s="107"/>
      <c r="J64" s="105" t="s">
        <v>122</v>
      </c>
      <c r="K64" s="110" t="s">
        <v>114</v>
      </c>
      <c r="L64" s="109" t="s">
        <v>123</v>
      </c>
      <c r="M64" s="110" t="s">
        <v>87</v>
      </c>
      <c r="N64" s="102"/>
    </row>
    <row r="65" spans="1:14" ht="72" customHeight="1" x14ac:dyDescent="0.25">
      <c r="A65" s="99" t="s">
        <v>124</v>
      </c>
      <c r="B65" s="101" t="s">
        <v>125</v>
      </c>
      <c r="C65" s="101" t="s">
        <v>119</v>
      </c>
      <c r="D65" s="111"/>
      <c r="E65" s="103" t="s">
        <v>118</v>
      </c>
      <c r="F65" s="106"/>
      <c r="G65" s="104" t="s">
        <v>120</v>
      </c>
      <c r="H65" s="108" t="s">
        <v>121</v>
      </c>
      <c r="I65" s="107"/>
      <c r="J65" s="105" t="s">
        <v>122</v>
      </c>
      <c r="K65" s="110"/>
      <c r="L65" s="109" t="s">
        <v>123</v>
      </c>
      <c r="M65" s="110"/>
      <c r="N65" s="102"/>
    </row>
    <row r="66" spans="1:14" ht="72" customHeight="1" x14ac:dyDescent="0.25">
      <c r="A66" s="99" t="s">
        <v>124</v>
      </c>
      <c r="B66" s="101" t="s">
        <v>125</v>
      </c>
      <c r="C66" s="101" t="s">
        <v>119</v>
      </c>
      <c r="D66" s="111"/>
      <c r="E66" s="103" t="s">
        <v>118</v>
      </c>
      <c r="F66" s="106"/>
      <c r="G66" s="104" t="s">
        <v>120</v>
      </c>
      <c r="H66" s="108" t="s">
        <v>121</v>
      </c>
      <c r="I66" s="107"/>
      <c r="J66" s="105" t="s">
        <v>122</v>
      </c>
      <c r="K66" s="110"/>
      <c r="L66" s="109" t="s">
        <v>123</v>
      </c>
      <c r="M66" s="110"/>
      <c r="N66" s="102"/>
    </row>
    <row r="67" spans="1:14" ht="72" customHeight="1" x14ac:dyDescent="0.25">
      <c r="A67" s="99" t="s">
        <v>124</v>
      </c>
      <c r="B67" s="101" t="s">
        <v>125</v>
      </c>
      <c r="C67" s="101" t="s">
        <v>119</v>
      </c>
      <c r="D67" s="111"/>
      <c r="E67" s="103" t="s">
        <v>118</v>
      </c>
      <c r="F67" s="106"/>
      <c r="G67" s="104" t="s">
        <v>120</v>
      </c>
      <c r="H67" s="108" t="s">
        <v>121</v>
      </c>
      <c r="I67" s="107"/>
      <c r="J67" s="105" t="s">
        <v>122</v>
      </c>
      <c r="K67" s="110"/>
      <c r="L67" s="109" t="s">
        <v>123</v>
      </c>
      <c r="M67" s="110"/>
      <c r="N67" s="102"/>
    </row>
    <row r="68" spans="1:14" ht="72" customHeight="1" x14ac:dyDescent="0.25">
      <c r="A68" s="99" t="s">
        <v>124</v>
      </c>
      <c r="B68" s="101" t="s">
        <v>125</v>
      </c>
      <c r="C68" s="101" t="s">
        <v>119</v>
      </c>
      <c r="D68" s="111"/>
      <c r="E68" s="103" t="s">
        <v>118</v>
      </c>
      <c r="F68" s="106"/>
      <c r="G68" s="104" t="s">
        <v>120</v>
      </c>
      <c r="H68" s="108" t="s">
        <v>121</v>
      </c>
      <c r="I68" s="107"/>
      <c r="J68" s="105" t="s">
        <v>122</v>
      </c>
      <c r="K68" s="110"/>
      <c r="L68" s="109" t="s">
        <v>123</v>
      </c>
      <c r="M68" s="110"/>
      <c r="N68" s="102"/>
    </row>
    <row r="69" spans="1:14" ht="72" customHeight="1" x14ac:dyDescent="0.25">
      <c r="A69" s="99" t="s">
        <v>124</v>
      </c>
      <c r="B69" s="101" t="s">
        <v>125</v>
      </c>
      <c r="C69" s="101" t="s">
        <v>119</v>
      </c>
      <c r="D69" s="111"/>
      <c r="E69" s="103" t="s">
        <v>118</v>
      </c>
      <c r="F69" s="106"/>
      <c r="G69" s="104" t="s">
        <v>120</v>
      </c>
      <c r="H69" s="108" t="s">
        <v>121</v>
      </c>
      <c r="I69" s="107"/>
      <c r="J69" s="105" t="s">
        <v>122</v>
      </c>
      <c r="K69" s="110"/>
      <c r="L69" s="109" t="s">
        <v>123</v>
      </c>
      <c r="M69" s="110"/>
      <c r="N69" s="102"/>
    </row>
    <row r="70" spans="1:14" ht="72" customHeight="1" x14ac:dyDescent="0.25">
      <c r="A70" s="99" t="s">
        <v>124</v>
      </c>
      <c r="B70" s="101" t="s">
        <v>125</v>
      </c>
      <c r="C70" s="101" t="s">
        <v>119</v>
      </c>
      <c r="D70" s="111"/>
      <c r="E70" s="103" t="s">
        <v>118</v>
      </c>
      <c r="F70" s="106"/>
      <c r="G70" s="104" t="s">
        <v>120</v>
      </c>
      <c r="H70" s="108" t="s">
        <v>121</v>
      </c>
      <c r="I70" s="107"/>
      <c r="J70" s="105" t="s">
        <v>122</v>
      </c>
      <c r="K70" s="110" t="s">
        <v>86</v>
      </c>
      <c r="L70" s="109" t="s">
        <v>123</v>
      </c>
      <c r="M70" s="110">
        <v>2</v>
      </c>
      <c r="N70" s="102"/>
    </row>
    <row r="71" spans="1:14" ht="72" customHeight="1" x14ac:dyDescent="0.25">
      <c r="A71" s="99" t="s">
        <v>124</v>
      </c>
      <c r="B71" s="101" t="s">
        <v>125</v>
      </c>
      <c r="C71" s="101" t="s">
        <v>119</v>
      </c>
      <c r="D71" s="111"/>
      <c r="E71" s="103" t="s">
        <v>118</v>
      </c>
      <c r="F71" s="106"/>
      <c r="G71" s="104" t="s">
        <v>120</v>
      </c>
      <c r="H71" s="108" t="s">
        <v>121</v>
      </c>
      <c r="I71" s="107"/>
      <c r="J71" s="105" t="s">
        <v>122</v>
      </c>
      <c r="K71" s="110" t="s">
        <v>85</v>
      </c>
      <c r="L71" s="109" t="s">
        <v>123</v>
      </c>
      <c r="M71" s="110">
        <v>2</v>
      </c>
      <c r="N71" s="102"/>
    </row>
    <row r="72" spans="1:14" ht="72" customHeight="1" x14ac:dyDescent="0.25">
      <c r="A72" s="99" t="s">
        <v>124</v>
      </c>
      <c r="B72" s="101" t="s">
        <v>125</v>
      </c>
      <c r="C72" s="101" t="s">
        <v>119</v>
      </c>
      <c r="D72" s="111"/>
      <c r="E72" s="103" t="s">
        <v>118</v>
      </c>
      <c r="F72" s="106"/>
      <c r="G72" s="104" t="s">
        <v>120</v>
      </c>
      <c r="H72" s="108" t="s">
        <v>121</v>
      </c>
      <c r="I72" s="107"/>
      <c r="J72" s="105" t="s">
        <v>122</v>
      </c>
      <c r="K72" s="110"/>
      <c r="L72" s="109" t="s">
        <v>123</v>
      </c>
      <c r="M72" s="110"/>
      <c r="N72" s="102"/>
    </row>
    <row r="73" spans="1:14" ht="72" customHeight="1" x14ac:dyDescent="0.25">
      <c r="A73" s="99" t="s">
        <v>124</v>
      </c>
      <c r="B73" s="101" t="s">
        <v>125</v>
      </c>
      <c r="C73" s="101" t="s">
        <v>119</v>
      </c>
      <c r="D73" s="111"/>
      <c r="E73" s="103" t="s">
        <v>118</v>
      </c>
      <c r="F73" s="106"/>
      <c r="G73" s="104" t="s">
        <v>120</v>
      </c>
      <c r="H73" s="108" t="s">
        <v>121</v>
      </c>
      <c r="I73" s="107"/>
      <c r="J73" s="105" t="s">
        <v>122</v>
      </c>
      <c r="K73" s="110"/>
      <c r="L73" s="109" t="s">
        <v>123</v>
      </c>
      <c r="M73" s="110"/>
      <c r="N73" s="102"/>
    </row>
    <row r="74" spans="1:14" ht="72" customHeight="1" x14ac:dyDescent="0.25">
      <c r="A74" s="99" t="s">
        <v>124</v>
      </c>
      <c r="B74" s="101" t="s">
        <v>125</v>
      </c>
      <c r="C74" s="101" t="s">
        <v>119</v>
      </c>
      <c r="D74" s="111"/>
      <c r="E74" s="103" t="s">
        <v>118</v>
      </c>
      <c r="F74" s="106"/>
      <c r="G74" s="104" t="s">
        <v>120</v>
      </c>
      <c r="H74" s="108" t="s">
        <v>121</v>
      </c>
      <c r="I74" s="107"/>
      <c r="J74" s="105" t="s">
        <v>122</v>
      </c>
      <c r="K74" s="110"/>
      <c r="L74" s="109" t="s">
        <v>123</v>
      </c>
      <c r="M74" s="110"/>
      <c r="N74" s="102"/>
    </row>
    <row r="75" spans="1:14" ht="72" customHeight="1" x14ac:dyDescent="0.25">
      <c r="A75" s="99" t="s">
        <v>124</v>
      </c>
      <c r="B75" s="101" t="s">
        <v>125</v>
      </c>
      <c r="C75" s="101" t="s">
        <v>119</v>
      </c>
      <c r="D75" s="111"/>
      <c r="E75" s="103" t="s">
        <v>118</v>
      </c>
      <c r="F75" s="106"/>
      <c r="G75" s="104" t="s">
        <v>120</v>
      </c>
      <c r="H75" s="108" t="s">
        <v>121</v>
      </c>
      <c r="I75" s="107"/>
      <c r="J75" s="105" t="s">
        <v>122</v>
      </c>
      <c r="K75" s="110"/>
      <c r="L75" s="109" t="s">
        <v>123</v>
      </c>
      <c r="M75" s="110"/>
      <c r="N75" s="102"/>
    </row>
    <row r="76" spans="1:14" ht="72" customHeight="1" x14ac:dyDescent="0.25">
      <c r="A76" s="99" t="s">
        <v>124</v>
      </c>
      <c r="B76" s="101" t="s">
        <v>125</v>
      </c>
      <c r="C76" s="101" t="s">
        <v>119</v>
      </c>
      <c r="D76" s="111"/>
      <c r="E76" s="103" t="s">
        <v>118</v>
      </c>
      <c r="F76" s="106"/>
      <c r="G76" s="104" t="s">
        <v>120</v>
      </c>
      <c r="H76" s="108" t="s">
        <v>121</v>
      </c>
      <c r="I76" s="107"/>
      <c r="J76" s="105" t="s">
        <v>122</v>
      </c>
      <c r="K76" s="110"/>
      <c r="L76" s="109" t="s">
        <v>123</v>
      </c>
      <c r="M76" s="110"/>
      <c r="N76" s="102"/>
    </row>
    <row r="77" spans="1:14" ht="72" customHeight="1" x14ac:dyDescent="0.25">
      <c r="A77" s="99" t="s">
        <v>124</v>
      </c>
      <c r="B77" s="101" t="s">
        <v>125</v>
      </c>
      <c r="C77" s="101" t="s">
        <v>119</v>
      </c>
      <c r="D77" s="111"/>
      <c r="E77" s="103" t="s">
        <v>118</v>
      </c>
      <c r="F77" s="106"/>
      <c r="G77" s="104" t="s">
        <v>120</v>
      </c>
      <c r="H77" s="108" t="s">
        <v>121</v>
      </c>
      <c r="I77" s="107"/>
      <c r="J77" s="105" t="s">
        <v>122</v>
      </c>
      <c r="K77" s="110"/>
      <c r="L77" s="109" t="s">
        <v>123</v>
      </c>
      <c r="M77" s="110"/>
      <c r="N77" s="102"/>
    </row>
    <row r="78" spans="1:14" ht="72" customHeight="1" x14ac:dyDescent="0.25">
      <c r="A78" s="99" t="s">
        <v>124</v>
      </c>
      <c r="B78" s="101" t="s">
        <v>125</v>
      </c>
      <c r="C78" s="101" t="s">
        <v>119</v>
      </c>
      <c r="D78" s="111"/>
      <c r="E78" s="103" t="s">
        <v>118</v>
      </c>
      <c r="F78" s="106"/>
      <c r="G78" s="104" t="s">
        <v>120</v>
      </c>
      <c r="H78" s="108" t="s">
        <v>121</v>
      </c>
      <c r="I78" s="107"/>
      <c r="J78" s="105" t="s">
        <v>122</v>
      </c>
      <c r="K78" s="110"/>
      <c r="L78" s="109" t="s">
        <v>123</v>
      </c>
      <c r="M78" s="110"/>
      <c r="N78" s="102"/>
    </row>
    <row r="79" spans="1:14" ht="72" customHeight="1" x14ac:dyDescent="0.25">
      <c r="A79" s="99" t="s">
        <v>124</v>
      </c>
      <c r="B79" s="101" t="s">
        <v>125</v>
      </c>
      <c r="C79" s="101" t="s">
        <v>119</v>
      </c>
      <c r="D79" s="111"/>
      <c r="E79" s="103" t="s">
        <v>118</v>
      </c>
      <c r="F79" s="106"/>
      <c r="G79" s="104" t="s">
        <v>120</v>
      </c>
      <c r="H79" s="108" t="s">
        <v>121</v>
      </c>
      <c r="I79" s="107"/>
      <c r="J79" s="105" t="s">
        <v>122</v>
      </c>
      <c r="K79" s="110"/>
      <c r="L79" s="109" t="s">
        <v>123</v>
      </c>
      <c r="M79" s="110"/>
      <c r="N79" s="102"/>
    </row>
  </sheetData>
  <pageMargins left="0.25" right="0.25"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FB18A-42E6-40C9-B2CD-84CE4653C83D}">
  <sheetPr codeName="Sheet2">
    <tabColor theme="4"/>
  </sheetPr>
  <dimension ref="A1:E3"/>
  <sheetViews>
    <sheetView workbookViewId="0">
      <selection activeCell="B1" sqref="B1"/>
    </sheetView>
  </sheetViews>
  <sheetFormatPr defaultRowHeight="15" x14ac:dyDescent="0.25"/>
  <cols>
    <col min="1" max="1" width="16.7109375" bestFit="1" customWidth="1"/>
    <col min="2" max="3" width="7.7109375" customWidth="1"/>
    <col min="4" max="4" width="5.7109375" customWidth="1"/>
  </cols>
  <sheetData>
    <row r="1" spans="1:5" ht="20.100000000000001" customHeight="1" x14ac:dyDescent="0.25">
      <c r="A1" s="52" t="s">
        <v>13</v>
      </c>
      <c r="B1" s="6" t="s">
        <v>261</v>
      </c>
      <c r="E1" s="274" t="s">
        <v>263</v>
      </c>
    </row>
    <row r="2" spans="1:5" x14ac:dyDescent="0.25">
      <c r="A2" s="6" t="s">
        <v>174</v>
      </c>
      <c r="B2" s="58"/>
    </row>
    <row r="3" spans="1:5" x14ac:dyDescent="0.25">
      <c r="A3" s="5" t="s">
        <v>50</v>
      </c>
      <c r="B3" s="58"/>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DE16-3CA8-4A38-B9A5-5382878F0FAB}">
  <sheetPr codeName="Sheet5">
    <tabColor theme="4"/>
  </sheetPr>
  <dimension ref="A1:D3"/>
  <sheetViews>
    <sheetView workbookViewId="0">
      <selection activeCell="E27" sqref="E27"/>
    </sheetView>
  </sheetViews>
  <sheetFormatPr defaultRowHeight="15" x14ac:dyDescent="0.25"/>
  <cols>
    <col min="1" max="1" width="21" bestFit="1" customWidth="1"/>
    <col min="2" max="2" width="7.7109375" customWidth="1"/>
  </cols>
  <sheetData>
    <row r="1" spans="1:4" ht="20.100000000000001" customHeight="1" x14ac:dyDescent="0.25">
      <c r="A1" s="52" t="s">
        <v>73</v>
      </c>
      <c r="B1" s="6" t="s">
        <v>75</v>
      </c>
      <c r="C1" s="275"/>
      <c r="D1" s="275" t="s">
        <v>264</v>
      </c>
    </row>
    <row r="2" spans="1:4" x14ac:dyDescent="0.25">
      <c r="A2" s="56" t="s">
        <v>174</v>
      </c>
      <c r="B2" s="58"/>
    </row>
    <row r="3" spans="1:4" x14ac:dyDescent="0.25">
      <c r="A3" s="56" t="s">
        <v>50</v>
      </c>
      <c r="B3" s="58"/>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ABFD2-4388-450C-BF0B-00EC6D2DC80A}">
  <sheetPr codeName="Sheet6">
    <tabColor theme="4"/>
  </sheetPr>
  <dimension ref="A1:O661"/>
  <sheetViews>
    <sheetView workbookViewId="0">
      <selection sqref="A1:A1048576"/>
    </sheetView>
  </sheetViews>
  <sheetFormatPr defaultRowHeight="15" x14ac:dyDescent="0.25"/>
  <cols>
    <col min="1" max="1" width="40.7109375" style="5" customWidth="1"/>
    <col min="2" max="3" width="9.140625" style="5"/>
    <col min="4" max="4" width="9.140625" style="276"/>
  </cols>
  <sheetData>
    <row r="1" spans="1:15" ht="20.100000000000001" customHeight="1" x14ac:dyDescent="0.25">
      <c r="A1" s="80" t="s">
        <v>267</v>
      </c>
      <c r="B1" s="80" t="s">
        <v>75</v>
      </c>
      <c r="C1" s="80"/>
      <c r="D1" s="284" t="s">
        <v>269</v>
      </c>
      <c r="E1" s="285" t="s">
        <v>265</v>
      </c>
      <c r="F1" s="286"/>
      <c r="G1" s="286"/>
      <c r="H1" s="286"/>
      <c r="I1" s="286"/>
      <c r="J1" s="286"/>
      <c r="K1" s="286"/>
      <c r="L1" s="286"/>
      <c r="M1" s="286"/>
      <c r="N1" s="286"/>
      <c r="O1" s="287"/>
    </row>
    <row r="2" spans="1:15" x14ac:dyDescent="0.25">
      <c r="A2" s="169"/>
      <c r="B2" s="58">
        <f>COUNTIF(Orders!U6:U664,SeriesTitleCount[[#This Row],[Series Title]])</f>
        <v>0</v>
      </c>
      <c r="D2" s="277">
        <v>1</v>
      </c>
      <c r="E2" s="139" t="s">
        <v>266</v>
      </c>
      <c r="F2" s="278"/>
      <c r="G2" s="278"/>
      <c r="H2" s="278"/>
      <c r="I2" s="278"/>
      <c r="J2" s="278"/>
      <c r="K2" s="278"/>
      <c r="L2" s="278"/>
      <c r="M2" s="278"/>
      <c r="N2" s="278"/>
      <c r="O2" s="279"/>
    </row>
    <row r="3" spans="1:15" x14ac:dyDescent="0.25">
      <c r="B3" s="5">
        <f>COUNTIF(Orders!U7:U665,SeriesTitleCount[[#This Row],[Series Title]])</f>
        <v>0</v>
      </c>
      <c r="D3" s="277">
        <v>2</v>
      </c>
      <c r="E3" s="139" t="s">
        <v>271</v>
      </c>
      <c r="F3" s="278"/>
      <c r="G3" s="278"/>
      <c r="H3" s="278"/>
      <c r="I3" s="278"/>
      <c r="J3" s="278"/>
      <c r="K3" s="278"/>
      <c r="L3" s="278"/>
      <c r="M3" s="278"/>
      <c r="N3" s="278"/>
      <c r="O3" s="279"/>
    </row>
    <row r="4" spans="1:15" x14ac:dyDescent="0.25">
      <c r="B4" s="58">
        <f>COUNTIF(Orders!U8:U666,SeriesTitleCount[[#This Row],[Series Title]])</f>
        <v>0</v>
      </c>
      <c r="D4" s="277">
        <v>3</v>
      </c>
      <c r="E4" s="139" t="s">
        <v>278</v>
      </c>
      <c r="F4" s="278"/>
      <c r="G4" s="278"/>
      <c r="H4" s="278"/>
      <c r="I4" s="278"/>
      <c r="J4" s="278"/>
      <c r="K4" s="278"/>
      <c r="L4" s="278"/>
      <c r="M4" s="278"/>
      <c r="N4" s="278"/>
      <c r="O4" s="279"/>
    </row>
    <row r="5" spans="1:15" x14ac:dyDescent="0.25">
      <c r="B5" s="58">
        <f>COUNTIF(Orders!U9:U667,SeriesTitleCount[[#This Row],[Series Title]])</f>
        <v>0</v>
      </c>
      <c r="D5" s="277">
        <v>4</v>
      </c>
      <c r="E5" s="139" t="s">
        <v>273</v>
      </c>
      <c r="F5" s="278"/>
      <c r="G5" s="278"/>
      <c r="H5" s="278"/>
      <c r="I5" s="278"/>
      <c r="J5" s="278"/>
      <c r="K5" s="278"/>
      <c r="L5" s="278"/>
      <c r="M5" s="278"/>
      <c r="N5" s="278"/>
      <c r="O5" s="279"/>
    </row>
    <row r="6" spans="1:15" x14ac:dyDescent="0.25">
      <c r="B6" s="58">
        <f>COUNTIF(Orders!U10:U668,SeriesTitleCount[[#This Row],[Series Title]])</f>
        <v>0</v>
      </c>
      <c r="D6" s="277">
        <v>5</v>
      </c>
      <c r="E6" s="139" t="s">
        <v>268</v>
      </c>
      <c r="F6" s="278"/>
      <c r="G6" s="278"/>
      <c r="H6" s="278"/>
      <c r="I6" s="278"/>
      <c r="J6" s="278"/>
      <c r="K6" s="278"/>
      <c r="L6" s="278"/>
      <c r="M6" s="278"/>
      <c r="N6" s="278"/>
      <c r="O6" s="279"/>
    </row>
    <row r="7" spans="1:15" x14ac:dyDescent="0.25">
      <c r="B7" s="58">
        <f>COUNTIF(Orders!U11:U669,SeriesTitleCount[[#This Row],[Series Title]])</f>
        <v>0</v>
      </c>
      <c r="D7" s="277">
        <v>6</v>
      </c>
      <c r="E7" s="139" t="s">
        <v>274</v>
      </c>
      <c r="F7" s="278"/>
      <c r="G7" s="278"/>
      <c r="H7" s="278"/>
      <c r="I7" s="278"/>
      <c r="J7" s="278"/>
      <c r="K7" s="278"/>
      <c r="L7" s="278"/>
      <c r="M7" s="278"/>
      <c r="N7" s="278"/>
      <c r="O7" s="279"/>
    </row>
    <row r="8" spans="1:15" x14ac:dyDescent="0.25">
      <c r="B8" s="5">
        <f>COUNTIF(Orders!U12:U670,SeriesTitleCount[[#This Row],[Series Title]])</f>
        <v>0</v>
      </c>
      <c r="D8" s="280">
        <v>7</v>
      </c>
      <c r="E8" s="281" t="s">
        <v>272</v>
      </c>
      <c r="F8" s="282"/>
      <c r="G8" s="282"/>
      <c r="H8" s="282"/>
      <c r="I8" s="282"/>
      <c r="J8" s="282"/>
      <c r="K8" s="282"/>
      <c r="L8" s="282"/>
      <c r="M8" s="282"/>
      <c r="N8" s="282"/>
      <c r="O8" s="283"/>
    </row>
    <row r="9" spans="1:15" x14ac:dyDescent="0.25">
      <c r="B9" s="5">
        <f>COUNTIF(Orders!U13:U671,SeriesTitleCount[[#This Row],[Series Title]])</f>
        <v>0</v>
      </c>
      <c r="D9" s="278"/>
    </row>
    <row r="10" spans="1:15" x14ac:dyDescent="0.25">
      <c r="B10" s="58">
        <f>COUNTIF(Orders!U14:U672,SeriesTitleCount[[#This Row],[Series Title]])</f>
        <v>0</v>
      </c>
      <c r="D10" s="278"/>
    </row>
    <row r="11" spans="1:15" x14ac:dyDescent="0.25">
      <c r="B11" s="58"/>
      <c r="D11" s="278"/>
    </row>
    <row r="12" spans="1:15" x14ac:dyDescent="0.25">
      <c r="B12" s="58"/>
      <c r="D12" s="278"/>
    </row>
    <row r="13" spans="1:15" x14ac:dyDescent="0.25">
      <c r="B13" s="58"/>
      <c r="D13" s="278"/>
    </row>
    <row r="14" spans="1:15" x14ac:dyDescent="0.25">
      <c r="D14" s="278"/>
    </row>
    <row r="15" spans="1:15" x14ac:dyDescent="0.25">
      <c r="B15" s="58"/>
      <c r="D15" s="278"/>
    </row>
    <row r="16" spans="1:15" x14ac:dyDescent="0.25">
      <c r="A16"/>
      <c r="B16"/>
      <c r="D16" s="278"/>
    </row>
    <row r="17" spans="1:5" x14ac:dyDescent="0.25">
      <c r="A17"/>
      <c r="B17"/>
      <c r="D17" s="278"/>
      <c r="E17" s="79"/>
    </row>
    <row r="18" spans="1:5" x14ac:dyDescent="0.25">
      <c r="A18"/>
      <c r="B18"/>
      <c r="D18" s="278"/>
      <c r="E18" s="79"/>
    </row>
    <row r="19" spans="1:5" x14ac:dyDescent="0.25">
      <c r="A19"/>
      <c r="B19"/>
      <c r="D19" s="278"/>
      <c r="E19" s="79"/>
    </row>
    <row r="20" spans="1:5" x14ac:dyDescent="0.25">
      <c r="A20"/>
      <c r="B20"/>
      <c r="D20" s="278"/>
      <c r="E20" s="79"/>
    </row>
    <row r="21" spans="1:5" x14ac:dyDescent="0.25">
      <c r="A21"/>
      <c r="B21"/>
      <c r="D21" s="278"/>
    </row>
    <row r="22" spans="1:5" x14ac:dyDescent="0.25">
      <c r="A22"/>
      <c r="B22"/>
      <c r="D22" s="278"/>
    </row>
    <row r="23" spans="1:5" x14ac:dyDescent="0.25">
      <c r="A23"/>
      <c r="B23"/>
      <c r="D23" s="278"/>
    </row>
    <row r="24" spans="1:5" x14ac:dyDescent="0.25">
      <c r="A24"/>
      <c r="B24"/>
      <c r="D24" s="278"/>
    </row>
    <row r="25" spans="1:5" x14ac:dyDescent="0.25">
      <c r="A25"/>
      <c r="B25"/>
      <c r="D25" s="278"/>
    </row>
    <row r="26" spans="1:5" x14ac:dyDescent="0.25">
      <c r="A26"/>
      <c r="B26"/>
      <c r="D26" s="278"/>
    </row>
    <row r="27" spans="1:5" x14ac:dyDescent="0.25">
      <c r="A27"/>
      <c r="B27"/>
      <c r="D27" s="278"/>
    </row>
    <row r="28" spans="1:5" x14ac:dyDescent="0.25">
      <c r="A28"/>
      <c r="B28"/>
      <c r="D28" s="278"/>
    </row>
    <row r="29" spans="1:5" x14ac:dyDescent="0.25">
      <c r="D29" s="278"/>
    </row>
    <row r="30" spans="1:5" x14ac:dyDescent="0.25">
      <c r="D30" s="278"/>
    </row>
    <row r="31" spans="1:5" x14ac:dyDescent="0.25">
      <c r="D31" s="278"/>
    </row>
    <row r="32" spans="1:5" x14ac:dyDescent="0.25">
      <c r="D32" s="278"/>
    </row>
    <row r="33" spans="4:4" x14ac:dyDescent="0.25">
      <c r="D33" s="278"/>
    </row>
    <row r="34" spans="4:4" x14ac:dyDescent="0.25">
      <c r="D34" s="278"/>
    </row>
    <row r="35" spans="4:4" x14ac:dyDescent="0.25">
      <c r="D35" s="278"/>
    </row>
    <row r="36" spans="4:4" x14ac:dyDescent="0.25">
      <c r="D36" s="278"/>
    </row>
    <row r="37" spans="4:4" x14ac:dyDescent="0.25">
      <c r="D37" s="278"/>
    </row>
    <row r="38" spans="4:4" x14ac:dyDescent="0.25">
      <c r="D38" s="278"/>
    </row>
    <row r="39" spans="4:4" x14ac:dyDescent="0.25">
      <c r="D39" s="278"/>
    </row>
    <row r="40" spans="4:4" x14ac:dyDescent="0.25">
      <c r="D40" s="278"/>
    </row>
    <row r="41" spans="4:4" x14ac:dyDescent="0.25">
      <c r="D41" s="278"/>
    </row>
    <row r="42" spans="4:4" x14ac:dyDescent="0.25">
      <c r="D42" s="278"/>
    </row>
    <row r="43" spans="4:4" x14ac:dyDescent="0.25">
      <c r="D43" s="278"/>
    </row>
    <row r="44" spans="4:4" x14ac:dyDescent="0.25">
      <c r="D44" s="278"/>
    </row>
    <row r="45" spans="4:4" x14ac:dyDescent="0.25">
      <c r="D45" s="278"/>
    </row>
    <row r="46" spans="4:4" x14ac:dyDescent="0.25">
      <c r="D46" s="278"/>
    </row>
    <row r="47" spans="4:4" x14ac:dyDescent="0.25">
      <c r="D47" s="278"/>
    </row>
    <row r="48" spans="4:4" x14ac:dyDescent="0.25">
      <c r="D48" s="278"/>
    </row>
    <row r="49" spans="4:4" x14ac:dyDescent="0.25">
      <c r="D49" s="278"/>
    </row>
    <row r="50" spans="4:4" x14ac:dyDescent="0.25">
      <c r="D50" s="278"/>
    </row>
    <row r="51" spans="4:4" x14ac:dyDescent="0.25">
      <c r="D51" s="278"/>
    </row>
    <row r="52" spans="4:4" x14ac:dyDescent="0.25">
      <c r="D52" s="278"/>
    </row>
    <row r="53" spans="4:4" x14ac:dyDescent="0.25">
      <c r="D53" s="278"/>
    </row>
    <row r="54" spans="4:4" x14ac:dyDescent="0.25">
      <c r="D54" s="278"/>
    </row>
    <row r="55" spans="4:4" x14ac:dyDescent="0.25">
      <c r="D55" s="278"/>
    </row>
    <row r="56" spans="4:4" x14ac:dyDescent="0.25">
      <c r="D56" s="278"/>
    </row>
    <row r="57" spans="4:4" x14ac:dyDescent="0.25">
      <c r="D57" s="278"/>
    </row>
    <row r="58" spans="4:4" x14ac:dyDescent="0.25">
      <c r="D58" s="278"/>
    </row>
    <row r="59" spans="4:4" x14ac:dyDescent="0.25">
      <c r="D59" s="278"/>
    </row>
    <row r="60" spans="4:4" x14ac:dyDescent="0.25">
      <c r="D60" s="278"/>
    </row>
    <row r="61" spans="4:4" x14ac:dyDescent="0.25">
      <c r="D61" s="278"/>
    </row>
    <row r="62" spans="4:4" x14ac:dyDescent="0.25">
      <c r="D62" s="278"/>
    </row>
    <row r="63" spans="4:4" x14ac:dyDescent="0.25">
      <c r="D63" s="278"/>
    </row>
    <row r="64" spans="4:4" x14ac:dyDescent="0.25">
      <c r="D64" s="278"/>
    </row>
    <row r="65" spans="4:4" x14ac:dyDescent="0.25">
      <c r="D65" s="278"/>
    </row>
    <row r="66" spans="4:4" x14ac:dyDescent="0.25">
      <c r="D66" s="278"/>
    </row>
    <row r="67" spans="4:4" x14ac:dyDescent="0.25">
      <c r="D67" s="278"/>
    </row>
    <row r="68" spans="4:4" x14ac:dyDescent="0.25">
      <c r="D68" s="278"/>
    </row>
    <row r="69" spans="4:4" x14ac:dyDescent="0.25">
      <c r="D69" s="278"/>
    </row>
    <row r="70" spans="4:4" x14ac:dyDescent="0.25">
      <c r="D70" s="278"/>
    </row>
    <row r="71" spans="4:4" x14ac:dyDescent="0.25">
      <c r="D71" s="278"/>
    </row>
    <row r="72" spans="4:4" x14ac:dyDescent="0.25">
      <c r="D72" s="278"/>
    </row>
    <row r="73" spans="4:4" x14ac:dyDescent="0.25">
      <c r="D73" s="278"/>
    </row>
    <row r="74" spans="4:4" x14ac:dyDescent="0.25">
      <c r="D74" s="278"/>
    </row>
    <row r="75" spans="4:4" x14ac:dyDescent="0.25">
      <c r="D75" s="278"/>
    </row>
    <row r="76" spans="4:4" x14ac:dyDescent="0.25">
      <c r="D76" s="278"/>
    </row>
    <row r="77" spans="4:4" x14ac:dyDescent="0.25">
      <c r="D77" s="278"/>
    </row>
    <row r="78" spans="4:4" x14ac:dyDescent="0.25">
      <c r="D78" s="278"/>
    </row>
    <row r="79" spans="4:4" x14ac:dyDescent="0.25">
      <c r="D79" s="278"/>
    </row>
    <row r="80" spans="4:4" x14ac:dyDescent="0.25">
      <c r="D80" s="278"/>
    </row>
    <row r="81" spans="4:4" x14ac:dyDescent="0.25">
      <c r="D81" s="278"/>
    </row>
    <row r="82" spans="4:4" x14ac:dyDescent="0.25">
      <c r="D82" s="278"/>
    </row>
    <row r="83" spans="4:4" x14ac:dyDescent="0.25">
      <c r="D83" s="278"/>
    </row>
    <row r="84" spans="4:4" x14ac:dyDescent="0.25">
      <c r="D84" s="278"/>
    </row>
    <row r="85" spans="4:4" x14ac:dyDescent="0.25">
      <c r="D85" s="278"/>
    </row>
    <row r="86" spans="4:4" x14ac:dyDescent="0.25">
      <c r="D86" s="278"/>
    </row>
    <row r="87" spans="4:4" x14ac:dyDescent="0.25">
      <c r="D87" s="278"/>
    </row>
    <row r="88" spans="4:4" x14ac:dyDescent="0.25">
      <c r="D88" s="278"/>
    </row>
    <row r="89" spans="4:4" x14ac:dyDescent="0.25">
      <c r="D89" s="278"/>
    </row>
    <row r="90" spans="4:4" x14ac:dyDescent="0.25">
      <c r="D90" s="278"/>
    </row>
    <row r="91" spans="4:4" x14ac:dyDescent="0.25">
      <c r="D91" s="278"/>
    </row>
    <row r="92" spans="4:4" x14ac:dyDescent="0.25">
      <c r="D92" s="278"/>
    </row>
    <row r="93" spans="4:4" x14ac:dyDescent="0.25">
      <c r="D93" s="278"/>
    </row>
    <row r="94" spans="4:4" x14ac:dyDescent="0.25">
      <c r="D94" s="278"/>
    </row>
    <row r="95" spans="4:4" x14ac:dyDescent="0.25">
      <c r="D95" s="278"/>
    </row>
    <row r="96" spans="4:4" x14ac:dyDescent="0.25">
      <c r="D96" s="278"/>
    </row>
    <row r="97" spans="4:4" x14ac:dyDescent="0.25">
      <c r="D97" s="278"/>
    </row>
    <row r="98" spans="4:4" x14ac:dyDescent="0.25">
      <c r="D98" s="278"/>
    </row>
    <row r="99" spans="4:4" x14ac:dyDescent="0.25">
      <c r="D99" s="278"/>
    </row>
    <row r="100" spans="4:4" x14ac:dyDescent="0.25">
      <c r="D100" s="278"/>
    </row>
    <row r="101" spans="4:4" x14ac:dyDescent="0.25">
      <c r="D101" s="278"/>
    </row>
    <row r="102" spans="4:4" x14ac:dyDescent="0.25">
      <c r="D102" s="278"/>
    </row>
    <row r="103" spans="4:4" x14ac:dyDescent="0.25">
      <c r="D103" s="278"/>
    </row>
    <row r="104" spans="4:4" x14ac:dyDescent="0.25">
      <c r="D104" s="278"/>
    </row>
    <row r="105" spans="4:4" x14ac:dyDescent="0.25">
      <c r="D105" s="278"/>
    </row>
    <row r="106" spans="4:4" x14ac:dyDescent="0.25">
      <c r="D106" s="278"/>
    </row>
    <row r="107" spans="4:4" x14ac:dyDescent="0.25">
      <c r="D107" s="278"/>
    </row>
    <row r="108" spans="4:4" x14ac:dyDescent="0.25">
      <c r="D108" s="278"/>
    </row>
    <row r="109" spans="4:4" x14ac:dyDescent="0.25">
      <c r="D109" s="278"/>
    </row>
    <row r="110" spans="4:4" x14ac:dyDescent="0.25">
      <c r="D110" s="278"/>
    </row>
    <row r="111" spans="4:4" x14ac:dyDescent="0.25">
      <c r="D111" s="278"/>
    </row>
    <row r="112" spans="4:4" x14ac:dyDescent="0.25">
      <c r="D112" s="278"/>
    </row>
    <row r="113" spans="4:4" x14ac:dyDescent="0.25">
      <c r="D113" s="278"/>
    </row>
    <row r="114" spans="4:4" x14ac:dyDescent="0.25">
      <c r="D114" s="278"/>
    </row>
    <row r="115" spans="4:4" x14ac:dyDescent="0.25">
      <c r="D115" s="278"/>
    </row>
    <row r="116" spans="4:4" x14ac:dyDescent="0.25">
      <c r="D116" s="278"/>
    </row>
    <row r="117" spans="4:4" x14ac:dyDescent="0.25">
      <c r="D117" s="278"/>
    </row>
    <row r="118" spans="4:4" x14ac:dyDescent="0.25">
      <c r="D118" s="278"/>
    </row>
    <row r="119" spans="4:4" x14ac:dyDescent="0.25">
      <c r="D119" s="278"/>
    </row>
    <row r="120" spans="4:4" x14ac:dyDescent="0.25">
      <c r="D120" s="278"/>
    </row>
    <row r="121" spans="4:4" x14ac:dyDescent="0.25">
      <c r="D121" s="278"/>
    </row>
    <row r="122" spans="4:4" x14ac:dyDescent="0.25">
      <c r="D122" s="278"/>
    </row>
    <row r="123" spans="4:4" x14ac:dyDescent="0.25">
      <c r="D123" s="278"/>
    </row>
    <row r="124" spans="4:4" x14ac:dyDescent="0.25">
      <c r="D124" s="278"/>
    </row>
    <row r="125" spans="4:4" x14ac:dyDescent="0.25">
      <c r="D125" s="278"/>
    </row>
    <row r="126" spans="4:4" x14ac:dyDescent="0.25">
      <c r="D126" s="278"/>
    </row>
    <row r="127" spans="4:4" x14ac:dyDescent="0.25">
      <c r="D127" s="278"/>
    </row>
    <row r="128" spans="4:4" x14ac:dyDescent="0.25">
      <c r="D128" s="278"/>
    </row>
    <row r="129" spans="4:4" x14ac:dyDescent="0.25">
      <c r="D129" s="278"/>
    </row>
    <row r="130" spans="4:4" x14ac:dyDescent="0.25">
      <c r="D130" s="278"/>
    </row>
    <row r="131" spans="4:4" x14ac:dyDescent="0.25">
      <c r="D131" s="278"/>
    </row>
    <row r="132" spans="4:4" x14ac:dyDescent="0.25">
      <c r="D132" s="278"/>
    </row>
    <row r="133" spans="4:4" x14ac:dyDescent="0.25">
      <c r="D133" s="278"/>
    </row>
    <row r="134" spans="4:4" x14ac:dyDescent="0.25">
      <c r="D134" s="278"/>
    </row>
    <row r="135" spans="4:4" x14ac:dyDescent="0.25">
      <c r="D135" s="278"/>
    </row>
    <row r="136" spans="4:4" x14ac:dyDescent="0.25">
      <c r="D136" s="278"/>
    </row>
    <row r="137" spans="4:4" x14ac:dyDescent="0.25">
      <c r="D137" s="278"/>
    </row>
    <row r="138" spans="4:4" x14ac:dyDescent="0.25">
      <c r="D138" s="278"/>
    </row>
    <row r="139" spans="4:4" x14ac:dyDescent="0.25">
      <c r="D139" s="278"/>
    </row>
    <row r="140" spans="4:4" x14ac:dyDescent="0.25">
      <c r="D140" s="278"/>
    </row>
    <row r="141" spans="4:4" x14ac:dyDescent="0.25">
      <c r="D141" s="278"/>
    </row>
    <row r="142" spans="4:4" x14ac:dyDescent="0.25">
      <c r="D142" s="278"/>
    </row>
    <row r="143" spans="4:4" x14ac:dyDescent="0.25">
      <c r="D143" s="278"/>
    </row>
    <row r="144" spans="4:4" x14ac:dyDescent="0.25">
      <c r="D144" s="278"/>
    </row>
    <row r="145" spans="4:4" x14ac:dyDescent="0.25">
      <c r="D145" s="278"/>
    </row>
    <row r="146" spans="4:4" x14ac:dyDescent="0.25">
      <c r="D146" s="278"/>
    </row>
    <row r="147" spans="4:4" x14ac:dyDescent="0.25">
      <c r="D147" s="278"/>
    </row>
    <row r="148" spans="4:4" x14ac:dyDescent="0.25">
      <c r="D148" s="278"/>
    </row>
    <row r="149" spans="4:4" x14ac:dyDescent="0.25">
      <c r="D149" s="278"/>
    </row>
    <row r="150" spans="4:4" x14ac:dyDescent="0.25">
      <c r="D150" s="278"/>
    </row>
    <row r="151" spans="4:4" x14ac:dyDescent="0.25">
      <c r="D151" s="278"/>
    </row>
    <row r="152" spans="4:4" x14ac:dyDescent="0.25">
      <c r="D152" s="278"/>
    </row>
    <row r="153" spans="4:4" x14ac:dyDescent="0.25">
      <c r="D153" s="278"/>
    </row>
    <row r="154" spans="4:4" x14ac:dyDescent="0.25">
      <c r="D154" s="278"/>
    </row>
    <row r="155" spans="4:4" x14ac:dyDescent="0.25">
      <c r="D155" s="278"/>
    </row>
    <row r="156" spans="4:4" x14ac:dyDescent="0.25">
      <c r="D156" s="278"/>
    </row>
    <row r="157" spans="4:4" x14ac:dyDescent="0.25">
      <c r="D157" s="278"/>
    </row>
    <row r="158" spans="4:4" x14ac:dyDescent="0.25">
      <c r="D158" s="278"/>
    </row>
    <row r="159" spans="4:4" x14ac:dyDescent="0.25">
      <c r="D159" s="278"/>
    </row>
    <row r="160" spans="4:4" x14ac:dyDescent="0.25">
      <c r="D160" s="278"/>
    </row>
    <row r="161" spans="4:4" x14ac:dyDescent="0.25">
      <c r="D161" s="278"/>
    </row>
    <row r="162" spans="4:4" x14ac:dyDescent="0.25">
      <c r="D162" s="278"/>
    </row>
    <row r="163" spans="4:4" x14ac:dyDescent="0.25">
      <c r="D163" s="278"/>
    </row>
    <row r="164" spans="4:4" x14ac:dyDescent="0.25">
      <c r="D164" s="278"/>
    </row>
    <row r="165" spans="4:4" x14ac:dyDescent="0.25">
      <c r="D165" s="278"/>
    </row>
    <row r="166" spans="4:4" x14ac:dyDescent="0.25">
      <c r="D166" s="278"/>
    </row>
    <row r="167" spans="4:4" x14ac:dyDescent="0.25">
      <c r="D167" s="278"/>
    </row>
    <row r="168" spans="4:4" x14ac:dyDescent="0.25">
      <c r="D168" s="278"/>
    </row>
    <row r="169" spans="4:4" x14ac:dyDescent="0.25">
      <c r="D169" s="278"/>
    </row>
    <row r="170" spans="4:4" x14ac:dyDescent="0.25">
      <c r="D170" s="278"/>
    </row>
    <row r="171" spans="4:4" x14ac:dyDescent="0.25">
      <c r="D171" s="278"/>
    </row>
    <row r="172" spans="4:4" x14ac:dyDescent="0.25">
      <c r="D172" s="278"/>
    </row>
    <row r="173" spans="4:4" x14ac:dyDescent="0.25">
      <c r="D173" s="278"/>
    </row>
    <row r="174" spans="4:4" x14ac:dyDescent="0.25">
      <c r="D174" s="278"/>
    </row>
    <row r="175" spans="4:4" x14ac:dyDescent="0.25">
      <c r="D175" s="278"/>
    </row>
    <row r="176" spans="4:4" x14ac:dyDescent="0.25">
      <c r="D176" s="278"/>
    </row>
    <row r="177" spans="4:4" x14ac:dyDescent="0.25">
      <c r="D177" s="278"/>
    </row>
    <row r="178" spans="4:4" x14ac:dyDescent="0.25">
      <c r="D178" s="278"/>
    </row>
    <row r="179" spans="4:4" x14ac:dyDescent="0.25">
      <c r="D179" s="278"/>
    </row>
    <row r="180" spans="4:4" x14ac:dyDescent="0.25">
      <c r="D180" s="278"/>
    </row>
    <row r="181" spans="4:4" x14ac:dyDescent="0.25">
      <c r="D181" s="278"/>
    </row>
    <row r="182" spans="4:4" x14ac:dyDescent="0.25">
      <c r="D182" s="278"/>
    </row>
    <row r="183" spans="4:4" x14ac:dyDescent="0.25">
      <c r="D183" s="278"/>
    </row>
    <row r="184" spans="4:4" x14ac:dyDescent="0.25">
      <c r="D184" s="278"/>
    </row>
    <row r="185" spans="4:4" x14ac:dyDescent="0.25">
      <c r="D185" s="278"/>
    </row>
    <row r="186" spans="4:4" x14ac:dyDescent="0.25">
      <c r="D186" s="278"/>
    </row>
    <row r="187" spans="4:4" x14ac:dyDescent="0.25">
      <c r="D187" s="278"/>
    </row>
    <row r="188" spans="4:4" x14ac:dyDescent="0.25">
      <c r="D188" s="278"/>
    </row>
    <row r="189" spans="4:4" x14ac:dyDescent="0.25">
      <c r="D189" s="278"/>
    </row>
    <row r="190" spans="4:4" x14ac:dyDescent="0.25">
      <c r="D190" s="278"/>
    </row>
    <row r="191" spans="4:4" x14ac:dyDescent="0.25">
      <c r="D191" s="278"/>
    </row>
    <row r="192" spans="4:4" x14ac:dyDescent="0.25">
      <c r="D192" s="278"/>
    </row>
    <row r="193" spans="4:4" x14ac:dyDescent="0.25">
      <c r="D193" s="278"/>
    </row>
    <row r="194" spans="4:4" x14ac:dyDescent="0.25">
      <c r="D194" s="278"/>
    </row>
    <row r="195" spans="4:4" x14ac:dyDescent="0.25">
      <c r="D195" s="278"/>
    </row>
    <row r="196" spans="4:4" x14ac:dyDescent="0.25">
      <c r="D196" s="278"/>
    </row>
    <row r="197" spans="4:4" x14ac:dyDescent="0.25">
      <c r="D197" s="278"/>
    </row>
    <row r="198" spans="4:4" x14ac:dyDescent="0.25">
      <c r="D198" s="278"/>
    </row>
    <row r="199" spans="4:4" x14ac:dyDescent="0.25">
      <c r="D199" s="278"/>
    </row>
    <row r="200" spans="4:4" x14ac:dyDescent="0.25">
      <c r="D200" s="278"/>
    </row>
    <row r="201" spans="4:4" x14ac:dyDescent="0.25">
      <c r="D201" s="278"/>
    </row>
    <row r="202" spans="4:4" x14ac:dyDescent="0.25">
      <c r="D202" s="278"/>
    </row>
    <row r="203" spans="4:4" x14ac:dyDescent="0.25">
      <c r="D203" s="278"/>
    </row>
    <row r="204" spans="4:4" x14ac:dyDescent="0.25">
      <c r="D204" s="278"/>
    </row>
    <row r="205" spans="4:4" x14ac:dyDescent="0.25">
      <c r="D205" s="278"/>
    </row>
    <row r="206" spans="4:4" x14ac:dyDescent="0.25">
      <c r="D206" s="278"/>
    </row>
    <row r="207" spans="4:4" x14ac:dyDescent="0.25">
      <c r="D207" s="278"/>
    </row>
    <row r="208" spans="4:4" x14ac:dyDescent="0.25">
      <c r="D208" s="278"/>
    </row>
    <row r="209" spans="4:4" x14ac:dyDescent="0.25">
      <c r="D209" s="278"/>
    </row>
    <row r="210" spans="4:4" x14ac:dyDescent="0.25">
      <c r="D210" s="278"/>
    </row>
    <row r="211" spans="4:4" x14ac:dyDescent="0.25">
      <c r="D211" s="278"/>
    </row>
    <row r="212" spans="4:4" x14ac:dyDescent="0.25">
      <c r="D212" s="278"/>
    </row>
    <row r="213" spans="4:4" x14ac:dyDescent="0.25">
      <c r="D213" s="278"/>
    </row>
    <row r="214" spans="4:4" x14ac:dyDescent="0.25">
      <c r="D214" s="278"/>
    </row>
    <row r="215" spans="4:4" x14ac:dyDescent="0.25">
      <c r="D215" s="278"/>
    </row>
    <row r="216" spans="4:4" x14ac:dyDescent="0.25">
      <c r="D216" s="278"/>
    </row>
    <row r="217" spans="4:4" x14ac:dyDescent="0.25">
      <c r="D217" s="278"/>
    </row>
    <row r="218" spans="4:4" x14ac:dyDescent="0.25">
      <c r="D218" s="278"/>
    </row>
    <row r="219" spans="4:4" x14ac:dyDescent="0.25">
      <c r="D219" s="278"/>
    </row>
    <row r="220" spans="4:4" x14ac:dyDescent="0.25">
      <c r="D220" s="278"/>
    </row>
    <row r="221" spans="4:4" x14ac:dyDescent="0.25">
      <c r="D221" s="278"/>
    </row>
    <row r="222" spans="4:4" x14ac:dyDescent="0.25">
      <c r="D222" s="278"/>
    </row>
    <row r="223" spans="4:4" x14ac:dyDescent="0.25">
      <c r="D223" s="278"/>
    </row>
    <row r="224" spans="4:4" x14ac:dyDescent="0.25">
      <c r="D224" s="278"/>
    </row>
    <row r="225" spans="4:4" x14ac:dyDescent="0.25">
      <c r="D225" s="278"/>
    </row>
    <row r="226" spans="4:4" x14ac:dyDescent="0.25">
      <c r="D226" s="278"/>
    </row>
    <row r="227" spans="4:4" x14ac:dyDescent="0.25">
      <c r="D227" s="278"/>
    </row>
    <row r="228" spans="4:4" x14ac:dyDescent="0.25">
      <c r="D228" s="278"/>
    </row>
    <row r="229" spans="4:4" x14ac:dyDescent="0.25">
      <c r="D229" s="278"/>
    </row>
    <row r="230" spans="4:4" x14ac:dyDescent="0.25">
      <c r="D230" s="278"/>
    </row>
    <row r="231" spans="4:4" x14ac:dyDescent="0.25">
      <c r="D231" s="278"/>
    </row>
    <row r="232" spans="4:4" x14ac:dyDescent="0.25">
      <c r="D232" s="278"/>
    </row>
    <row r="233" spans="4:4" x14ac:dyDescent="0.25">
      <c r="D233" s="278"/>
    </row>
    <row r="234" spans="4:4" x14ac:dyDescent="0.25">
      <c r="D234" s="278"/>
    </row>
    <row r="235" spans="4:4" x14ac:dyDescent="0.25">
      <c r="D235" s="278"/>
    </row>
    <row r="236" spans="4:4" x14ac:dyDescent="0.25">
      <c r="D236" s="278"/>
    </row>
    <row r="237" spans="4:4" x14ac:dyDescent="0.25">
      <c r="D237" s="278"/>
    </row>
    <row r="238" spans="4:4" x14ac:dyDescent="0.25">
      <c r="D238" s="278"/>
    </row>
    <row r="239" spans="4:4" x14ac:dyDescent="0.25">
      <c r="D239" s="278"/>
    </row>
    <row r="240" spans="4:4" x14ac:dyDescent="0.25">
      <c r="D240" s="278"/>
    </row>
    <row r="241" spans="4:4" x14ac:dyDescent="0.25">
      <c r="D241" s="278"/>
    </row>
    <row r="242" spans="4:4" x14ac:dyDescent="0.25">
      <c r="D242" s="278"/>
    </row>
    <row r="243" spans="4:4" x14ac:dyDescent="0.25">
      <c r="D243" s="278"/>
    </row>
    <row r="244" spans="4:4" x14ac:dyDescent="0.25">
      <c r="D244" s="278"/>
    </row>
    <row r="245" spans="4:4" x14ac:dyDescent="0.25">
      <c r="D245" s="278"/>
    </row>
    <row r="246" spans="4:4" x14ac:dyDescent="0.25">
      <c r="D246" s="278"/>
    </row>
    <row r="247" spans="4:4" x14ac:dyDescent="0.25">
      <c r="D247" s="278"/>
    </row>
    <row r="248" spans="4:4" x14ac:dyDescent="0.25">
      <c r="D248" s="278"/>
    </row>
    <row r="249" spans="4:4" x14ac:dyDescent="0.25">
      <c r="D249" s="278"/>
    </row>
    <row r="250" spans="4:4" x14ac:dyDescent="0.25">
      <c r="D250" s="278"/>
    </row>
    <row r="251" spans="4:4" x14ac:dyDescent="0.25">
      <c r="D251" s="278"/>
    </row>
    <row r="252" spans="4:4" x14ac:dyDescent="0.25">
      <c r="D252" s="278"/>
    </row>
    <row r="253" spans="4:4" x14ac:dyDescent="0.25">
      <c r="D253" s="278"/>
    </row>
    <row r="254" spans="4:4" x14ac:dyDescent="0.25">
      <c r="D254" s="278"/>
    </row>
    <row r="255" spans="4:4" x14ac:dyDescent="0.25">
      <c r="D255" s="278"/>
    </row>
    <row r="256" spans="4:4" x14ac:dyDescent="0.25">
      <c r="D256" s="278"/>
    </row>
    <row r="257" spans="4:4" x14ac:dyDescent="0.25">
      <c r="D257" s="278"/>
    </row>
    <row r="258" spans="4:4" x14ac:dyDescent="0.25">
      <c r="D258" s="278"/>
    </row>
    <row r="259" spans="4:4" x14ac:dyDescent="0.25">
      <c r="D259" s="278"/>
    </row>
    <row r="260" spans="4:4" x14ac:dyDescent="0.25">
      <c r="D260" s="278"/>
    </row>
    <row r="261" spans="4:4" x14ac:dyDescent="0.25">
      <c r="D261" s="278"/>
    </row>
    <row r="262" spans="4:4" x14ac:dyDescent="0.25">
      <c r="D262" s="278"/>
    </row>
    <row r="263" spans="4:4" x14ac:dyDescent="0.25">
      <c r="D263" s="278"/>
    </row>
    <row r="264" spans="4:4" x14ac:dyDescent="0.25">
      <c r="D264" s="278"/>
    </row>
    <row r="265" spans="4:4" x14ac:dyDescent="0.25">
      <c r="D265" s="278"/>
    </row>
    <row r="266" spans="4:4" x14ac:dyDescent="0.25">
      <c r="D266" s="278"/>
    </row>
    <row r="267" spans="4:4" x14ac:dyDescent="0.25">
      <c r="D267" s="278"/>
    </row>
    <row r="268" spans="4:4" x14ac:dyDescent="0.25">
      <c r="D268" s="278"/>
    </row>
    <row r="269" spans="4:4" x14ac:dyDescent="0.25">
      <c r="D269" s="278"/>
    </row>
    <row r="270" spans="4:4" x14ac:dyDescent="0.25">
      <c r="D270" s="278"/>
    </row>
    <row r="271" spans="4:4" x14ac:dyDescent="0.25">
      <c r="D271" s="278"/>
    </row>
    <row r="272" spans="4:4" x14ac:dyDescent="0.25">
      <c r="D272" s="278"/>
    </row>
    <row r="273" spans="4:4" x14ac:dyDescent="0.25">
      <c r="D273" s="278"/>
    </row>
    <row r="274" spans="4:4" x14ac:dyDescent="0.25">
      <c r="D274" s="278"/>
    </row>
    <row r="275" spans="4:4" x14ac:dyDescent="0.25">
      <c r="D275" s="278"/>
    </row>
    <row r="276" spans="4:4" x14ac:dyDescent="0.25">
      <c r="D276" s="278"/>
    </row>
    <row r="277" spans="4:4" x14ac:dyDescent="0.25">
      <c r="D277" s="278"/>
    </row>
    <row r="278" spans="4:4" x14ac:dyDescent="0.25">
      <c r="D278" s="278"/>
    </row>
    <row r="279" spans="4:4" x14ac:dyDescent="0.25">
      <c r="D279" s="278"/>
    </row>
    <row r="280" spans="4:4" x14ac:dyDescent="0.25">
      <c r="D280" s="278"/>
    </row>
    <row r="281" spans="4:4" x14ac:dyDescent="0.25">
      <c r="D281" s="278"/>
    </row>
    <row r="282" spans="4:4" x14ac:dyDescent="0.25">
      <c r="D282" s="278"/>
    </row>
    <row r="283" spans="4:4" x14ac:dyDescent="0.25">
      <c r="D283" s="278"/>
    </row>
    <row r="284" spans="4:4" x14ac:dyDescent="0.25">
      <c r="D284" s="278"/>
    </row>
    <row r="285" spans="4:4" x14ac:dyDescent="0.25">
      <c r="D285" s="278"/>
    </row>
    <row r="286" spans="4:4" x14ac:dyDescent="0.25">
      <c r="D286" s="278"/>
    </row>
    <row r="287" spans="4:4" x14ac:dyDescent="0.25">
      <c r="D287" s="278"/>
    </row>
    <row r="288" spans="4:4" x14ac:dyDescent="0.25">
      <c r="D288" s="278"/>
    </row>
    <row r="289" spans="4:4" x14ac:dyDescent="0.25">
      <c r="D289" s="278"/>
    </row>
    <row r="290" spans="4:4" x14ac:dyDescent="0.25">
      <c r="D290" s="278"/>
    </row>
    <row r="291" spans="4:4" x14ac:dyDescent="0.25">
      <c r="D291" s="278"/>
    </row>
    <row r="292" spans="4:4" x14ac:dyDescent="0.25">
      <c r="D292" s="278"/>
    </row>
    <row r="293" spans="4:4" x14ac:dyDescent="0.25">
      <c r="D293" s="278"/>
    </row>
    <row r="294" spans="4:4" x14ac:dyDescent="0.25">
      <c r="D294" s="278"/>
    </row>
    <row r="295" spans="4:4" x14ac:dyDescent="0.25">
      <c r="D295" s="278"/>
    </row>
    <row r="296" spans="4:4" x14ac:dyDescent="0.25">
      <c r="D296" s="278"/>
    </row>
    <row r="297" spans="4:4" x14ac:dyDescent="0.25">
      <c r="D297" s="278"/>
    </row>
    <row r="298" spans="4:4" x14ac:dyDescent="0.25">
      <c r="D298" s="278"/>
    </row>
    <row r="299" spans="4:4" x14ac:dyDescent="0.25">
      <c r="D299" s="278"/>
    </row>
    <row r="300" spans="4:4" x14ac:dyDescent="0.25">
      <c r="D300" s="278"/>
    </row>
    <row r="301" spans="4:4" x14ac:dyDescent="0.25">
      <c r="D301" s="278"/>
    </row>
    <row r="302" spans="4:4" x14ac:dyDescent="0.25">
      <c r="D302" s="278"/>
    </row>
    <row r="303" spans="4:4" x14ac:dyDescent="0.25">
      <c r="D303" s="278"/>
    </row>
    <row r="304" spans="4:4" x14ac:dyDescent="0.25">
      <c r="D304" s="278"/>
    </row>
    <row r="305" spans="4:4" x14ac:dyDescent="0.25">
      <c r="D305" s="278"/>
    </row>
    <row r="306" spans="4:4" x14ac:dyDescent="0.25">
      <c r="D306" s="278"/>
    </row>
    <row r="307" spans="4:4" x14ac:dyDescent="0.25">
      <c r="D307" s="278"/>
    </row>
    <row r="308" spans="4:4" x14ac:dyDescent="0.25">
      <c r="D308" s="278"/>
    </row>
    <row r="309" spans="4:4" x14ac:dyDescent="0.25">
      <c r="D309" s="278"/>
    </row>
    <row r="310" spans="4:4" x14ac:dyDescent="0.25">
      <c r="D310" s="278"/>
    </row>
    <row r="311" spans="4:4" x14ac:dyDescent="0.25">
      <c r="D311" s="278"/>
    </row>
    <row r="312" spans="4:4" x14ac:dyDescent="0.25">
      <c r="D312" s="278"/>
    </row>
    <row r="313" spans="4:4" x14ac:dyDescent="0.25">
      <c r="D313" s="278"/>
    </row>
    <row r="314" spans="4:4" x14ac:dyDescent="0.25">
      <c r="D314" s="278"/>
    </row>
    <row r="315" spans="4:4" x14ac:dyDescent="0.25">
      <c r="D315" s="278"/>
    </row>
    <row r="316" spans="4:4" x14ac:dyDescent="0.25">
      <c r="D316" s="278"/>
    </row>
    <row r="317" spans="4:4" x14ac:dyDescent="0.25">
      <c r="D317" s="278"/>
    </row>
    <row r="318" spans="4:4" x14ac:dyDescent="0.25">
      <c r="D318" s="278"/>
    </row>
    <row r="319" spans="4:4" x14ac:dyDescent="0.25">
      <c r="D319" s="278"/>
    </row>
    <row r="320" spans="4:4" x14ac:dyDescent="0.25">
      <c r="D320" s="278"/>
    </row>
    <row r="321" spans="4:4" x14ac:dyDescent="0.25">
      <c r="D321" s="278"/>
    </row>
    <row r="322" spans="4:4" x14ac:dyDescent="0.25">
      <c r="D322" s="278"/>
    </row>
    <row r="323" spans="4:4" x14ac:dyDescent="0.25">
      <c r="D323" s="278"/>
    </row>
    <row r="324" spans="4:4" x14ac:dyDescent="0.25">
      <c r="D324" s="278"/>
    </row>
    <row r="325" spans="4:4" x14ac:dyDescent="0.25">
      <c r="D325" s="278"/>
    </row>
    <row r="326" spans="4:4" x14ac:dyDescent="0.25">
      <c r="D326" s="278"/>
    </row>
    <row r="327" spans="4:4" x14ac:dyDescent="0.25">
      <c r="D327" s="278"/>
    </row>
    <row r="328" spans="4:4" x14ac:dyDescent="0.25">
      <c r="D328" s="278"/>
    </row>
    <row r="329" spans="4:4" x14ac:dyDescent="0.25">
      <c r="D329" s="278"/>
    </row>
    <row r="330" spans="4:4" x14ac:dyDescent="0.25">
      <c r="D330" s="278"/>
    </row>
    <row r="331" spans="4:4" x14ac:dyDescent="0.25">
      <c r="D331" s="278"/>
    </row>
    <row r="332" spans="4:4" x14ac:dyDescent="0.25">
      <c r="D332" s="278"/>
    </row>
    <row r="333" spans="4:4" x14ac:dyDescent="0.25">
      <c r="D333" s="278"/>
    </row>
    <row r="334" spans="4:4" x14ac:dyDescent="0.25">
      <c r="D334" s="278"/>
    </row>
    <row r="335" spans="4:4" x14ac:dyDescent="0.25">
      <c r="D335" s="278"/>
    </row>
    <row r="336" spans="4:4" x14ac:dyDescent="0.25">
      <c r="D336" s="278"/>
    </row>
    <row r="337" spans="4:4" x14ac:dyDescent="0.25">
      <c r="D337" s="278"/>
    </row>
    <row r="338" spans="4:4" x14ac:dyDescent="0.25">
      <c r="D338" s="278"/>
    </row>
    <row r="339" spans="4:4" x14ac:dyDescent="0.25">
      <c r="D339" s="278"/>
    </row>
    <row r="340" spans="4:4" x14ac:dyDescent="0.25">
      <c r="D340" s="278"/>
    </row>
    <row r="341" spans="4:4" x14ac:dyDescent="0.25">
      <c r="D341" s="278"/>
    </row>
    <row r="342" spans="4:4" x14ac:dyDescent="0.25">
      <c r="D342" s="278"/>
    </row>
    <row r="343" spans="4:4" x14ac:dyDescent="0.25">
      <c r="D343" s="278"/>
    </row>
    <row r="344" spans="4:4" x14ac:dyDescent="0.25">
      <c r="D344" s="278"/>
    </row>
    <row r="345" spans="4:4" x14ac:dyDescent="0.25">
      <c r="D345" s="278"/>
    </row>
    <row r="346" spans="4:4" x14ac:dyDescent="0.25">
      <c r="D346" s="278"/>
    </row>
    <row r="347" spans="4:4" x14ac:dyDescent="0.25">
      <c r="D347" s="278"/>
    </row>
    <row r="348" spans="4:4" x14ac:dyDescent="0.25">
      <c r="D348" s="278"/>
    </row>
    <row r="349" spans="4:4" x14ac:dyDescent="0.25">
      <c r="D349" s="278"/>
    </row>
    <row r="350" spans="4:4" x14ac:dyDescent="0.25">
      <c r="D350" s="278"/>
    </row>
    <row r="351" spans="4:4" x14ac:dyDescent="0.25">
      <c r="D351" s="278"/>
    </row>
    <row r="352" spans="4:4" x14ac:dyDescent="0.25">
      <c r="D352" s="278"/>
    </row>
    <row r="353" spans="4:4" x14ac:dyDescent="0.25">
      <c r="D353" s="278"/>
    </row>
    <row r="354" spans="4:4" x14ac:dyDescent="0.25">
      <c r="D354" s="278"/>
    </row>
    <row r="355" spans="4:4" x14ac:dyDescent="0.25">
      <c r="D355" s="278"/>
    </row>
    <row r="356" spans="4:4" x14ac:dyDescent="0.25">
      <c r="D356" s="278"/>
    </row>
    <row r="357" spans="4:4" x14ac:dyDescent="0.25">
      <c r="D357" s="278"/>
    </row>
    <row r="358" spans="4:4" x14ac:dyDescent="0.25">
      <c r="D358" s="278"/>
    </row>
    <row r="359" spans="4:4" x14ac:dyDescent="0.25">
      <c r="D359" s="278"/>
    </row>
    <row r="360" spans="4:4" x14ac:dyDescent="0.25">
      <c r="D360" s="278"/>
    </row>
    <row r="361" spans="4:4" x14ac:dyDescent="0.25">
      <c r="D361" s="278"/>
    </row>
    <row r="362" spans="4:4" x14ac:dyDescent="0.25">
      <c r="D362" s="278"/>
    </row>
    <row r="363" spans="4:4" x14ac:dyDescent="0.25">
      <c r="D363" s="278"/>
    </row>
    <row r="364" spans="4:4" x14ac:dyDescent="0.25">
      <c r="D364" s="278"/>
    </row>
    <row r="365" spans="4:4" x14ac:dyDescent="0.25">
      <c r="D365" s="278"/>
    </row>
    <row r="366" spans="4:4" x14ac:dyDescent="0.25">
      <c r="D366" s="278"/>
    </row>
    <row r="367" spans="4:4" x14ac:dyDescent="0.25">
      <c r="D367" s="278"/>
    </row>
    <row r="368" spans="4:4" x14ac:dyDescent="0.25">
      <c r="D368" s="278"/>
    </row>
    <row r="369" spans="4:4" x14ac:dyDescent="0.25">
      <c r="D369" s="278"/>
    </row>
    <row r="370" spans="4:4" x14ac:dyDescent="0.25">
      <c r="D370" s="278"/>
    </row>
    <row r="371" spans="4:4" x14ac:dyDescent="0.25">
      <c r="D371" s="278"/>
    </row>
    <row r="372" spans="4:4" x14ac:dyDescent="0.25">
      <c r="D372" s="278"/>
    </row>
    <row r="373" spans="4:4" x14ac:dyDescent="0.25">
      <c r="D373" s="278"/>
    </row>
    <row r="374" spans="4:4" x14ac:dyDescent="0.25">
      <c r="D374" s="278"/>
    </row>
    <row r="375" spans="4:4" x14ac:dyDescent="0.25">
      <c r="D375" s="278"/>
    </row>
    <row r="376" spans="4:4" x14ac:dyDescent="0.25">
      <c r="D376" s="278"/>
    </row>
    <row r="377" spans="4:4" x14ac:dyDescent="0.25">
      <c r="D377" s="278"/>
    </row>
    <row r="378" spans="4:4" x14ac:dyDescent="0.25">
      <c r="D378" s="278"/>
    </row>
    <row r="379" spans="4:4" x14ac:dyDescent="0.25">
      <c r="D379" s="278"/>
    </row>
    <row r="380" spans="4:4" x14ac:dyDescent="0.25">
      <c r="D380" s="278"/>
    </row>
    <row r="381" spans="4:4" x14ac:dyDescent="0.25">
      <c r="D381" s="278"/>
    </row>
    <row r="382" spans="4:4" x14ac:dyDescent="0.25">
      <c r="D382" s="278"/>
    </row>
    <row r="383" spans="4:4" x14ac:dyDescent="0.25">
      <c r="D383" s="278"/>
    </row>
    <row r="384" spans="4:4" x14ac:dyDescent="0.25">
      <c r="D384" s="278"/>
    </row>
    <row r="385" spans="4:4" x14ac:dyDescent="0.25">
      <c r="D385" s="278"/>
    </row>
    <row r="386" spans="4:4" x14ac:dyDescent="0.25">
      <c r="D386" s="278"/>
    </row>
    <row r="387" spans="4:4" x14ac:dyDescent="0.25">
      <c r="D387" s="278"/>
    </row>
    <row r="388" spans="4:4" x14ac:dyDescent="0.25">
      <c r="D388" s="278"/>
    </row>
    <row r="389" spans="4:4" x14ac:dyDescent="0.25">
      <c r="D389" s="278"/>
    </row>
    <row r="390" spans="4:4" x14ac:dyDescent="0.25">
      <c r="D390" s="278"/>
    </row>
    <row r="391" spans="4:4" x14ac:dyDescent="0.25">
      <c r="D391" s="278"/>
    </row>
    <row r="392" spans="4:4" x14ac:dyDescent="0.25">
      <c r="D392" s="278"/>
    </row>
    <row r="393" spans="4:4" x14ac:dyDescent="0.25">
      <c r="D393" s="278"/>
    </row>
    <row r="394" spans="4:4" x14ac:dyDescent="0.25">
      <c r="D394" s="278"/>
    </row>
    <row r="395" spans="4:4" x14ac:dyDescent="0.25">
      <c r="D395" s="278"/>
    </row>
    <row r="396" spans="4:4" x14ac:dyDescent="0.25">
      <c r="D396" s="278"/>
    </row>
    <row r="397" spans="4:4" x14ac:dyDescent="0.25">
      <c r="D397" s="278"/>
    </row>
    <row r="398" spans="4:4" x14ac:dyDescent="0.25">
      <c r="D398" s="278"/>
    </row>
    <row r="399" spans="4:4" x14ac:dyDescent="0.25">
      <c r="D399" s="278"/>
    </row>
    <row r="400" spans="4:4" x14ac:dyDescent="0.25">
      <c r="D400" s="278"/>
    </row>
    <row r="401" spans="4:4" x14ac:dyDescent="0.25">
      <c r="D401" s="278"/>
    </row>
    <row r="402" spans="4:4" x14ac:dyDescent="0.25">
      <c r="D402" s="278"/>
    </row>
    <row r="403" spans="4:4" x14ac:dyDescent="0.25">
      <c r="D403" s="278"/>
    </row>
    <row r="404" spans="4:4" x14ac:dyDescent="0.25">
      <c r="D404" s="278"/>
    </row>
    <row r="405" spans="4:4" x14ac:dyDescent="0.25">
      <c r="D405" s="278"/>
    </row>
    <row r="406" spans="4:4" x14ac:dyDescent="0.25">
      <c r="D406" s="278"/>
    </row>
    <row r="407" spans="4:4" x14ac:dyDescent="0.25">
      <c r="D407" s="278"/>
    </row>
    <row r="408" spans="4:4" x14ac:dyDescent="0.25">
      <c r="D408" s="278"/>
    </row>
    <row r="409" spans="4:4" x14ac:dyDescent="0.25">
      <c r="D409" s="278"/>
    </row>
    <row r="410" spans="4:4" x14ac:dyDescent="0.25">
      <c r="D410" s="278"/>
    </row>
    <row r="411" spans="4:4" x14ac:dyDescent="0.25">
      <c r="D411" s="278"/>
    </row>
    <row r="412" spans="4:4" x14ac:dyDescent="0.25">
      <c r="D412" s="278"/>
    </row>
    <row r="413" spans="4:4" x14ac:dyDescent="0.25">
      <c r="D413" s="278"/>
    </row>
    <row r="414" spans="4:4" x14ac:dyDescent="0.25">
      <c r="D414" s="278"/>
    </row>
    <row r="415" spans="4:4" x14ac:dyDescent="0.25">
      <c r="D415" s="278"/>
    </row>
    <row r="416" spans="4:4" x14ac:dyDescent="0.25">
      <c r="D416" s="278"/>
    </row>
    <row r="417" spans="4:4" x14ac:dyDescent="0.25">
      <c r="D417" s="278"/>
    </row>
    <row r="418" spans="4:4" x14ac:dyDescent="0.25">
      <c r="D418" s="278"/>
    </row>
    <row r="419" spans="4:4" x14ac:dyDescent="0.25">
      <c r="D419" s="278"/>
    </row>
    <row r="420" spans="4:4" x14ac:dyDescent="0.25">
      <c r="D420" s="278"/>
    </row>
    <row r="421" spans="4:4" x14ac:dyDescent="0.25">
      <c r="D421" s="278"/>
    </row>
    <row r="422" spans="4:4" x14ac:dyDescent="0.25">
      <c r="D422" s="278"/>
    </row>
    <row r="423" spans="4:4" x14ac:dyDescent="0.25">
      <c r="D423" s="278"/>
    </row>
    <row r="424" spans="4:4" x14ac:dyDescent="0.25">
      <c r="D424" s="278"/>
    </row>
    <row r="425" spans="4:4" x14ac:dyDescent="0.25">
      <c r="D425" s="278"/>
    </row>
    <row r="426" spans="4:4" x14ac:dyDescent="0.25">
      <c r="D426" s="278"/>
    </row>
    <row r="427" spans="4:4" x14ac:dyDescent="0.25">
      <c r="D427" s="278"/>
    </row>
    <row r="428" spans="4:4" x14ac:dyDescent="0.25">
      <c r="D428" s="278"/>
    </row>
    <row r="429" spans="4:4" x14ac:dyDescent="0.25">
      <c r="D429" s="278"/>
    </row>
    <row r="430" spans="4:4" x14ac:dyDescent="0.25">
      <c r="D430" s="278"/>
    </row>
    <row r="431" spans="4:4" x14ac:dyDescent="0.25">
      <c r="D431" s="278"/>
    </row>
    <row r="432" spans="4:4" x14ac:dyDescent="0.25">
      <c r="D432" s="278"/>
    </row>
    <row r="433" spans="4:4" x14ac:dyDescent="0.25">
      <c r="D433" s="278"/>
    </row>
    <row r="434" spans="4:4" x14ac:dyDescent="0.25">
      <c r="D434" s="278"/>
    </row>
    <row r="435" spans="4:4" x14ac:dyDescent="0.25">
      <c r="D435" s="278"/>
    </row>
    <row r="436" spans="4:4" x14ac:dyDescent="0.25">
      <c r="D436" s="278"/>
    </row>
    <row r="437" spans="4:4" x14ac:dyDescent="0.25">
      <c r="D437" s="278"/>
    </row>
    <row r="438" spans="4:4" x14ac:dyDescent="0.25">
      <c r="D438" s="278"/>
    </row>
    <row r="439" spans="4:4" x14ac:dyDescent="0.25">
      <c r="D439" s="278"/>
    </row>
    <row r="440" spans="4:4" x14ac:dyDescent="0.25">
      <c r="D440" s="278"/>
    </row>
    <row r="441" spans="4:4" x14ac:dyDescent="0.25">
      <c r="D441" s="278"/>
    </row>
    <row r="442" spans="4:4" x14ac:dyDescent="0.25">
      <c r="D442" s="278"/>
    </row>
    <row r="443" spans="4:4" x14ac:dyDescent="0.25">
      <c r="D443" s="278"/>
    </row>
    <row r="444" spans="4:4" x14ac:dyDescent="0.25">
      <c r="D444" s="278"/>
    </row>
    <row r="445" spans="4:4" x14ac:dyDescent="0.25">
      <c r="D445" s="278"/>
    </row>
    <row r="446" spans="4:4" x14ac:dyDescent="0.25">
      <c r="D446" s="278"/>
    </row>
    <row r="447" spans="4:4" x14ac:dyDescent="0.25">
      <c r="D447" s="278"/>
    </row>
    <row r="448" spans="4:4" x14ac:dyDescent="0.25">
      <c r="D448" s="278"/>
    </row>
    <row r="449" spans="4:4" x14ac:dyDescent="0.25">
      <c r="D449" s="278"/>
    </row>
    <row r="450" spans="4:4" x14ac:dyDescent="0.25">
      <c r="D450" s="278"/>
    </row>
    <row r="451" spans="4:4" x14ac:dyDescent="0.25">
      <c r="D451" s="278"/>
    </row>
    <row r="452" spans="4:4" x14ac:dyDescent="0.25">
      <c r="D452" s="278"/>
    </row>
    <row r="453" spans="4:4" x14ac:dyDescent="0.25">
      <c r="D453" s="278"/>
    </row>
    <row r="454" spans="4:4" x14ac:dyDescent="0.25">
      <c r="D454" s="278"/>
    </row>
    <row r="455" spans="4:4" x14ac:dyDescent="0.25">
      <c r="D455" s="278"/>
    </row>
    <row r="456" spans="4:4" x14ac:dyDescent="0.25">
      <c r="D456" s="278"/>
    </row>
    <row r="457" spans="4:4" x14ac:dyDescent="0.25">
      <c r="D457" s="278"/>
    </row>
    <row r="458" spans="4:4" x14ac:dyDescent="0.25">
      <c r="D458" s="278"/>
    </row>
    <row r="459" spans="4:4" x14ac:dyDescent="0.25">
      <c r="D459" s="278"/>
    </row>
    <row r="460" spans="4:4" x14ac:dyDescent="0.25">
      <c r="D460" s="278"/>
    </row>
    <row r="461" spans="4:4" x14ac:dyDescent="0.25">
      <c r="D461" s="278"/>
    </row>
    <row r="462" spans="4:4" x14ac:dyDescent="0.25">
      <c r="D462" s="278"/>
    </row>
    <row r="463" spans="4:4" x14ac:dyDescent="0.25">
      <c r="D463" s="278"/>
    </row>
    <row r="464" spans="4:4" x14ac:dyDescent="0.25">
      <c r="D464" s="278"/>
    </row>
    <row r="465" spans="4:4" x14ac:dyDescent="0.25">
      <c r="D465" s="278"/>
    </row>
    <row r="466" spans="4:4" x14ac:dyDescent="0.25">
      <c r="D466" s="278"/>
    </row>
    <row r="467" spans="4:4" x14ac:dyDescent="0.25">
      <c r="D467" s="278"/>
    </row>
    <row r="468" spans="4:4" x14ac:dyDescent="0.25">
      <c r="D468" s="278"/>
    </row>
    <row r="469" spans="4:4" x14ac:dyDescent="0.25">
      <c r="D469" s="278"/>
    </row>
    <row r="470" spans="4:4" x14ac:dyDescent="0.25">
      <c r="D470" s="278"/>
    </row>
    <row r="471" spans="4:4" x14ac:dyDescent="0.25">
      <c r="D471" s="278"/>
    </row>
    <row r="472" spans="4:4" x14ac:dyDescent="0.25">
      <c r="D472" s="278"/>
    </row>
    <row r="473" spans="4:4" x14ac:dyDescent="0.25">
      <c r="D473" s="278"/>
    </row>
    <row r="474" spans="4:4" x14ac:dyDescent="0.25">
      <c r="D474" s="278"/>
    </row>
    <row r="475" spans="4:4" x14ac:dyDescent="0.25">
      <c r="D475" s="278"/>
    </row>
    <row r="476" spans="4:4" x14ac:dyDescent="0.25">
      <c r="D476" s="278"/>
    </row>
    <row r="477" spans="4:4" x14ac:dyDescent="0.25">
      <c r="D477" s="278"/>
    </row>
    <row r="478" spans="4:4" x14ac:dyDescent="0.25">
      <c r="D478" s="278"/>
    </row>
    <row r="479" spans="4:4" x14ac:dyDescent="0.25">
      <c r="D479" s="278"/>
    </row>
    <row r="480" spans="4:4" x14ac:dyDescent="0.25">
      <c r="D480" s="278"/>
    </row>
    <row r="481" spans="4:4" x14ac:dyDescent="0.25">
      <c r="D481" s="278"/>
    </row>
    <row r="482" spans="4:4" x14ac:dyDescent="0.25">
      <c r="D482" s="278"/>
    </row>
    <row r="483" spans="4:4" x14ac:dyDescent="0.25">
      <c r="D483" s="278"/>
    </row>
    <row r="484" spans="4:4" x14ac:dyDescent="0.25">
      <c r="D484" s="278"/>
    </row>
    <row r="485" spans="4:4" x14ac:dyDescent="0.25">
      <c r="D485" s="278"/>
    </row>
    <row r="486" spans="4:4" x14ac:dyDescent="0.25">
      <c r="D486" s="278"/>
    </row>
    <row r="487" spans="4:4" x14ac:dyDescent="0.25">
      <c r="D487" s="278"/>
    </row>
    <row r="488" spans="4:4" x14ac:dyDescent="0.25">
      <c r="D488" s="278"/>
    </row>
    <row r="489" spans="4:4" x14ac:dyDescent="0.25">
      <c r="D489" s="278"/>
    </row>
    <row r="490" spans="4:4" x14ac:dyDescent="0.25">
      <c r="D490" s="278"/>
    </row>
    <row r="491" spans="4:4" x14ac:dyDescent="0.25">
      <c r="D491" s="278"/>
    </row>
    <row r="492" spans="4:4" x14ac:dyDescent="0.25">
      <c r="D492" s="278"/>
    </row>
    <row r="493" spans="4:4" x14ac:dyDescent="0.25">
      <c r="D493" s="278"/>
    </row>
    <row r="494" spans="4:4" x14ac:dyDescent="0.25">
      <c r="D494" s="278"/>
    </row>
    <row r="495" spans="4:4" x14ac:dyDescent="0.25">
      <c r="D495" s="278"/>
    </row>
    <row r="496" spans="4:4" x14ac:dyDescent="0.25">
      <c r="D496" s="278"/>
    </row>
    <row r="497" spans="4:4" x14ac:dyDescent="0.25">
      <c r="D497" s="278"/>
    </row>
    <row r="498" spans="4:4" x14ac:dyDescent="0.25">
      <c r="D498" s="278"/>
    </row>
    <row r="499" spans="4:4" x14ac:dyDescent="0.25">
      <c r="D499" s="278"/>
    </row>
    <row r="500" spans="4:4" x14ac:dyDescent="0.25">
      <c r="D500" s="278"/>
    </row>
    <row r="501" spans="4:4" x14ac:dyDescent="0.25">
      <c r="D501" s="278"/>
    </row>
    <row r="502" spans="4:4" x14ac:dyDescent="0.25">
      <c r="D502" s="278"/>
    </row>
    <row r="503" spans="4:4" x14ac:dyDescent="0.25">
      <c r="D503" s="278"/>
    </row>
    <row r="504" spans="4:4" x14ac:dyDescent="0.25">
      <c r="D504" s="278"/>
    </row>
    <row r="505" spans="4:4" x14ac:dyDescent="0.25">
      <c r="D505" s="278"/>
    </row>
    <row r="506" spans="4:4" x14ac:dyDescent="0.25">
      <c r="D506" s="278"/>
    </row>
    <row r="507" spans="4:4" x14ac:dyDescent="0.25">
      <c r="D507" s="278"/>
    </row>
    <row r="508" spans="4:4" x14ac:dyDescent="0.25">
      <c r="D508" s="278"/>
    </row>
    <row r="509" spans="4:4" x14ac:dyDescent="0.25">
      <c r="D509" s="278"/>
    </row>
    <row r="510" spans="4:4" x14ac:dyDescent="0.25">
      <c r="D510" s="278"/>
    </row>
    <row r="511" spans="4:4" x14ac:dyDescent="0.25">
      <c r="D511" s="278"/>
    </row>
    <row r="512" spans="4:4" x14ac:dyDescent="0.25">
      <c r="D512" s="278"/>
    </row>
    <row r="513" spans="4:4" x14ac:dyDescent="0.25">
      <c r="D513" s="278"/>
    </row>
    <row r="514" spans="4:4" x14ac:dyDescent="0.25">
      <c r="D514" s="278"/>
    </row>
    <row r="515" spans="4:4" x14ac:dyDescent="0.25">
      <c r="D515" s="278"/>
    </row>
    <row r="516" spans="4:4" x14ac:dyDescent="0.25">
      <c r="D516" s="278"/>
    </row>
    <row r="517" spans="4:4" x14ac:dyDescent="0.25">
      <c r="D517" s="278"/>
    </row>
    <row r="518" spans="4:4" x14ac:dyDescent="0.25">
      <c r="D518" s="278"/>
    </row>
    <row r="519" spans="4:4" x14ac:dyDescent="0.25">
      <c r="D519" s="278"/>
    </row>
    <row r="520" spans="4:4" x14ac:dyDescent="0.25">
      <c r="D520" s="278"/>
    </row>
    <row r="521" spans="4:4" x14ac:dyDescent="0.25">
      <c r="D521" s="278"/>
    </row>
    <row r="522" spans="4:4" x14ac:dyDescent="0.25">
      <c r="D522" s="278"/>
    </row>
    <row r="523" spans="4:4" x14ac:dyDescent="0.25">
      <c r="D523" s="278"/>
    </row>
    <row r="524" spans="4:4" x14ac:dyDescent="0.25">
      <c r="D524" s="278"/>
    </row>
    <row r="525" spans="4:4" x14ac:dyDescent="0.25">
      <c r="D525" s="278"/>
    </row>
    <row r="526" spans="4:4" x14ac:dyDescent="0.25">
      <c r="D526" s="278"/>
    </row>
    <row r="527" spans="4:4" x14ac:dyDescent="0.25">
      <c r="D527" s="278"/>
    </row>
    <row r="528" spans="4:4" x14ac:dyDescent="0.25">
      <c r="D528" s="278"/>
    </row>
    <row r="529" spans="4:4" x14ac:dyDescent="0.25">
      <c r="D529" s="278"/>
    </row>
    <row r="530" spans="4:4" x14ac:dyDescent="0.25">
      <c r="D530" s="278"/>
    </row>
    <row r="531" spans="4:4" x14ac:dyDescent="0.25">
      <c r="D531" s="278"/>
    </row>
    <row r="532" spans="4:4" x14ac:dyDescent="0.25">
      <c r="D532" s="278"/>
    </row>
    <row r="533" spans="4:4" x14ac:dyDescent="0.25">
      <c r="D533" s="278"/>
    </row>
    <row r="534" spans="4:4" x14ac:dyDescent="0.25">
      <c r="D534" s="278"/>
    </row>
    <row r="535" spans="4:4" x14ac:dyDescent="0.25">
      <c r="D535" s="278"/>
    </row>
    <row r="536" spans="4:4" x14ac:dyDescent="0.25">
      <c r="D536" s="278"/>
    </row>
    <row r="537" spans="4:4" x14ac:dyDescent="0.25">
      <c r="D537" s="278"/>
    </row>
    <row r="538" spans="4:4" x14ac:dyDescent="0.25">
      <c r="D538" s="278"/>
    </row>
    <row r="539" spans="4:4" x14ac:dyDescent="0.25">
      <c r="D539" s="278"/>
    </row>
    <row r="540" spans="4:4" x14ac:dyDescent="0.25">
      <c r="D540" s="278"/>
    </row>
    <row r="541" spans="4:4" x14ac:dyDescent="0.25">
      <c r="D541" s="278"/>
    </row>
    <row r="542" spans="4:4" x14ac:dyDescent="0.25">
      <c r="D542" s="278"/>
    </row>
    <row r="543" spans="4:4" x14ac:dyDescent="0.25">
      <c r="D543" s="278"/>
    </row>
    <row r="544" spans="4:4" x14ac:dyDescent="0.25">
      <c r="D544" s="278"/>
    </row>
    <row r="545" spans="4:4" x14ac:dyDescent="0.25">
      <c r="D545" s="278"/>
    </row>
    <row r="546" spans="4:4" x14ac:dyDescent="0.25">
      <c r="D546" s="278"/>
    </row>
    <row r="547" spans="4:4" x14ac:dyDescent="0.25">
      <c r="D547" s="278"/>
    </row>
    <row r="548" spans="4:4" x14ac:dyDescent="0.25">
      <c r="D548" s="278"/>
    </row>
    <row r="549" spans="4:4" x14ac:dyDescent="0.25">
      <c r="D549" s="278"/>
    </row>
    <row r="550" spans="4:4" x14ac:dyDescent="0.25">
      <c r="D550" s="278"/>
    </row>
    <row r="551" spans="4:4" x14ac:dyDescent="0.25">
      <c r="D551" s="278"/>
    </row>
    <row r="552" spans="4:4" x14ac:dyDescent="0.25">
      <c r="D552" s="278"/>
    </row>
    <row r="553" spans="4:4" x14ac:dyDescent="0.25">
      <c r="D553" s="278"/>
    </row>
    <row r="554" spans="4:4" x14ac:dyDescent="0.25">
      <c r="D554" s="278"/>
    </row>
    <row r="555" spans="4:4" x14ac:dyDescent="0.25">
      <c r="D555" s="278"/>
    </row>
    <row r="556" spans="4:4" x14ac:dyDescent="0.25">
      <c r="D556" s="278"/>
    </row>
    <row r="557" spans="4:4" x14ac:dyDescent="0.25">
      <c r="D557" s="278"/>
    </row>
    <row r="558" spans="4:4" x14ac:dyDescent="0.25">
      <c r="D558" s="278"/>
    </row>
    <row r="559" spans="4:4" x14ac:dyDescent="0.25">
      <c r="D559" s="278"/>
    </row>
    <row r="560" spans="4:4" x14ac:dyDescent="0.25">
      <c r="D560" s="278"/>
    </row>
    <row r="561" spans="4:4" x14ac:dyDescent="0.25">
      <c r="D561" s="278"/>
    </row>
    <row r="562" spans="4:4" x14ac:dyDescent="0.25">
      <c r="D562" s="278"/>
    </row>
    <row r="563" spans="4:4" x14ac:dyDescent="0.25">
      <c r="D563" s="278"/>
    </row>
    <row r="564" spans="4:4" x14ac:dyDescent="0.25">
      <c r="D564" s="278"/>
    </row>
    <row r="565" spans="4:4" x14ac:dyDescent="0.25">
      <c r="D565" s="278"/>
    </row>
    <row r="566" spans="4:4" x14ac:dyDescent="0.25">
      <c r="D566" s="278"/>
    </row>
    <row r="567" spans="4:4" x14ac:dyDescent="0.25">
      <c r="D567" s="278"/>
    </row>
    <row r="568" spans="4:4" x14ac:dyDescent="0.25">
      <c r="D568" s="278"/>
    </row>
    <row r="569" spans="4:4" x14ac:dyDescent="0.25">
      <c r="D569" s="278"/>
    </row>
    <row r="570" spans="4:4" x14ac:dyDescent="0.25">
      <c r="D570" s="278"/>
    </row>
    <row r="571" spans="4:4" x14ac:dyDescent="0.25">
      <c r="D571" s="278"/>
    </row>
    <row r="572" spans="4:4" x14ac:dyDescent="0.25">
      <c r="D572" s="278"/>
    </row>
    <row r="573" spans="4:4" x14ac:dyDescent="0.25">
      <c r="D573" s="278"/>
    </row>
    <row r="574" spans="4:4" x14ac:dyDescent="0.25">
      <c r="D574" s="278"/>
    </row>
    <row r="575" spans="4:4" x14ac:dyDescent="0.25">
      <c r="D575" s="278"/>
    </row>
    <row r="576" spans="4:4" x14ac:dyDescent="0.25">
      <c r="D576" s="278"/>
    </row>
    <row r="577" spans="4:4" x14ac:dyDescent="0.25">
      <c r="D577" s="278"/>
    </row>
    <row r="578" spans="4:4" x14ac:dyDescent="0.25">
      <c r="D578" s="278"/>
    </row>
    <row r="579" spans="4:4" x14ac:dyDescent="0.25">
      <c r="D579" s="278"/>
    </row>
    <row r="580" spans="4:4" x14ac:dyDescent="0.25">
      <c r="D580" s="278"/>
    </row>
    <row r="581" spans="4:4" x14ac:dyDescent="0.25">
      <c r="D581" s="278"/>
    </row>
    <row r="582" spans="4:4" x14ac:dyDescent="0.25">
      <c r="D582" s="278"/>
    </row>
    <row r="583" spans="4:4" x14ac:dyDescent="0.25">
      <c r="D583" s="278"/>
    </row>
    <row r="584" spans="4:4" x14ac:dyDescent="0.25">
      <c r="D584" s="278"/>
    </row>
    <row r="585" spans="4:4" x14ac:dyDescent="0.25">
      <c r="D585" s="278"/>
    </row>
    <row r="586" spans="4:4" x14ac:dyDescent="0.25">
      <c r="D586" s="278"/>
    </row>
    <row r="587" spans="4:4" x14ac:dyDescent="0.25">
      <c r="D587" s="278"/>
    </row>
    <row r="588" spans="4:4" x14ac:dyDescent="0.25">
      <c r="D588" s="278"/>
    </row>
    <row r="589" spans="4:4" x14ac:dyDescent="0.25">
      <c r="D589" s="278"/>
    </row>
    <row r="590" spans="4:4" x14ac:dyDescent="0.25">
      <c r="D590" s="278"/>
    </row>
    <row r="591" spans="4:4" x14ac:dyDescent="0.25">
      <c r="D591" s="278"/>
    </row>
    <row r="592" spans="4:4" x14ac:dyDescent="0.25">
      <c r="D592" s="278"/>
    </row>
    <row r="593" spans="4:4" x14ac:dyDescent="0.25">
      <c r="D593" s="278"/>
    </row>
    <row r="594" spans="4:4" x14ac:dyDescent="0.25">
      <c r="D594" s="278"/>
    </row>
    <row r="595" spans="4:4" x14ac:dyDescent="0.25">
      <c r="D595" s="278"/>
    </row>
    <row r="596" spans="4:4" x14ac:dyDescent="0.25">
      <c r="D596" s="278"/>
    </row>
    <row r="597" spans="4:4" x14ac:dyDescent="0.25">
      <c r="D597" s="278"/>
    </row>
    <row r="598" spans="4:4" x14ac:dyDescent="0.25">
      <c r="D598" s="278"/>
    </row>
    <row r="599" spans="4:4" x14ac:dyDescent="0.25">
      <c r="D599" s="278"/>
    </row>
    <row r="600" spans="4:4" x14ac:dyDescent="0.25">
      <c r="D600" s="278"/>
    </row>
    <row r="601" spans="4:4" x14ac:dyDescent="0.25">
      <c r="D601" s="278"/>
    </row>
    <row r="602" spans="4:4" x14ac:dyDescent="0.25">
      <c r="D602" s="278"/>
    </row>
    <row r="603" spans="4:4" x14ac:dyDescent="0.25">
      <c r="D603" s="278"/>
    </row>
    <row r="604" spans="4:4" x14ac:dyDescent="0.25">
      <c r="D604" s="278"/>
    </row>
    <row r="605" spans="4:4" x14ac:dyDescent="0.25">
      <c r="D605" s="278"/>
    </row>
    <row r="606" spans="4:4" x14ac:dyDescent="0.25">
      <c r="D606" s="278"/>
    </row>
    <row r="607" spans="4:4" x14ac:dyDescent="0.25">
      <c r="D607" s="278"/>
    </row>
    <row r="608" spans="4:4" x14ac:dyDescent="0.25">
      <c r="D608" s="278"/>
    </row>
    <row r="609" spans="4:4" x14ac:dyDescent="0.25">
      <c r="D609" s="278"/>
    </row>
    <row r="610" spans="4:4" x14ac:dyDescent="0.25">
      <c r="D610" s="278"/>
    </row>
    <row r="611" spans="4:4" x14ac:dyDescent="0.25">
      <c r="D611" s="278"/>
    </row>
    <row r="612" spans="4:4" x14ac:dyDescent="0.25">
      <c r="D612" s="278"/>
    </row>
    <row r="613" spans="4:4" x14ac:dyDescent="0.25">
      <c r="D613" s="278"/>
    </row>
    <row r="614" spans="4:4" x14ac:dyDescent="0.25">
      <c r="D614" s="278"/>
    </row>
    <row r="615" spans="4:4" x14ac:dyDescent="0.25">
      <c r="D615" s="278"/>
    </row>
    <row r="616" spans="4:4" x14ac:dyDescent="0.25">
      <c r="D616" s="278"/>
    </row>
    <row r="617" spans="4:4" x14ac:dyDescent="0.25">
      <c r="D617" s="278"/>
    </row>
    <row r="618" spans="4:4" x14ac:dyDescent="0.25">
      <c r="D618" s="278"/>
    </row>
    <row r="619" spans="4:4" x14ac:dyDescent="0.25">
      <c r="D619" s="278"/>
    </row>
    <row r="620" spans="4:4" x14ac:dyDescent="0.25">
      <c r="D620" s="278"/>
    </row>
    <row r="621" spans="4:4" x14ac:dyDescent="0.25">
      <c r="D621" s="278"/>
    </row>
    <row r="622" spans="4:4" x14ac:dyDescent="0.25">
      <c r="D622" s="278"/>
    </row>
    <row r="623" spans="4:4" x14ac:dyDescent="0.25">
      <c r="D623" s="278"/>
    </row>
    <row r="624" spans="4:4" x14ac:dyDescent="0.25">
      <c r="D624" s="278"/>
    </row>
    <row r="625" spans="4:4" x14ac:dyDescent="0.25">
      <c r="D625" s="278"/>
    </row>
    <row r="626" spans="4:4" x14ac:dyDescent="0.25">
      <c r="D626" s="278"/>
    </row>
    <row r="627" spans="4:4" x14ac:dyDescent="0.25">
      <c r="D627" s="278"/>
    </row>
    <row r="628" spans="4:4" x14ac:dyDescent="0.25">
      <c r="D628" s="278"/>
    </row>
    <row r="629" spans="4:4" x14ac:dyDescent="0.25">
      <c r="D629" s="278"/>
    </row>
    <row r="630" spans="4:4" x14ac:dyDescent="0.25">
      <c r="D630" s="278"/>
    </row>
    <row r="631" spans="4:4" x14ac:dyDescent="0.25">
      <c r="D631" s="278"/>
    </row>
    <row r="632" spans="4:4" x14ac:dyDescent="0.25">
      <c r="D632" s="278"/>
    </row>
    <row r="633" spans="4:4" x14ac:dyDescent="0.25">
      <c r="D633" s="278"/>
    </row>
    <row r="634" spans="4:4" x14ac:dyDescent="0.25">
      <c r="D634" s="278"/>
    </row>
    <row r="635" spans="4:4" x14ac:dyDescent="0.25">
      <c r="D635" s="278"/>
    </row>
    <row r="636" spans="4:4" x14ac:dyDescent="0.25">
      <c r="D636" s="278"/>
    </row>
    <row r="637" spans="4:4" x14ac:dyDescent="0.25">
      <c r="D637" s="278"/>
    </row>
    <row r="638" spans="4:4" x14ac:dyDescent="0.25">
      <c r="D638" s="278"/>
    </row>
    <row r="639" spans="4:4" x14ac:dyDescent="0.25">
      <c r="D639" s="278"/>
    </row>
    <row r="640" spans="4:4" x14ac:dyDescent="0.25">
      <c r="D640" s="278"/>
    </row>
    <row r="641" spans="4:4" x14ac:dyDescent="0.25">
      <c r="D641" s="278"/>
    </row>
    <row r="642" spans="4:4" x14ac:dyDescent="0.25">
      <c r="D642" s="278"/>
    </row>
    <row r="643" spans="4:4" x14ac:dyDescent="0.25">
      <c r="D643" s="278"/>
    </row>
    <row r="644" spans="4:4" x14ac:dyDescent="0.25">
      <c r="D644" s="278"/>
    </row>
    <row r="645" spans="4:4" x14ac:dyDescent="0.25">
      <c r="D645" s="278"/>
    </row>
    <row r="646" spans="4:4" x14ac:dyDescent="0.25">
      <c r="D646" s="278"/>
    </row>
    <row r="647" spans="4:4" x14ac:dyDescent="0.25">
      <c r="D647" s="278"/>
    </row>
    <row r="648" spans="4:4" x14ac:dyDescent="0.25">
      <c r="D648" s="278"/>
    </row>
    <row r="649" spans="4:4" x14ac:dyDescent="0.25">
      <c r="D649" s="278"/>
    </row>
    <row r="650" spans="4:4" x14ac:dyDescent="0.25">
      <c r="D650" s="278"/>
    </row>
    <row r="651" spans="4:4" x14ac:dyDescent="0.25">
      <c r="D651" s="278"/>
    </row>
    <row r="652" spans="4:4" x14ac:dyDescent="0.25">
      <c r="D652" s="278"/>
    </row>
    <row r="653" spans="4:4" x14ac:dyDescent="0.25">
      <c r="D653" s="278"/>
    </row>
    <row r="654" spans="4:4" x14ac:dyDescent="0.25">
      <c r="D654" s="278"/>
    </row>
    <row r="655" spans="4:4" x14ac:dyDescent="0.25">
      <c r="D655" s="278"/>
    </row>
    <row r="656" spans="4:4" x14ac:dyDescent="0.25">
      <c r="D656" s="278"/>
    </row>
    <row r="657" spans="4:4" x14ac:dyDescent="0.25">
      <c r="D657" s="278"/>
    </row>
    <row r="658" spans="4:4" x14ac:dyDescent="0.25">
      <c r="D658" s="278"/>
    </row>
    <row r="659" spans="4:4" x14ac:dyDescent="0.25">
      <c r="D659" s="278"/>
    </row>
    <row r="660" spans="4:4" x14ac:dyDescent="0.25">
      <c r="D660" s="278"/>
    </row>
    <row r="661" spans="4:4" x14ac:dyDescent="0.25">
      <c r="D661" s="278"/>
    </row>
  </sheetData>
  <conditionalFormatting sqref="A2">
    <cfRule type="cellIs" dxfId="64" priority="1" stopIfTrue="1" operator="equal">
      <formula>"n/a"</formula>
    </cfRule>
  </conditionalFormatting>
  <conditionalFormatting sqref="A2">
    <cfRule type="duplicateValues" dxfId="63" priority="2"/>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39987-0969-473B-98E9-F2AE95218D9E}">
  <sheetPr codeName="Sheet7">
    <tabColor theme="4"/>
  </sheetPr>
  <dimension ref="A1:D3"/>
  <sheetViews>
    <sheetView workbookViewId="0">
      <selection activeCell="C6" sqref="C6"/>
    </sheetView>
  </sheetViews>
  <sheetFormatPr defaultRowHeight="15" x14ac:dyDescent="0.25"/>
  <cols>
    <col min="1" max="1" width="41.140625" bestFit="1" customWidth="1"/>
    <col min="2" max="2" width="7.7109375" customWidth="1"/>
  </cols>
  <sheetData>
    <row r="1" spans="1:4" ht="20.100000000000001" customHeight="1" x14ac:dyDescent="0.25">
      <c r="A1" s="57" t="s">
        <v>49</v>
      </c>
      <c r="B1" s="136" t="s">
        <v>75</v>
      </c>
      <c r="D1" s="275" t="s">
        <v>270</v>
      </c>
    </row>
    <row r="2" spans="1:4" x14ac:dyDescent="0.25">
      <c r="A2" s="56" t="s">
        <v>174</v>
      </c>
      <c r="B2" s="58"/>
    </row>
    <row r="3" spans="1:4" x14ac:dyDescent="0.25">
      <c r="A3" s="56" t="s">
        <v>50</v>
      </c>
      <c r="B3" s="58"/>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4472C4"/>
  </sheetPr>
  <dimension ref="A1:AN31"/>
  <sheetViews>
    <sheetView topLeftCell="G1" workbookViewId="0">
      <selection activeCell="AA21" sqref="AA21"/>
    </sheetView>
  </sheetViews>
  <sheetFormatPr defaultRowHeight="15" x14ac:dyDescent="0.25"/>
  <cols>
    <col min="1" max="1" width="8.7109375" style="6" customWidth="1"/>
    <col min="2" max="3" width="7.7109375" style="6" customWidth="1"/>
    <col min="4" max="4" width="9.140625" style="6" customWidth="1"/>
    <col min="5" max="16384" width="9.140625" style="6"/>
  </cols>
  <sheetData>
    <row r="1" spans="1:40" ht="30" customHeight="1" x14ac:dyDescent="0.25">
      <c r="A1" s="60" t="s">
        <v>72</v>
      </c>
      <c r="B1" s="60" t="s">
        <v>75</v>
      </c>
      <c r="C1" s="60" t="s">
        <v>77</v>
      </c>
      <c r="E1" s="299" t="s">
        <v>269</v>
      </c>
      <c r="F1" s="301" t="s">
        <v>275</v>
      </c>
      <c r="G1" s="296"/>
      <c r="H1" s="296"/>
      <c r="I1" s="296"/>
      <c r="J1" s="296"/>
      <c r="K1" s="296"/>
      <c r="L1" s="296"/>
      <c r="M1" s="296"/>
      <c r="N1" s="296"/>
      <c r="O1" s="297"/>
      <c r="X1" s="64" t="s">
        <v>79</v>
      </c>
      <c r="Y1" s="64" t="s">
        <v>80</v>
      </c>
      <c r="Z1" s="136" t="s">
        <v>81</v>
      </c>
      <c r="AA1" s="65" t="s">
        <v>75</v>
      </c>
      <c r="AB1" s="65" t="s">
        <v>77</v>
      </c>
      <c r="AD1" s="299" t="s">
        <v>269</v>
      </c>
      <c r="AE1" s="300" t="s">
        <v>284</v>
      </c>
      <c r="AF1" s="296"/>
      <c r="AG1" s="296"/>
      <c r="AH1" s="296"/>
      <c r="AI1" s="296"/>
      <c r="AJ1" s="296"/>
      <c r="AK1" s="296"/>
      <c r="AL1" s="296"/>
      <c r="AM1" s="296"/>
      <c r="AN1" s="297"/>
    </row>
    <row r="2" spans="1:40" ht="15" customHeight="1" x14ac:dyDescent="0.25">
      <c r="A2" s="288" t="s">
        <v>38</v>
      </c>
      <c r="B2" s="289">
        <f>COUNTIF(Donation[Pub Date],PubDateCount[[#This Row],[PubDate]])</f>
        <v>0</v>
      </c>
      <c r="C2" s="290" t="e">
        <f>PubDateCount[[#This Row],[Count]]/PubDateCount[[#Totals],[Count]]</f>
        <v>#DIV/0!</v>
      </c>
      <c r="E2" s="277">
        <v>1</v>
      </c>
      <c r="F2" s="139" t="s">
        <v>285</v>
      </c>
      <c r="G2" s="140"/>
      <c r="H2" s="140"/>
      <c r="I2" s="140"/>
      <c r="J2" s="140"/>
      <c r="K2" s="140"/>
      <c r="L2" s="140"/>
      <c r="M2" s="140"/>
      <c r="N2" s="140"/>
      <c r="O2" s="292"/>
      <c r="X2" s="74"/>
      <c r="Y2" s="74"/>
      <c r="Z2" s="75" t="s">
        <v>38</v>
      </c>
      <c r="AA2" s="76">
        <f>COUNTIF(Donation[Pub Date],PubDate_by_Decade[[#This Row],[Labels]])</f>
        <v>0</v>
      </c>
      <c r="AB2" s="77" t="e">
        <f>PubDate_by_Decade[[#This Row],[Count]]/PubDate_by_Decade[[#Totals],[Count]]</f>
        <v>#DIV/0!</v>
      </c>
      <c r="AD2" s="277">
        <v>1</v>
      </c>
      <c r="AE2" s="139" t="s">
        <v>285</v>
      </c>
      <c r="AF2" s="140"/>
      <c r="AG2" s="140"/>
      <c r="AH2" s="140"/>
      <c r="AI2" s="140"/>
      <c r="AJ2" s="140"/>
      <c r="AK2" s="140"/>
      <c r="AL2" s="140"/>
      <c r="AM2" s="140"/>
      <c r="AN2" s="292"/>
    </row>
    <row r="3" spans="1:40" ht="15" customHeight="1" x14ac:dyDescent="0.25">
      <c r="A3" s="291">
        <v>1998</v>
      </c>
      <c r="B3" s="289">
        <f>COUNTIF(Donation[Pub Date],PubDateCount[[#This Row],[PubDate]]) + COUNTIF(Donation[Pub Date],"*"&amp;PubDateCount[[#This Row],[PubDate]]&amp;"*")</f>
        <v>0</v>
      </c>
      <c r="C3" s="290" t="e">
        <f>PubDateCount[[#This Row],[Count]]/PubDateCount[[#Totals],[Count]]</f>
        <v>#DIV/0!</v>
      </c>
      <c r="E3" s="277">
        <v>2</v>
      </c>
      <c r="F3" s="139" t="s">
        <v>276</v>
      </c>
      <c r="G3" s="140"/>
      <c r="H3" s="140"/>
      <c r="I3" s="140"/>
      <c r="J3" s="140"/>
      <c r="K3" s="140"/>
      <c r="L3" s="140"/>
      <c r="M3" s="140"/>
      <c r="N3" s="140"/>
      <c r="O3" s="292"/>
      <c r="X3" s="62">
        <v>1990</v>
      </c>
      <c r="Y3" s="62">
        <v>1999</v>
      </c>
      <c r="Z3" s="69" t="str">
        <f>CONCATENATE(PubDate_by_Decade[[#This Row],[Start of Decade]],"-",PubDate_by_Decade[[#This Row],[End of Decade]])</f>
        <v>1990-1999</v>
      </c>
      <c r="AA3" s="67">
        <f>SUMIFS(PubDateCount[Count],PubDateCount[PubDate],"&gt;="&amp;PubDate_by_Decade[[#This Row],[Start of Decade]],PubDateCount[PubDate],"&lt;="&amp;PubDate_by_Decade[[#This Row],[End of Decade]])</f>
        <v>0</v>
      </c>
      <c r="AB3" s="73" t="e">
        <f>PubDate_by_Decade[[#This Row],[Count]]/PubDate_by_Decade[[#Totals],[Count]]</f>
        <v>#DIV/0!</v>
      </c>
      <c r="AD3" s="277">
        <v>2</v>
      </c>
      <c r="AE3" s="139" t="s">
        <v>286</v>
      </c>
      <c r="AF3" s="140"/>
      <c r="AG3" s="140"/>
      <c r="AH3" s="140"/>
      <c r="AI3" s="140"/>
      <c r="AJ3" s="140"/>
      <c r="AK3" s="140"/>
      <c r="AL3" s="140"/>
      <c r="AM3" s="140"/>
      <c r="AN3" s="292"/>
    </row>
    <row r="4" spans="1:40" ht="15" customHeight="1" x14ac:dyDescent="0.25">
      <c r="A4" s="53">
        <v>1999</v>
      </c>
      <c r="B4" s="54">
        <f>COUNTIF(Donation[Pub Date],PubDateCount[[#This Row],[PubDate]]) + COUNTIF(Donation[Pub Date],"*"&amp;PubDateCount[[#This Row],[PubDate]]&amp;"*")</f>
        <v>0</v>
      </c>
      <c r="C4" s="59" t="e">
        <f>PubDateCount[[#This Row],[Count]]/PubDateCount[[#Totals],[Count]]</f>
        <v>#DIV/0!</v>
      </c>
      <c r="E4" s="277">
        <v>3</v>
      </c>
      <c r="F4" s="139" t="s">
        <v>277</v>
      </c>
      <c r="G4" s="140"/>
      <c r="H4" s="140"/>
      <c r="I4" s="140"/>
      <c r="J4" s="140"/>
      <c r="K4" s="140"/>
      <c r="L4" s="140"/>
      <c r="M4" s="140"/>
      <c r="N4" s="140"/>
      <c r="O4" s="292"/>
      <c r="X4" s="62">
        <v>2010</v>
      </c>
      <c r="Y4" s="62">
        <v>2019</v>
      </c>
      <c r="Z4" s="98" t="str">
        <f>CONCATENATE(PubDate_by_Decade[[#This Row],[Start of Decade]],"-",PubDate_by_Decade[[#This Row],[End of Decade]])</f>
        <v>2010-2019</v>
      </c>
      <c r="AA4" s="67">
        <f>SUMIFS(PubDateCount[Count],PubDateCount[PubDate],"&gt;="&amp;PubDate_by_Decade[[#This Row],[Start of Decade]],PubDateCount[PubDate],"&lt;="&amp;PubDate_by_Decade[[#This Row],[End of Decade]])</f>
        <v>0</v>
      </c>
      <c r="AB4" s="73" t="e">
        <f>PubDate_by_Decade[[#This Row],[Count]]/PubDate_by_Decade[[#Totals],[Count]]</f>
        <v>#DIV/0!</v>
      </c>
      <c r="AD4" s="277">
        <v>3</v>
      </c>
      <c r="AE4" s="139" t="s">
        <v>277</v>
      </c>
      <c r="AF4" s="140"/>
      <c r="AG4" s="140"/>
      <c r="AH4" s="140"/>
      <c r="AI4" s="140"/>
      <c r="AJ4" s="140"/>
      <c r="AK4" s="140"/>
      <c r="AL4" s="140"/>
      <c r="AM4" s="140"/>
      <c r="AN4" s="292"/>
    </row>
    <row r="5" spans="1:40" ht="15" customHeight="1" x14ac:dyDescent="0.25">
      <c r="A5" s="53">
        <v>2000</v>
      </c>
      <c r="B5" s="54">
        <f>COUNTIF(Donation[Pub Date],PubDateCount[[#This Row],[PubDate]]) + COUNTIF(Donation[Pub Date],"*"&amp;PubDateCount[[#This Row],[PubDate]]&amp;"*")</f>
        <v>0</v>
      </c>
      <c r="C5" s="59" t="e">
        <f>PubDateCount[[#This Row],[Count]]/PubDateCount[[#Totals],[Count]]</f>
        <v>#DIV/0!</v>
      </c>
      <c r="E5" s="293">
        <v>4</v>
      </c>
      <c r="F5" s="281" t="s">
        <v>272</v>
      </c>
      <c r="G5" s="294"/>
      <c r="H5" s="294"/>
      <c r="I5" s="294"/>
      <c r="J5" s="294"/>
      <c r="K5" s="294"/>
      <c r="L5" s="294"/>
      <c r="M5" s="294"/>
      <c r="N5" s="294"/>
      <c r="O5" s="295"/>
      <c r="X5" s="62">
        <v>2000</v>
      </c>
      <c r="Y5" s="62">
        <v>2009</v>
      </c>
      <c r="Z5" s="98" t="str">
        <f>CONCATENATE(PubDate_by_Decade[[#This Row],[Start of Decade]],"-",PubDate_by_Decade[[#This Row],[End of Decade]])</f>
        <v>2000-2009</v>
      </c>
      <c r="AA5" s="67">
        <f>SUMIFS(PubDateCount[Count],PubDateCount[PubDate],"&gt;="&amp;PubDate_by_Decade[[#This Row],[Start of Decade]],PubDateCount[PubDate],"&lt;="&amp;PubDate_by_Decade[[#This Row],[End of Decade]])</f>
        <v>0</v>
      </c>
      <c r="AB5" s="73" t="e">
        <f>PubDate_by_Decade[[#This Row],[Count]]/PubDate_by_Decade[[#Totals],[Count]]</f>
        <v>#DIV/0!</v>
      </c>
      <c r="AD5" s="293">
        <v>4</v>
      </c>
      <c r="AE5" s="281" t="s">
        <v>272</v>
      </c>
      <c r="AF5" s="294"/>
      <c r="AG5" s="294"/>
      <c r="AH5" s="294"/>
      <c r="AI5" s="294"/>
      <c r="AJ5" s="294"/>
      <c r="AK5" s="294"/>
      <c r="AL5" s="294"/>
      <c r="AM5" s="294"/>
      <c r="AN5" s="295"/>
    </row>
    <row r="6" spans="1:40" ht="15" customHeight="1" x14ac:dyDescent="0.25">
      <c r="A6" s="53">
        <v>2001</v>
      </c>
      <c r="B6" s="54">
        <f>COUNTIF(Donation[Pub Date],PubDateCount[[#This Row],[PubDate]]) + COUNTIF(Donation[Pub Date],"*"&amp;PubDateCount[[#This Row],[PubDate]]&amp;"*")</f>
        <v>0</v>
      </c>
      <c r="C6" s="59" t="e">
        <f>PubDateCount[[#This Row],[Count]]/PubDateCount[[#Totals],[Count]]</f>
        <v>#DIV/0!</v>
      </c>
      <c r="E6" s="140"/>
      <c r="F6" s="139"/>
      <c r="X6" s="62"/>
      <c r="Y6" s="62"/>
      <c r="Z6" s="98" t="str">
        <f>CONCATENATE(PubDate_by_Decade[[#This Row],[Start of Decade]],"-",PubDate_by_Decade[[#This Row],[End of Decade]])</f>
        <v>-</v>
      </c>
      <c r="AA6" s="67">
        <f>SUMIFS(PubDateCount[Count],PubDateCount[PubDate],"&gt;="&amp;PubDate_by_Decade[[#This Row],[Start of Decade]],PubDateCount[PubDate],"&lt;="&amp;PubDate_by_Decade[[#This Row],[End of Decade]])</f>
        <v>0</v>
      </c>
      <c r="AB6" s="73" t="e">
        <f>PubDate_by_Decade[[#This Row],[Count]]/PubDate_by_Decade[[#Totals],[Count]]</f>
        <v>#DIV/0!</v>
      </c>
    </row>
    <row r="7" spans="1:40" ht="15" customHeight="1" x14ac:dyDescent="0.25">
      <c r="A7" s="53">
        <v>2002</v>
      </c>
      <c r="B7" s="54">
        <f>COUNTIF(Donation[Pub Date],PubDateCount[[#This Row],[PubDate]]) + COUNTIF(Donation[Pub Date],"*"&amp;PubDateCount[[#This Row],[PubDate]]&amp;"*")</f>
        <v>0</v>
      </c>
      <c r="C7" s="59" t="e">
        <f>PubDateCount[[#This Row],[Count]]/PubDateCount[[#Totals],[Count]]</f>
        <v>#DIV/0!</v>
      </c>
      <c r="E7" s="140"/>
      <c r="F7" s="139"/>
      <c r="X7" s="62"/>
      <c r="Y7" s="62"/>
      <c r="Z7" s="98" t="str">
        <f>CONCATENATE(PubDate_by_Decade[[#This Row],[Start of Decade]],"-",PubDate_by_Decade[[#This Row],[End of Decade]])</f>
        <v>-</v>
      </c>
      <c r="AA7" s="67">
        <f>SUMIFS(PubDateCount[Count],PubDateCount[PubDate],"&gt;="&amp;PubDate_by_Decade[[#This Row],[Start of Decade]],PubDateCount[PubDate],"&lt;="&amp;PubDate_by_Decade[[#This Row],[End of Decade]])</f>
        <v>0</v>
      </c>
      <c r="AB7" s="73" t="e">
        <f>PubDate_by_Decade[[#This Row],[Count]]/PubDate_by_Decade[[#Totals],[Count]]</f>
        <v>#DIV/0!</v>
      </c>
    </row>
    <row r="8" spans="1:40" ht="15" customHeight="1" x14ac:dyDescent="0.25">
      <c r="A8" s="53">
        <v>2003</v>
      </c>
      <c r="B8" s="54">
        <f>COUNTIF(Donation[Pub Date],PubDateCount[[#This Row],[PubDate]]) + COUNTIF(Donation[Pub Date],"*"&amp;PubDateCount[[#This Row],[PubDate]]&amp;"*")</f>
        <v>0</v>
      </c>
      <c r="C8" s="59" t="e">
        <f>PubDateCount[[#This Row],[Count]]/PubDateCount[[#Totals],[Count]]</f>
        <v>#DIV/0!</v>
      </c>
      <c r="E8" s="138"/>
      <c r="F8" s="139"/>
      <c r="X8" s="63" t="s">
        <v>78</v>
      </c>
      <c r="Y8" s="66"/>
      <c r="AA8" s="72">
        <f>SUBTOTAL(109,PubDate_by_Decade[Count])</f>
        <v>0</v>
      </c>
      <c r="AB8" s="68"/>
    </row>
    <row r="9" spans="1:40" ht="15" customHeight="1" x14ac:dyDescent="0.25">
      <c r="A9" s="53">
        <v>2004</v>
      </c>
      <c r="B9" s="54">
        <f>COUNTIF(Donation[Pub Date],PubDateCount[[#This Row],[PubDate]]) + COUNTIF(Donation[Pub Date],"*"&amp;PubDateCount[[#This Row],[PubDate]]&amp;"*")</f>
        <v>0</v>
      </c>
      <c r="C9" s="59" t="e">
        <f>PubDateCount[[#This Row],[Count]]/PubDateCount[[#Totals],[Count]]</f>
        <v>#DIV/0!</v>
      </c>
      <c r="X9"/>
      <c r="Y9"/>
      <c r="Z9"/>
      <c r="AA9"/>
      <c r="AB9"/>
    </row>
    <row r="10" spans="1:40" ht="15" customHeight="1" x14ac:dyDescent="0.25">
      <c r="A10" s="53">
        <v>2005</v>
      </c>
      <c r="B10" s="54">
        <f>COUNTIF(Donation[Pub Date],PubDateCount[[#This Row],[PubDate]]) + COUNTIF(Donation[Pub Date],"*"&amp;PubDateCount[[#This Row],[PubDate]]&amp;"*")</f>
        <v>0</v>
      </c>
      <c r="C10" s="59" t="e">
        <f>PubDateCount[[#This Row],[Count]]/PubDateCount[[#Totals],[Count]]</f>
        <v>#DIV/0!</v>
      </c>
      <c r="X10"/>
      <c r="Y10"/>
      <c r="Z10"/>
      <c r="AA10"/>
      <c r="AB10"/>
    </row>
    <row r="11" spans="1:40" ht="15" customHeight="1" x14ac:dyDescent="0.25">
      <c r="A11" s="5" t="s">
        <v>78</v>
      </c>
      <c r="B11" s="61">
        <f>SUBTOTAL(109,PubDateCount[Count])</f>
        <v>0</v>
      </c>
      <c r="C11" s="59"/>
      <c r="X11"/>
      <c r="Y11"/>
      <c r="Z11"/>
      <c r="AA11"/>
      <c r="AB11"/>
    </row>
    <row r="12" spans="1:40" ht="15" customHeight="1" x14ac:dyDescent="0.25">
      <c r="A12" s="53"/>
      <c r="B12" s="54"/>
      <c r="C12" s="59"/>
      <c r="X12"/>
      <c r="Y12"/>
      <c r="Z12"/>
      <c r="AA12"/>
      <c r="AB12"/>
    </row>
    <row r="13" spans="1:40" ht="15" customHeight="1" x14ac:dyDescent="0.25">
      <c r="A13" s="53"/>
      <c r="B13" s="54"/>
      <c r="C13" s="59"/>
      <c r="X13"/>
      <c r="Y13"/>
      <c r="Z13"/>
      <c r="AA13"/>
      <c r="AB13"/>
    </row>
    <row r="14" spans="1:40" ht="15" customHeight="1" x14ac:dyDescent="0.25">
      <c r="A14" s="53"/>
      <c r="B14" s="54"/>
      <c r="C14" s="59"/>
      <c r="X14"/>
      <c r="Y14"/>
      <c r="Z14"/>
      <c r="AA14"/>
      <c r="AB14"/>
    </row>
    <row r="15" spans="1:40" ht="15" customHeight="1" x14ac:dyDescent="0.25">
      <c r="A15" s="53"/>
      <c r="B15" s="54"/>
      <c r="C15" s="59"/>
      <c r="X15"/>
      <c r="Y15"/>
      <c r="Z15"/>
      <c r="AA15"/>
      <c r="AB15"/>
    </row>
    <row r="16" spans="1:40" ht="15" customHeight="1" x14ac:dyDescent="0.25">
      <c r="A16" s="53"/>
      <c r="B16" s="54"/>
      <c r="C16" s="59"/>
      <c r="X16"/>
      <c r="Y16"/>
      <c r="Z16"/>
      <c r="AA16"/>
      <c r="AB16"/>
    </row>
    <row r="17" spans="1:28" ht="15" customHeight="1" x14ac:dyDescent="0.25">
      <c r="A17" s="53"/>
      <c r="B17" s="54"/>
      <c r="C17" s="59"/>
      <c r="X17"/>
      <c r="Y17"/>
      <c r="Z17"/>
      <c r="AA17"/>
      <c r="AB17"/>
    </row>
    <row r="18" spans="1:28" ht="15" customHeight="1" x14ac:dyDescent="0.25">
      <c r="A18" s="53"/>
      <c r="B18" s="54"/>
      <c r="C18" s="59"/>
      <c r="X18"/>
      <c r="Y18"/>
      <c r="Z18"/>
      <c r="AA18"/>
      <c r="AB18"/>
    </row>
    <row r="19" spans="1:28" ht="15" customHeight="1" x14ac:dyDescent="0.25">
      <c r="A19" s="53"/>
      <c r="B19" s="54"/>
      <c r="C19" s="59"/>
      <c r="X19"/>
      <c r="Y19"/>
      <c r="Z19"/>
      <c r="AA19"/>
      <c r="AB19"/>
    </row>
    <row r="20" spans="1:28" ht="15" customHeight="1" x14ac:dyDescent="0.25">
      <c r="A20" s="53"/>
      <c r="B20" s="54"/>
      <c r="C20" s="59"/>
      <c r="X20"/>
      <c r="Y20"/>
      <c r="Z20"/>
      <c r="AA20"/>
      <c r="AB20"/>
    </row>
    <row r="21" spans="1:28" ht="15" customHeight="1" x14ac:dyDescent="0.25">
      <c r="A21" s="53"/>
      <c r="B21" s="54"/>
      <c r="C21" s="59"/>
      <c r="X21"/>
      <c r="Y21"/>
      <c r="Z21"/>
      <c r="AA21"/>
      <c r="AB21"/>
    </row>
    <row r="22" spans="1:28" ht="15" customHeight="1" x14ac:dyDescent="0.25">
      <c r="A22" s="53"/>
      <c r="B22" s="54"/>
      <c r="C22" s="59"/>
      <c r="X22"/>
      <c r="Y22"/>
      <c r="Z22"/>
      <c r="AA22"/>
      <c r="AB22"/>
    </row>
    <row r="23" spans="1:28" ht="15" customHeight="1" x14ac:dyDescent="0.25">
      <c r="A23" s="53"/>
      <c r="B23" s="54"/>
      <c r="C23" s="59"/>
      <c r="X23"/>
      <c r="Y23"/>
      <c r="Z23"/>
      <c r="AA23"/>
      <c r="AB23"/>
    </row>
    <row r="24" spans="1:28" ht="15" customHeight="1" x14ac:dyDescent="0.25">
      <c r="A24" s="53"/>
      <c r="B24" s="54"/>
      <c r="C24" s="59"/>
      <c r="X24"/>
      <c r="Y24"/>
      <c r="Z24"/>
      <c r="AA24"/>
      <c r="AB24"/>
    </row>
    <row r="25" spans="1:28" ht="15" customHeight="1" x14ac:dyDescent="0.25">
      <c r="A25" s="53"/>
      <c r="B25" s="54"/>
      <c r="C25" s="59"/>
      <c r="X25"/>
      <c r="Y25"/>
      <c r="Z25"/>
      <c r="AA25"/>
      <c r="AB25"/>
    </row>
    <row r="26" spans="1:28" ht="15" customHeight="1" x14ac:dyDescent="0.25">
      <c r="A26" s="53"/>
      <c r="B26" s="54"/>
      <c r="C26" s="59"/>
    </row>
    <row r="27" spans="1:28" ht="15" customHeight="1" x14ac:dyDescent="0.25">
      <c r="A27" s="53"/>
      <c r="B27" s="54"/>
      <c r="C27" s="59"/>
    </row>
    <row r="28" spans="1:28" ht="15" customHeight="1" x14ac:dyDescent="0.25">
      <c r="A28" s="53"/>
      <c r="B28" s="54"/>
      <c r="C28" s="59"/>
    </row>
    <row r="29" spans="1:28" ht="15" customHeight="1" x14ac:dyDescent="0.25">
      <c r="A29" s="53"/>
      <c r="B29" s="54"/>
      <c r="C29" s="59"/>
    </row>
    <row r="30" spans="1:28" x14ac:dyDescent="0.25">
      <c r="B30" s="55"/>
    </row>
    <row r="31" spans="1:28" ht="15" customHeight="1" x14ac:dyDescent="0.25"/>
  </sheetData>
  <pageMargins left="0.7" right="0.7" top="0.75" bottom="0.75" header="0.3" footer="0.3"/>
  <pageSetup orientation="portrait" r:id="rId1"/>
  <ignoredErrors>
    <ignoredError sqref="Z2:AA2" calculatedColumn="1"/>
  </ignoredErrors>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93B0D-03D1-42BF-9D91-94464D3841C0}">
  <sheetPr codeName="Sheet8">
    <tabColor theme="5" tint="-0.249977111117893"/>
  </sheetPr>
  <dimension ref="A1"/>
  <sheetViews>
    <sheetView workbookViewId="0">
      <selection activeCell="I17" sqref="I17"/>
    </sheetView>
  </sheetViews>
  <sheetFormatPr defaultRowHeight="15" customHeight="1" x14ac:dyDescent="0.25"/>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FFDCB-D062-4F0F-B5CC-C0BFE126645C}">
  <sheetPr codeName="Sheet10">
    <tabColor theme="5" tint="-0.249977111117893"/>
  </sheetPr>
  <dimension ref="A1:D32"/>
  <sheetViews>
    <sheetView workbookViewId="0">
      <selection activeCell="C23" sqref="C23"/>
    </sheetView>
  </sheetViews>
  <sheetFormatPr defaultRowHeight="15" x14ac:dyDescent="0.25"/>
  <cols>
    <col min="1" max="1" width="5" bestFit="1" customWidth="1"/>
    <col min="2" max="2" width="6" bestFit="1" customWidth="1"/>
    <col min="3" max="3" width="95.28515625" customWidth="1"/>
    <col min="4" max="4" width="58.28515625" customWidth="1"/>
  </cols>
  <sheetData>
    <row r="1" spans="1:4" x14ac:dyDescent="0.25">
      <c r="A1" s="352" t="s">
        <v>127</v>
      </c>
      <c r="B1" s="352"/>
      <c r="C1" s="352"/>
      <c r="D1" s="352"/>
    </row>
    <row r="2" spans="1:4" x14ac:dyDescent="0.25">
      <c r="A2" s="80" t="s">
        <v>83</v>
      </c>
      <c r="B2" s="81" t="s">
        <v>84</v>
      </c>
      <c r="C2" s="116" t="s">
        <v>82</v>
      </c>
      <c r="D2" s="80" t="s">
        <v>128</v>
      </c>
    </row>
    <row r="3" spans="1:4" x14ac:dyDescent="0.25">
      <c r="A3" s="50">
        <v>1</v>
      </c>
      <c r="B3" s="50"/>
      <c r="C3" s="117" t="s">
        <v>279</v>
      </c>
      <c r="D3" s="118"/>
    </row>
    <row r="4" spans="1:4" x14ac:dyDescent="0.25">
      <c r="A4" s="50">
        <v>2</v>
      </c>
      <c r="B4" s="50"/>
      <c r="C4" s="117" t="s">
        <v>280</v>
      </c>
      <c r="D4" s="118"/>
    </row>
    <row r="5" spans="1:4" x14ac:dyDescent="0.25">
      <c r="A5" s="50">
        <v>3</v>
      </c>
      <c r="B5" s="50"/>
      <c r="C5" s="117" t="s">
        <v>129</v>
      </c>
      <c r="D5" s="118"/>
    </row>
    <row r="6" spans="1:4" ht="25.5" x14ac:dyDescent="0.25">
      <c r="A6" s="50">
        <v>4</v>
      </c>
      <c r="B6" s="50" t="s">
        <v>130</v>
      </c>
      <c r="C6" s="117" t="s">
        <v>131</v>
      </c>
      <c r="D6" s="118" t="s">
        <v>132</v>
      </c>
    </row>
    <row r="7" spans="1:4" x14ac:dyDescent="0.25">
      <c r="A7" s="50">
        <v>4.0999999999999996</v>
      </c>
      <c r="B7" s="50"/>
      <c r="C7" s="117" t="s">
        <v>133</v>
      </c>
      <c r="D7" s="118"/>
    </row>
    <row r="8" spans="1:4" x14ac:dyDescent="0.25">
      <c r="A8" s="50">
        <v>5</v>
      </c>
      <c r="B8" s="50" t="s">
        <v>130</v>
      </c>
      <c r="C8" s="117" t="s">
        <v>134</v>
      </c>
      <c r="D8" s="118" t="s">
        <v>135</v>
      </c>
    </row>
    <row r="9" spans="1:4" ht="25.5" x14ac:dyDescent="0.25">
      <c r="A9" s="50">
        <v>5.0999999999999996</v>
      </c>
      <c r="B9" s="50"/>
      <c r="C9" s="117" t="s">
        <v>136</v>
      </c>
      <c r="D9" s="118"/>
    </row>
    <row r="10" spans="1:4" ht="25.5" x14ac:dyDescent="0.25">
      <c r="A10" s="50">
        <v>6</v>
      </c>
      <c r="B10" s="50" t="s">
        <v>130</v>
      </c>
      <c r="C10" s="117" t="s">
        <v>137</v>
      </c>
      <c r="D10" s="118" t="s">
        <v>138</v>
      </c>
    </row>
    <row r="11" spans="1:4" x14ac:dyDescent="0.25">
      <c r="A11" s="50">
        <v>7</v>
      </c>
      <c r="B11" s="50" t="s">
        <v>139</v>
      </c>
      <c r="C11" s="117" t="s">
        <v>140</v>
      </c>
      <c r="D11" s="118"/>
    </row>
    <row r="12" spans="1:4" ht="25.5" x14ac:dyDescent="0.25">
      <c r="A12" s="50">
        <v>8</v>
      </c>
      <c r="B12" s="50" t="s">
        <v>141</v>
      </c>
      <c r="C12" s="117" t="s">
        <v>142</v>
      </c>
      <c r="D12" s="118"/>
    </row>
    <row r="13" spans="1:4" ht="25.5" x14ac:dyDescent="0.25">
      <c r="A13" s="50">
        <v>8.1</v>
      </c>
      <c r="B13" s="50"/>
      <c r="C13" s="117" t="s">
        <v>136</v>
      </c>
      <c r="D13" s="118"/>
    </row>
    <row r="14" spans="1:4" x14ac:dyDescent="0.25">
      <c r="A14" s="50">
        <v>8.1999999999999993</v>
      </c>
      <c r="B14" s="50"/>
      <c r="C14" s="117" t="s">
        <v>143</v>
      </c>
      <c r="D14" s="118"/>
    </row>
    <row r="15" spans="1:4" x14ac:dyDescent="0.25">
      <c r="A15" s="50">
        <v>8.3000000000000007</v>
      </c>
      <c r="B15" s="50"/>
      <c r="C15" s="117" t="s">
        <v>144</v>
      </c>
      <c r="D15" s="118"/>
    </row>
    <row r="16" spans="1:4" ht="25.5" x14ac:dyDescent="0.25">
      <c r="A16" s="50">
        <v>8.4</v>
      </c>
      <c r="B16" s="50"/>
      <c r="C16" s="117" t="s">
        <v>145</v>
      </c>
      <c r="D16" s="118"/>
    </row>
    <row r="17" spans="1:4" x14ac:dyDescent="0.25">
      <c r="A17" s="50">
        <v>8.5</v>
      </c>
      <c r="B17" s="50"/>
      <c r="C17" s="117" t="s">
        <v>146</v>
      </c>
      <c r="D17" s="118" t="s">
        <v>147</v>
      </c>
    </row>
    <row r="18" spans="1:4" ht="38.25" x14ac:dyDescent="0.25">
      <c r="A18" s="50">
        <v>8.6</v>
      </c>
      <c r="B18" s="50"/>
      <c r="C18" s="117" t="s">
        <v>145</v>
      </c>
      <c r="D18" s="118" t="s">
        <v>148</v>
      </c>
    </row>
    <row r="19" spans="1:4" ht="25.5" x14ac:dyDescent="0.25">
      <c r="A19" s="50">
        <v>9</v>
      </c>
      <c r="B19" s="50" t="s">
        <v>130</v>
      </c>
      <c r="C19" s="117" t="s">
        <v>149</v>
      </c>
      <c r="D19" s="118" t="s">
        <v>150</v>
      </c>
    </row>
    <row r="20" spans="1:4" ht="25.5" x14ac:dyDescent="0.25">
      <c r="A20" s="50">
        <v>10</v>
      </c>
      <c r="B20" s="50" t="s">
        <v>130</v>
      </c>
      <c r="C20" s="117" t="s">
        <v>151</v>
      </c>
      <c r="D20" s="118" t="s">
        <v>152</v>
      </c>
    </row>
    <row r="21" spans="1:4" x14ac:dyDescent="0.25">
      <c r="A21" s="50">
        <v>10.1</v>
      </c>
      <c r="B21" s="50"/>
      <c r="C21" s="117" t="s">
        <v>133</v>
      </c>
      <c r="D21" s="118"/>
    </row>
    <row r="22" spans="1:4" x14ac:dyDescent="0.25">
      <c r="A22" s="50">
        <v>11</v>
      </c>
      <c r="B22" s="50" t="s">
        <v>130</v>
      </c>
      <c r="C22" s="117" t="s">
        <v>153</v>
      </c>
      <c r="D22" s="118" t="s">
        <v>154</v>
      </c>
    </row>
    <row r="23" spans="1:4" ht="25.5" x14ac:dyDescent="0.25">
      <c r="A23" s="50">
        <v>12</v>
      </c>
      <c r="B23" s="50" t="s">
        <v>130</v>
      </c>
      <c r="C23" s="117" t="s">
        <v>155</v>
      </c>
      <c r="D23" s="118" t="s">
        <v>138</v>
      </c>
    </row>
    <row r="24" spans="1:4" x14ac:dyDescent="0.25">
      <c r="A24" s="50">
        <v>13</v>
      </c>
      <c r="B24" s="50" t="s">
        <v>139</v>
      </c>
      <c r="C24" s="117" t="s">
        <v>140</v>
      </c>
      <c r="D24" s="118"/>
    </row>
    <row r="25" spans="1:4" ht="25.5" x14ac:dyDescent="0.25">
      <c r="A25" s="50">
        <v>14</v>
      </c>
      <c r="B25" s="50" t="s">
        <v>141</v>
      </c>
      <c r="C25" s="117" t="s">
        <v>142</v>
      </c>
      <c r="D25" s="118"/>
    </row>
    <row r="26" spans="1:4" ht="25.5" x14ac:dyDescent="0.25">
      <c r="A26" s="50">
        <v>14.1</v>
      </c>
      <c r="B26" s="50"/>
      <c r="C26" s="117" t="s">
        <v>136</v>
      </c>
      <c r="D26" s="118"/>
    </row>
    <row r="27" spans="1:4" x14ac:dyDescent="0.25">
      <c r="A27" s="50">
        <v>14.2</v>
      </c>
      <c r="B27" s="50"/>
      <c r="C27" s="117" t="s">
        <v>143</v>
      </c>
      <c r="D27" s="118"/>
    </row>
    <row r="28" spans="1:4" x14ac:dyDescent="0.25">
      <c r="A28" s="50">
        <v>14.3</v>
      </c>
      <c r="B28" s="50"/>
      <c r="C28" s="117" t="s">
        <v>144</v>
      </c>
      <c r="D28" s="118"/>
    </row>
    <row r="29" spans="1:4" ht="25.5" x14ac:dyDescent="0.25">
      <c r="A29" s="50">
        <v>14.4</v>
      </c>
      <c r="B29" s="50"/>
      <c r="C29" s="117" t="s">
        <v>145</v>
      </c>
      <c r="D29" s="118"/>
    </row>
    <row r="30" spans="1:4" x14ac:dyDescent="0.25">
      <c r="A30" s="50">
        <v>14.5</v>
      </c>
      <c r="B30" s="50"/>
      <c r="C30" s="117" t="s">
        <v>146</v>
      </c>
      <c r="D30" s="118" t="s">
        <v>147</v>
      </c>
    </row>
    <row r="31" spans="1:4" ht="38.25" x14ac:dyDescent="0.25">
      <c r="A31" s="50">
        <v>14.6</v>
      </c>
      <c r="B31" s="50"/>
      <c r="C31" s="117" t="s">
        <v>145</v>
      </c>
      <c r="D31" s="118" t="s">
        <v>148</v>
      </c>
    </row>
    <row r="32" spans="1:4" x14ac:dyDescent="0.25">
      <c r="A32" s="50">
        <v>15</v>
      </c>
      <c r="B32" s="50" t="s">
        <v>130</v>
      </c>
      <c r="C32" s="117" t="s">
        <v>156</v>
      </c>
      <c r="D32" s="118" t="s">
        <v>157</v>
      </c>
    </row>
  </sheetData>
  <sheetProtection sheet="1" objects="1" scenarios="1"/>
  <mergeCells count="1">
    <mergeCell ref="A1:D1"/>
  </mergeCells>
  <phoneticPr fontId="39"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5C258-0B47-4F48-AC27-713D8B26905F}">
  <sheetPr codeName="Sheet4">
    <tabColor rgb="FFBFBFBF"/>
  </sheetPr>
  <dimension ref="A1:E20"/>
  <sheetViews>
    <sheetView workbookViewId="0">
      <selection activeCell="E1" sqref="E1"/>
    </sheetView>
  </sheetViews>
  <sheetFormatPr defaultRowHeight="15" x14ac:dyDescent="0.25"/>
  <cols>
    <col min="1" max="1" width="16.7109375" customWidth="1"/>
    <col min="2" max="2" width="5.7109375" customWidth="1"/>
    <col min="3" max="3" width="19.42578125" bestFit="1" customWidth="1"/>
    <col min="4" max="4" width="5.7109375" customWidth="1"/>
    <col min="5" max="5" width="16.7109375" customWidth="1"/>
  </cols>
  <sheetData>
    <row r="1" spans="1:5" ht="32.1" customHeight="1" x14ac:dyDescent="0.25">
      <c r="A1" s="70" t="s">
        <v>51</v>
      </c>
      <c r="B1" s="13"/>
      <c r="C1" s="70" t="s">
        <v>52</v>
      </c>
      <c r="E1" s="71" t="s">
        <v>53</v>
      </c>
    </row>
    <row r="2" spans="1:5" ht="15.75" x14ac:dyDescent="0.25">
      <c r="A2" s="1" t="s">
        <v>54</v>
      </c>
      <c r="B2" s="13"/>
      <c r="C2" s="1" t="s">
        <v>40</v>
      </c>
      <c r="E2" s="50" t="s">
        <v>43</v>
      </c>
    </row>
    <row r="3" spans="1:5" x14ac:dyDescent="0.25">
      <c r="A3" s="1" t="s">
        <v>55</v>
      </c>
      <c r="C3" s="1" t="s">
        <v>44</v>
      </c>
      <c r="E3" s="50" t="s">
        <v>56</v>
      </c>
    </row>
    <row r="4" spans="1:5" x14ac:dyDescent="0.25">
      <c r="A4" s="1" t="s">
        <v>57</v>
      </c>
      <c r="C4" s="1" t="s">
        <v>58</v>
      </c>
      <c r="E4" s="50" t="s">
        <v>45</v>
      </c>
    </row>
    <row r="5" spans="1:5" x14ac:dyDescent="0.25">
      <c r="A5" s="1" t="s">
        <v>41</v>
      </c>
      <c r="C5" s="1" t="s">
        <v>59</v>
      </c>
    </row>
    <row r="6" spans="1:5" x14ac:dyDescent="0.25">
      <c r="A6" s="1" t="s">
        <v>42</v>
      </c>
      <c r="C6" s="1" t="s">
        <v>60</v>
      </c>
    </row>
    <row r="7" spans="1:5" x14ac:dyDescent="0.25">
      <c r="A7" s="1" t="s">
        <v>61</v>
      </c>
      <c r="C7" s="1" t="s">
        <v>74</v>
      </c>
    </row>
    <row r="8" spans="1:5" x14ac:dyDescent="0.25">
      <c r="A8" s="1" t="s">
        <v>39</v>
      </c>
      <c r="C8" s="1" t="s">
        <v>62</v>
      </c>
    </row>
    <row r="9" spans="1:5" x14ac:dyDescent="0.25">
      <c r="A9" s="1" t="s">
        <v>47</v>
      </c>
      <c r="C9" s="1" t="s">
        <v>116</v>
      </c>
    </row>
    <row r="10" spans="1:5" x14ac:dyDescent="0.25">
      <c r="A10" s="1" t="s">
        <v>64</v>
      </c>
      <c r="C10" s="1" t="s">
        <v>117</v>
      </c>
    </row>
    <row r="11" spans="1:5" x14ac:dyDescent="0.25">
      <c r="A11" s="1" t="s">
        <v>38</v>
      </c>
      <c r="C11" s="1" t="s">
        <v>63</v>
      </c>
    </row>
    <row r="12" spans="1:5" x14ac:dyDescent="0.25">
      <c r="C12" s="1" t="s">
        <v>65</v>
      </c>
    </row>
    <row r="13" spans="1:5" x14ac:dyDescent="0.25">
      <c r="C13" s="1" t="s">
        <v>66</v>
      </c>
    </row>
    <row r="14" spans="1:5" x14ac:dyDescent="0.25">
      <c r="C14" s="1" t="s">
        <v>48</v>
      </c>
    </row>
    <row r="15" spans="1:5" x14ac:dyDescent="0.25">
      <c r="C15" s="1" t="s">
        <v>67</v>
      </c>
    </row>
    <row r="16" spans="1:5" x14ac:dyDescent="0.25">
      <c r="C16" s="1" t="s">
        <v>46</v>
      </c>
    </row>
    <row r="17" spans="3:3" x14ac:dyDescent="0.25">
      <c r="C17" s="1" t="s">
        <v>68</v>
      </c>
    </row>
    <row r="18" spans="3:3" x14ac:dyDescent="0.25">
      <c r="C18" s="1" t="s">
        <v>69</v>
      </c>
    </row>
    <row r="19" spans="3:3" x14ac:dyDescent="0.25">
      <c r="C19" s="1" t="s">
        <v>37</v>
      </c>
    </row>
    <row r="20" spans="3:3" x14ac:dyDescent="0.25">
      <c r="C20" s="1" t="s">
        <v>70</v>
      </c>
    </row>
  </sheetData>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Sheet13">
    <tabColor theme="9" tint="-0.249977111117893"/>
  </sheetPr>
  <dimension ref="B2:D16"/>
  <sheetViews>
    <sheetView showGridLines="0" workbookViewId="0">
      <selection activeCell="D24" sqref="D24"/>
    </sheetView>
  </sheetViews>
  <sheetFormatPr defaultRowHeight="15" x14ac:dyDescent="0.25"/>
  <cols>
    <col min="1" max="1" width="3.7109375" style="6" customWidth="1"/>
    <col min="2" max="16384" width="9.140625" style="6"/>
  </cols>
  <sheetData>
    <row r="2" spans="2:4" ht="24.95" customHeight="1" x14ac:dyDescent="0.25">
      <c r="D2" s="78" t="s">
        <v>224</v>
      </c>
    </row>
    <row r="3" spans="2:4" x14ac:dyDescent="0.25">
      <c r="D3" s="135" t="s">
        <v>225</v>
      </c>
    </row>
    <row r="5" spans="2:4" x14ac:dyDescent="0.25">
      <c r="B5" s="6" t="s">
        <v>226</v>
      </c>
      <c r="D5" s="6" t="s">
        <v>227</v>
      </c>
    </row>
    <row r="6" spans="2:4" x14ac:dyDescent="0.25">
      <c r="D6" s="6" t="s">
        <v>228</v>
      </c>
    </row>
    <row r="7" spans="2:4" x14ac:dyDescent="0.25">
      <c r="D7" s="6" t="s">
        <v>229</v>
      </c>
    </row>
    <row r="8" spans="2:4" x14ac:dyDescent="0.25">
      <c r="D8" s="6" t="s">
        <v>230</v>
      </c>
    </row>
    <row r="9" spans="2:4" x14ac:dyDescent="0.25">
      <c r="D9" s="6" t="s">
        <v>231</v>
      </c>
    </row>
    <row r="11" spans="2:4" x14ac:dyDescent="0.25">
      <c r="B11" s="6" t="s">
        <v>71</v>
      </c>
      <c r="D11" s="134" t="s">
        <v>232</v>
      </c>
    </row>
    <row r="13" spans="2:4" x14ac:dyDescent="0.25">
      <c r="B13" s="6" t="s">
        <v>233</v>
      </c>
      <c r="D13" s="133" t="s">
        <v>235</v>
      </c>
    </row>
    <row r="14" spans="2:4" x14ac:dyDescent="0.25">
      <c r="B14" s="6" t="s">
        <v>234</v>
      </c>
      <c r="D14" s="133" t="s">
        <v>236</v>
      </c>
    </row>
    <row r="16" spans="2:4" x14ac:dyDescent="0.25">
      <c r="B16" s="6" t="s">
        <v>282</v>
      </c>
      <c r="D16" s="133" t="s">
        <v>283</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Orders</vt:lpstr>
      <vt:lpstr>Guide</vt:lpstr>
      <vt:lpstr>Slips</vt:lpstr>
      <vt:lpstr>s-Format</vt:lpstr>
      <vt:lpstr>s-Assign</vt:lpstr>
      <vt:lpstr>s-Series</vt:lpstr>
      <vt:lpstr>s-Pub</vt:lpstr>
      <vt:lpstr>s-Date</vt:lpstr>
      <vt:lpstr>Subject Analysis</vt:lpstr>
      <vt:lpstr>Subj. Process</vt:lpstr>
      <vt:lpstr>Data Validation</vt:lpstr>
      <vt:lpstr>License</vt:lpstr>
      <vt:lpstr>Guide!Orders</vt:lpstr>
      <vt:lpstr>Orders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cp:lastPrinted>2022-03-23T18:31:10Z</cp:lastPrinted>
  <dcterms:created xsi:type="dcterms:W3CDTF">2021-07-26T18:34:48Z</dcterms:created>
  <dcterms:modified xsi:type="dcterms:W3CDTF">2022-12-14T17:31:11Z</dcterms:modified>
  <cp:category/>
  <cp:contentStatus/>
</cp:coreProperties>
</file>