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https://o365coloradoedu-my.sharepoint.com/personal/adli3279_colorado_edu/Documents/Collections - Receiving/"/>
    </mc:Choice>
  </mc:AlternateContent>
  <xr:revisionPtr revIDLastSave="4" documentId="14_{097FF2E3-CAB2-4BF6-9B21-F47339FE2815}" xr6:coauthVersionLast="47" xr6:coauthVersionMax="47" xr10:uidLastSave="{7399C3A9-EA95-4A26-B2BD-945D7C48AF1D}"/>
  <bookViews>
    <workbookView xWindow="-120" yWindow="-120" windowWidth="29040" windowHeight="15720" xr2:uid="{3F73EF3F-DCF4-4B94-9F4F-509400B7C5B3}"/>
  </bookViews>
  <sheets>
    <sheet name="Donation" sheetId="30" r:id="rId1"/>
    <sheet name="SA-Slips" sheetId="35" r:id="rId2"/>
    <sheet name="M-Slips" sheetId="19" r:id="rId3"/>
    <sheet name="Assign" sheetId="39" r:id="rId4"/>
    <sheet name="Series" sheetId="36" r:id="rId5"/>
    <sheet name="Publisher" sheetId="37" r:id="rId6"/>
    <sheet name="Date" sheetId="38" r:id="rId7"/>
    <sheet name="Details" sheetId="7" r:id="rId8"/>
    <sheet name="License" sheetId="18" r:id="rId9"/>
  </sheets>
  <definedNames>
    <definedName name="_xlnm._FilterDatabase" localSheetId="0" hidden="1">Donation!$A$1:$AL$5</definedName>
    <definedName name="Format">#REF!</definedName>
    <definedName name="Orders" localSheetId="0">Donation!$A$7:$AL$20</definedName>
    <definedName name="Orders">#REF!</definedName>
    <definedName name="_xlnm.Print_Area" localSheetId="0">Donation!$T$21,Donation!$G:$G,Donation!$W:$W,Donation!$Y:$Y,Donation!$AA:$AA</definedName>
  </definedNames>
  <calcPr calcId="191029" concurrentCalc="0"/>
  <pivotCaches>
    <pivotCache cacheId="1" r:id="rId10"/>
    <pivotCache cacheId="2" r:id="rId11"/>
    <pivotCache cacheId="3" r:id="rId12"/>
    <pivotCache cacheId="4" r:id="rId13"/>
    <pivotCache cacheId="5" r:id="rId14"/>
    <pivotCache cacheId="6"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38" l="1" a="1"/>
  <c r="N434" i="38"/>
  <c r="AJ2" i="30"/>
  <c r="N3" i="38"/>
  <c r="N63" i="38"/>
  <c r="N127" i="38"/>
  <c r="N223" i="38"/>
  <c r="N323" i="38"/>
  <c r="N7" i="38"/>
  <c r="N103" i="38"/>
  <c r="N199" i="38"/>
  <c r="N690" i="38"/>
  <c r="N73" i="38"/>
  <c r="N169" i="38"/>
  <c r="N370" i="38"/>
  <c r="N47" i="38"/>
  <c r="N143" i="38"/>
  <c r="N207" i="38"/>
  <c r="N386" i="38"/>
  <c r="N17" i="38"/>
  <c r="N49" i="38"/>
  <c r="N81" i="38"/>
  <c r="N113" i="38"/>
  <c r="N145" i="38"/>
  <c r="N177" i="38"/>
  <c r="N209" i="38"/>
  <c r="N241" i="38"/>
  <c r="N291" i="38"/>
  <c r="N402" i="38"/>
  <c r="N31" i="38"/>
  <c r="N95" i="38"/>
  <c r="N191" i="38"/>
  <c r="N450" i="38"/>
  <c r="N71" i="38"/>
  <c r="N167" i="38"/>
  <c r="N231" i="38"/>
  <c r="N354" i="38"/>
  <c r="N41" i="38"/>
  <c r="N137" i="38"/>
  <c r="N201" i="38"/>
  <c r="N273" i="38"/>
  <c r="N15" i="38"/>
  <c r="N79" i="38"/>
  <c r="N111" i="38"/>
  <c r="N175" i="38"/>
  <c r="N281" i="38"/>
  <c r="N23" i="38"/>
  <c r="N55" i="38"/>
  <c r="N87" i="38"/>
  <c r="N119" i="38"/>
  <c r="N151" i="38"/>
  <c r="N183" i="38"/>
  <c r="N215" i="38"/>
  <c r="N247" i="38"/>
  <c r="N301" i="38"/>
  <c r="N418" i="38"/>
  <c r="N159" i="38"/>
  <c r="N255" i="38"/>
  <c r="N39" i="38"/>
  <c r="N135" i="38"/>
  <c r="N265" i="38"/>
  <c r="N9" i="38"/>
  <c r="N105" i="38"/>
  <c r="N233" i="38"/>
  <c r="N239" i="38"/>
  <c r="N25" i="38"/>
  <c r="N57" i="38"/>
  <c r="N89" i="38"/>
  <c r="N121" i="38"/>
  <c r="N153" i="38"/>
  <c r="N185" i="38"/>
  <c r="N217" i="38"/>
  <c r="N249" i="38"/>
  <c r="N313" i="38"/>
  <c r="N1253" i="38"/>
  <c r="N1244" i="38"/>
  <c r="N1236" i="38"/>
  <c r="N1228" i="38"/>
  <c r="N1220" i="38"/>
  <c r="N1212" i="38"/>
  <c r="N1204" i="38"/>
  <c r="N1196" i="38"/>
  <c r="N1188" i="38"/>
  <c r="N1180" i="38"/>
  <c r="N1172" i="38"/>
  <c r="N1164" i="38"/>
  <c r="N1156" i="38"/>
  <c r="N1148" i="38"/>
  <c r="N1140" i="38"/>
  <c r="N1132" i="38"/>
  <c r="N1124" i="38"/>
  <c r="N1116" i="38"/>
  <c r="N1108" i="38"/>
  <c r="N1100" i="38"/>
  <c r="N1092" i="38"/>
  <c r="N1084" i="38"/>
  <c r="N1076" i="38"/>
  <c r="N1068" i="38"/>
  <c r="N1060" i="38"/>
  <c r="N1052" i="38"/>
  <c r="N1044" i="38"/>
  <c r="N1036" i="38"/>
  <c r="N1028" i="38"/>
  <c r="N1020" i="38"/>
  <c r="N1012" i="38"/>
  <c r="N1251" i="38"/>
  <c r="N1243" i="38"/>
  <c r="N1235" i="38"/>
  <c r="N1227" i="38"/>
  <c r="N1219" i="38"/>
  <c r="N1211" i="38"/>
  <c r="N1203" i="38"/>
  <c r="N1195" i="38"/>
  <c r="N1187" i="38"/>
  <c r="N1179" i="38"/>
  <c r="N1171" i="38"/>
  <c r="N1163" i="38"/>
  <c r="N1155" i="38"/>
  <c r="N1147" i="38"/>
  <c r="N1139" i="38"/>
  <c r="N1131" i="38"/>
  <c r="N1123" i="38"/>
  <c r="N1115" i="38"/>
  <c r="N1107" i="38"/>
  <c r="N1099" i="38"/>
  <c r="N1091" i="38"/>
  <c r="N1083" i="38"/>
  <c r="N1075" i="38"/>
  <c r="N1067" i="38"/>
  <c r="N1059" i="38"/>
  <c r="N1051" i="38"/>
  <c r="N1043" i="38"/>
  <c r="N1035" i="38"/>
  <c r="N1027" i="38"/>
  <c r="N1019" i="38"/>
  <c r="N1011" i="38"/>
  <c r="N1003" i="38"/>
  <c r="N995" i="38"/>
  <c r="N987" i="38"/>
  <c r="N979" i="38"/>
  <c r="N971" i="38"/>
  <c r="N963" i="38"/>
  <c r="N955" i="38"/>
  <c r="N947" i="38"/>
  <c r="N939" i="38"/>
  <c r="N931" i="38"/>
  <c r="N923" i="38"/>
  <c r="N915" i="38"/>
  <c r="N907" i="38"/>
  <c r="N899" i="38"/>
  <c r="N891" i="38"/>
  <c r="N883" i="38"/>
  <c r="N875" i="38"/>
  <c r="N867" i="38"/>
  <c r="N859" i="38"/>
  <c r="N851" i="38"/>
  <c r="N843" i="38"/>
  <c r="N835" i="38"/>
  <c r="N827" i="38"/>
  <c r="N819" i="38"/>
  <c r="N811" i="38"/>
  <c r="N803" i="38"/>
  <c r="N795" i="38"/>
  <c r="N787" i="38"/>
  <c r="N779" i="38"/>
  <c r="N771" i="38"/>
  <c r="N763" i="38"/>
  <c r="N755" i="38"/>
  <c r="N747" i="38"/>
  <c r="N739" i="38"/>
  <c r="N731" i="38"/>
  <c r="N723" i="38"/>
  <c r="N715" i="38"/>
  <c r="N707" i="38"/>
  <c r="N699" i="38"/>
  <c r="N691" i="38"/>
  <c r="N683" i="38"/>
  <c r="N675" i="38"/>
  <c r="N667" i="38"/>
  <c r="N659" i="38"/>
  <c r="N651" i="38"/>
  <c r="N643" i="38"/>
  <c r="N635" i="38"/>
  <c r="N627" i="38"/>
  <c r="N619" i="38"/>
  <c r="N611" i="38"/>
  <c r="N603" i="38"/>
  <c r="N595" i="38"/>
  <c r="N587" i="38"/>
  <c r="N579" i="38"/>
  <c r="N571" i="38"/>
  <c r="N563" i="38"/>
  <c r="N555" i="38"/>
  <c r="N547" i="38"/>
  <c r="N539" i="38"/>
  <c r="N531" i="38"/>
  <c r="N523" i="38"/>
  <c r="N515" i="38"/>
  <c r="N507" i="38"/>
  <c r="N499" i="38"/>
  <c r="N491" i="38"/>
  <c r="N483" i="38"/>
  <c r="N475" i="38"/>
  <c r="N467" i="38"/>
  <c r="N459" i="38"/>
  <c r="N451" i="38"/>
  <c r="N443" i="38"/>
  <c r="N435" i="38"/>
  <c r="N427" i="38"/>
  <c r="N419" i="38"/>
  <c r="N411" i="38"/>
  <c r="N403" i="38"/>
  <c r="N395" i="38"/>
  <c r="N387" i="38"/>
  <c r="N379" i="38"/>
  <c r="N371" i="38"/>
  <c r="N363" i="38"/>
  <c r="N355" i="38"/>
  <c r="N347" i="38"/>
  <c r="N339" i="38"/>
  <c r="N331" i="38"/>
  <c r="N1250" i="38"/>
  <c r="N1242" i="38"/>
  <c r="N1234" i="38"/>
  <c r="N1226" i="38"/>
  <c r="N1218" i="38"/>
  <c r="N1210" i="38"/>
  <c r="N1202" i="38"/>
  <c r="N1194" i="38"/>
  <c r="N1186" i="38"/>
  <c r="N1178" i="38"/>
  <c r="N1170" i="38"/>
  <c r="N1162" i="38"/>
  <c r="N1154" i="38"/>
  <c r="N1146" i="38"/>
  <c r="N1138" i="38"/>
  <c r="N1130" i="38"/>
  <c r="N1122" i="38"/>
  <c r="N1114" i="38"/>
  <c r="N1106" i="38"/>
  <c r="N1098" i="38"/>
  <c r="N1090" i="38"/>
  <c r="N1082" i="38"/>
  <c r="N1074" i="38"/>
  <c r="N1066" i="38"/>
  <c r="N1058" i="38"/>
  <c r="N1050" i="38"/>
  <c r="N1042" i="38"/>
  <c r="N1034" i="38"/>
  <c r="N1026" i="38"/>
  <c r="N1018" i="38"/>
  <c r="N1010" i="38"/>
  <c r="N1249" i="38"/>
  <c r="N1241" i="38"/>
  <c r="N1233" i="38"/>
  <c r="N1225" i="38"/>
  <c r="N1217" i="38"/>
  <c r="N1209" i="38"/>
  <c r="N1201" i="38"/>
  <c r="N1193" i="38"/>
  <c r="N1185" i="38"/>
  <c r="N1177" i="38"/>
  <c r="N1169" i="38"/>
  <c r="N1161" i="38"/>
  <c r="N1153" i="38"/>
  <c r="N1145" i="38"/>
  <c r="N1137" i="38"/>
  <c r="N1129" i="38"/>
  <c r="N1121" i="38"/>
  <c r="N1113" i="38"/>
  <c r="N1105" i="38"/>
  <c r="N1097" i="38"/>
  <c r="N1089" i="38"/>
  <c r="N1081" i="38"/>
  <c r="N1073" i="38"/>
  <c r="N1065" i="38"/>
  <c r="N1057" i="38"/>
  <c r="N1049" i="38"/>
  <c r="N1041" i="38"/>
  <c r="N1033" i="38"/>
  <c r="N1025" i="38"/>
  <c r="N1017" i="38"/>
  <c r="N1009" i="38"/>
  <c r="N1001" i="38"/>
  <c r="N993" i="38"/>
  <c r="N985" i="38"/>
  <c r="N977" i="38"/>
  <c r="N969" i="38"/>
  <c r="N961" i="38"/>
  <c r="N953" i="38"/>
  <c r="N945" i="38"/>
  <c r="N937" i="38"/>
  <c r="N929" i="38"/>
  <c r="N921" i="38"/>
  <c r="N913" i="38"/>
  <c r="N905" i="38"/>
  <c r="N897" i="38"/>
  <c r="N889" i="38"/>
  <c r="N881" i="38"/>
  <c r="N873" i="38"/>
  <c r="N865" i="38"/>
  <c r="N857" i="38"/>
  <c r="N849" i="38"/>
  <c r="N841" i="38"/>
  <c r="N833" i="38"/>
  <c r="N825" i="38"/>
  <c r="N817" i="38"/>
  <c r="N809" i="38"/>
  <c r="N801" i="38"/>
  <c r="N793" i="38"/>
  <c r="N785" i="38"/>
  <c r="N777" i="38"/>
  <c r="N769" i="38"/>
  <c r="N761" i="38"/>
  <c r="N753" i="38"/>
  <c r="N745" i="38"/>
  <c r="N737" i="38"/>
  <c r="N729" i="38"/>
  <c r="N721" i="38"/>
  <c r="N713" i="38"/>
  <c r="N705" i="38"/>
  <c r="N697" i="38"/>
  <c r="N689" i="38"/>
  <c r="N681" i="38"/>
  <c r="N673" i="38"/>
  <c r="N665" i="38"/>
  <c r="N657" i="38"/>
  <c r="N649" i="38"/>
  <c r="N641" i="38"/>
  <c r="N633" i="38"/>
  <c r="N625" i="38"/>
  <c r="N617" i="38"/>
  <c r="N609" i="38"/>
  <c r="N601" i="38"/>
  <c r="N593" i="38"/>
  <c r="N585" i="38"/>
  <c r="N577" i="38"/>
  <c r="N569" i="38"/>
  <c r="N561" i="38"/>
  <c r="N553" i="38"/>
  <c r="N545" i="38"/>
  <c r="N537" i="38"/>
  <c r="N529" i="38"/>
  <c r="N521" i="38"/>
  <c r="N513" i="38"/>
  <c r="N505" i="38"/>
  <c r="N497" i="38"/>
  <c r="N489" i="38"/>
  <c r="N481" i="38"/>
  <c r="N473" i="38"/>
  <c r="N465" i="38"/>
  <c r="N457" i="38"/>
  <c r="N449" i="38"/>
  <c r="N441" i="38"/>
  <c r="N433" i="38"/>
  <c r="N425" i="38"/>
  <c r="N417" i="38"/>
  <c r="N409" i="38"/>
  <c r="N401" i="38"/>
  <c r="N393" i="38"/>
  <c r="N385" i="38"/>
  <c r="N377" i="38"/>
  <c r="N369" i="38"/>
  <c r="N361" i="38"/>
  <c r="N353" i="38"/>
  <c r="N345" i="38"/>
  <c r="N337" i="38"/>
  <c r="N329" i="38"/>
  <c r="N1248" i="38"/>
  <c r="N1240" i="38"/>
  <c r="N1232" i="38"/>
  <c r="N1224" i="38"/>
  <c r="N1216" i="38"/>
  <c r="N1208" i="38"/>
  <c r="N1200" i="38"/>
  <c r="N1192" i="38"/>
  <c r="N1184" i="38"/>
  <c r="N1176" i="38"/>
  <c r="N1168" i="38"/>
  <c r="N1160" i="38"/>
  <c r="N1152" i="38"/>
  <c r="N1144" i="38"/>
  <c r="N1136" i="38"/>
  <c r="N1128" i="38"/>
  <c r="N1120" i="38"/>
  <c r="N1112" i="38"/>
  <c r="N1104" i="38"/>
  <c r="N1096" i="38"/>
  <c r="N1088" i="38"/>
  <c r="N1080" i="38"/>
  <c r="N1072" i="38"/>
  <c r="N1064" i="38"/>
  <c r="N1056" i="38"/>
  <c r="N1048" i="38"/>
  <c r="N1040" i="38"/>
  <c r="N1032" i="38"/>
  <c r="N1024" i="38"/>
  <c r="N1016" i="38"/>
  <c r="N1008" i="38"/>
  <c r="N1000" i="38"/>
  <c r="N992" i="38"/>
  <c r="N984" i="38"/>
  <c r="N976" i="38"/>
  <c r="N968" i="38"/>
  <c r="N960" i="38"/>
  <c r="N952" i="38"/>
  <c r="N944" i="38"/>
  <c r="N936" i="38"/>
  <c r="N928" i="38"/>
  <c r="N920" i="38"/>
  <c r="N912" i="38"/>
  <c r="N904" i="38"/>
  <c r="N896" i="38"/>
  <c r="N888" i="38"/>
  <c r="N880" i="38"/>
  <c r="N872" i="38"/>
  <c r="N864" i="38"/>
  <c r="N856" i="38"/>
  <c r="N848" i="38"/>
  <c r="N840" i="38"/>
  <c r="N832" i="38"/>
  <c r="N824" i="38"/>
  <c r="N816" i="38"/>
  <c r="N808" i="38"/>
  <c r="N800" i="38"/>
  <c r="N792" i="38"/>
  <c r="N784" i="38"/>
  <c r="N776" i="38"/>
  <c r="N768" i="38"/>
  <c r="N760" i="38"/>
  <c r="N752" i="38"/>
  <c r="N744" i="38"/>
  <c r="N736" i="38"/>
  <c r="N728" i="38"/>
  <c r="N720" i="38"/>
  <c r="N712" i="38"/>
  <c r="N704" i="38"/>
  <c r="N696" i="38"/>
  <c r="N688" i="38"/>
  <c r="N680" i="38"/>
  <c r="N672" i="38"/>
  <c r="N664" i="38"/>
  <c r="N656" i="38"/>
  <c r="N648" i="38"/>
  <c r="N640" i="38"/>
  <c r="N632" i="38"/>
  <c r="N624" i="38"/>
  <c r="N616" i="38"/>
  <c r="N608" i="38"/>
  <c r="N600" i="38"/>
  <c r="N592" i="38"/>
  <c r="N584" i="38"/>
  <c r="N576" i="38"/>
  <c r="N568" i="38"/>
  <c r="N560" i="38"/>
  <c r="N552" i="38"/>
  <c r="N544" i="38"/>
  <c r="N536" i="38"/>
  <c r="N528" i="38"/>
  <c r="N520" i="38"/>
  <c r="N512" i="38"/>
  <c r="N504" i="38"/>
  <c r="N496" i="38"/>
  <c r="N488" i="38"/>
  <c r="N480" i="38"/>
  <c r="N472" i="38"/>
  <c r="N464" i="38"/>
  <c r="N456" i="38"/>
  <c r="N448" i="38"/>
  <c r="N440" i="38"/>
  <c r="N432" i="38"/>
  <c r="N424" i="38"/>
  <c r="N416" i="38"/>
  <c r="N408" i="38"/>
  <c r="N400" i="38"/>
  <c r="N392" i="38"/>
  <c r="N384" i="38"/>
  <c r="N376" i="38"/>
  <c r="N368" i="38"/>
  <c r="N360" i="38"/>
  <c r="N352" i="38"/>
  <c r="N344" i="38"/>
  <c r="N336" i="38"/>
  <c r="N328" i="38"/>
  <c r="N320" i="38"/>
  <c r="N312" i="38"/>
  <c r="N304" i="38"/>
  <c r="N296" i="38"/>
  <c r="N288" i="38"/>
  <c r="N1247" i="38"/>
  <c r="N1239" i="38"/>
  <c r="N1231" i="38"/>
  <c r="N1223" i="38"/>
  <c r="N1215" i="38"/>
  <c r="N1207" i="38"/>
  <c r="N1199" i="38"/>
  <c r="N1191" i="38"/>
  <c r="N1183" i="38"/>
  <c r="N1175" i="38"/>
  <c r="N1167" i="38"/>
  <c r="N1159" i="38"/>
  <c r="N1151" i="38"/>
  <c r="N1143" i="38"/>
  <c r="N1135" i="38"/>
  <c r="N1127" i="38"/>
  <c r="N1119" i="38"/>
  <c r="N1111" i="38"/>
  <c r="N1103" i="38"/>
  <c r="N1095" i="38"/>
  <c r="N1087" i="38"/>
  <c r="N1079" i="38"/>
  <c r="N1071" i="38"/>
  <c r="N1063" i="38"/>
  <c r="N1055" i="38"/>
  <c r="N1047" i="38"/>
  <c r="N1039" i="38"/>
  <c r="N1031" i="38"/>
  <c r="N1023" i="38"/>
  <c r="N1015" i="38"/>
  <c r="N1007" i="38"/>
  <c r="N999" i="38"/>
  <c r="N991" i="38"/>
  <c r="N983" i="38"/>
  <c r="N975" i="38"/>
  <c r="N967" i="38"/>
  <c r="N959" i="38"/>
  <c r="N951" i="38"/>
  <c r="N943" i="38"/>
  <c r="N935" i="38"/>
  <c r="N927" i="38"/>
  <c r="N919" i="38"/>
  <c r="N911" i="38"/>
  <c r="N903" i="38"/>
  <c r="N895" i="38"/>
  <c r="N887" i="38"/>
  <c r="N879" i="38"/>
  <c r="N871" i="38"/>
  <c r="N863" i="38"/>
  <c r="N855" i="38"/>
  <c r="N847" i="38"/>
  <c r="N839" i="38"/>
  <c r="N831" i="38"/>
  <c r="N823" i="38"/>
  <c r="N815" i="38"/>
  <c r="N807" i="38"/>
  <c r="N799" i="38"/>
  <c r="N791" i="38"/>
  <c r="N783" i="38"/>
  <c r="N775" i="38"/>
  <c r="N767" i="38"/>
  <c r="N759" i="38"/>
  <c r="N751" i="38"/>
  <c r="N743" i="38"/>
  <c r="N735" i="38"/>
  <c r="N727" i="38"/>
  <c r="N719" i="38"/>
  <c r="N711" i="38"/>
  <c r="N703" i="38"/>
  <c r="N695" i="38"/>
  <c r="N687" i="38"/>
  <c r="N679" i="38"/>
  <c r="N671" i="38"/>
  <c r="N663" i="38"/>
  <c r="N655" i="38"/>
  <c r="N647" i="38"/>
  <c r="N639" i="38"/>
  <c r="N631" i="38"/>
  <c r="N623" i="38"/>
  <c r="N615" i="38"/>
  <c r="N607" i="38"/>
  <c r="N599" i="38"/>
  <c r="N591" i="38"/>
  <c r="N583" i="38"/>
  <c r="N575" i="38"/>
  <c r="N567" i="38"/>
  <c r="N559" i="38"/>
  <c r="N551" i="38"/>
  <c r="N543" i="38"/>
  <c r="N535" i="38"/>
  <c r="N527" i="38"/>
  <c r="N519" i="38"/>
  <c r="N511" i="38"/>
  <c r="N503" i="38"/>
  <c r="N495" i="38"/>
  <c r="N487" i="38"/>
  <c r="N479" i="38"/>
  <c r="N471" i="38"/>
  <c r="N463" i="38"/>
  <c r="N455" i="38"/>
  <c r="N447" i="38"/>
  <c r="N439" i="38"/>
  <c r="N431" i="38"/>
  <c r="N423" i="38"/>
  <c r="N415" i="38"/>
  <c r="N407" i="38"/>
  <c r="N399" i="38"/>
  <c r="N391" i="38"/>
  <c r="N383" i="38"/>
  <c r="N375" i="38"/>
  <c r="N367" i="38"/>
  <c r="N359" i="38"/>
  <c r="N351" i="38"/>
  <c r="N343" i="38"/>
  <c r="N335" i="38"/>
  <c r="N327" i="38"/>
  <c r="N319" i="38"/>
  <c r="N311" i="38"/>
  <c r="N303" i="38"/>
  <c r="N295" i="38"/>
  <c r="N287" i="38"/>
  <c r="N1222" i="38"/>
  <c r="N1190" i="38"/>
  <c r="N1158" i="38"/>
  <c r="N1126" i="38"/>
  <c r="N1094" i="38"/>
  <c r="N1062" i="38"/>
  <c r="N1030" i="38"/>
  <c r="N1004" i="38"/>
  <c r="N988" i="38"/>
  <c r="N972" i="38"/>
  <c r="N956" i="38"/>
  <c r="N940" i="38"/>
  <c r="N924" i="38"/>
  <c r="N908" i="38"/>
  <c r="N892" i="38"/>
  <c r="N876" i="38"/>
  <c r="N860" i="38"/>
  <c r="N844" i="38"/>
  <c r="N828" i="38"/>
  <c r="N812" i="38"/>
  <c r="N796" i="38"/>
  <c r="N780" i="38"/>
  <c r="N764" i="38"/>
  <c r="N748" i="38"/>
  <c r="N732" i="38"/>
  <c r="N716" i="38"/>
  <c r="N700" i="38"/>
  <c r="N684" i="38"/>
  <c r="N668" i="38"/>
  <c r="N652" i="38"/>
  <c r="N636" i="38"/>
  <c r="N620" i="38"/>
  <c r="N604" i="38"/>
  <c r="N588" i="38"/>
  <c r="N572" i="38"/>
  <c r="N556" i="38"/>
  <c r="N540" i="38"/>
  <c r="N524" i="38"/>
  <c r="N508" i="38"/>
  <c r="N492" i="38"/>
  <c r="N476" i="38"/>
  <c r="N460" i="38"/>
  <c r="N444" i="38"/>
  <c r="N428" i="38"/>
  <c r="N412" i="38"/>
  <c r="N396" i="38"/>
  <c r="N380" i="38"/>
  <c r="N364" i="38"/>
  <c r="N348" i="38"/>
  <c r="N332" i="38"/>
  <c r="N318" i="38"/>
  <c r="N308" i="38"/>
  <c r="N298" i="38"/>
  <c r="N286" i="38"/>
  <c r="N278" i="38"/>
  <c r="N270" i="38"/>
  <c r="N262" i="38"/>
  <c r="N254" i="38"/>
  <c r="N246" i="38"/>
  <c r="N238" i="38"/>
  <c r="N230" i="38"/>
  <c r="N222" i="38"/>
  <c r="N214" i="38"/>
  <c r="N206" i="38"/>
  <c r="N198" i="38"/>
  <c r="N190" i="38"/>
  <c r="N182" i="38"/>
  <c r="N174" i="38"/>
  <c r="N166" i="38"/>
  <c r="N158" i="38"/>
  <c r="N150" i="38"/>
  <c r="N142" i="38"/>
  <c r="N134" i="38"/>
  <c r="N126" i="38"/>
  <c r="N118" i="38"/>
  <c r="N110" i="38"/>
  <c r="N102" i="38"/>
  <c r="N94" i="38"/>
  <c r="N86" i="38"/>
  <c r="N78" i="38"/>
  <c r="N70" i="38"/>
  <c r="N62" i="38"/>
  <c r="N54" i="38"/>
  <c r="N46" i="38"/>
  <c r="N38" i="38"/>
  <c r="N30" i="38"/>
  <c r="N22" i="38"/>
  <c r="N14" i="38"/>
  <c r="N6" i="38"/>
  <c r="N1254" i="38"/>
  <c r="N1221" i="38"/>
  <c r="N1189" i="38"/>
  <c r="N1157" i="38"/>
  <c r="N1125" i="38"/>
  <c r="N1093" i="38"/>
  <c r="N1061" i="38"/>
  <c r="N1029" i="38"/>
  <c r="N1002" i="38"/>
  <c r="N986" i="38"/>
  <c r="N970" i="38"/>
  <c r="N954" i="38"/>
  <c r="N938" i="38"/>
  <c r="N922" i="38"/>
  <c r="N906" i="38"/>
  <c r="N890" i="38"/>
  <c r="N874" i="38"/>
  <c r="N858" i="38"/>
  <c r="N842" i="38"/>
  <c r="N826" i="38"/>
  <c r="N810" i="38"/>
  <c r="N794" i="38"/>
  <c r="N778" i="38"/>
  <c r="N762" i="38"/>
  <c r="N746" i="38"/>
  <c r="N730" i="38"/>
  <c r="N714" i="38"/>
  <c r="N698" i="38"/>
  <c r="N682" i="38"/>
  <c r="N666" i="38"/>
  <c r="N650" i="38"/>
  <c r="N634" i="38"/>
  <c r="N618" i="38"/>
  <c r="N602" i="38"/>
  <c r="N586" i="38"/>
  <c r="N570" i="38"/>
  <c r="N554" i="38"/>
  <c r="N538" i="38"/>
  <c r="N522" i="38"/>
  <c r="N506" i="38"/>
  <c r="N490" i="38"/>
  <c r="N474" i="38"/>
  <c r="N458" i="38"/>
  <c r="N442" i="38"/>
  <c r="N426" i="38"/>
  <c r="N410" i="38"/>
  <c r="N394" i="38"/>
  <c r="N378" i="38"/>
  <c r="N362" i="38"/>
  <c r="N346" i="38"/>
  <c r="N330" i="38"/>
  <c r="N317" i="38"/>
  <c r="N307" i="38"/>
  <c r="N297" i="38"/>
  <c r="N285" i="38"/>
  <c r="N277" i="38"/>
  <c r="N269" i="38"/>
  <c r="N261" i="38"/>
  <c r="N253" i="38"/>
  <c r="N245" i="38"/>
  <c r="N237" i="38"/>
  <c r="N229" i="38"/>
  <c r="N221" i="38"/>
  <c r="N213" i="38"/>
  <c r="N205" i="38"/>
  <c r="N197" i="38"/>
  <c r="N189" i="38"/>
  <c r="N181" i="38"/>
  <c r="N173" i="38"/>
  <c r="N165" i="38"/>
  <c r="N157" i="38"/>
  <c r="N149" i="38"/>
  <c r="N141" i="38"/>
  <c r="N133" i="38"/>
  <c r="N125" i="38"/>
  <c r="N117" i="38"/>
  <c r="N109" i="38"/>
  <c r="N101" i="38"/>
  <c r="N93" i="38"/>
  <c r="N85" i="38"/>
  <c r="N77" i="38"/>
  <c r="N69" i="38"/>
  <c r="N61" i="38"/>
  <c r="N53" i="38"/>
  <c r="N45" i="38"/>
  <c r="N37" i="38"/>
  <c r="N29" i="38"/>
  <c r="N21" i="38"/>
  <c r="N13" i="38"/>
  <c r="N5" i="38"/>
  <c r="N916" i="38"/>
  <c r="N612" i="38"/>
  <c r="N532" i="38"/>
  <c r="N468" i="38"/>
  <c r="N404" i="38"/>
  <c r="N356" i="38"/>
  <c r="N302" i="38"/>
  <c r="N266" i="38"/>
  <c r="N234" i="38"/>
  <c r="N210" i="38"/>
  <c r="N186" i="38"/>
  <c r="N146" i="38"/>
  <c r="N114" i="38"/>
  <c r="N82" i="38"/>
  <c r="N50" i="38"/>
  <c r="N18" i="38"/>
  <c r="N1141" i="38"/>
  <c r="N1013" i="38"/>
  <c r="N946" i="38"/>
  <c r="N866" i="38"/>
  <c r="N786" i="38"/>
  <c r="N722" i="38"/>
  <c r="N642" i="38"/>
  <c r="N578" i="38"/>
  <c r="N498" i="38"/>
  <c r="N1246" i="38"/>
  <c r="N1214" i="38"/>
  <c r="N1182" i="38"/>
  <c r="N1150" i="38"/>
  <c r="N1118" i="38"/>
  <c r="N1086" i="38"/>
  <c r="N1054" i="38"/>
  <c r="N1022" i="38"/>
  <c r="N998" i="38"/>
  <c r="N982" i="38"/>
  <c r="N966" i="38"/>
  <c r="N950" i="38"/>
  <c r="N934" i="38"/>
  <c r="N918" i="38"/>
  <c r="N902" i="38"/>
  <c r="N886" i="38"/>
  <c r="N870" i="38"/>
  <c r="N854" i="38"/>
  <c r="N838" i="38"/>
  <c r="N822" i="38"/>
  <c r="N806" i="38"/>
  <c r="N790" i="38"/>
  <c r="N774" i="38"/>
  <c r="N758" i="38"/>
  <c r="N742" i="38"/>
  <c r="N726" i="38"/>
  <c r="N710" i="38"/>
  <c r="N694" i="38"/>
  <c r="N678" i="38"/>
  <c r="N662" i="38"/>
  <c r="N646" i="38"/>
  <c r="N630" i="38"/>
  <c r="N614" i="38"/>
  <c r="N598" i="38"/>
  <c r="N582" i="38"/>
  <c r="N566" i="38"/>
  <c r="N550" i="38"/>
  <c r="N534" i="38"/>
  <c r="N518" i="38"/>
  <c r="N502" i="38"/>
  <c r="N486" i="38"/>
  <c r="N470" i="38"/>
  <c r="N454" i="38"/>
  <c r="N438" i="38"/>
  <c r="N422" i="38"/>
  <c r="N406" i="38"/>
  <c r="N390" i="38"/>
  <c r="N374" i="38"/>
  <c r="N358" i="38"/>
  <c r="N342" i="38"/>
  <c r="N326" i="38"/>
  <c r="N316" i="38"/>
  <c r="N306" i="38"/>
  <c r="N294" i="38"/>
  <c r="N284" i="38"/>
  <c r="N276" i="38"/>
  <c r="N268" i="38"/>
  <c r="N260" i="38"/>
  <c r="N252" i="38"/>
  <c r="N244" i="38"/>
  <c r="N236" i="38"/>
  <c r="N228" i="38"/>
  <c r="N220" i="38"/>
  <c r="N212" i="38"/>
  <c r="N204" i="38"/>
  <c r="N196" i="38"/>
  <c r="N188" i="38"/>
  <c r="N180" i="38"/>
  <c r="N172" i="38"/>
  <c r="N164" i="38"/>
  <c r="N156" i="38"/>
  <c r="N148" i="38"/>
  <c r="N140" i="38"/>
  <c r="N132" i="38"/>
  <c r="N124" i="38"/>
  <c r="N116" i="38"/>
  <c r="N108" i="38"/>
  <c r="N100" i="38"/>
  <c r="N92" i="38"/>
  <c r="N84" i="38"/>
  <c r="N76" i="38"/>
  <c r="N68" i="38"/>
  <c r="N60" i="38"/>
  <c r="N52" i="38"/>
  <c r="N44" i="38"/>
  <c r="N36" i="38"/>
  <c r="N28" i="38"/>
  <c r="N20" i="38"/>
  <c r="N12" i="38"/>
  <c r="N4" i="38"/>
  <c r="N948" i="38"/>
  <c r="N644" i="38"/>
  <c r="N516" i="38"/>
  <c r="N436" i="38"/>
  <c r="N372" i="38"/>
  <c r="N314" i="38"/>
  <c r="N274" i="38"/>
  <c r="N242" i="38"/>
  <c r="N202" i="38"/>
  <c r="N178" i="38"/>
  <c r="N154" i="38"/>
  <c r="N122" i="38"/>
  <c r="N90" i="38"/>
  <c r="N58" i="38"/>
  <c r="N34" i="38"/>
  <c r="N10" i="38"/>
  <c r="N1237" i="38"/>
  <c r="N1109" i="38"/>
  <c r="N994" i="38"/>
  <c r="N930" i="38"/>
  <c r="N882" i="38"/>
  <c r="N818" i="38"/>
  <c r="N770" i="38"/>
  <c r="N706" i="38"/>
  <c r="N626" i="38"/>
  <c r="N562" i="38"/>
  <c r="N514" i="38"/>
  <c r="N1245" i="38"/>
  <c r="N1213" i="38"/>
  <c r="N1181" i="38"/>
  <c r="N1149" i="38"/>
  <c r="N1117" i="38"/>
  <c r="N1085" i="38"/>
  <c r="N1053" i="38"/>
  <c r="N1021" i="38"/>
  <c r="N997" i="38"/>
  <c r="N981" i="38"/>
  <c r="N965" i="38"/>
  <c r="N949" i="38"/>
  <c r="N933" i="38"/>
  <c r="N917" i="38"/>
  <c r="N901" i="38"/>
  <c r="N885" i="38"/>
  <c r="N869" i="38"/>
  <c r="N853" i="38"/>
  <c r="N837" i="38"/>
  <c r="N821" i="38"/>
  <c r="N805" i="38"/>
  <c r="N789" i="38"/>
  <c r="N773" i="38"/>
  <c r="N757" i="38"/>
  <c r="N741" i="38"/>
  <c r="N725" i="38"/>
  <c r="N709" i="38"/>
  <c r="N693" i="38"/>
  <c r="N677" i="38"/>
  <c r="N661" i="38"/>
  <c r="N645" i="38"/>
  <c r="N629" i="38"/>
  <c r="N613" i="38"/>
  <c r="N597" i="38"/>
  <c r="N581" i="38"/>
  <c r="N565" i="38"/>
  <c r="N549" i="38"/>
  <c r="N533" i="38"/>
  <c r="N517" i="38"/>
  <c r="N501" i="38"/>
  <c r="N485" i="38"/>
  <c r="N469" i="38"/>
  <c r="N453" i="38"/>
  <c r="N437" i="38"/>
  <c r="N421" i="38"/>
  <c r="N405" i="38"/>
  <c r="N389" i="38"/>
  <c r="N373" i="38"/>
  <c r="N357" i="38"/>
  <c r="N341" i="38"/>
  <c r="N325" i="38"/>
  <c r="N315" i="38"/>
  <c r="N305" i="38"/>
  <c r="N293" i="38"/>
  <c r="N283" i="38"/>
  <c r="N275" i="38"/>
  <c r="N267" i="38"/>
  <c r="N259" i="38"/>
  <c r="N251" i="38"/>
  <c r="N243" i="38"/>
  <c r="N235" i="38"/>
  <c r="N227" i="38"/>
  <c r="N219" i="38"/>
  <c r="N211" i="38"/>
  <c r="N203" i="38"/>
  <c r="N195" i="38"/>
  <c r="N187" i="38"/>
  <c r="N179" i="38"/>
  <c r="N171" i="38"/>
  <c r="N163" i="38"/>
  <c r="N155" i="38"/>
  <c r="N147" i="38"/>
  <c r="N139" i="38"/>
  <c r="N131" i="38"/>
  <c r="N123" i="38"/>
  <c r="N115" i="38"/>
  <c r="N107" i="38"/>
  <c r="N99" i="38"/>
  <c r="N91" i="38"/>
  <c r="N83" i="38"/>
  <c r="N75" i="38"/>
  <c r="N67" i="38"/>
  <c r="N59" i="38"/>
  <c r="N51" i="38"/>
  <c r="N43" i="38"/>
  <c r="N35" i="38"/>
  <c r="N27" i="38"/>
  <c r="N19" i="38"/>
  <c r="N11" i="38"/>
  <c r="N932" i="38"/>
  <c r="N596" i="38"/>
  <c r="N500" i="38"/>
  <c r="N452" i="38"/>
  <c r="N388" i="38"/>
  <c r="N324" i="38"/>
  <c r="N292" i="38"/>
  <c r="N258" i="38"/>
  <c r="N226" i="38"/>
  <c r="N194" i="38"/>
  <c r="N162" i="38"/>
  <c r="N130" i="38"/>
  <c r="N98" i="38"/>
  <c r="N74" i="38"/>
  <c r="N42" i="38"/>
  <c r="N1205" i="38"/>
  <c r="N1077" i="38"/>
  <c r="N978" i="38"/>
  <c r="N914" i="38"/>
  <c r="N834" i="38"/>
  <c r="N754" i="38"/>
  <c r="N658" i="38"/>
  <c r="N594" i="38"/>
  <c r="N530" i="38"/>
  <c r="N1238" i="38"/>
  <c r="N1206" i="38"/>
  <c r="N1174" i="38"/>
  <c r="N1142" i="38"/>
  <c r="N1110" i="38"/>
  <c r="N1078" i="38"/>
  <c r="N1046" i="38"/>
  <c r="N1014" i="38"/>
  <c r="N996" i="38"/>
  <c r="N980" i="38"/>
  <c r="N964" i="38"/>
  <c r="N900" i="38"/>
  <c r="N884" i="38"/>
  <c r="N868" i="38"/>
  <c r="N852" i="38"/>
  <c r="N836" i="38"/>
  <c r="N820" i="38"/>
  <c r="N804" i="38"/>
  <c r="N788" i="38"/>
  <c r="N772" i="38"/>
  <c r="N756" i="38"/>
  <c r="N740" i="38"/>
  <c r="N724" i="38"/>
  <c r="N708" i="38"/>
  <c r="N692" i="38"/>
  <c r="N676" i="38"/>
  <c r="N660" i="38"/>
  <c r="N628" i="38"/>
  <c r="N580" i="38"/>
  <c r="N564" i="38"/>
  <c r="N548" i="38"/>
  <c r="N484" i="38"/>
  <c r="N420" i="38"/>
  <c r="N340" i="38"/>
  <c r="N282" i="38"/>
  <c r="N250" i="38"/>
  <c r="N218" i="38"/>
  <c r="N170" i="38"/>
  <c r="N138" i="38"/>
  <c r="N106" i="38"/>
  <c r="N66" i="38"/>
  <c r="N26" i="38"/>
  <c r="N1173" i="38"/>
  <c r="N1045" i="38"/>
  <c r="N962" i="38"/>
  <c r="N898" i="38"/>
  <c r="N850" i="38"/>
  <c r="N802" i="38"/>
  <c r="N738" i="38"/>
  <c r="N674" i="38"/>
  <c r="N610" i="38"/>
  <c r="N546" i="38"/>
  <c r="N482" i="38"/>
  <c r="N1230" i="38"/>
  <c r="N1198" i="38"/>
  <c r="N1166" i="38"/>
  <c r="N1134" i="38"/>
  <c r="N1102" i="38"/>
  <c r="N1070" i="38"/>
  <c r="N1038" i="38"/>
  <c r="N1006" i="38"/>
  <c r="N990" i="38"/>
  <c r="N974" i="38"/>
  <c r="N958" i="38"/>
  <c r="N942" i="38"/>
  <c r="N926" i="38"/>
  <c r="N910" i="38"/>
  <c r="N894" i="38"/>
  <c r="N878" i="38"/>
  <c r="N862" i="38"/>
  <c r="N846" i="38"/>
  <c r="N830" i="38"/>
  <c r="N814" i="38"/>
  <c r="N798" i="38"/>
  <c r="N782" i="38"/>
  <c r="N766" i="38"/>
  <c r="N750" i="38"/>
  <c r="N734" i="38"/>
  <c r="N718" i="38"/>
  <c r="N702" i="38"/>
  <c r="N686" i="38"/>
  <c r="N670" i="38"/>
  <c r="N654" i="38"/>
  <c r="N638" i="38"/>
  <c r="N622" i="38"/>
  <c r="N606" i="38"/>
  <c r="N590" i="38"/>
  <c r="N574" i="38"/>
  <c r="N558" i="38"/>
  <c r="N542" i="38"/>
  <c r="N526" i="38"/>
  <c r="N510" i="38"/>
  <c r="N494" i="38"/>
  <c r="N478" i="38"/>
  <c r="N462" i="38"/>
  <c r="N446" i="38"/>
  <c r="N430" i="38"/>
  <c r="N414" i="38"/>
  <c r="N398" i="38"/>
  <c r="N382" i="38"/>
  <c r="N366" i="38"/>
  <c r="N350" i="38"/>
  <c r="N334" i="38"/>
  <c r="N322" i="38"/>
  <c r="N310" i="38"/>
  <c r="N300" i="38"/>
  <c r="N290" i="38"/>
  <c r="N280" i="38"/>
  <c r="N272" i="38"/>
  <c r="N264" i="38"/>
  <c r="N256" i="38"/>
  <c r="N248" i="38"/>
  <c r="N240" i="38"/>
  <c r="N232" i="38"/>
  <c r="N224" i="38"/>
  <c r="N216" i="38"/>
  <c r="N208" i="38"/>
  <c r="N200" i="38"/>
  <c r="N192" i="38"/>
  <c r="N184" i="38"/>
  <c r="N176" i="38"/>
  <c r="N168" i="38"/>
  <c r="N160" i="38"/>
  <c r="N152" i="38"/>
  <c r="N144" i="38"/>
  <c r="N136" i="38"/>
  <c r="N128" i="38"/>
  <c r="N120" i="38"/>
  <c r="N112" i="38"/>
  <c r="N104" i="38"/>
  <c r="N96" i="38"/>
  <c r="N88" i="38"/>
  <c r="N80" i="38"/>
  <c r="N72" i="38"/>
  <c r="N64" i="38"/>
  <c r="N56" i="38"/>
  <c r="N48" i="38"/>
  <c r="N40" i="38"/>
  <c r="N32" i="38"/>
  <c r="N24" i="38"/>
  <c r="N16" i="38"/>
  <c r="N8" i="38"/>
  <c r="N1229" i="38"/>
  <c r="N1197" i="38"/>
  <c r="N1165" i="38"/>
  <c r="N1133" i="38"/>
  <c r="N1101" i="38"/>
  <c r="N1069" i="38"/>
  <c r="N1037" i="38"/>
  <c r="N1005" i="38"/>
  <c r="N989" i="38"/>
  <c r="N973" i="38"/>
  <c r="N957" i="38"/>
  <c r="N941" i="38"/>
  <c r="N925" i="38"/>
  <c r="N909" i="38"/>
  <c r="N893" i="38"/>
  <c r="N877" i="38"/>
  <c r="N861" i="38"/>
  <c r="N845" i="38"/>
  <c r="N829" i="38"/>
  <c r="N813" i="38"/>
  <c r="N797" i="38"/>
  <c r="N781" i="38"/>
  <c r="N765" i="38"/>
  <c r="N749" i="38"/>
  <c r="N733" i="38"/>
  <c r="N717" i="38"/>
  <c r="N701" i="38"/>
  <c r="N685" i="38"/>
  <c r="N669" i="38"/>
  <c r="N653" i="38"/>
  <c r="N637" i="38"/>
  <c r="N621" i="38"/>
  <c r="N605" i="38"/>
  <c r="N589" i="38"/>
  <c r="N573" i="38"/>
  <c r="N557" i="38"/>
  <c r="N541" i="38"/>
  <c r="N525" i="38"/>
  <c r="N509" i="38"/>
  <c r="N493" i="38"/>
  <c r="N477" i="38"/>
  <c r="N461" i="38"/>
  <c r="N445" i="38"/>
  <c r="N429" i="38"/>
  <c r="N413" i="38"/>
  <c r="N397" i="38"/>
  <c r="N381" i="38"/>
  <c r="N365" i="38"/>
  <c r="N349" i="38"/>
  <c r="N333" i="38"/>
  <c r="N321" i="38"/>
  <c r="N309" i="38"/>
  <c r="N299" i="38"/>
  <c r="N289" i="38"/>
  <c r="N279" i="38"/>
  <c r="N271" i="38"/>
  <c r="N263" i="38"/>
  <c r="N33" i="38"/>
  <c r="N65" i="38"/>
  <c r="N97" i="38"/>
  <c r="N129" i="38"/>
  <c r="N161" i="38"/>
  <c r="N193" i="38"/>
  <c r="N225" i="38"/>
  <c r="N257" i="38"/>
  <c r="N338" i="38"/>
  <c r="N466" i="38"/>
  <c r="M2" i="38"/>
  <c r="N2" i="38"/>
  <c r="N1252" i="38"/>
  <c r="O2" i="38" a="1"/>
  <c r="Q979" i="38"/>
  <c r="Q414" i="38"/>
  <c r="Q860" i="38"/>
  <c r="Q829" i="38"/>
  <c r="Q281" i="38"/>
  <c r="Q1182" i="38"/>
  <c r="Q1037" i="38"/>
  <c r="Q1106" i="38"/>
  <c r="Q758" i="38"/>
  <c r="Q780" i="38"/>
  <c r="Q785" i="38"/>
  <c r="Q495" i="38"/>
  <c r="Q242" i="38"/>
  <c r="Q988" i="38"/>
  <c r="Q740" i="38"/>
  <c r="Q328" i="38"/>
  <c r="Q954" i="38"/>
  <c r="Q1157" i="38"/>
  <c r="Q898" i="38"/>
  <c r="Q550" i="38"/>
  <c r="Q936" i="38"/>
  <c r="Q434" i="38"/>
  <c r="Q567" i="38"/>
  <c r="Q867" i="38"/>
  <c r="Q580" i="38"/>
  <c r="Q669" i="38"/>
  <c r="Q822" i="38"/>
  <c r="Q603" i="38"/>
  <c r="Q93" i="38"/>
  <c r="Q249" i="38"/>
  <c r="Q730" i="38"/>
  <c r="Q844" i="38"/>
  <c r="Q766" i="38"/>
  <c r="Q1003" i="38"/>
  <c r="Q506" i="38"/>
  <c r="Q302" i="38"/>
  <c r="Q904" i="38"/>
  <c r="Q79" i="38"/>
  <c r="Q1006" i="38"/>
  <c r="Q373" i="38"/>
  <c r="Q1070" i="38"/>
  <c r="Q682" i="38"/>
  <c r="Q412" i="38"/>
  <c r="Q671" i="38"/>
  <c r="Q427" i="38"/>
  <c r="Q761" i="38"/>
  <c r="Q229" i="38"/>
  <c r="Q1052" i="38"/>
  <c r="Q526" i="38"/>
  <c r="Q1040" i="38"/>
  <c r="Q209" i="38"/>
  <c r="Q754" i="38"/>
  <c r="Q804" i="38"/>
  <c r="Q957" i="38"/>
  <c r="Q1174" i="38"/>
  <c r="Q955" i="38"/>
  <c r="Q392" i="38"/>
  <c r="Q473" i="38"/>
  <c r="Q1018" i="38"/>
  <c r="Q1196" i="38"/>
  <c r="Q606" i="38"/>
  <c r="Q1056" i="38"/>
  <c r="Q336" i="38"/>
  <c r="Q481" i="38"/>
  <c r="Q1090" i="38"/>
  <c r="Q1140" i="38"/>
  <c r="Q614" i="38"/>
  <c r="Q1000" i="38"/>
  <c r="Q348" i="38"/>
  <c r="Q993" i="38"/>
  <c r="Q530" i="38"/>
  <c r="Q644" i="38"/>
  <c r="Q733" i="38"/>
  <c r="Q886" i="38"/>
  <c r="Q307" i="38"/>
  <c r="Q168" i="38"/>
  <c r="Q313" i="38"/>
  <c r="Q794" i="38"/>
  <c r="Q908" i="38"/>
  <c r="Q1022" i="38"/>
  <c r="Q1147" i="38"/>
  <c r="Q657" i="38"/>
  <c r="Q410" i="38"/>
  <c r="Q685" i="38"/>
  <c r="Q8" i="38"/>
  <c r="Q661" i="38"/>
  <c r="Q235" i="38"/>
  <c r="Q1027" i="38"/>
  <c r="Q1123" i="38"/>
  <c r="Q940" i="38"/>
  <c r="Q834" i="38"/>
  <c r="Q480" i="38"/>
  <c r="Q166" i="38"/>
  <c r="O2" i="38"/>
  <c r="Q2" i="38"/>
  <c r="Q944" i="38"/>
  <c r="Q470" i="38"/>
  <c r="Q690" i="38"/>
  <c r="Q409" i="38"/>
  <c r="Q417" i="38"/>
  <c r="Q118" i="38"/>
  <c r="Q967" i="38"/>
  <c r="Q1104" i="38"/>
  <c r="Q1085" i="38"/>
  <c r="Q808" i="38"/>
  <c r="Q1120" i="38"/>
  <c r="Q525" i="38"/>
  <c r="Q1163" i="38"/>
  <c r="Q1014" i="38"/>
  <c r="Q232" i="38"/>
  <c r="Q1086" i="38"/>
  <c r="Q1186" i="38"/>
  <c r="Q715" i="38"/>
  <c r="Q718" i="38"/>
  <c r="Q1168" i="38"/>
  <c r="Q946" i="38"/>
  <c r="Q1060" i="38"/>
  <c r="Q1149" i="38"/>
  <c r="Q920" i="38"/>
  <c r="Q380" i="38"/>
  <c r="Q647" i="38"/>
  <c r="Q975" i="38"/>
  <c r="Q1171" i="38"/>
  <c r="Q645" i="38"/>
  <c r="Q862" i="38"/>
  <c r="Q454" i="38"/>
  <c r="Q663" i="38"/>
  <c r="Q825" i="38"/>
  <c r="Q1179" i="38"/>
  <c r="Q717" i="38"/>
  <c r="Q806" i="38"/>
  <c r="Q1200" i="38"/>
  <c r="Q101" i="38"/>
  <c r="Q177" i="38"/>
  <c r="Q786" i="38"/>
  <c r="Q836" i="38"/>
  <c r="Q989" i="38"/>
  <c r="Q1078" i="38"/>
  <c r="Q1067" i="38"/>
  <c r="Q424" i="38"/>
  <c r="Q505" i="38"/>
  <c r="Q1050" i="38"/>
  <c r="Q677" i="38"/>
  <c r="Q896" i="38"/>
  <c r="Q10" i="38"/>
  <c r="Q378" i="38"/>
  <c r="Q430" i="38"/>
  <c r="Q449" i="38"/>
  <c r="Q140" i="38"/>
  <c r="Q1057" i="38"/>
  <c r="Q322" i="38"/>
  <c r="Q1194" i="38"/>
  <c r="Q468" i="38"/>
  <c r="Q1077" i="38"/>
  <c r="Q612" i="38"/>
  <c r="Q349" i="38"/>
  <c r="Q890" i="38"/>
  <c r="Q144" i="38"/>
  <c r="Q1190" i="38"/>
  <c r="Q541" i="38"/>
  <c r="Q602" i="38"/>
  <c r="Q574" i="38"/>
  <c r="Q164" i="38"/>
  <c r="Q689" i="38"/>
  <c r="Q866" i="38"/>
  <c r="Q143" i="38"/>
  <c r="Q1079" i="38"/>
  <c r="Q893" i="38"/>
  <c r="Q1004" i="38"/>
  <c r="Q1012" i="38"/>
  <c r="Q1199" i="38"/>
  <c r="Q315" i="38"/>
  <c r="Q996" i="38"/>
  <c r="Q456" i="38"/>
  <c r="Q670" i="38"/>
  <c r="Q1154" i="38"/>
  <c r="Q178" i="38"/>
  <c r="Q708" i="38"/>
  <c r="Q157" i="38"/>
  <c r="Q1100" i="38"/>
  <c r="Q745" i="38"/>
  <c r="Q366" i="38"/>
  <c r="Q809" i="38"/>
  <c r="Q736" i="38"/>
  <c r="Q981" i="38"/>
  <c r="Q102" i="38"/>
  <c r="Q629" i="38"/>
  <c r="Q465" i="38"/>
  <c r="Q725" i="38"/>
  <c r="Q297" i="38"/>
  <c r="Q487" i="38"/>
  <c r="Q287" i="38"/>
  <c r="Q1161" i="38"/>
  <c r="Q407" i="38"/>
  <c r="Q619" i="38"/>
  <c r="Q693" i="38"/>
  <c r="Q910" i="38"/>
  <c r="Q384" i="38"/>
  <c r="Q536" i="38"/>
  <c r="Q1010" i="38"/>
  <c r="Q1124" i="38"/>
  <c r="Q662" i="38"/>
  <c r="Q1048" i="38"/>
  <c r="Q294" i="38"/>
  <c r="Q775" i="38"/>
  <c r="Q1145" i="38"/>
  <c r="Q684" i="38"/>
  <c r="Q773" i="38"/>
  <c r="Q926" i="38"/>
  <c r="Q370" i="38"/>
  <c r="Q791" i="38"/>
  <c r="Q578" i="38"/>
  <c r="Q628" i="38"/>
  <c r="Q781" i="38"/>
  <c r="Q870" i="38"/>
  <c r="Q403" i="38"/>
  <c r="Q224" i="38"/>
  <c r="Q305" i="38"/>
  <c r="Q850" i="38"/>
  <c r="Q900" i="38"/>
  <c r="Q1053" i="38"/>
  <c r="Q888" i="38"/>
  <c r="Q665" i="38"/>
  <c r="Q488" i="38"/>
  <c r="Q616" i="38"/>
  <c r="Q1114" i="38"/>
  <c r="Q741" i="38"/>
  <c r="Q11" i="38"/>
  <c r="Q474" i="38"/>
  <c r="Q575" i="38"/>
  <c r="Q186" i="38"/>
  <c r="Q152" i="38"/>
  <c r="Q783" i="38"/>
  <c r="Q5" i="38"/>
  <c r="Q173" i="38"/>
  <c r="Q386" i="38"/>
  <c r="Q907" i="38"/>
  <c r="Q918" i="38"/>
  <c r="Q1093" i="38"/>
  <c r="Q948" i="38"/>
  <c r="Q728" i="38"/>
  <c r="Q1015" i="38"/>
  <c r="Q713" i="38"/>
  <c r="Q88" i="38"/>
  <c r="Q1141" i="38"/>
  <c r="Q982" i="38"/>
  <c r="Q992" i="38"/>
  <c r="Q558" i="38"/>
  <c r="Q1073" i="38"/>
  <c r="Q565" i="38"/>
  <c r="Q273" i="38"/>
  <c r="Q856" i="38"/>
  <c r="Q1146" i="38"/>
  <c r="Q535" i="38"/>
  <c r="Q678" i="38"/>
  <c r="Q594" i="38"/>
  <c r="Q377" i="38"/>
  <c r="Q755" i="38"/>
  <c r="Q457" i="38"/>
  <c r="Q485" i="38"/>
  <c r="Q892" i="38"/>
  <c r="Q472" i="38"/>
  <c r="Q841" i="38"/>
  <c r="Q62" i="38"/>
  <c r="Q65" i="38"/>
  <c r="Q493" i="38"/>
  <c r="Q732" i="38"/>
  <c r="Q821" i="38"/>
  <c r="Q974" i="38"/>
  <c r="Q448" i="38"/>
  <c r="Q664" i="38"/>
  <c r="Q1202" i="38"/>
  <c r="Q573" i="38"/>
  <c r="Q726" i="38"/>
  <c r="Q1112" i="38"/>
  <c r="Q210" i="38"/>
  <c r="Q153" i="38"/>
  <c r="Q634" i="38"/>
  <c r="Q748" i="38"/>
  <c r="Q837" i="38"/>
  <c r="Q990" i="38"/>
  <c r="Q117" i="38"/>
  <c r="Q1121" i="38"/>
  <c r="Q642" i="38"/>
  <c r="Q692" i="38"/>
  <c r="Q845" i="38"/>
  <c r="Q1062" i="38"/>
  <c r="Q189" i="38"/>
  <c r="Q288" i="38"/>
  <c r="Q369" i="38"/>
  <c r="Q914" i="38"/>
  <c r="Q1092" i="38"/>
  <c r="Q1181" i="38"/>
  <c r="Q952" i="38"/>
  <c r="Q508" i="38"/>
  <c r="Q583" i="38"/>
  <c r="Q1059" i="38"/>
  <c r="Q524" i="38"/>
  <c r="Q933" i="38"/>
  <c r="Q43" i="38"/>
  <c r="Q639" i="38"/>
  <c r="Q141" i="38"/>
  <c r="Q270" i="38"/>
  <c r="Q641" i="38"/>
  <c r="Q503" i="38"/>
  <c r="Q231" i="38"/>
  <c r="Q515" i="38"/>
  <c r="Q176" i="38"/>
  <c r="Q1166" i="38"/>
  <c r="Q136" i="38"/>
  <c r="Q353" i="38"/>
  <c r="Q518" i="38"/>
  <c r="Q1144" i="38"/>
  <c r="Q346" i="38"/>
  <c r="Q510" i="38"/>
  <c r="Q848" i="38"/>
  <c r="Q243" i="38"/>
  <c r="Q272" i="38"/>
  <c r="Q523" i="38"/>
  <c r="Q654" i="38"/>
  <c r="Q818" i="38"/>
  <c r="Q751" i="38"/>
  <c r="Q581" i="38"/>
  <c r="Q696" i="38"/>
  <c r="Q1192" i="38"/>
  <c r="Q925" i="38"/>
  <c r="Q986" i="38"/>
  <c r="Q810" i="38"/>
  <c r="Q359" i="38"/>
  <c r="Q323" i="38"/>
  <c r="Q660" i="38"/>
  <c r="Q304" i="38"/>
  <c r="Q1071" i="38"/>
  <c r="Q47" i="38"/>
  <c r="Q300" i="38"/>
  <c r="Q803" i="38"/>
  <c r="Q796" i="38"/>
  <c r="Q885" i="38"/>
  <c r="Q1038" i="38"/>
  <c r="Q759" i="38"/>
  <c r="Q953" i="38"/>
  <c r="Q548" i="38"/>
  <c r="Q637" i="38"/>
  <c r="Q790" i="38"/>
  <c r="Q435" i="38"/>
  <c r="Q61" i="38"/>
  <c r="Q217" i="38"/>
  <c r="Q698" i="38"/>
  <c r="Q812" i="38"/>
  <c r="Q1029" i="38"/>
  <c r="Q1118" i="38"/>
  <c r="Q53" i="38"/>
  <c r="Q161" i="38"/>
  <c r="Q706" i="38"/>
  <c r="Q884" i="38"/>
  <c r="Q973" i="38"/>
  <c r="Q1126" i="38"/>
  <c r="Q1095" i="38"/>
  <c r="Q352" i="38"/>
  <c r="Q600" i="38"/>
  <c r="Q1042" i="38"/>
  <c r="Q1156" i="38"/>
  <c r="Q566" i="38"/>
  <c r="Q1016" i="38"/>
  <c r="Q252" i="38"/>
  <c r="Q843" i="38"/>
  <c r="Q538" i="38"/>
  <c r="Q588" i="38"/>
  <c r="Q1189" i="38"/>
  <c r="Q314" i="38"/>
  <c r="Q1031" i="38"/>
  <c r="Q122" i="38"/>
  <c r="Q529" i="38"/>
  <c r="Q873" i="38"/>
  <c r="Q20" i="38"/>
  <c r="Q55" i="38"/>
  <c r="Q165" i="38"/>
  <c r="Q1002" i="38"/>
  <c r="Q109" i="38"/>
  <c r="Q1097" i="38"/>
  <c r="Q72" i="38"/>
  <c r="Q937" i="38"/>
  <c r="Q999" i="38"/>
  <c r="Q84" i="38"/>
  <c r="Q750" i="38"/>
  <c r="Q650" i="38"/>
  <c r="Q134" i="38"/>
  <c r="Q308" i="38"/>
  <c r="Q110" i="38"/>
  <c r="Q963" i="38"/>
  <c r="Q259" i="38"/>
  <c r="Q251" i="38"/>
  <c r="Q710" i="38"/>
  <c r="Q632" i="38"/>
  <c r="Q486" i="38"/>
  <c r="Q330" i="38"/>
  <c r="Q276" i="38"/>
  <c r="Q89" i="38"/>
  <c r="Q269" i="38"/>
  <c r="Q431" i="38"/>
  <c r="Q853" i="38"/>
  <c r="Q584" i="38"/>
  <c r="Q1127" i="38"/>
  <c r="Q585" i="38"/>
  <c r="Q298" i="38"/>
  <c r="Q673" i="38"/>
  <c r="Q443" i="38"/>
  <c r="Q930" i="38"/>
  <c r="Q1153" i="38"/>
  <c r="Q181" i="38"/>
  <c r="Q268" i="38"/>
  <c r="Q116" i="38"/>
  <c r="Q956" i="38"/>
  <c r="Q220" i="38"/>
  <c r="Q1019" i="38"/>
  <c r="Q1107" i="38"/>
  <c r="Q763" i="38"/>
  <c r="Q582" i="38"/>
  <c r="Q496" i="38"/>
  <c r="Q404" i="38"/>
  <c r="Q415" i="38"/>
  <c r="Q311" i="38"/>
  <c r="Q1148" i="38"/>
  <c r="Q760" i="38"/>
  <c r="Q85" i="38"/>
  <c r="Q667" i="38"/>
  <c r="Q849" i="38"/>
  <c r="Q222" i="38"/>
  <c r="Q905" i="38"/>
  <c r="Q591" i="38"/>
  <c r="Q635" i="38"/>
  <c r="Q399" i="38"/>
  <c r="Q924" i="38"/>
  <c r="Q757" i="38"/>
  <c r="Q590" i="38"/>
  <c r="Q1102" i="38"/>
  <c r="Q320" i="38"/>
  <c r="Q145" i="38"/>
  <c r="Q792" i="38"/>
  <c r="Q882" i="38"/>
  <c r="Q676" i="38"/>
  <c r="Q1188" i="38"/>
  <c r="Q1021" i="38"/>
  <c r="Q854" i="38"/>
  <c r="Q984" i="38"/>
  <c r="Q1185" i="38"/>
  <c r="Q125" i="38"/>
  <c r="Q520" i="38"/>
  <c r="Q345" i="38"/>
  <c r="Q570" i="38"/>
  <c r="Q1082" i="38"/>
  <c r="Q876" i="38"/>
  <c r="Q709" i="38"/>
  <c r="Q542" i="38"/>
  <c r="Q1054" i="38"/>
  <c r="Q1184" i="38"/>
  <c r="Q208" i="38"/>
  <c r="Q951" i="38"/>
  <c r="Q568" i="38"/>
  <c r="Q770" i="38"/>
  <c r="Q564" i="38"/>
  <c r="Q1076" i="38"/>
  <c r="Q909" i="38"/>
  <c r="Q742" i="38"/>
  <c r="Q872" i="38"/>
  <c r="Q317" i="38"/>
  <c r="Q262" i="38"/>
  <c r="Q416" i="38"/>
  <c r="Q241" i="38"/>
  <c r="Q1039" i="38"/>
  <c r="Q978" i="38"/>
  <c r="Q772" i="38"/>
  <c r="Q605" i="38"/>
  <c r="Q1117" i="38"/>
  <c r="Q950" i="38"/>
  <c r="Q1080" i="38"/>
  <c r="Q839" i="38"/>
  <c r="Q29" i="38"/>
  <c r="Q711" i="38"/>
  <c r="Q441" i="38"/>
  <c r="Q666" i="38"/>
  <c r="Q1178" i="38"/>
  <c r="Q972" i="38"/>
  <c r="Q805" i="38"/>
  <c r="Q638" i="38"/>
  <c r="Q1150" i="38"/>
  <c r="Q75" i="38"/>
  <c r="Q452" i="38"/>
  <c r="Q74" i="38"/>
  <c r="Q19" i="38"/>
  <c r="Q66" i="38"/>
  <c r="Q945" i="38"/>
  <c r="Q516" i="38"/>
  <c r="Q174" i="38"/>
  <c r="Q356" i="38"/>
  <c r="Q1030" i="38"/>
  <c r="Q1103" i="38"/>
  <c r="Q274" i="38"/>
  <c r="Q23" i="38"/>
  <c r="Q71" i="38"/>
  <c r="Q9" i="38"/>
  <c r="Q163" i="38"/>
  <c r="Q325" i="38"/>
  <c r="Q1173" i="38"/>
  <c r="Q1081" i="38"/>
  <c r="Q705" i="38"/>
  <c r="Q436" i="38"/>
  <c r="Q95" i="38"/>
  <c r="Q150" i="38"/>
  <c r="Q343" i="38"/>
  <c r="Q335" i="38"/>
  <c r="Q621" i="38"/>
  <c r="Q393" i="38"/>
  <c r="Q729" i="38"/>
  <c r="Q735" i="38"/>
  <c r="Q32" i="38"/>
  <c r="Q162" i="38"/>
  <c r="Q528" i="38"/>
  <c r="Q517" i="38"/>
  <c r="Q597" i="38"/>
  <c r="Q971" i="38"/>
  <c r="Q285" i="38"/>
  <c r="Q753" i="38"/>
  <c r="Q267" i="38"/>
  <c r="Q195" i="38"/>
  <c r="Q895" i="38"/>
  <c r="Q911" i="38"/>
  <c r="Q579" i="38"/>
  <c r="Q158" i="38"/>
  <c r="Q527" i="38"/>
  <c r="Q367" i="38"/>
  <c r="Q1066" i="38"/>
  <c r="Q815" i="38"/>
  <c r="Q350" i="38"/>
  <c r="Q194" i="38"/>
  <c r="Q60" i="38"/>
  <c r="Q1172" i="38"/>
  <c r="Q77" i="38"/>
  <c r="Q817" i="38"/>
  <c r="Q879" i="38"/>
  <c r="Q611" i="38"/>
  <c r="Q1036" i="38"/>
  <c r="Q869" i="38"/>
  <c r="Q702" i="38"/>
  <c r="Q832" i="38"/>
  <c r="Q107" i="38"/>
  <c r="Q721" i="38"/>
  <c r="Q218" i="38"/>
  <c r="Q51" i="38"/>
  <c r="Q131" i="38"/>
  <c r="Q42" i="38"/>
  <c r="Q681" i="38"/>
  <c r="Q260" i="38"/>
  <c r="Q442" i="38"/>
  <c r="Q774" i="38"/>
  <c r="Q712" i="38"/>
  <c r="Q444" i="38"/>
  <c r="Q286" i="38"/>
  <c r="Q244" i="38"/>
  <c r="Q73" i="38"/>
  <c r="Q247" i="38"/>
  <c r="Q411" i="38"/>
  <c r="Q917" i="38"/>
  <c r="Q648" i="38"/>
  <c r="Q1009" i="38"/>
  <c r="Q543" i="38"/>
  <c r="Q266" i="38"/>
  <c r="Q236" i="38"/>
  <c r="Q429" i="38"/>
  <c r="Q421" i="38"/>
  <c r="Q1044" i="38"/>
  <c r="Q233" i="38"/>
  <c r="Q1041" i="38"/>
  <c r="Q935" i="38"/>
  <c r="Q120" i="38"/>
  <c r="Q246" i="38"/>
  <c r="Q699" i="38"/>
  <c r="Q683" i="38"/>
  <c r="Q1020" i="38"/>
  <c r="Q599" i="38"/>
  <c r="Q423" i="38"/>
  <c r="Q961" i="38"/>
  <c r="Q383" i="38"/>
  <c r="Q279" i="38"/>
  <c r="Q1119" i="38"/>
  <c r="Q521" i="38"/>
  <c r="Q771" i="38"/>
  <c r="Q318" i="38"/>
  <c r="Q697" i="38"/>
  <c r="Q453" i="38"/>
  <c r="Q906" i="38"/>
  <c r="Q30" i="38"/>
  <c r="Q213" i="38"/>
  <c r="Q278" i="38"/>
  <c r="Q124" i="38"/>
  <c r="Q916" i="38"/>
  <c r="Q230" i="38"/>
  <c r="Q1047" i="38"/>
  <c r="Q1135" i="38"/>
  <c r="Q784" i="38"/>
  <c r="Q835" i="38"/>
  <c r="Q788" i="38"/>
  <c r="Q1035" i="38"/>
  <c r="Q539" i="38"/>
  <c r="Q1159" i="38"/>
  <c r="Q245" i="38"/>
  <c r="Q502" i="38"/>
  <c r="Q883" i="38"/>
  <c r="Q863" i="38"/>
  <c r="Q1122" i="38"/>
  <c r="Q376" i="38"/>
  <c r="Q560" i="38"/>
  <c r="Q170" i="38"/>
  <c r="Q800" i="38"/>
  <c r="Q547" i="38"/>
  <c r="Q902" i="38"/>
  <c r="Q887" i="38"/>
  <c r="Q148" i="38"/>
  <c r="Q277" i="38"/>
  <c r="Q205" i="38"/>
  <c r="Q921" i="38"/>
  <c r="Q847" i="38"/>
  <c r="Q624" i="38"/>
  <c r="Q180" i="38"/>
  <c r="Q545" i="38"/>
  <c r="Q379" i="38"/>
  <c r="Q1058" i="38"/>
  <c r="Q897" i="38"/>
  <c r="Q24" i="38"/>
  <c r="Q204" i="38"/>
  <c r="Q68" i="38"/>
  <c r="Q129" i="38"/>
  <c r="Q63" i="38"/>
  <c r="Q130" i="38"/>
  <c r="Q12" i="38"/>
  <c r="Q1116" i="38"/>
  <c r="Q782" i="38"/>
  <c r="Q337" i="38"/>
  <c r="Q868" i="38"/>
  <c r="Q534" i="38"/>
  <c r="Q577" i="38"/>
  <c r="Q929" i="38"/>
  <c r="Q762" i="38"/>
  <c r="Q1068" i="38"/>
  <c r="Q864" i="38"/>
  <c r="Q400" i="38"/>
  <c r="Q962" i="38"/>
  <c r="Q589" i="38"/>
  <c r="Q1064" i="38"/>
  <c r="Q695" i="38"/>
  <c r="Q658" i="38"/>
  <c r="Q797" i="38"/>
  <c r="Q296" i="38"/>
  <c r="Q1164" i="38"/>
  <c r="Q398" i="38"/>
  <c r="Q553" i="38"/>
  <c r="Q703" i="38"/>
  <c r="Q265" i="38"/>
  <c r="Q875" i="38"/>
  <c r="Q226" i="38"/>
  <c r="Q656" i="38"/>
  <c r="Q640" i="38"/>
  <c r="Q1084" i="38"/>
  <c r="Q679" i="38"/>
  <c r="Q903" i="38"/>
  <c r="Q351" i="38"/>
  <c r="Q406" i="38"/>
  <c r="Q675" i="38"/>
  <c r="Q1065" i="38"/>
  <c r="Q596" i="38"/>
  <c r="Q615" i="38"/>
  <c r="Q731" i="38"/>
  <c r="Q179" i="38"/>
  <c r="Q363" i="38"/>
  <c r="Q655" i="38"/>
  <c r="Q1113" i="38"/>
  <c r="Q1091" i="38"/>
  <c r="Q938" i="38"/>
  <c r="Q240" i="38"/>
  <c r="Q752" i="38"/>
  <c r="Q149" i="38"/>
  <c r="Q1049" i="38"/>
  <c r="Q720" i="38"/>
  <c r="Q646" i="38"/>
  <c r="Q551" i="38"/>
  <c r="Q382" i="38"/>
  <c r="Q395" i="38"/>
  <c r="Q291" i="38"/>
  <c r="Q1151" i="38"/>
  <c r="Q513" i="38"/>
  <c r="Q795" i="38"/>
  <c r="Q340" i="38"/>
  <c r="Q719" i="38"/>
  <c r="Q463" i="38"/>
  <c r="Q874" i="38"/>
  <c r="Q78" i="38"/>
  <c r="Q255" i="38"/>
  <c r="Q290" i="38"/>
  <c r="Q133" i="38"/>
  <c r="Q623" i="38"/>
  <c r="Q211" i="38"/>
  <c r="Q203" i="38"/>
  <c r="Q151" i="38"/>
  <c r="Q787" i="38"/>
  <c r="Q949" i="38"/>
  <c r="Q912" i="38"/>
  <c r="Q512" i="38"/>
  <c r="Q562" i="38"/>
  <c r="Q1074" i="38"/>
  <c r="Q701" i="38"/>
  <c r="Q1046" i="38"/>
  <c r="Q1176" i="38"/>
  <c r="Q200" i="38"/>
  <c r="Q552" i="38"/>
  <c r="Q556" i="38"/>
  <c r="Q901" i="38"/>
  <c r="Q734" i="38"/>
  <c r="Q284" i="38"/>
  <c r="Q225" i="38"/>
  <c r="Q995" i="38"/>
  <c r="Q756" i="38"/>
  <c r="Q1101" i="38"/>
  <c r="Q934" i="38"/>
  <c r="Q871" i="38"/>
  <c r="Q37" i="38"/>
  <c r="Q433" i="38"/>
  <c r="Q1170" i="38"/>
  <c r="Q964" i="38"/>
  <c r="Q630" i="38"/>
  <c r="Q1142" i="38"/>
  <c r="Q477" i="38"/>
  <c r="Q422" i="38"/>
  <c r="Q1193" i="38"/>
  <c r="Q744" i="38"/>
  <c r="Q858" i="38"/>
  <c r="Q652" i="38"/>
  <c r="Q997" i="38"/>
  <c r="Q830" i="38"/>
  <c r="Q960" i="38"/>
  <c r="Q35" i="38"/>
  <c r="Q977" i="38"/>
  <c r="Q250" i="38"/>
  <c r="Q388" i="38"/>
  <c r="Q593" i="38"/>
  <c r="Q859" i="38"/>
  <c r="Q1108" i="38"/>
  <c r="Q983" i="38"/>
  <c r="Q96" i="38"/>
  <c r="Q381" i="38"/>
  <c r="Q814" i="38"/>
  <c r="Q1034" i="38"/>
  <c r="Q743" i="38"/>
  <c r="Q923" i="38"/>
  <c r="Q254" i="38"/>
  <c r="Q48" i="38"/>
  <c r="Q319" i="38"/>
  <c r="Q214" i="38"/>
  <c r="Q237" i="38"/>
  <c r="Q76" i="38"/>
  <c r="Q1007" i="38"/>
  <c r="Q1180" i="38"/>
  <c r="Q1013" i="38"/>
  <c r="Q846" i="38"/>
  <c r="Q976" i="38"/>
  <c r="Q631" i="38"/>
  <c r="Q401" i="38"/>
  <c r="Q626" i="38"/>
  <c r="Q1138" i="38"/>
  <c r="Q932" i="38"/>
  <c r="Q765" i="38"/>
  <c r="Q598" i="38"/>
  <c r="Q1110" i="38"/>
  <c r="Q519" i="38"/>
  <c r="Q466" i="38"/>
  <c r="Q264" i="38"/>
  <c r="Q1099" i="38"/>
  <c r="Q680" i="38"/>
  <c r="Q826" i="38"/>
  <c r="Q620" i="38"/>
  <c r="Q1132" i="38"/>
  <c r="Q965" i="38"/>
  <c r="Q798" i="38"/>
  <c r="Q928" i="38"/>
  <c r="Q198" i="38"/>
  <c r="Q464" i="38"/>
  <c r="Q289" i="38"/>
  <c r="Q1167" i="38"/>
  <c r="Q1026" i="38"/>
  <c r="Q820" i="38"/>
  <c r="Q653" i="38"/>
  <c r="Q1165" i="38"/>
  <c r="Q998" i="38"/>
  <c r="Q1128" i="38"/>
  <c r="Q687" i="38"/>
  <c r="Q160" i="38"/>
  <c r="Q823" i="38"/>
  <c r="Q497" i="38"/>
  <c r="Q722" i="38"/>
  <c r="Q1195" i="38"/>
  <c r="Q1028" i="38"/>
  <c r="Q861" i="38"/>
  <c r="Q694" i="38"/>
  <c r="Q824" i="38"/>
  <c r="Q391" i="38"/>
  <c r="Q338" i="38"/>
  <c r="Q360" i="38"/>
  <c r="Q185" i="38"/>
  <c r="Q889" i="38"/>
  <c r="Q922" i="38"/>
  <c r="Q716" i="38"/>
  <c r="Q549" i="38"/>
  <c r="Q1061" i="38"/>
  <c r="Q894" i="38"/>
  <c r="Q1088" i="38"/>
  <c r="Q484" i="38"/>
  <c r="Q99" i="38"/>
  <c r="Q238" i="38"/>
  <c r="Q334" i="38"/>
  <c r="Q919" i="38"/>
  <c r="Q324" i="38"/>
  <c r="Q82" i="38"/>
  <c r="Q27" i="38"/>
  <c r="Q98" i="38"/>
  <c r="Q852" i="38"/>
  <c r="Q1143" i="38"/>
  <c r="Q499" i="38"/>
  <c r="Q1105" i="38"/>
  <c r="Q223" i="38"/>
  <c r="Q482" i="38"/>
  <c r="Q831" i="38"/>
  <c r="Q811" i="38"/>
  <c r="Q1162" i="38"/>
  <c r="Q432" i="38"/>
  <c r="Q509" i="38"/>
  <c r="Q111" i="38"/>
  <c r="Q447" i="38"/>
  <c r="Q492" i="38"/>
  <c r="Q28" i="38"/>
  <c r="Q1096" i="38"/>
  <c r="Q1130" i="38"/>
  <c r="Q13" i="38"/>
  <c r="Q927" i="38"/>
  <c r="Q138" i="38"/>
  <c r="Q779" i="38"/>
  <c r="Q827" i="38"/>
  <c r="Q36" i="38"/>
  <c r="Q942" i="38"/>
  <c r="Q778" i="38"/>
  <c r="Q21" i="38"/>
  <c r="Q119" i="38"/>
  <c r="Q608" i="38"/>
  <c r="Q172" i="38"/>
  <c r="Q44" i="38"/>
  <c r="Q557" i="38"/>
  <c r="Q45" i="38"/>
  <c r="Q777" i="38"/>
  <c r="Q819" i="38"/>
  <c r="Q571" i="38"/>
  <c r="Q878" i="38"/>
  <c r="Q865" i="38"/>
  <c r="Q190" i="38"/>
  <c r="Q299" i="38"/>
  <c r="Q215" i="38"/>
  <c r="Q947" i="38"/>
  <c r="Q776" i="38"/>
  <c r="Q643" i="38"/>
  <c r="Q202" i="38"/>
  <c r="Q569" i="38"/>
  <c r="Q389" i="38"/>
  <c r="Q613" i="38"/>
  <c r="Q1125" i="38"/>
  <c r="Q958" i="38"/>
  <c r="Q1152" i="38"/>
  <c r="Q617" i="38"/>
  <c r="Q206" i="38"/>
  <c r="Q494" i="38"/>
  <c r="Q420" i="38"/>
  <c r="Q3" i="38"/>
  <c r="Q26" i="38"/>
  <c r="Q154" i="38"/>
  <c r="Q59" i="38"/>
  <c r="Q196" i="38"/>
  <c r="Q636" i="38"/>
  <c r="Q727" i="38"/>
  <c r="Q688" i="38"/>
  <c r="Q126" i="38"/>
  <c r="Q341" i="38"/>
  <c r="Q609" i="38"/>
  <c r="Q1055" i="38"/>
  <c r="Q1033" i="38"/>
  <c r="Q994" i="38"/>
  <c r="Q256" i="38"/>
  <c r="Q707" i="38"/>
  <c r="Q104" i="38"/>
  <c r="Q563" i="38"/>
  <c r="Q633" i="38"/>
  <c r="Q92" i="38"/>
  <c r="Q840" i="38"/>
  <c r="Q970" i="38"/>
  <c r="Q146" i="38"/>
  <c r="Q1155" i="38"/>
  <c r="Q128" i="38"/>
  <c r="Q1023" i="38"/>
  <c r="Q1051" i="38"/>
  <c r="Q100" i="38"/>
  <c r="Q686" i="38"/>
  <c r="Q610" i="38"/>
  <c r="Q156" i="38"/>
  <c r="Q362" i="38"/>
  <c r="Q167" i="38"/>
  <c r="Q258" i="38"/>
  <c r="Q108" i="38"/>
  <c r="Q980" i="38"/>
  <c r="Q188" i="38"/>
  <c r="Q987" i="38"/>
  <c r="Q1075" i="38"/>
  <c r="Q739" i="38"/>
  <c r="Q622" i="38"/>
  <c r="Q504" i="38"/>
  <c r="Q394" i="38"/>
  <c r="Q405" i="38"/>
  <c r="Q301" i="38"/>
  <c r="Q1183" i="38"/>
  <c r="Q489" i="38"/>
  <c r="Q816" i="38"/>
  <c r="Q372" i="38"/>
  <c r="Q737" i="38"/>
  <c r="Q475" i="38"/>
  <c r="Q966" i="38"/>
  <c r="Q1017" i="38"/>
  <c r="Q316" i="38"/>
  <c r="Q87" i="38"/>
  <c r="Q103" i="38"/>
  <c r="Q25" i="38"/>
  <c r="Q183" i="38"/>
  <c r="Q347" i="38"/>
  <c r="Q1109" i="38"/>
  <c r="Q931" i="38"/>
  <c r="Q769" i="38"/>
  <c r="Q458" i="38"/>
  <c r="Q127" i="38"/>
  <c r="Q514" i="38"/>
  <c r="Q357" i="38"/>
  <c r="Q1098" i="38"/>
  <c r="Q793" i="38"/>
  <c r="Q212" i="38"/>
  <c r="Q182" i="38"/>
  <c r="Q52" i="38"/>
  <c r="Q533" i="38"/>
  <c r="Q69" i="38"/>
  <c r="Q799" i="38"/>
  <c r="Q851" i="38"/>
  <c r="Q592" i="38"/>
  <c r="Q838" i="38"/>
  <c r="Q807" i="38"/>
  <c r="Q234" i="38"/>
  <c r="Q309" i="38"/>
  <c r="Q227" i="38"/>
  <c r="Q1160" i="38"/>
  <c r="S1200" i="38"/>
  <c r="S1192" i="38"/>
  <c r="S1184" i="38"/>
  <c r="S1176" i="38"/>
  <c r="S1168" i="38"/>
  <c r="S1160" i="38"/>
  <c r="S1152" i="38"/>
  <c r="S1144" i="38"/>
  <c r="S1136" i="38"/>
  <c r="S1128" i="38"/>
  <c r="S1120" i="38"/>
  <c r="S1112" i="38"/>
  <c r="S1104" i="38"/>
  <c r="S1096" i="38"/>
  <c r="S1088" i="38"/>
  <c r="S1080" i="38"/>
  <c r="S1072" i="38"/>
  <c r="S1064" i="38"/>
  <c r="S1056" i="38"/>
  <c r="S1048" i="38"/>
  <c r="S1040" i="38"/>
  <c r="S1032" i="38"/>
  <c r="S1024" i="38"/>
  <c r="S1016" i="38"/>
  <c r="S1008" i="38"/>
  <c r="S1000" i="38"/>
  <c r="S992" i="38"/>
  <c r="S984" i="38"/>
  <c r="S976" i="38"/>
  <c r="S968" i="38"/>
  <c r="S960" i="38"/>
  <c r="S952" i="38"/>
  <c r="S944" i="38"/>
  <c r="S936" i="38"/>
  <c r="S928" i="38"/>
  <c r="S920" i="38"/>
  <c r="S912" i="38"/>
  <c r="S904" i="38"/>
  <c r="S896" i="38"/>
  <c r="S888" i="38"/>
  <c r="S880" i="38"/>
  <c r="S872" i="38"/>
  <c r="S864" i="38"/>
  <c r="S856" i="38"/>
  <c r="S848" i="38"/>
  <c r="S840" i="38"/>
  <c r="S832" i="38"/>
  <c r="S824" i="38"/>
  <c r="S816" i="38"/>
  <c r="S808" i="38"/>
  <c r="S800" i="38"/>
  <c r="S792" i="38"/>
  <c r="S784" i="38"/>
  <c r="S776" i="38"/>
  <c r="S768" i="38"/>
  <c r="S760" i="38"/>
  <c r="S752" i="38"/>
  <c r="S744" i="38"/>
  <c r="S736" i="38"/>
  <c r="S728" i="38"/>
  <c r="S720" i="38"/>
  <c r="S712" i="38"/>
  <c r="S704" i="38"/>
  <c r="S696" i="38"/>
  <c r="S688" i="38"/>
  <c r="S680" i="38"/>
  <c r="S672" i="38"/>
  <c r="S664" i="38"/>
  <c r="S656" i="38"/>
  <c r="S648" i="38"/>
  <c r="S640" i="38"/>
  <c r="S632" i="38"/>
  <c r="S624" i="38"/>
  <c r="S616" i="38"/>
  <c r="S608" i="38"/>
  <c r="S600" i="38"/>
  <c r="S592" i="38"/>
  <c r="S584" i="38"/>
  <c r="S576" i="38"/>
  <c r="S568" i="38"/>
  <c r="S560" i="38"/>
  <c r="S552" i="38"/>
  <c r="S544" i="38"/>
  <c r="S536" i="38"/>
  <c r="S528" i="38"/>
  <c r="S1199" i="38"/>
  <c r="S1191" i="38"/>
  <c r="S1183" i="38"/>
  <c r="S1175" i="38"/>
  <c r="S1167" i="38"/>
  <c r="S1159" i="38"/>
  <c r="S1151" i="38"/>
  <c r="S1143" i="38"/>
  <c r="S1135" i="38"/>
  <c r="S1127" i="38"/>
  <c r="S1119" i="38"/>
  <c r="S1111" i="38"/>
  <c r="S1103" i="38"/>
  <c r="S1095" i="38"/>
  <c r="S1087" i="38"/>
  <c r="S1079" i="38"/>
  <c r="S1071" i="38"/>
  <c r="S1063" i="38"/>
  <c r="S1055" i="38"/>
  <c r="S1047" i="38"/>
  <c r="S1039" i="38"/>
  <c r="S1031" i="38"/>
  <c r="S1023" i="38"/>
  <c r="S1015" i="38"/>
  <c r="S1007" i="38"/>
  <c r="S999" i="38"/>
  <c r="S991" i="38"/>
  <c r="S983" i="38"/>
  <c r="S975" i="38"/>
  <c r="S967" i="38"/>
  <c r="S959" i="38"/>
  <c r="S951" i="38"/>
  <c r="S943" i="38"/>
  <c r="S935" i="38"/>
  <c r="S927" i="38"/>
  <c r="S919" i="38"/>
  <c r="S911" i="38"/>
  <c r="S903" i="38"/>
  <c r="S895" i="38"/>
  <c r="S887" i="38"/>
  <c r="S879" i="38"/>
  <c r="S871" i="38"/>
  <c r="S863" i="38"/>
  <c r="S855" i="38"/>
  <c r="S847" i="38"/>
  <c r="S839" i="38"/>
  <c r="S831" i="38"/>
  <c r="S823" i="38"/>
  <c r="S815" i="38"/>
  <c r="S807" i="38"/>
  <c r="S799" i="38"/>
  <c r="S791" i="38"/>
  <c r="S783" i="38"/>
  <c r="S775" i="38"/>
  <c r="S767" i="38"/>
  <c r="S759" i="38"/>
  <c r="S751" i="38"/>
  <c r="S743" i="38"/>
  <c r="S735" i="38"/>
  <c r="S727" i="38"/>
  <c r="S719" i="38"/>
  <c r="S711" i="38"/>
  <c r="S703" i="38"/>
  <c r="S695" i="38"/>
  <c r="S687" i="38"/>
  <c r="S679" i="38"/>
  <c r="S671" i="38"/>
  <c r="S663" i="38"/>
  <c r="S655" i="38"/>
  <c r="S647" i="38"/>
  <c r="S639" i="38"/>
  <c r="S631" i="38"/>
  <c r="S623" i="38"/>
  <c r="S615" i="38"/>
  <c r="S607" i="38"/>
  <c r="S599" i="38"/>
  <c r="S591" i="38"/>
  <c r="S583" i="38"/>
  <c r="S575" i="38"/>
  <c r="S567" i="38"/>
  <c r="S559" i="38"/>
  <c r="S551" i="38"/>
  <c r="S543" i="38"/>
  <c r="S535" i="38"/>
  <c r="S527" i="38"/>
  <c r="S1198" i="38"/>
  <c r="S1190" i="38"/>
  <c r="S1182" i="38"/>
  <c r="S1174" i="38"/>
  <c r="S1166" i="38"/>
  <c r="S1158" i="38"/>
  <c r="S1150" i="38"/>
  <c r="S1142" i="38"/>
  <c r="S1134" i="38"/>
  <c r="S1126" i="38"/>
  <c r="S1118" i="38"/>
  <c r="S1110" i="38"/>
  <c r="S1102" i="38"/>
  <c r="S1094" i="38"/>
  <c r="S1086" i="38"/>
  <c r="S1078" i="38"/>
  <c r="S1070" i="38"/>
  <c r="S1062" i="38"/>
  <c r="S1054" i="38"/>
  <c r="S1046" i="38"/>
  <c r="S1038" i="38"/>
  <c r="S1030" i="38"/>
  <c r="S1022" i="38"/>
  <c r="S1014" i="38"/>
  <c r="S1006" i="38"/>
  <c r="S998" i="38"/>
  <c r="S990" i="38"/>
  <c r="S982" i="38"/>
  <c r="S974" i="38"/>
  <c r="S966" i="38"/>
  <c r="S958" i="38"/>
  <c r="S950" i="38"/>
  <c r="S942" i="38"/>
  <c r="S934" i="38"/>
  <c r="S926" i="38"/>
  <c r="S918" i="38"/>
  <c r="S910" i="38"/>
  <c r="S902" i="38"/>
  <c r="S894" i="38"/>
  <c r="S886" i="38"/>
  <c r="S878" i="38"/>
  <c r="S870" i="38"/>
  <c r="S862" i="38"/>
  <c r="S854" i="38"/>
  <c r="S846" i="38"/>
  <c r="S838" i="38"/>
  <c r="S830" i="38"/>
  <c r="S822" i="38"/>
  <c r="S814" i="38"/>
  <c r="S806" i="38"/>
  <c r="S798" i="38"/>
  <c r="S790" i="38"/>
  <c r="S782" i="38"/>
  <c r="S774" i="38"/>
  <c r="S766" i="38"/>
  <c r="S758" i="38"/>
  <c r="S750" i="38"/>
  <c r="S742" i="38"/>
  <c r="S734" i="38"/>
  <c r="S726" i="38"/>
  <c r="S718" i="38"/>
  <c r="S710" i="38"/>
  <c r="S702" i="38"/>
  <c r="S694" i="38"/>
  <c r="S686" i="38"/>
  <c r="S678" i="38"/>
  <c r="S670" i="38"/>
  <c r="S662" i="38"/>
  <c r="S654" i="38"/>
  <c r="S646" i="38"/>
  <c r="S638" i="38"/>
  <c r="S630" i="38"/>
  <c r="S622" i="38"/>
  <c r="S614" i="38"/>
  <c r="S606" i="38"/>
  <c r="S598" i="38"/>
  <c r="S590" i="38"/>
  <c r="S582" i="38"/>
  <c r="S574" i="38"/>
  <c r="S566" i="38"/>
  <c r="S558" i="38"/>
  <c r="S550" i="38"/>
  <c r="S542" i="38"/>
  <c r="S534" i="38"/>
  <c r="S526" i="38"/>
  <c r="S1196" i="38"/>
  <c r="S1188" i="38"/>
  <c r="S1180" i="38"/>
  <c r="S1172" i="38"/>
  <c r="S1164" i="38"/>
  <c r="S1156" i="38"/>
  <c r="S1148" i="38"/>
  <c r="S1140" i="38"/>
  <c r="S1132" i="38"/>
  <c r="S1124" i="38"/>
  <c r="S1116" i="38"/>
  <c r="S1108" i="38"/>
  <c r="S1100" i="38"/>
  <c r="S1092" i="38"/>
  <c r="S1084" i="38"/>
  <c r="S1076" i="38"/>
  <c r="S1068" i="38"/>
  <c r="S1060" i="38"/>
  <c r="S1052" i="38"/>
  <c r="S1044" i="38"/>
  <c r="S1036" i="38"/>
  <c r="S1028" i="38"/>
  <c r="S1020" i="38"/>
  <c r="S1012" i="38"/>
  <c r="S1004" i="38"/>
  <c r="S996" i="38"/>
  <c r="S988" i="38"/>
  <c r="S980" i="38"/>
  <c r="S972" i="38"/>
  <c r="S964" i="38"/>
  <c r="S956" i="38"/>
  <c r="S948" i="38"/>
  <c r="S940" i="38"/>
  <c r="S932" i="38"/>
  <c r="S924" i="38"/>
  <c r="S916" i="38"/>
  <c r="S908" i="38"/>
  <c r="S900" i="38"/>
  <c r="S892" i="38"/>
  <c r="S884" i="38"/>
  <c r="S876" i="38"/>
  <c r="S868" i="38"/>
  <c r="S860" i="38"/>
  <c r="S852" i="38"/>
  <c r="S844" i="38"/>
  <c r="S836" i="38"/>
  <c r="S828" i="38"/>
  <c r="S820" i="38"/>
  <c r="S812" i="38"/>
  <c r="S804" i="38"/>
  <c r="S796" i="38"/>
  <c r="S788" i="38"/>
  <c r="S780" i="38"/>
  <c r="S772" i="38"/>
  <c r="S764" i="38"/>
  <c r="S756" i="38"/>
  <c r="S748" i="38"/>
  <c r="S740" i="38"/>
  <c r="S732" i="38"/>
  <c r="S724" i="38"/>
  <c r="S716" i="38"/>
  <c r="S708" i="38"/>
  <c r="S700" i="38"/>
  <c r="S692" i="38"/>
  <c r="S684" i="38"/>
  <c r="S676" i="38"/>
  <c r="S668" i="38"/>
  <c r="S660" i="38"/>
  <c r="S652" i="38"/>
  <c r="S644" i="38"/>
  <c r="S636" i="38"/>
  <c r="S628" i="38"/>
  <c r="S620" i="38"/>
  <c r="S612" i="38"/>
  <c r="S604" i="38"/>
  <c r="S596" i="38"/>
  <c r="S588" i="38"/>
  <c r="S580" i="38"/>
  <c r="S572" i="38"/>
  <c r="S564" i="38"/>
  <c r="S556" i="38"/>
  <c r="S548" i="38"/>
  <c r="S540" i="38"/>
  <c r="S532" i="38"/>
  <c r="S524" i="38"/>
  <c r="S1202" i="38"/>
  <c r="S1186" i="38"/>
  <c r="S1170" i="38"/>
  <c r="S1154" i="38"/>
  <c r="S1138" i="38"/>
  <c r="S1122" i="38"/>
  <c r="S1106" i="38"/>
  <c r="S1090" i="38"/>
  <c r="S1074" i="38"/>
  <c r="S1058" i="38"/>
  <c r="S1042" i="38"/>
  <c r="S1026" i="38"/>
  <c r="S1010" i="38"/>
  <c r="S994" i="38"/>
  <c r="S978" i="38"/>
  <c r="S962" i="38"/>
  <c r="S946" i="38"/>
  <c r="S930" i="38"/>
  <c r="S914" i="38"/>
  <c r="S898" i="38"/>
  <c r="S882" i="38"/>
  <c r="S866" i="38"/>
  <c r="S850" i="38"/>
  <c r="S834" i="38"/>
  <c r="S818" i="38"/>
  <c r="S802" i="38"/>
  <c r="S786" i="38"/>
  <c r="S770" i="38"/>
  <c r="S754" i="38"/>
  <c r="S738" i="38"/>
  <c r="S722" i="38"/>
  <c r="S706" i="38"/>
  <c r="S690" i="38"/>
  <c r="S674" i="38"/>
  <c r="S658" i="38"/>
  <c r="S642" i="38"/>
  <c r="S626" i="38"/>
  <c r="S610" i="38"/>
  <c r="S594" i="38"/>
  <c r="S578" i="38"/>
  <c r="S562" i="38"/>
  <c r="S546" i="38"/>
  <c r="S530" i="38"/>
  <c r="S518" i="38"/>
  <c r="S510" i="38"/>
  <c r="S502" i="38"/>
  <c r="S1201" i="38"/>
  <c r="S1185" i="38"/>
  <c r="S1169" i="38"/>
  <c r="S1153" i="38"/>
  <c r="S1137" i="38"/>
  <c r="S1121" i="38"/>
  <c r="S1105" i="38"/>
  <c r="S1089" i="38"/>
  <c r="S1073" i="38"/>
  <c r="S1057" i="38"/>
  <c r="S1041" i="38"/>
  <c r="S1025" i="38"/>
  <c r="S1009" i="38"/>
  <c r="S993" i="38"/>
  <c r="S977" i="38"/>
  <c r="S961" i="38"/>
  <c r="S945" i="38"/>
  <c r="S929" i="38"/>
  <c r="S913" i="38"/>
  <c r="S897" i="38"/>
  <c r="S881" i="38"/>
  <c r="S865" i="38"/>
  <c r="S849" i="38"/>
  <c r="S833" i="38"/>
  <c r="S817" i="38"/>
  <c r="S801" i="38"/>
  <c r="S785" i="38"/>
  <c r="S769" i="38"/>
  <c r="S753" i="38"/>
  <c r="S737" i="38"/>
  <c r="S721" i="38"/>
  <c r="S705" i="38"/>
  <c r="S689" i="38"/>
  <c r="S673" i="38"/>
  <c r="S657" i="38"/>
  <c r="S641" i="38"/>
  <c r="S625" i="38"/>
  <c r="S609" i="38"/>
  <c r="S593" i="38"/>
  <c r="S577" i="38"/>
  <c r="S561" i="38"/>
  <c r="S545" i="38"/>
  <c r="S529" i="38"/>
  <c r="S517" i="38"/>
  <c r="S509" i="38"/>
  <c r="S501" i="38"/>
  <c r="S493" i="38"/>
  <c r="S485" i="38"/>
  <c r="S477" i="38"/>
  <c r="S469" i="38"/>
  <c r="S461" i="38"/>
  <c r="S453" i="38"/>
  <c r="S445" i="38"/>
  <c r="S437" i="38"/>
  <c r="S429" i="38"/>
  <c r="S421" i="38"/>
  <c r="S413" i="38"/>
  <c r="S405" i="38"/>
  <c r="S397" i="38"/>
  <c r="S389" i="38"/>
  <c r="S381" i="38"/>
  <c r="S373" i="38"/>
  <c r="S365" i="38"/>
  <c r="S357" i="38"/>
  <c r="S349" i="38"/>
  <c r="S341" i="38"/>
  <c r="S333" i="38"/>
  <c r="S325" i="38"/>
  <c r="S317" i="38"/>
  <c r="S309" i="38"/>
  <c r="S301" i="38"/>
  <c r="S293" i="38"/>
  <c r="S285" i="38"/>
  <c r="S277" i="38"/>
  <c r="S269" i="38"/>
  <c r="S261" i="38"/>
  <c r="S253" i="38"/>
  <c r="S245" i="38"/>
  <c r="S237" i="38"/>
  <c r="S229" i="38"/>
  <c r="S221" i="38"/>
  <c r="S213" i="38"/>
  <c r="S205" i="38"/>
  <c r="S197" i="38"/>
  <c r="S189" i="38"/>
  <c r="S1197" i="38"/>
  <c r="S1181" i="38"/>
  <c r="S1165" i="38"/>
  <c r="S1149" i="38"/>
  <c r="S1133" i="38"/>
  <c r="S1117" i="38"/>
  <c r="S1101" i="38"/>
  <c r="S1085" i="38"/>
  <c r="S1069" i="38"/>
  <c r="S1053" i="38"/>
  <c r="S1037" i="38"/>
  <c r="S1021" i="38"/>
  <c r="S1005" i="38"/>
  <c r="S989" i="38"/>
  <c r="S973" i="38"/>
  <c r="S957" i="38"/>
  <c r="S941" i="38"/>
  <c r="S925" i="38"/>
  <c r="S909" i="38"/>
  <c r="S893" i="38"/>
  <c r="S877" i="38"/>
  <c r="S861" i="38"/>
  <c r="S845" i="38"/>
  <c r="S829" i="38"/>
  <c r="S813" i="38"/>
  <c r="S797" i="38"/>
  <c r="S781" i="38"/>
  <c r="S765" i="38"/>
  <c r="S749" i="38"/>
  <c r="S733" i="38"/>
  <c r="S717" i="38"/>
  <c r="S701" i="38"/>
  <c r="S685" i="38"/>
  <c r="S669" i="38"/>
  <c r="S653" i="38"/>
  <c r="S637" i="38"/>
  <c r="S621" i="38"/>
  <c r="S605" i="38"/>
  <c r="S589" i="38"/>
  <c r="S573" i="38"/>
  <c r="S557" i="38"/>
  <c r="S541" i="38"/>
  <c r="S525" i="38"/>
  <c r="S516" i="38"/>
  <c r="S508" i="38"/>
  <c r="S500" i="38"/>
  <c r="S492" i="38"/>
  <c r="S484" i="38"/>
  <c r="S476" i="38"/>
  <c r="S468" i="38"/>
  <c r="S460" i="38"/>
  <c r="S452" i="38"/>
  <c r="S444" i="38"/>
  <c r="S436" i="38"/>
  <c r="S428" i="38"/>
  <c r="S420" i="38"/>
  <c r="S412" i="38"/>
  <c r="S404" i="38"/>
  <c r="S396" i="38"/>
  <c r="S388" i="38"/>
  <c r="S380" i="38"/>
  <c r="S372" i="38"/>
  <c r="S364" i="38"/>
  <c r="S356" i="38"/>
  <c r="S348" i="38"/>
  <c r="S340" i="38"/>
  <c r="S332" i="38"/>
  <c r="S324" i="38"/>
  <c r="S316" i="38"/>
  <c r="S308" i="38"/>
  <c r="S300" i="38"/>
  <c r="S292" i="38"/>
  <c r="S284" i="38"/>
  <c r="S276" i="38"/>
  <c r="S268" i="38"/>
  <c r="S260" i="38"/>
  <c r="S252" i="38"/>
  <c r="S244" i="38"/>
  <c r="S236" i="38"/>
  <c r="S228" i="38"/>
  <c r="S220" i="38"/>
  <c r="S212" i="38"/>
  <c r="S204" i="38"/>
  <c r="S196" i="38"/>
  <c r="S188" i="38"/>
  <c r="S180" i="38"/>
  <c r="S172" i="38"/>
  <c r="S164" i="38"/>
  <c r="S156" i="38"/>
  <c r="S148" i="38"/>
  <c r="S140" i="38"/>
  <c r="S132" i="38"/>
  <c r="S124" i="38"/>
  <c r="S116" i="38"/>
  <c r="S108" i="38"/>
  <c r="S100" i="38"/>
  <c r="S92" i="38"/>
  <c r="S84" i="38"/>
  <c r="S76" i="38"/>
  <c r="S68" i="38"/>
  <c r="S60" i="38"/>
  <c r="S52" i="38"/>
  <c r="S44" i="38"/>
  <c r="S36" i="38"/>
  <c r="S28" i="38"/>
  <c r="S20" i="38"/>
  <c r="S12" i="38"/>
  <c r="S4" i="38"/>
  <c r="S1163" i="38"/>
  <c r="S875" i="38"/>
  <c r="S811" i="38"/>
  <c r="S779" i="38"/>
  <c r="S763" i="38"/>
  <c r="S731" i="38"/>
  <c r="S699" i="38"/>
  <c r="S683" i="38"/>
  <c r="S651" i="38"/>
  <c r="S619" i="38"/>
  <c r="S603" i="38"/>
  <c r="S571" i="38"/>
  <c r="S555" i="38"/>
  <c r="S523" i="38"/>
  <c r="S515" i="38"/>
  <c r="S507" i="38"/>
  <c r="S491" i="38"/>
  <c r="S475" i="38"/>
  <c r="S459" i="38"/>
  <c r="S451" i="38"/>
  <c r="S435" i="38"/>
  <c r="S419" i="38"/>
  <c r="S411" i="38"/>
  <c r="S395" i="38"/>
  <c r="S379" i="38"/>
  <c r="S371" i="38"/>
  <c r="S355" i="38"/>
  <c r="S347" i="38"/>
  <c r="S331" i="38"/>
  <c r="S315" i="38"/>
  <c r="S299" i="38"/>
  <c r="S283" i="38"/>
  <c r="S267" i="38"/>
  <c r="S259" i="38"/>
  <c r="S1195" i="38"/>
  <c r="S1179" i="38"/>
  <c r="S1147" i="38"/>
  <c r="S1131" i="38"/>
  <c r="S1115" i="38"/>
  <c r="S1099" i="38"/>
  <c r="S1083" i="38"/>
  <c r="S1067" i="38"/>
  <c r="S1051" i="38"/>
  <c r="S1035" i="38"/>
  <c r="S1019" i="38"/>
  <c r="S1003" i="38"/>
  <c r="S987" i="38"/>
  <c r="S971" i="38"/>
  <c r="S955" i="38"/>
  <c r="S939" i="38"/>
  <c r="S923" i="38"/>
  <c r="S907" i="38"/>
  <c r="S891" i="38"/>
  <c r="S859" i="38"/>
  <c r="S843" i="38"/>
  <c r="S827" i="38"/>
  <c r="S795" i="38"/>
  <c r="S747" i="38"/>
  <c r="S715" i="38"/>
  <c r="S667" i="38"/>
  <c r="S635" i="38"/>
  <c r="S587" i="38"/>
  <c r="S539" i="38"/>
  <c r="S499" i="38"/>
  <c r="S483" i="38"/>
  <c r="S467" i="38"/>
  <c r="S443" i="38"/>
  <c r="S427" i="38"/>
  <c r="S403" i="38"/>
  <c r="S387" i="38"/>
  <c r="S363" i="38"/>
  <c r="S339" i="38"/>
  <c r="S323" i="38"/>
  <c r="S307" i="38"/>
  <c r="S291" i="38"/>
  <c r="S275" i="38"/>
  <c r="S1189" i="38"/>
  <c r="S1173" i="38"/>
  <c r="S1157" i="38"/>
  <c r="S1141" i="38"/>
  <c r="S1125" i="38"/>
  <c r="S1109" i="38"/>
  <c r="S1093" i="38"/>
  <c r="S1077" i="38"/>
  <c r="S1061" i="38"/>
  <c r="S1045" i="38"/>
  <c r="S1029" i="38"/>
  <c r="S1013" i="38"/>
  <c r="S997" i="38"/>
  <c r="S981" i="38"/>
  <c r="S965" i="38"/>
  <c r="S949" i="38"/>
  <c r="S933" i="38"/>
  <c r="S917" i="38"/>
  <c r="S901" i="38"/>
  <c r="S885" i="38"/>
  <c r="S869" i="38"/>
  <c r="S853" i="38"/>
  <c r="S837" i="38"/>
  <c r="S821" i="38"/>
  <c r="S805" i="38"/>
  <c r="S789" i="38"/>
  <c r="S773" i="38"/>
  <c r="S757" i="38"/>
  <c r="S741" i="38"/>
  <c r="S725" i="38"/>
  <c r="S709" i="38"/>
  <c r="S693" i="38"/>
  <c r="S677" i="38"/>
  <c r="S661" i="38"/>
  <c r="S645" i="38"/>
  <c r="S629" i="38"/>
  <c r="S613" i="38"/>
  <c r="S597" i="38"/>
  <c r="S581" i="38"/>
  <c r="S565" i="38"/>
  <c r="S549" i="38"/>
  <c r="S533" i="38"/>
  <c r="S520" i="38"/>
  <c r="S512" i="38"/>
  <c r="S504" i="38"/>
  <c r="S496" i="38"/>
  <c r="S488" i="38"/>
  <c r="S480" i="38"/>
  <c r="S472" i="38"/>
  <c r="S464" i="38"/>
  <c r="S456" i="38"/>
  <c r="S448" i="38"/>
  <c r="S440" i="38"/>
  <c r="S432" i="38"/>
  <c r="S424" i="38"/>
  <c r="S416" i="38"/>
  <c r="S408" i="38"/>
  <c r="S400" i="38"/>
  <c r="S392" i="38"/>
  <c r="S384" i="38"/>
  <c r="S376" i="38"/>
  <c r="S368" i="38"/>
  <c r="S360" i="38"/>
  <c r="S352" i="38"/>
  <c r="S344" i="38"/>
  <c r="S336" i="38"/>
  <c r="S328" i="38"/>
  <c r="S320" i="38"/>
  <c r="S312" i="38"/>
  <c r="S304" i="38"/>
  <c r="S296" i="38"/>
  <c r="S288" i="38"/>
  <c r="S280" i="38"/>
  <c r="S272" i="38"/>
  <c r="S264" i="38"/>
  <c r="S256" i="38"/>
  <c r="S248" i="38"/>
  <c r="S240" i="38"/>
  <c r="S232" i="38"/>
  <c r="S224" i="38"/>
  <c r="S216" i="38"/>
  <c r="S208" i="38"/>
  <c r="S200" i="38"/>
  <c r="S192" i="38"/>
  <c r="S184" i="38"/>
  <c r="S176" i="38"/>
  <c r="S168" i="38"/>
  <c r="S160" i="38"/>
  <c r="S152" i="38"/>
  <c r="S144" i="38"/>
  <c r="S136" i="38"/>
  <c r="S128" i="38"/>
  <c r="S120" i="38"/>
  <c r="S112" i="38"/>
  <c r="S104" i="38"/>
  <c r="S96" i="38"/>
  <c r="S88" i="38"/>
  <c r="S80" i="38"/>
  <c r="S72" i="38"/>
  <c r="S64" i="38"/>
  <c r="S56" i="38"/>
  <c r="S48" i="38"/>
  <c r="S40" i="38"/>
  <c r="S32" i="38"/>
  <c r="S24" i="38"/>
  <c r="S16" i="38"/>
  <c r="S8" i="38"/>
  <c r="S1194" i="38"/>
  <c r="S1155" i="38"/>
  <c r="S1113" i="38"/>
  <c r="S1066" i="38"/>
  <c r="S1027" i="38"/>
  <c r="S985" i="38"/>
  <c r="S938" i="38"/>
  <c r="S899" i="38"/>
  <c r="S857" i="38"/>
  <c r="S810" i="38"/>
  <c r="S771" i="38"/>
  <c r="S729" i="38"/>
  <c r="S682" i="38"/>
  <c r="S643" i="38"/>
  <c r="S601" i="38"/>
  <c r="S554" i="38"/>
  <c r="S519" i="38"/>
  <c r="S497" i="38"/>
  <c r="S481" i="38"/>
  <c r="S465" i="38"/>
  <c r="S449" i="38"/>
  <c r="S433" i="38"/>
  <c r="S417" i="38"/>
  <c r="S401" i="38"/>
  <c r="S385" i="38"/>
  <c r="S369" i="38"/>
  <c r="S353" i="38"/>
  <c r="S337" i="38"/>
  <c r="S321" i="38"/>
  <c r="S305" i="38"/>
  <c r="S289" i="38"/>
  <c r="S273" i="38"/>
  <c r="S257" i="38"/>
  <c r="S243" i="38"/>
  <c r="S231" i="38"/>
  <c r="S218" i="38"/>
  <c r="S206" i="38"/>
  <c r="S193" i="38"/>
  <c r="S181" i="38"/>
  <c r="S170" i="38"/>
  <c r="S159" i="38"/>
  <c r="S149" i="38"/>
  <c r="S138" i="38"/>
  <c r="S127" i="38"/>
  <c r="S117" i="38"/>
  <c r="S106" i="38"/>
  <c r="S95" i="38"/>
  <c r="S85" i="38"/>
  <c r="S74" i="38"/>
  <c r="S63" i="38"/>
  <c r="S53" i="38"/>
  <c r="S42" i="38"/>
  <c r="S31" i="38"/>
  <c r="S21" i="38"/>
  <c r="S10" i="38"/>
  <c r="S402" i="38"/>
  <c r="S43" i="38"/>
  <c r="S1193" i="38"/>
  <c r="S1146" i="38"/>
  <c r="S1107" i="38"/>
  <c r="S1065" i="38"/>
  <c r="S1018" i="38"/>
  <c r="S979" i="38"/>
  <c r="S937" i="38"/>
  <c r="S890" i="38"/>
  <c r="S851" i="38"/>
  <c r="S809" i="38"/>
  <c r="S762" i="38"/>
  <c r="S723" i="38"/>
  <c r="S681" i="38"/>
  <c r="S634" i="38"/>
  <c r="S595" i="38"/>
  <c r="S553" i="38"/>
  <c r="S514" i="38"/>
  <c r="S495" i="38"/>
  <c r="S479" i="38"/>
  <c r="S463" i="38"/>
  <c r="S447" i="38"/>
  <c r="S431" i="38"/>
  <c r="S415" i="38"/>
  <c r="S399" i="38"/>
  <c r="S383" i="38"/>
  <c r="S367" i="38"/>
  <c r="S351" i="38"/>
  <c r="S335" i="38"/>
  <c r="S319" i="38"/>
  <c r="S303" i="38"/>
  <c r="S287" i="38"/>
  <c r="S271" i="38"/>
  <c r="S255" i="38"/>
  <c r="S242" i="38"/>
  <c r="S230" i="38"/>
  <c r="S217" i="38"/>
  <c r="S203" i="38"/>
  <c r="S191" i="38"/>
  <c r="S179" i="38"/>
  <c r="S169" i="38"/>
  <c r="S158" i="38"/>
  <c r="S147" i="38"/>
  <c r="S137" i="38"/>
  <c r="S126" i="38"/>
  <c r="S115" i="38"/>
  <c r="S105" i="38"/>
  <c r="S94" i="38"/>
  <c r="S83" i="38"/>
  <c r="S73" i="38"/>
  <c r="S62" i="38"/>
  <c r="S51" i="38"/>
  <c r="S41" i="38"/>
  <c r="S30" i="38"/>
  <c r="S19" i="38"/>
  <c r="S9" i="38"/>
  <c r="S93" i="38"/>
  <c r="S61" i="38"/>
  <c r="S39" i="38"/>
  <c r="S18" i="38"/>
  <c r="S7" i="38"/>
  <c r="S1082" i="38"/>
  <c r="S570" i="38"/>
  <c r="S487" i="38"/>
  <c r="S423" i="38"/>
  <c r="S391" i="38"/>
  <c r="S343" i="38"/>
  <c r="S311" i="38"/>
  <c r="S249" i="38"/>
  <c r="S210" i="38"/>
  <c r="S163" i="38"/>
  <c r="S110" i="38"/>
  <c r="S57" i="38"/>
  <c r="S3" i="38"/>
  <c r="S1162" i="38"/>
  <c r="S867" i="38"/>
  <c r="S697" i="38"/>
  <c r="S503" i="38"/>
  <c r="S422" i="38"/>
  <c r="S374" i="38"/>
  <c r="S294" i="38"/>
  <c r="S222" i="38"/>
  <c r="S151" i="38"/>
  <c r="S98" i="38"/>
  <c r="S55" i="38"/>
  <c r="S23" i="38"/>
  <c r="S1161" i="38"/>
  <c r="S858" i="38"/>
  <c r="S691" i="38"/>
  <c r="S521" i="38"/>
  <c r="S450" i="38"/>
  <c r="S354" i="38"/>
  <c r="S274" i="38"/>
  <c r="S219" i="38"/>
  <c r="S161" i="38"/>
  <c r="S107" i="38"/>
  <c r="S54" i="38"/>
  <c r="S1187" i="38"/>
  <c r="S1145" i="38"/>
  <c r="S1098" i="38"/>
  <c r="S1059" i="38"/>
  <c r="S1017" i="38"/>
  <c r="S970" i="38"/>
  <c r="S931" i="38"/>
  <c r="S889" i="38"/>
  <c r="S842" i="38"/>
  <c r="S803" i="38"/>
  <c r="S761" i="38"/>
  <c r="S714" i="38"/>
  <c r="S675" i="38"/>
  <c r="S633" i="38"/>
  <c r="S586" i="38"/>
  <c r="S547" i="38"/>
  <c r="S513" i="38"/>
  <c r="S494" i="38"/>
  <c r="S478" i="38"/>
  <c r="S462" i="38"/>
  <c r="S446" i="38"/>
  <c r="S430" i="38"/>
  <c r="S414" i="38"/>
  <c r="S398" i="38"/>
  <c r="S382" i="38"/>
  <c r="S366" i="38"/>
  <c r="S350" i="38"/>
  <c r="S334" i="38"/>
  <c r="S318" i="38"/>
  <c r="S302" i="38"/>
  <c r="S286" i="38"/>
  <c r="S270" i="38"/>
  <c r="S254" i="38"/>
  <c r="S241" i="38"/>
  <c r="S227" i="38"/>
  <c r="S215" i="38"/>
  <c r="S202" i="38"/>
  <c r="S190" i="38"/>
  <c r="S178" i="38"/>
  <c r="S167" i="38"/>
  <c r="S157" i="38"/>
  <c r="S146" i="38"/>
  <c r="S135" i="38"/>
  <c r="S125" i="38"/>
  <c r="S114" i="38"/>
  <c r="S103" i="38"/>
  <c r="S82" i="38"/>
  <c r="S71" i="38"/>
  <c r="S50" i="38"/>
  <c r="S29" i="38"/>
  <c r="S787" i="38"/>
  <c r="S295" i="38"/>
  <c r="S153" i="38"/>
  <c r="S89" i="38"/>
  <c r="S14" i="38"/>
  <c r="S995" i="38"/>
  <c r="S611" i="38"/>
  <c r="S438" i="38"/>
  <c r="S358" i="38"/>
  <c r="S278" i="38"/>
  <c r="S195" i="38"/>
  <c r="S141" i="38"/>
  <c r="S66" i="38"/>
  <c r="S986" i="38"/>
  <c r="S418" i="38"/>
  <c r="S290" i="38"/>
  <c r="S194" i="38"/>
  <c r="S139" i="38"/>
  <c r="S65" i="38"/>
  <c r="S1178" i="38"/>
  <c r="S1139" i="38"/>
  <c r="S1097" i="38"/>
  <c r="S1050" i="38"/>
  <c r="S1011" i="38"/>
  <c r="S969" i="38"/>
  <c r="S922" i="38"/>
  <c r="S883" i="38"/>
  <c r="S841" i="38"/>
  <c r="S794" i="38"/>
  <c r="S755" i="38"/>
  <c r="S713" i="38"/>
  <c r="S666" i="38"/>
  <c r="S627" i="38"/>
  <c r="S585" i="38"/>
  <c r="S538" i="38"/>
  <c r="S511" i="38"/>
  <c r="S490" i="38"/>
  <c r="S474" i="38"/>
  <c r="S458" i="38"/>
  <c r="S442" i="38"/>
  <c r="S426" i="38"/>
  <c r="S410" i="38"/>
  <c r="S394" i="38"/>
  <c r="S378" i="38"/>
  <c r="S362" i="38"/>
  <c r="S346" i="38"/>
  <c r="S330" i="38"/>
  <c r="S314" i="38"/>
  <c r="S298" i="38"/>
  <c r="S282" i="38"/>
  <c r="S266" i="38"/>
  <c r="S251" i="38"/>
  <c r="S239" i="38"/>
  <c r="S226" i="38"/>
  <c r="S214" i="38"/>
  <c r="S201" i="38"/>
  <c r="S187" i="38"/>
  <c r="S177" i="38"/>
  <c r="S166" i="38"/>
  <c r="S155" i="38"/>
  <c r="S145" i="38"/>
  <c r="S134" i="38"/>
  <c r="S123" i="38"/>
  <c r="S113" i="38"/>
  <c r="S102" i="38"/>
  <c r="S91" i="38"/>
  <c r="S81" i="38"/>
  <c r="S70" i="38"/>
  <c r="S59" i="38"/>
  <c r="S49" i="38"/>
  <c r="S38" i="38"/>
  <c r="S27" i="38"/>
  <c r="S17" i="38"/>
  <c r="S6" i="38"/>
  <c r="S79" i="38"/>
  <c r="S47" i="38"/>
  <c r="S26" i="38"/>
  <c r="S5" i="38"/>
  <c r="S1129" i="38"/>
  <c r="S531" i="38"/>
  <c r="S471" i="38"/>
  <c r="S439" i="38"/>
  <c r="S407" i="38"/>
  <c r="S359" i="38"/>
  <c r="S279" i="38"/>
  <c r="S223" i="38"/>
  <c r="S185" i="38"/>
  <c r="S142" i="38"/>
  <c r="S99" i="38"/>
  <c r="S46" i="38"/>
  <c r="S1123" i="38"/>
  <c r="S953" i="38"/>
  <c r="S778" i="38"/>
  <c r="S569" i="38"/>
  <c r="S470" i="38"/>
  <c r="S406" i="38"/>
  <c r="S326" i="38"/>
  <c r="S262" i="38"/>
  <c r="S209" i="38"/>
  <c r="S162" i="38"/>
  <c r="S119" i="38"/>
  <c r="S87" i="38"/>
  <c r="S34" i="38"/>
  <c r="S1114" i="38"/>
  <c r="S819" i="38"/>
  <c r="S649" i="38"/>
  <c r="S498" i="38"/>
  <c r="S434" i="38"/>
  <c r="S338" i="38"/>
  <c r="S258" i="38"/>
  <c r="S207" i="38"/>
  <c r="S150" i="38"/>
  <c r="S97" i="38"/>
  <c r="S33" i="38"/>
  <c r="S1177" i="38"/>
  <c r="S1130" i="38"/>
  <c r="S1091" i="38"/>
  <c r="S1049" i="38"/>
  <c r="S1002" i="38"/>
  <c r="S963" i="38"/>
  <c r="S921" i="38"/>
  <c r="S874" i="38"/>
  <c r="S835" i="38"/>
  <c r="S793" i="38"/>
  <c r="S746" i="38"/>
  <c r="S707" i="38"/>
  <c r="S665" i="38"/>
  <c r="S618" i="38"/>
  <c r="S579" i="38"/>
  <c r="S537" i="38"/>
  <c r="S506" i="38"/>
  <c r="S489" i="38"/>
  <c r="S473" i="38"/>
  <c r="S457" i="38"/>
  <c r="S441" i="38"/>
  <c r="S425" i="38"/>
  <c r="S409" i="38"/>
  <c r="S393" i="38"/>
  <c r="S377" i="38"/>
  <c r="S361" i="38"/>
  <c r="S345" i="38"/>
  <c r="S329" i="38"/>
  <c r="S313" i="38"/>
  <c r="S297" i="38"/>
  <c r="S281" i="38"/>
  <c r="S265" i="38"/>
  <c r="S250" i="38"/>
  <c r="S238" i="38"/>
  <c r="S225" i="38"/>
  <c r="S211" i="38"/>
  <c r="S199" i="38"/>
  <c r="S186" i="38"/>
  <c r="S175" i="38"/>
  <c r="S165" i="38"/>
  <c r="S154" i="38"/>
  <c r="S143" i="38"/>
  <c r="S133" i="38"/>
  <c r="S122" i="38"/>
  <c r="S111" i="38"/>
  <c r="S101" i="38"/>
  <c r="S90" i="38"/>
  <c r="S69" i="38"/>
  <c r="S58" i="38"/>
  <c r="S37" i="38"/>
  <c r="S15" i="38"/>
  <c r="S826" i="38"/>
  <c r="S327" i="38"/>
  <c r="S235" i="38"/>
  <c r="S174" i="38"/>
  <c r="S121" i="38"/>
  <c r="S67" i="38"/>
  <c r="S35" i="38"/>
  <c r="S1034" i="38"/>
  <c r="S906" i="38"/>
  <c r="S739" i="38"/>
  <c r="S522" i="38"/>
  <c r="S454" i="38"/>
  <c r="S390" i="38"/>
  <c r="S310" i="38"/>
  <c r="S234" i="38"/>
  <c r="S173" i="38"/>
  <c r="S109" i="38"/>
  <c r="S45" i="38"/>
  <c r="S1033" i="38"/>
  <c r="S947" i="38"/>
  <c r="S777" i="38"/>
  <c r="S563" i="38"/>
  <c r="S466" i="38"/>
  <c r="S370" i="38"/>
  <c r="S306" i="38"/>
  <c r="S246" i="38"/>
  <c r="S182" i="38"/>
  <c r="S118" i="38"/>
  <c r="S75" i="38"/>
  <c r="S22" i="38"/>
  <c r="S1171" i="38"/>
  <c r="S1043" i="38"/>
  <c r="S1001" i="38"/>
  <c r="S954" i="38"/>
  <c r="S915" i="38"/>
  <c r="S873" i="38"/>
  <c r="S745" i="38"/>
  <c r="S698" i="38"/>
  <c r="S659" i="38"/>
  <c r="S617" i="38"/>
  <c r="S505" i="38"/>
  <c r="S455" i="38"/>
  <c r="S375" i="38"/>
  <c r="S263" i="38"/>
  <c r="S198" i="38"/>
  <c r="S131" i="38"/>
  <c r="S78" i="38"/>
  <c r="S25" i="38"/>
  <c r="S1081" i="38"/>
  <c r="S825" i="38"/>
  <c r="S650" i="38"/>
  <c r="S486" i="38"/>
  <c r="S342" i="38"/>
  <c r="S247" i="38"/>
  <c r="S183" i="38"/>
  <c r="S130" i="38"/>
  <c r="S77" i="38"/>
  <c r="S13" i="38"/>
  <c r="S1075" i="38"/>
  <c r="S905" i="38"/>
  <c r="S730" i="38"/>
  <c r="S602" i="38"/>
  <c r="S482" i="38"/>
  <c r="S386" i="38"/>
  <c r="S322" i="38"/>
  <c r="S233" i="38"/>
  <c r="S171" i="38"/>
  <c r="S129" i="38"/>
  <c r="S86" i="38"/>
  <c r="S11" i="38"/>
  <c r="Q768" i="38"/>
  <c r="Q4" i="38"/>
  <c r="Q1169" i="38"/>
  <c r="Q121" i="38"/>
  <c r="Q191" i="38"/>
  <c r="Q39" i="38"/>
  <c r="Q94" i="38"/>
  <c r="Q601" i="38"/>
  <c r="Q137" i="38"/>
  <c r="Q1187" i="38"/>
  <c r="Q1094" i="38"/>
  <c r="Q293" i="38"/>
  <c r="Q471" i="38"/>
  <c r="Q450" i="38"/>
  <c r="Q672" i="38"/>
  <c r="Q7" i="38"/>
  <c r="Q625" i="38"/>
  <c r="Q455" i="38"/>
  <c r="Q192" i="38"/>
  <c r="Q554" i="38"/>
  <c r="Q789" i="38"/>
  <c r="Q723" i="38"/>
  <c r="Q1175" i="38"/>
  <c r="Q1111" i="38"/>
  <c r="Q105" i="38"/>
  <c r="Q159" i="38"/>
  <c r="Q263" i="38"/>
  <c r="Q22" i="38"/>
  <c r="Q537" i="38"/>
  <c r="Q193" i="38"/>
  <c r="Q540" i="38"/>
  <c r="Q1158" i="38"/>
  <c r="Q271" i="38"/>
  <c r="Q451" i="38"/>
  <c r="Q428" i="38"/>
  <c r="Q627" i="38"/>
  <c r="Q595" i="38"/>
  <c r="Q1001" i="38"/>
  <c r="Q939" i="38"/>
  <c r="Q57" i="38"/>
  <c r="Q80" i="38"/>
  <c r="Q70" i="38"/>
  <c r="Q1043" i="38"/>
  <c r="Q402" i="38"/>
  <c r="Q321" i="38"/>
  <c r="Q668" i="38"/>
  <c r="Q968" i="38"/>
  <c r="Q207" i="38"/>
  <c r="Q387" i="38"/>
  <c r="Q364" i="38"/>
  <c r="Q501" i="38"/>
  <c r="Q6" i="38"/>
  <c r="Q490" i="38"/>
  <c r="Q327" i="38"/>
  <c r="Q344" i="38"/>
  <c r="Q738" i="38"/>
  <c r="Q1045" i="38"/>
  <c r="Q555" i="38"/>
  <c r="Q943" i="38"/>
  <c r="Q881" i="38"/>
  <c r="Q41" i="38"/>
  <c r="Q56" i="38"/>
  <c r="Q14" i="38"/>
  <c r="Q985" i="38"/>
  <c r="Q358" i="38"/>
  <c r="Q361" i="38"/>
  <c r="Q724" i="38"/>
  <c r="Q1032" i="38"/>
  <c r="Q187" i="38"/>
  <c r="Q365" i="38"/>
  <c r="Q342" i="38"/>
  <c r="Q479" i="38"/>
  <c r="Q303" i="38"/>
  <c r="Q483" i="38"/>
  <c r="Q460" i="38"/>
  <c r="Q691" i="38"/>
  <c r="Q31" i="38"/>
  <c r="Q649" i="38"/>
  <c r="Q467" i="38"/>
  <c r="Q184" i="38"/>
  <c r="Q546" i="38"/>
  <c r="Q749" i="38"/>
  <c r="Q747" i="38"/>
  <c r="Q1177" i="38"/>
  <c r="Q1137" i="38"/>
  <c r="Q113" i="38"/>
  <c r="Q171" i="38"/>
  <c r="Q15" i="38"/>
  <c r="Q54" i="38"/>
  <c r="Q559" i="38"/>
  <c r="Q169" i="38"/>
  <c r="Q532" i="38"/>
  <c r="Q1134" i="38"/>
  <c r="Q283" i="38"/>
  <c r="Q461" i="38"/>
  <c r="Q438" i="38"/>
  <c r="Q651" i="38"/>
  <c r="Q253" i="38"/>
  <c r="Q607" i="38"/>
  <c r="Q445" i="38"/>
  <c r="Q216" i="38"/>
  <c r="Q586" i="38"/>
  <c r="Q813" i="38"/>
  <c r="Q704" i="38"/>
  <c r="Q1139" i="38"/>
  <c r="Q1083" i="38"/>
  <c r="Q97" i="38"/>
  <c r="Q139" i="38"/>
  <c r="Q199" i="38"/>
  <c r="Q1191" i="38"/>
  <c r="Q498" i="38"/>
  <c r="Q201" i="38"/>
  <c r="Q572" i="38"/>
  <c r="Q1198" i="38"/>
  <c r="Q261" i="38"/>
  <c r="Q439" i="38"/>
  <c r="Q418" i="38"/>
  <c r="Q587" i="38"/>
  <c r="Q135" i="38"/>
  <c r="Q561" i="38"/>
  <c r="Q413" i="38"/>
  <c r="Q248" i="38"/>
  <c r="Q618" i="38"/>
  <c r="Q877" i="38"/>
  <c r="Q659" i="38"/>
  <c r="Q1087" i="38"/>
  <c r="Q1025" i="38"/>
  <c r="Q81" i="38"/>
  <c r="Q112" i="38"/>
  <c r="Q147" i="38"/>
  <c r="Q1129" i="38"/>
  <c r="Q476" i="38"/>
  <c r="Q257" i="38"/>
  <c r="Q604" i="38"/>
  <c r="Q880" i="38"/>
  <c r="Q239" i="38"/>
  <c r="Q419" i="38"/>
  <c r="Q396" i="38"/>
  <c r="Q544" i="38"/>
  <c r="Q86" i="38"/>
  <c r="Q522" i="38"/>
  <c r="Q371" i="38"/>
  <c r="Q280" i="38"/>
  <c r="Q674" i="38"/>
  <c r="Q941" i="38"/>
  <c r="Q1115" i="38"/>
  <c r="Q123" i="38"/>
  <c r="Q90" i="38"/>
  <c r="Q106" i="38"/>
  <c r="Q50" i="38"/>
  <c r="Q132" i="38"/>
  <c r="Q1063" i="38"/>
  <c r="Q115" i="38"/>
  <c r="Q114" i="38"/>
  <c r="Q462" i="38"/>
  <c r="Q282" i="38"/>
  <c r="Q228" i="38"/>
  <c r="Q1024" i="38"/>
  <c r="Q219" i="38"/>
  <c r="Q397" i="38"/>
  <c r="Q374" i="38"/>
  <c r="Q511" i="38"/>
  <c r="Q38" i="38"/>
  <c r="Q500" i="38"/>
  <c r="Q339" i="38"/>
  <c r="Q312" i="38"/>
  <c r="Q714" i="38"/>
  <c r="Q1005" i="38"/>
  <c r="Q576" i="38"/>
  <c r="Q969" i="38"/>
  <c r="Q913" i="38"/>
  <c r="Q49" i="38"/>
  <c r="Q64" i="38"/>
  <c r="Q46" i="38"/>
  <c r="Q1011" i="38"/>
  <c r="Q390" i="38"/>
  <c r="Q329" i="38"/>
  <c r="Q700" i="38"/>
  <c r="Q1008" i="38"/>
  <c r="Q197" i="38"/>
  <c r="Q375" i="38"/>
  <c r="Q354" i="38"/>
  <c r="Q491" i="38"/>
  <c r="Q991" i="38"/>
  <c r="Q478" i="38"/>
  <c r="Q295" i="38"/>
  <c r="Q368" i="38"/>
  <c r="Q746" i="38"/>
  <c r="Q1069" i="38"/>
  <c r="Q531" i="38"/>
  <c r="Q915" i="38"/>
  <c r="Q855" i="38"/>
  <c r="Q33" i="38"/>
  <c r="Q40" i="38"/>
  <c r="Q1201" i="38"/>
  <c r="Q959" i="38"/>
  <c r="Q326" i="38"/>
  <c r="Q385" i="38"/>
  <c r="Q764" i="38"/>
  <c r="Q1072" i="38"/>
  <c r="Q175" i="38"/>
  <c r="Q355" i="38"/>
  <c r="Q332" i="38"/>
  <c r="Q469" i="38"/>
  <c r="Q459" i="38"/>
  <c r="Q446" i="38"/>
  <c r="Q275" i="38"/>
  <c r="Q408" i="38"/>
  <c r="Q802" i="38"/>
  <c r="Q1133" i="38"/>
  <c r="Q507" i="38"/>
  <c r="Q857" i="38"/>
  <c r="Q801" i="38"/>
  <c r="Q17" i="38"/>
  <c r="Q16" i="38"/>
  <c r="Q1131" i="38"/>
  <c r="Q899" i="38"/>
  <c r="Q306" i="38"/>
  <c r="Q425" i="38"/>
  <c r="Q828" i="38"/>
  <c r="Q1136" i="38"/>
  <c r="Q155" i="38"/>
  <c r="Q333" i="38"/>
  <c r="Q310" i="38"/>
  <c r="Q437" i="38"/>
  <c r="Q331" i="38"/>
  <c r="Q426" i="38"/>
  <c r="Q221" i="38"/>
  <c r="Q440" i="38"/>
  <c r="Q842" i="38"/>
  <c r="Q1197" i="38"/>
  <c r="Q891" i="38"/>
  <c r="Q91" i="38"/>
  <c r="Q58" i="38"/>
  <c r="Q1089" i="38"/>
  <c r="Q767" i="38"/>
  <c r="Q67" i="38"/>
  <c r="Q833" i="38"/>
  <c r="Q83" i="38"/>
  <c r="Q18" i="38"/>
  <c r="Q292" i="38"/>
  <c r="Q34" i="38"/>
  <c r="Q142" i="38"/>
  <c r="S2" i="38"/>
  <c r="T2" i="38"/>
  <c r="R2" i="38"/>
  <c r="AP9" i="30" a="1"/>
  <c r="AP9" i="30"/>
  <c r="AP8" i="30" a="1"/>
  <c r="AP8" i="30"/>
  <c r="AP7" i="30" a="1"/>
  <c r="AP7"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S1" authorId="0" shapeId="0" xr:uid="{6768823A-7C83-4F2C-BC9F-72526876ECD5}">
      <text>
        <r>
          <rPr>
            <b/>
            <sz val="9"/>
            <color indexed="81"/>
            <rFont val="Tahoma"/>
            <family val="2"/>
          </rPr>
          <t xml:space="preserve">Adam H. Lisbon:
</t>
        </r>
        <r>
          <rPr>
            <sz val="9"/>
            <color indexed="81"/>
            <rFont val="Tahoma"/>
            <family val="2"/>
          </rPr>
          <t xml:space="preserve">You can input:
- titles
- ISBN-10
- ISBN-13
and the corresponding search will run in FirstSearch
</t>
        </r>
      </text>
    </comment>
    <comment ref="R3" authorId="0" shapeId="0" xr:uid="{1C602056-3613-4559-96C7-2716CDECE7C1}">
      <text>
        <r>
          <rPr>
            <b/>
            <sz val="9"/>
            <color indexed="81"/>
            <rFont val="Tahoma"/>
            <family val="2"/>
          </rPr>
          <t>Adam H. Lisbon:</t>
        </r>
        <r>
          <rPr>
            <sz val="9"/>
            <color indexed="81"/>
            <rFont val="Tahoma"/>
            <family val="2"/>
          </rPr>
          <t xml:space="preserve">
If a cell is red, there is a duplicate.
If a cell is yellow, it has multiple ISBNs.</t>
        </r>
      </text>
    </comment>
    <comment ref="H6" authorId="0" shapeId="0" xr:uid="{0DD23586-4C73-4FAA-80B5-9363D7268DFF}">
      <text>
        <r>
          <rPr>
            <b/>
            <sz val="9"/>
            <color indexed="81"/>
            <rFont val="Tahoma"/>
            <family val="2"/>
          </rPr>
          <t>Adam H. Lisbon:</t>
        </r>
        <r>
          <rPr>
            <sz val="9"/>
            <color indexed="81"/>
            <rFont val="Tahoma"/>
            <family val="2"/>
          </rPr>
          <t xml:space="preserve">
A red cell indicates that multiple ISBNs have been added to the link. It will not work correctly.</t>
        </r>
      </text>
    </comment>
    <comment ref="R6" authorId="0" shapeId="0" xr:uid="{5C13D8A6-2F92-4564-B7E1-A1FCE8400C3A}">
      <text>
        <r>
          <rPr>
            <b/>
            <sz val="9"/>
            <color indexed="81"/>
            <rFont val="Tahoma"/>
            <family val="2"/>
          </rPr>
          <t>Adam H. Lisbon:</t>
        </r>
        <r>
          <rPr>
            <sz val="9"/>
            <color indexed="81"/>
            <rFont val="Tahoma"/>
            <family val="2"/>
          </rPr>
          <t xml:space="preserve">
Book sets often have will have multiple ISBN's.
When pulling bib data from FirstSearch the ISBNs are *usually* in order of the volume numbers.
</t>
        </r>
      </text>
    </comment>
    <comment ref="W6" authorId="0" shapeId="0" xr:uid="{30A4CBE7-0666-4061-915C-13D2BB6B0C37}">
      <text>
        <r>
          <rPr>
            <b/>
            <sz val="9"/>
            <color indexed="81"/>
            <rFont val="Tahoma"/>
            <family val="2"/>
          </rPr>
          <t>Adam H. Lisbon:</t>
        </r>
        <r>
          <rPr>
            <sz val="9"/>
            <color indexed="81"/>
            <rFont val="Tahoma"/>
            <family val="2"/>
          </rPr>
          <t xml:space="preserve">
Title duplicates are common when pulling data about books in sets. The title will usually be for the set and not the individual volume in the set.
There is nothing wrong with having duplicate titles. If you would like to distinguish individual tiltes in a set, you may:
1. add the title of the volume after the set title.
2. replace the set title with the title of the individual volume.
3. add a volume number after the set title.</t>
        </r>
      </text>
    </comment>
    <comment ref="AD6" authorId="0" shapeId="0" xr:uid="{60C658E8-E3CB-42CF-A09E-31A6D2771C07}">
      <text>
        <r>
          <rPr>
            <b/>
            <sz val="9"/>
            <color indexed="81"/>
            <rFont val="Tahoma"/>
            <family val="2"/>
          </rPr>
          <t xml:space="preserve">Adam H. Lisbon:
</t>
        </r>
        <r>
          <rPr>
            <sz val="9"/>
            <color indexed="81"/>
            <rFont val="Tahoma"/>
            <family val="2"/>
          </rPr>
          <t xml:space="preserve">Non-Roman series titles can only be obtained in FirstSearch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Adam H. Lisbon</author>
  </authors>
  <commentList>
    <comment ref="N1" authorId="0" shapeId="0" xr:uid="{93FD5F2A-2A85-4A2E-8C52-C6DD97D8CB78}">
      <text>
        <r>
          <rPr>
            <b/>
            <sz val="9"/>
            <color indexed="81"/>
            <rFont val="Tahoma"/>
            <family val="2"/>
          </rPr>
          <t>Adam H. Lisbon:</t>
        </r>
        <r>
          <rPr>
            <sz val="9"/>
            <color indexed="81"/>
            <rFont val="Tahoma"/>
            <family val="2"/>
          </rPr>
          <t xml:space="preserve">
Normalized Range</t>
        </r>
      </text>
    </comment>
    <comment ref="O1" authorId="0" shapeId="0" xr:uid="{9D0D54FB-68C5-4BBA-9D0B-D0CC410600B9}">
      <text>
        <r>
          <rPr>
            <b/>
            <sz val="9"/>
            <color indexed="81"/>
            <rFont val="Tahoma"/>
            <family val="2"/>
          </rPr>
          <t>Adam H. Lisbon:</t>
        </r>
        <r>
          <rPr>
            <sz val="9"/>
            <color indexed="81"/>
            <rFont val="Tahoma"/>
            <family val="2"/>
          </rPr>
          <t xml:space="preserve">
Zeros removed</t>
        </r>
      </text>
    </comment>
    <comment ref="Q1" authorId="0" shapeId="0" xr:uid="{4A4444F4-BD77-4826-8897-D808CF98F581}">
      <text>
        <r>
          <rPr>
            <b/>
            <sz val="9"/>
            <color indexed="81"/>
            <rFont val="Tahoma"/>
            <family val="2"/>
          </rPr>
          <t>Adam H. Lisbon:</t>
        </r>
        <r>
          <rPr>
            <sz val="9"/>
            <color indexed="81"/>
            <rFont val="Tahoma"/>
            <family val="2"/>
          </rPr>
          <t xml:space="preserve">
Floor</t>
        </r>
      </text>
    </comment>
    <comment ref="S1" authorId="0" shapeId="0" xr:uid="{C988A7EC-F3D0-463F-AA9A-1AD94EF9D853}">
      <text>
        <r>
          <rPr>
            <b/>
            <sz val="9"/>
            <color indexed="81"/>
            <rFont val="Tahoma"/>
            <family val="2"/>
          </rPr>
          <t>Adam H. Lisbon:</t>
        </r>
        <r>
          <rPr>
            <sz val="9"/>
            <color indexed="81"/>
            <rFont val="Tahoma"/>
            <family val="2"/>
          </rPr>
          <t xml:space="preserve">
Ceiling</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1"/>
        </ext>
      </extLst>
    </bk>
    <bk>
      <extLst>
        <ext uri="{3e2802c4-a4d2-4d8b-9148-e3be6c30e623}">
          <xlrd:rvb i="3"/>
        </ext>
      </extLst>
    </bk>
    <bk>
      <extLst>
        <ext uri="{3e2802c4-a4d2-4d8b-9148-e3be6c30e623}">
          <xlrd:rvb i="5"/>
        </ext>
      </extLst>
    </bk>
    <bk>
      <extLst>
        <ext uri="{3e2802c4-a4d2-4d8b-9148-e3be6c30e623}">
          <xlrd:rvb i="6"/>
        </ext>
      </extLst>
    </bk>
    <bk>
      <extLst>
        <ext uri="{3e2802c4-a4d2-4d8b-9148-e3be6c30e623}">
          <xlrd:rvb i="7"/>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<sst xmlns="http://schemas.openxmlformats.org/spreadsheetml/2006/main" count="2677" uniqueCount="1327">
  <si>
    <t>9</t>
  </si>
  <si>
    <t>Value Analysis</t>
  </si>
  <si>
    <t>Other Data</t>
  </si>
  <si>
    <t>Volume Data</t>
  </si>
  <si>
    <t>Duplicate Check</t>
  </si>
  <si>
    <t>Identifiers</t>
  </si>
  <si>
    <t>Language Data</t>
  </si>
  <si>
    <t>Bibliographic Data</t>
  </si>
  <si>
    <t>Price Data</t>
  </si>
  <si>
    <t>Currency Conversions</t>
  </si>
  <si>
    <t>Set Currency</t>
  </si>
  <si>
    <t>1</t>
  </si>
  <si>
    <t>2</t>
  </si>
  <si>
    <t>3</t>
  </si>
  <si>
    <t>4</t>
  </si>
  <si>
    <t>5</t>
  </si>
  <si>
    <t>6</t>
  </si>
  <si>
    <t>7</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</si>
  <si>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</si>
  <si>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</si>
  <si>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</si>
  <si>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</si>
  <si>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</si>
  <si>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</si>
  <si>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</si>
  <si>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</si>
  <si>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</si>
  <si>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</si>
  <si>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</si>
  <si>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</si>
  <si>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</si>
  <si>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</si>
  <si>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</si>
  <si>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</si>
  <si>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</si>
  <si>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</si>
  <si>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</si>
  <si>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</si>
  <si>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</si>
  <si>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</si>
  <si>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</si>
  <si>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</si>
  <si>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</si>
  <si>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</si>
  <si>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</si>
  <si>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</si>
  <si>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</si>
  <si>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Add additional currencies as needed</t>
  </si>
  <si>
    <t>req.</t>
  </si>
  <si>
    <t>free</t>
  </si>
  <si>
    <t>formatted</t>
  </si>
  <si>
    <t>macro</t>
  </si>
  <si>
    <t xml:space="preserve">macro </t>
  </si>
  <si>
    <t>formula</t>
  </si>
  <si>
    <t>Key</t>
  </si>
  <si>
    <t>b</t>
  </si>
  <si>
    <t>c</t>
  </si>
  <si>
    <t>d</t>
  </si>
  <si>
    <t>e</t>
  </si>
  <si>
    <t>f</t>
  </si>
  <si>
    <t>Note</t>
  </si>
  <si>
    <t>URL for Price Check</t>
  </si>
  <si>
    <t>Collection</t>
  </si>
  <si>
    <t>Volume</t>
  </si>
  <si>
    <t>上中下</t>
  </si>
  <si>
    <t>Issue</t>
  </si>
  <si>
    <t>Total
Vols</t>
  </si>
  <si>
    <t>Dupe ISBN Check</t>
  </si>
  <si>
    <t>Dupe
Title
Check</t>
  </si>
  <si>
    <t>Dupe Check in FS</t>
  </si>
  <si>
    <t>Other Libraries with Item</t>
  </si>
  <si>
    <t>ISBN10#/
ISSN#</t>
  </si>
  <si>
    <t>OCLC#</t>
  </si>
  <si>
    <t>Langauge</t>
  </si>
  <si>
    <t>Translated Title (Unofficial)</t>
  </si>
  <si>
    <t>Title (R/E)</t>
  </si>
  <si>
    <t>Title (N)</t>
  </si>
  <si>
    <t>Pub Date (N)</t>
  </si>
  <si>
    <t>Creator (R/E)</t>
  </si>
  <si>
    <t>Creator (N)</t>
  </si>
  <si>
    <t>Series (R/E)</t>
  </si>
  <si>
    <t>Series (N)</t>
  </si>
  <si>
    <t>Publisher (R/E)</t>
  </si>
  <si>
    <t>Publisher (N)</t>
  </si>
  <si>
    <t>Edition (RE)</t>
  </si>
  <si>
    <t>Edition (N)</t>
  </si>
  <si>
    <t>Subject Headings</t>
  </si>
  <si>
    <t>Your Currency</t>
  </si>
  <si>
    <t>Currency</t>
  </si>
  <si>
    <t>Local Currency</t>
  </si>
  <si>
    <t>Code</t>
  </si>
  <si>
    <t>Conversion</t>
  </si>
  <si>
    <t>Exchange Rate</t>
  </si>
  <si>
    <t>n/a</t>
  </si>
  <si>
    <t>reject</t>
  </si>
  <si>
    <t>n</t>
  </si>
  <si>
    <t>2003</t>
  </si>
  <si>
    <t>The Japan Foundation</t>
  </si>
  <si>
    <t>cny</t>
  </si>
  <si>
    <t>usd</t>
  </si>
  <si>
    <t>1992</t>
  </si>
  <si>
    <t>NHK bideo kyōzai</t>
  </si>
  <si>
    <t>Hatsubai</t>
  </si>
  <si>
    <t>jpy</t>
  </si>
  <si>
    <t>krw</t>
  </si>
  <si>
    <t>dupe</t>
  </si>
  <si>
    <t>1971</t>
  </si>
  <si>
    <t>1984-1985</t>
  </si>
  <si>
    <t>Asian language series</t>
  </si>
  <si>
    <t>Published For University Of Maryland University College [By] University Of Hawaii Press</t>
  </si>
  <si>
    <t>1994</t>
  </si>
  <si>
    <t>Mcgraw-hill</t>
  </si>
  <si>
    <t>1999</t>
  </si>
  <si>
    <t>Mcgraw Hill</t>
  </si>
  <si>
    <t>1993</t>
  </si>
  <si>
    <t>1995</t>
  </si>
  <si>
    <t>1991</t>
  </si>
  <si>
    <t>Japan Times</t>
  </si>
  <si>
    <t>1988-1990</t>
  </si>
  <si>
    <t>Course in modern Japanese</t>
  </si>
  <si>
    <t>Nagoya Daigaku Shuppankai</t>
  </si>
  <si>
    <t>名古屋大学出版会</t>
  </si>
  <si>
    <t>1987</t>
  </si>
  <si>
    <t>Bonjinsha</t>
  </si>
  <si>
    <t>凡人社</t>
  </si>
  <si>
    <t>Aruku no Nihongo tekisuto</t>
  </si>
  <si>
    <t>アルクの日本語テキスト</t>
  </si>
  <si>
    <t>Bonjinsha Co.</t>
  </si>
  <si>
    <t>1989</t>
  </si>
  <si>
    <t>1990</t>
  </si>
  <si>
    <t>Distributed In The U.s. By Kōdansha International/usa</t>
  </si>
  <si>
    <t>1986</t>
  </si>
  <si>
    <t>1998</t>
  </si>
  <si>
    <t>ZZ</t>
  </si>
  <si>
    <t>Houghton Mifflin Co.</t>
  </si>
  <si>
    <t>2001</t>
  </si>
  <si>
    <t>Tōkyō Daigaku Shuppankai</t>
  </si>
  <si>
    <t>東京大学出版会</t>
  </si>
  <si>
    <t>1984</t>
  </si>
  <si>
    <t>Exclusive Distributor In The U.s.a.</t>
  </si>
  <si>
    <t>Exclusive distributor in the U.S.A.</t>
  </si>
  <si>
    <t>asnst</t>
  </si>
  <si>
    <t>Aratake Shuppan</t>
  </si>
  <si>
    <t>荒竹出版</t>
  </si>
  <si>
    <t>Yale language series</t>
  </si>
  <si>
    <t>Yale University Press</t>
  </si>
  <si>
    <t>Surīē Nettowāku</t>
  </si>
  <si>
    <t>スリ-エ-ネットワ-ク</t>
  </si>
  <si>
    <t>Aruku</t>
  </si>
  <si>
    <t>アルク</t>
  </si>
  <si>
    <t>1997</t>
  </si>
  <si>
    <t>American Translators Association</t>
  </si>
  <si>
    <t>Harcourt Brace Jovanovich Japan</t>
  </si>
  <si>
    <t>Nihongo kyōiku shiryō shirīzu</t>
  </si>
  <si>
    <t>日本語敎育資料シリーズ. コミュニケーション重視の学習活動</t>
  </si>
  <si>
    <t>SOHO Bukkusu; &lt;/font&gt;</t>
  </si>
  <si>
    <t>SOHOブックス</t>
  </si>
  <si>
    <t>Saibizu</t>
  </si>
  <si>
    <t>サイビズ</t>
  </si>
  <si>
    <t>1988</t>
  </si>
  <si>
    <t>Sanseidō</t>
  </si>
  <si>
    <t>三省堂</t>
  </si>
  <si>
    <t>asnref</t>
  </si>
  <si>
    <t>Tuttle Publishing</t>
  </si>
  <si>
    <t>1976</t>
  </si>
  <si>
    <t>Iwanami Shoten</t>
  </si>
  <si>
    <t>岩波書店</t>
  </si>
  <si>
    <t>Kōdansha</t>
  </si>
  <si>
    <t>講談社</t>
  </si>
  <si>
    <t>1978</t>
  </si>
  <si>
    <t>Gakushū Kenkyuūsha</t>
  </si>
  <si>
    <t>学習研究社</t>
  </si>
  <si>
    <t>Taishūkan Shoten</t>
  </si>
  <si>
    <t>大修館書店</t>
  </si>
  <si>
    <t>1983</t>
  </si>
  <si>
    <t>Oxford University Press</t>
  </si>
  <si>
    <t>1987-</t>
  </si>
  <si>
    <t>Gaikokujin no tame no Nihongo reibun mondai shirīzu</t>
  </si>
  <si>
    <t>外国人のための日本語例文・問題シリ-ズ</t>
  </si>
  <si>
    <t>荒竹 出版</t>
  </si>
  <si>
    <t>Aratake Shoten</t>
  </si>
  <si>
    <t>1981</t>
  </si>
  <si>
    <t>Hokuseido Press</t>
  </si>
  <si>
    <t>北星堂書店</t>
  </si>
  <si>
    <t>The Japan Times</t>
  </si>
  <si>
    <t>1977</t>
  </si>
  <si>
    <t>Tuttle</t>
  </si>
  <si>
    <t>?</t>
  </si>
  <si>
    <t>1988-</t>
  </si>
  <si>
    <t>Mizutani, Osamu,; 1932-2014</t>
  </si>
  <si>
    <t>水谷修, 1932-2014. Nihongo notes</t>
  </si>
  <si>
    <t>Japan Taimuzu</t>
  </si>
  <si>
    <t>ジャパンタイムズ</t>
  </si>
  <si>
    <t>1977-</t>
  </si>
  <si>
    <t>Tōkyōdō Shuppan</t>
  </si>
  <si>
    <t>東京堂出版</t>
  </si>
  <si>
    <t>1954</t>
  </si>
  <si>
    <t>Tōkyōdō</t>
  </si>
  <si>
    <t>東京堂</t>
  </si>
  <si>
    <t>1972</t>
  </si>
  <si>
    <t>Wu Fu</t>
  </si>
  <si>
    <t>五福</t>
  </si>
  <si>
    <t>Gakken</t>
  </si>
  <si>
    <t>Power Japanese series</t>
  </si>
  <si>
    <t>Kōdansha International</t>
  </si>
  <si>
    <t>2002</t>
  </si>
  <si>
    <t>Kodansha dictionary</t>
  </si>
  <si>
    <t>Kōdansha Intānashonaru</t>
  </si>
  <si>
    <t>1965</t>
  </si>
  <si>
    <t>Kanehara [Showa 40 Nen]</t>
  </si>
  <si>
    <t>金原出版株式会社</t>
  </si>
  <si>
    <t>1970</t>
  </si>
  <si>
    <t>Kondō Shuppansha</t>
  </si>
  <si>
    <t>近藤出版社</t>
  </si>
  <si>
    <t>1975</t>
  </si>
  <si>
    <t>Bunkōdō</t>
  </si>
  <si>
    <t>文光堂</t>
  </si>
  <si>
    <t>1974</t>
  </si>
  <si>
    <t>1963</t>
  </si>
  <si>
    <t>Kenkyūsha</t>
  </si>
  <si>
    <t>1964</t>
  </si>
  <si>
    <t>Kenkyusha</t>
  </si>
  <si>
    <t>硏究社</t>
  </si>
  <si>
    <t>Da Xin Shu Ju</t>
  </si>
  <si>
    <t>大新書局</t>
  </si>
  <si>
    <t>東京</t>
  </si>
  <si>
    <t>Nihon jijō shirizu</t>
  </si>
  <si>
    <t>日本事情シリーズ</t>
  </si>
  <si>
    <t>Senmon Kyōiku Shuppan</t>
  </si>
  <si>
    <t>專門教育出版</t>
  </si>
  <si>
    <t>Shokyū Nihongo mondaishū</t>
  </si>
  <si>
    <t>初級日本語問題集</t>
  </si>
  <si>
    <t>Aruku no Nihongo tekisuto = ALC Press Japanese textbook series; &lt;/font&gt;</t>
  </si>
  <si>
    <t>アルクの日本語テキスト = ALC Press Japanese textbook series</t>
  </si>
  <si>
    <t>専門敎育出版</t>
  </si>
  <si>
    <t>2005</t>
  </si>
  <si>
    <t>Hatsubaimoto Senmon Kyōiku Shuppan</t>
  </si>
  <si>
    <t>発売元専門敎育出版</t>
  </si>
  <si>
    <t>2006</t>
  </si>
  <si>
    <t>Āku Akademī</t>
  </si>
  <si>
    <t>Senmonkyōiku Shuppan</t>
  </si>
  <si>
    <t>Shinjuku Nihongo Gakkō</t>
  </si>
  <si>
    <t>新宿日本語学校</t>
  </si>
  <si>
    <t>Nihon jijo shirizu; &lt;/font&gt;</t>
  </si>
  <si>
    <t>Aruku no Nihongo tekisuto =ALC Press Japanese textbook series</t>
  </si>
  <si>
    <t>アルクの日本語あテキスト. アルクの日本語テキスト</t>
  </si>
  <si>
    <t>ReachnewheightsinJapanese;</t>
  </si>
  <si>
    <t>Hokkaidō Daigaku. Japanese Language Research Group</t>
  </si>
  <si>
    <t>1990-1994?</t>
  </si>
  <si>
    <t>Japan Forum</t>
  </si>
  <si>
    <t>1949-?</t>
  </si>
  <si>
    <t>Asahi Shinbunsha</t>
  </si>
  <si>
    <t>朝日新聞社</t>
  </si>
  <si>
    <t>1996</t>
  </si>
  <si>
    <t>Shakai Hyōronsha</t>
  </si>
  <si>
    <t>社会評論社</t>
  </si>
  <si>
    <t>1979</t>
  </si>
  <si>
    <t>Komyunikēshon no tame no Nihongo I</t>
  </si>
  <si>
    <t>コミュケ-ションのための日本語 I</t>
  </si>
  <si>
    <t>Kondansha International</t>
  </si>
  <si>
    <t>Distributed In The U.s. By Kōdansha America</t>
  </si>
  <si>
    <t>dvd</t>
  </si>
  <si>
    <t>De Bao</t>
  </si>
  <si>
    <t>得寶</t>
  </si>
  <si>
    <t>2008</t>
  </si>
  <si>
    <t>East Asian film collection</t>
  </si>
  <si>
    <t>Cinema Epoch</t>
  </si>
  <si>
    <t>World films (MGM Home Entertainment Inc</t>
  </si>
  <si>
    <t>Mgm Home Entertainment</t>
  </si>
  <si>
    <t>pascal</t>
  </si>
  <si>
    <t>Planet</t>
  </si>
  <si>
    <t>PLANET</t>
  </si>
  <si>
    <t>2010</t>
  </si>
  <si>
    <t>Retro Flix</t>
  </si>
  <si>
    <t>Distributed By Kino Lorber</t>
  </si>
  <si>
    <t>Fox film noir</t>
  </si>
  <si>
    <t>Twentieth Century Fox Home Entertainment Llc</t>
  </si>
  <si>
    <t>Criterion collection</t>
  </si>
  <si>
    <t>Voyager Co.</t>
  </si>
  <si>
    <t>Nippon, the land and its people</t>
  </si>
  <si>
    <t>Shin-el</t>
  </si>
  <si>
    <t>C. Itoh &amp; Co. (America)</t>
  </si>
  <si>
    <t>Bonjinsha(hatsubai)</t>
  </si>
  <si>
    <t>凡人社(発売)</t>
  </si>
  <si>
    <t>1982</t>
  </si>
  <si>
    <t>Gakken manga, jiten shirīzu; &lt;/font&gt;</t>
  </si>
  <si>
    <t>学研まんが, 事典シリーズ</t>
  </si>
  <si>
    <t>Gakushū Kenkyūsha</t>
  </si>
  <si>
    <t>19??</t>
  </si>
  <si>
    <t>Manga mini jiten shirīzu</t>
  </si>
  <si>
    <t>まんがミニじてんシリーズ</t>
  </si>
  <si>
    <t>Dōonsha</t>
  </si>
  <si>
    <t>童音社</t>
  </si>
  <si>
    <t>加藤中道館</t>
  </si>
  <si>
    <t>Kadokawa</t>
  </si>
  <si>
    <t>Tairiku Shobō</t>
  </si>
  <si>
    <t>大陸書房</t>
  </si>
  <si>
    <t>Sekai gendaishi bunko</t>
  </si>
  <si>
    <t>世界現代詩文庫</t>
  </si>
  <si>
    <t>Doyō Bijutsuhsa Shuppan Hanbai</t>
  </si>
  <si>
    <t>土曜美術出版販売</t>
  </si>
  <si>
    <t>Yorimichi pan!se</t>
  </si>
  <si>
    <t>よりみちパン! セ</t>
  </si>
  <si>
    <t>Rironsha</t>
  </si>
  <si>
    <t>理論社</t>
  </si>
  <si>
    <t>Z-kai peburu senshō</t>
  </si>
  <si>
    <t>Z会ペブル選書</t>
  </si>
  <si>
    <t>Zōshinkai Suppansha</t>
  </si>
  <si>
    <t>増進会出版社</t>
  </si>
  <si>
    <t>Tōyō Keizai Shinpōsha</t>
  </si>
  <si>
    <t>東洋経済新報社</t>
  </si>
  <si>
    <t>1985</t>
  </si>
  <si>
    <t>Kōsakusha</t>
  </si>
  <si>
    <t>工作舎</t>
  </si>
  <si>
    <t>Meikai shirīzu</t>
  </si>
  <si>
    <t>明解シり-ズ</t>
  </si>
  <si>
    <t>Yūhōdō</t>
  </si>
  <si>
    <t>有朋堂</t>
  </si>
  <si>
    <t>Rakuyōsha</t>
  </si>
  <si>
    <t>2000</t>
  </si>
  <si>
    <t>Kōdansha sensho mechie</t>
  </si>
  <si>
    <t>講談社選書メチエ</t>
  </si>
  <si>
    <t>Php Kenkyūjo</t>
  </si>
  <si>
    <t>PHP 研究所</t>
  </si>
  <si>
    <t>1968</t>
  </si>
  <si>
    <t>Shinchō sensho</t>
  </si>
  <si>
    <t>新潮選書</t>
  </si>
  <si>
    <t>Shinchōsha</t>
  </si>
  <si>
    <t>新潮社</t>
  </si>
  <si>
    <t>2007</t>
  </si>
  <si>
    <t>Asahi sensho</t>
  </si>
  <si>
    <t>朝日選書</t>
  </si>
  <si>
    <t>Kawade Shobō Shinsha</t>
  </si>
  <si>
    <t>河出書房新社</t>
  </si>
  <si>
    <t>Nihon Bungeisha</t>
  </si>
  <si>
    <t>日本文芸社</t>
  </si>
  <si>
    <t>Shōgakkan</t>
  </si>
  <si>
    <t>小学館</t>
  </si>
  <si>
    <t>Kadokawa Shoten</t>
  </si>
  <si>
    <t>角川書店</t>
  </si>
  <si>
    <t>Bungei Shunjū</t>
  </si>
  <si>
    <t>文芸春秋</t>
  </si>
  <si>
    <t>文藝春秋</t>
  </si>
  <si>
    <t>Gakutōsha</t>
  </si>
  <si>
    <t>学燈社</t>
  </si>
  <si>
    <t>Shibundō</t>
  </si>
  <si>
    <t>至文堂</t>
  </si>
  <si>
    <t>1982-1983</t>
  </si>
  <si>
    <t>1969</t>
  </si>
  <si>
    <t>Hihyō no hōhō</t>
  </si>
  <si>
    <t>批評の方法</t>
  </si>
  <si>
    <t>Taishūkanshoten</t>
  </si>
  <si>
    <t>Ribun Shuppan</t>
  </si>
  <si>
    <t>里文出版</t>
  </si>
  <si>
    <t>1973</t>
  </si>
  <si>
    <t>東京 新潮社 昭和48 (1973)</t>
  </si>
  <si>
    <t>Bunshun bunko</t>
  </si>
  <si>
    <t>文春文庫</t>
  </si>
  <si>
    <t>Kadokawa shōjiten</t>
  </si>
  <si>
    <t>角川小辞典</t>
  </si>
  <si>
    <t>Chikuma Shobō</t>
  </si>
  <si>
    <t>筑摩書房</t>
  </si>
  <si>
    <t>Tibīesuburitanika</t>
  </si>
  <si>
    <t>ティビーエス・ブリタニカ</t>
  </si>
  <si>
    <t>Shinchō Nihon bungaku arubamu</t>
  </si>
  <si>
    <t>新潮日本文学アルバム</t>
  </si>
  <si>
    <t>Chūkō sosho; &lt;/font&gt;</t>
  </si>
  <si>
    <t>中公叢書</t>
  </si>
  <si>
    <t>Chūō Kōronsha</t>
  </si>
  <si>
    <t>中央公論社</t>
  </si>
  <si>
    <t>Bungei geijutsu no hon; &lt;/font&gt;</t>
  </si>
  <si>
    <t>文芸.芸術の本</t>
  </si>
  <si>
    <t>Fujimori Shoten</t>
  </si>
  <si>
    <t>藤森書店</t>
  </si>
  <si>
    <t>Shūeisha</t>
  </si>
  <si>
    <t>集英社</t>
  </si>
  <si>
    <t>Kōfūsha Shoten</t>
  </si>
  <si>
    <t>光風社書店</t>
  </si>
  <si>
    <t>1956</t>
  </si>
  <si>
    <t>Tabata Shoten</t>
  </si>
  <si>
    <t>田畑書店</t>
  </si>
  <si>
    <t>Shinbisha</t>
  </si>
  <si>
    <t>審美社</t>
  </si>
  <si>
    <t>Kodansha sophia books</t>
  </si>
  <si>
    <t>Sairyūsha</t>
  </si>
  <si>
    <t>彩流社</t>
  </si>
  <si>
    <t>批評の方法 / スタンレー・ハイマン著</t>
  </si>
  <si>
    <t>Taishūkan</t>
  </si>
  <si>
    <t>大修館</t>
  </si>
  <si>
    <t>Fukutake Shoten</t>
  </si>
  <si>
    <t>福武書店</t>
  </si>
  <si>
    <t>Fukutake books</t>
  </si>
  <si>
    <t>Foto Rivuru</t>
  </si>
  <si>
    <t>フォト・リーヴル</t>
  </si>
  <si>
    <t>Fotopuranetto</t>
  </si>
  <si>
    <t>河出書房新社(発売)</t>
  </si>
  <si>
    <t>朝曰新聞社</t>
  </si>
  <si>
    <t>Miura Ayako sakuhinshū</t>
  </si>
  <si>
    <t>三浦綾子作品集</t>
  </si>
  <si>
    <t>早川書房</t>
  </si>
  <si>
    <t>Kadokawa bunko</t>
  </si>
  <si>
    <t>角川文庫</t>
  </si>
  <si>
    <t>Nihon Hosō Shuppan Kyōkai</t>
  </si>
  <si>
    <t>日本放送出版協会</t>
  </si>
  <si>
    <t>Kōbundō</t>
  </si>
  <si>
    <t>弘文堂</t>
  </si>
  <si>
    <t>Keiō Gijuku Daigaku Shuppankai</t>
  </si>
  <si>
    <t>1980</t>
  </si>
  <si>
    <t>Nihon Hoso Shuppan Kyokai</t>
  </si>
  <si>
    <t>日本放送出版会</t>
  </si>
  <si>
    <t>japan</t>
  </si>
  <si>
    <t>Saimaru Shuppankai</t>
  </si>
  <si>
    <t>サイマル出版会</t>
  </si>
  <si>
    <t>Yūhikaku</t>
  </si>
  <si>
    <t>Ōtsuki Shoten</t>
  </si>
  <si>
    <t>大月書店</t>
  </si>
  <si>
    <t>ダイヤモンド社</t>
  </si>
  <si>
    <t>Kōdansha bijinesu</t>
  </si>
  <si>
    <t>講談社ビジネス</t>
  </si>
  <si>
    <t>Yūshindō</t>
  </si>
  <si>
    <t>有信堂</t>
  </si>
  <si>
    <t>Waseda Daigaku Shuppanbu</t>
  </si>
  <si>
    <t>早稲田大学出版部</t>
  </si>
  <si>
    <t>Shirīzu Genji daigaku</t>
  </si>
  <si>
    <t>シリ-ズ源氏大学</t>
  </si>
  <si>
    <t>Ryūkyū geinō zenshū</t>
  </si>
  <si>
    <t>琉球芸能全集</t>
  </si>
  <si>
    <t>Okinawa Sha</t>
  </si>
  <si>
    <t>Shinchō bunko</t>
  </si>
  <si>
    <t>新潮文庫</t>
  </si>
  <si>
    <t>徳間書店</t>
  </si>
  <si>
    <t>Shin Jinbutsu Ōraisha</t>
  </si>
  <si>
    <t>新人物住来社</t>
  </si>
  <si>
    <t>2009</t>
  </si>
  <si>
    <t>Merukumāru</t>
  </si>
  <si>
    <t>番町書房</t>
  </si>
  <si>
    <t>學燈社</t>
  </si>
  <si>
    <t>Kōbunsha</t>
  </si>
  <si>
    <t>光文社</t>
  </si>
  <si>
    <t>Shiki Shuppan</t>
  </si>
  <si>
    <t>史輝出版</t>
  </si>
  <si>
    <t>1961</t>
  </si>
  <si>
    <t>Shimizu Shoin</t>
  </si>
  <si>
    <t>清水書院</t>
  </si>
  <si>
    <t xml:space="preserve"> Shoten</t>
  </si>
  <si>
    <t>asnt</t>
  </si>
  <si>
    <t>Shin'yōsha</t>
  </si>
  <si>
    <t>新曜社</t>
  </si>
  <si>
    <t>Ootori Shobō</t>
  </si>
  <si>
    <t>鳳書房</t>
  </si>
  <si>
    <t>2004</t>
  </si>
  <si>
    <t>Shinkansha</t>
  </si>
  <si>
    <t>新幹社</t>
  </si>
  <si>
    <t>Modern Japanese authors</t>
  </si>
  <si>
    <t>現代日本文学英訳選集</t>
  </si>
  <si>
    <t>Hara Shobō</t>
  </si>
  <si>
    <t>原書房</t>
  </si>
  <si>
    <t>Jinbun Shoin</t>
  </si>
  <si>
    <t>人文書院</t>
  </si>
  <si>
    <t>Tokuma Shoten</t>
  </si>
  <si>
    <t>Gakubunsha</t>
  </si>
  <si>
    <t>学文社</t>
  </si>
  <si>
    <t>Miraisha</t>
  </si>
  <si>
    <t>未来社</t>
  </si>
  <si>
    <t>Somosomo sōsho</t>
  </si>
  <si>
    <t>そもそも双書</t>
  </si>
  <si>
    <t>Seidosha</t>
  </si>
  <si>
    <t>青土社</t>
  </si>
  <si>
    <t>Seiga Shobō</t>
  </si>
  <si>
    <t>青娥書房</t>
  </si>
  <si>
    <t>Ri ben wen xue cong shu.</t>
  </si>
  <si>
    <t>日本文学丛书</t>
  </si>
  <si>
    <t>Ren Min Wen Xue Chu Ban She</t>
  </si>
  <si>
    <t>人民文学出版社</t>
  </si>
  <si>
    <t>Kōdansha bungei bunko</t>
  </si>
  <si>
    <t>講談社文芸文庫</t>
  </si>
  <si>
    <t>Kokusho Kankōkai</t>
  </si>
  <si>
    <t>国書刊行会</t>
  </si>
  <si>
    <t>Sōshisha</t>
  </si>
  <si>
    <t>草思社</t>
  </si>
  <si>
    <t>Taiwan Gendai Shijin Shirīzu</t>
  </si>
  <si>
    <t>台湾現代詩人シリーズ</t>
  </si>
  <si>
    <t>Shichōsha</t>
  </si>
  <si>
    <t>思潮社</t>
  </si>
  <si>
    <t>Misuzu Shobō</t>
  </si>
  <si>
    <t>みすず書房</t>
  </si>
  <si>
    <t>Sōgensha</t>
  </si>
  <si>
    <t>創元社</t>
  </si>
  <si>
    <t>Kōdansha bunko</t>
  </si>
  <si>
    <t>講談社文庫</t>
  </si>
  <si>
    <t>2015</t>
  </si>
  <si>
    <t>Kabushiki Kaisha Kadokawa</t>
  </si>
  <si>
    <t>Heibonsha</t>
  </si>
  <si>
    <t>平凡社</t>
  </si>
  <si>
    <t>Shūeisha bunko</t>
  </si>
  <si>
    <t>集英社文庫</t>
  </si>
  <si>
    <t>研究社出版</t>
  </si>
  <si>
    <t>Seikyūsha raiburarī</t>
  </si>
  <si>
    <t>靑弓社ライブラリー</t>
  </si>
  <si>
    <t>Seikyūsha</t>
  </si>
  <si>
    <t>靑弓社</t>
  </si>
  <si>
    <t>Tbs Buritanika</t>
  </si>
  <si>
    <t>TBSブリタニカ</t>
  </si>
  <si>
    <t>Sekaishiso seminar</t>
  </si>
  <si>
    <t>Sekai Shisōsha</t>
  </si>
  <si>
    <t>世界思想社</t>
  </si>
  <si>
    <t>Kodansha philosophia</t>
  </si>
  <si>
    <t>Hihyo no hoho</t>
  </si>
  <si>
    <t>批評の方法スタンレー・ハイマン著</t>
  </si>
  <si>
    <t>Birejji Sentā Shuppankyoku</t>
  </si>
  <si>
    <t>1962</t>
  </si>
  <si>
    <t>Kadokawa sensho</t>
  </si>
  <si>
    <t>角川選書</t>
  </si>
  <si>
    <t>Hatsubaimoto Bungei Shunjū</t>
  </si>
  <si>
    <t>発売元 文藝春秋</t>
  </si>
  <si>
    <t>Shirīzu kokusai kōryū</t>
  </si>
  <si>
    <t>シリ-ズ国際交流</t>
  </si>
  <si>
    <t>Hatsubai Yamakawa Shuppansha</t>
  </si>
  <si>
    <t>発売山川出版社</t>
  </si>
  <si>
    <t>Kasama Shoin</t>
  </si>
  <si>
    <t>笠間書院</t>
  </si>
  <si>
    <t>1977-1984</t>
  </si>
  <si>
    <t>Kōdansha</t>
  </si>
  <si>
    <t>風響社</t>
  </si>
  <si>
    <t>勁草書房</t>
  </si>
  <si>
    <t>1969-1972</t>
  </si>
  <si>
    <t>Jinbutsu kindai joseishi onna no isshō</t>
  </si>
  <si>
    <t>人物近代女性史女の一生</t>
  </si>
  <si>
    <t>Onna no isshō</t>
  </si>
  <si>
    <t>女の一生</t>
  </si>
  <si>
    <t>1966</t>
  </si>
  <si>
    <t>Nihon no Bungaku</t>
  </si>
  <si>
    <t>日本の文学</t>
  </si>
  <si>
    <t>1978-1981</t>
  </si>
  <si>
    <t>Benseisha</t>
  </si>
  <si>
    <t>勉誠社</t>
  </si>
  <si>
    <t>1967</t>
  </si>
  <si>
    <t>Gendai bungaku taikei</t>
  </si>
  <si>
    <t>現代文学大系</t>
  </si>
  <si>
    <t>Chikuma gendai bungaku taikei</t>
  </si>
  <si>
    <t>筑摩現代文学大系</t>
  </si>
  <si>
    <t>Nōberu Shobō</t>
  </si>
  <si>
    <t>ノ-ベル書房</t>
  </si>
  <si>
    <t>Nihon bungaku zenshū</t>
  </si>
  <si>
    <t>日本文学全集</t>
  </si>
  <si>
    <t>Meiji Shoin</t>
  </si>
  <si>
    <t>明治書院</t>
  </si>
  <si>
    <t>1962-1963</t>
  </si>
  <si>
    <t>Gendai Nihon bungaku zenshū. Hokan</t>
  </si>
  <si>
    <t>現代日本文學全集. 補卷</t>
  </si>
  <si>
    <t>Sōhatsubaimoto Horupu</t>
  </si>
  <si>
    <t>総発売元 ほるぷ</t>
  </si>
  <si>
    <t>Daishūkan Shoten</t>
  </si>
  <si>
    <t>Nihon bungaku kenkyū shiryō sōsho</t>
  </si>
  <si>
    <t>日本文学研究資料叢書</t>
  </si>
  <si>
    <t>Yūseidō</t>
  </si>
  <si>
    <t>有精堂</t>
  </si>
  <si>
    <t>1958</t>
  </si>
  <si>
    <t>Nihon kokumin bungaku zenshū</t>
  </si>
  <si>
    <t>日本国民文学全集</t>
  </si>
  <si>
    <t>Nihon kindai bungaku taikei</t>
  </si>
  <si>
    <t>日本近代文学大系</t>
  </si>
  <si>
    <t>Kyōiku Shuppan Sentā</t>
  </si>
  <si>
    <t>教育出版センター</t>
  </si>
  <si>
    <t>Shōwa bungaku zenshū</t>
  </si>
  <si>
    <t>昭和文学全集</t>
  </si>
  <si>
    <t>1971-1987</t>
  </si>
  <si>
    <t>Shinchō Nihon bungaku</t>
  </si>
  <si>
    <t>新潮日本文学</t>
  </si>
  <si>
    <t>1959-1965</t>
  </si>
  <si>
    <t>Morikawa Tatsuya hyōron shūsei</t>
  </si>
  <si>
    <t>森川達也評論集成</t>
  </si>
  <si>
    <t>1975-1976</t>
  </si>
  <si>
    <t>1986-1990</t>
  </si>
  <si>
    <t>Taiwan zuo jia quan ji. Duan pian xiao shuo juan. Ri ju shi dai</t>
  </si>
  <si>
    <t>台灣作家全集. 短篇小說卷. 日據時代</t>
  </si>
  <si>
    <t>Qian Wei Chu Ban She</t>
  </si>
  <si>
    <t>前衛出版社</t>
  </si>
  <si>
    <t>1998-2001</t>
  </si>
  <si>
    <t>Guo Li Wen Hua Zi Chan Bao Cun Yan Jiu Zhong Xin Chou Bei Chu</t>
  </si>
  <si>
    <t>國立文化資產保存硏究中心籌備處</t>
  </si>
  <si>
    <t>2000-2013</t>
  </si>
  <si>
    <t>Taiwan shi liao cong kan</t>
  </si>
  <si>
    <t>臺灣史料丛刊</t>
  </si>
  <si>
    <t>1957-1962</t>
  </si>
  <si>
    <t>Nihon koten bungaku taikei</t>
  </si>
  <si>
    <t>日本古典文学大系</t>
  </si>
  <si>
    <t>日本古典文學大系</t>
  </si>
  <si>
    <t>1957</t>
  </si>
  <si>
    <t>1959-1962</t>
  </si>
  <si>
    <t>1958-1963</t>
  </si>
  <si>
    <t>1960</t>
  </si>
  <si>
    <t>1959-1963</t>
  </si>
  <si>
    <t>1959-1960</t>
  </si>
  <si>
    <t>1960-1962</t>
  </si>
  <si>
    <t>1960-1963</t>
  </si>
  <si>
    <t>1960-1961</t>
  </si>
  <si>
    <t>1959</t>
  </si>
  <si>
    <t>2011</t>
  </si>
  <si>
    <t>Sheng huo zhi wei</t>
  </si>
  <si>
    <t>生活之味</t>
  </si>
  <si>
    <t>Xia Ri Chu Ban She</t>
  </si>
  <si>
    <t>夏日出版社</t>
  </si>
  <si>
    <t>Hanbai Nichi-bei Josei Sentā Tōkyō Nishihara Jimusho</t>
  </si>
  <si>
    <t>販売日米女性センター東京西原事務所</t>
  </si>
  <si>
    <t>芸文社</t>
  </si>
  <si>
    <t>Chen xing cong shu</t>
  </si>
  <si>
    <t>晨星叢書</t>
  </si>
  <si>
    <t>Chen Xing Chu Ban You Xian Gong Si</t>
  </si>
  <si>
    <t>Lu du yu cong shu</t>
  </si>
  <si>
    <t>綠蠹魚叢書</t>
  </si>
  <si>
    <t>Yuan Liu</t>
  </si>
  <si>
    <t>遠流</t>
  </si>
  <si>
    <t>Bessatsu Takarajima</t>
  </si>
  <si>
    <t>別冊宝島</t>
  </si>
  <si>
    <t>Takarajimasha</t>
  </si>
  <si>
    <t>Bungei-dokuhon</t>
  </si>
  <si>
    <t>文芸読本</t>
  </si>
  <si>
    <t>Ōfūsha</t>
  </si>
  <si>
    <t>桜楓社</t>
  </si>
  <si>
    <t>Ōfū</t>
  </si>
  <si>
    <t>おうふう</t>
  </si>
  <si>
    <t>Paruko Shuppan</t>
  </si>
  <si>
    <t>パルコ出版</t>
  </si>
  <si>
    <t>Wen Sheng</t>
  </si>
  <si>
    <t>文笙</t>
  </si>
  <si>
    <t>Shūei Shuppan</t>
  </si>
  <si>
    <t>秀英出版</t>
  </si>
  <si>
    <t>三聯</t>
  </si>
  <si>
    <t>CARE</t>
  </si>
  <si>
    <t>Care (大塊文化)</t>
  </si>
  <si>
    <t>Da Kuai Wen Hua Chu Ban Gu Fen You Xian Gong Si</t>
  </si>
  <si>
    <t>大塊文化出版股份有限公司</t>
  </si>
  <si>
    <t>中央図書</t>
  </si>
  <si>
    <t>Bunkagaku docu.</t>
  </si>
  <si>
    <t>文化学 docu</t>
  </si>
  <si>
    <t>Bunka Kagaku Kōtō Kenkyūin Shuppankyoku</t>
  </si>
  <si>
    <t>文化科学高等研究院出版局</t>
  </si>
  <si>
    <t>1975-1977</t>
  </si>
  <si>
    <t>Shichigatsudō</t>
  </si>
  <si>
    <t>七月堂</t>
  </si>
  <si>
    <t>Nagasaki Shuppan</t>
  </si>
  <si>
    <t>長崎出版</t>
  </si>
  <si>
    <t>主婦の友社</t>
  </si>
  <si>
    <t>Sankōsha</t>
  </si>
  <si>
    <t>三交社</t>
  </si>
  <si>
    <t>2012</t>
  </si>
  <si>
    <t>Lian he wen xue</t>
  </si>
  <si>
    <t>聯合文學</t>
  </si>
  <si>
    <t>Lian He Wen Xue Chu Ban She Gu Fen You Xian Gong Si</t>
  </si>
  <si>
    <t>Rikurūtodavinchi Henshūbu</t>
  </si>
  <si>
    <t>Jicc Shuppankyoku</t>
  </si>
  <si>
    <t>JICC 出版局</t>
  </si>
  <si>
    <t>1931</t>
  </si>
  <si>
    <t>Kindai Bungeisha</t>
  </si>
  <si>
    <t>近代文芸社</t>
  </si>
  <si>
    <t>Hatsubaijo Nihon Shuppan Bōeki</t>
  </si>
  <si>
    <t>発売所日本出版貿易</t>
  </si>
  <si>
    <t>Sōbunsha Shuppan</t>
  </si>
  <si>
    <t>双文社出版</t>
  </si>
  <si>
    <t>Kokusai Kōryū Kikin, Nihongo Kokusai Sentā</t>
  </si>
  <si>
    <t>国際交流基金</t>
  </si>
  <si>
    <t>Kanae Shobō</t>
  </si>
  <si>
    <t>鼎書房</t>
  </si>
  <si>
    <t>Senshū Daigaku Shuppankyoku</t>
  </si>
  <si>
    <t>専修大学出版局</t>
  </si>
  <si>
    <t>Kyōto Shobō</t>
  </si>
  <si>
    <t>京都書房</t>
  </si>
  <si>
    <t>Riben wen xue cong shu</t>
  </si>
  <si>
    <t>日本文学丛书 日本文学丛书</t>
  </si>
  <si>
    <t>Ren Min Wen Xue Chu Ban She: Xin Hua Shu Dian Beijing Fa Xing Suo Fa Xing</t>
  </si>
  <si>
    <t>人民文学出版社: 新华书店北京发行所发行</t>
  </si>
  <si>
    <t>Chūkei Shuppan</t>
  </si>
  <si>
    <t>中経出版</t>
  </si>
  <si>
    <t>Zhongguo xin wen xue da shi ming zuo shang xi</t>
  </si>
  <si>
    <t>中國新文學大師名作賞析</t>
  </si>
  <si>
    <t>Hai Feng Chu Ban She</t>
  </si>
  <si>
    <t>海風出版社</t>
  </si>
  <si>
    <t>Omoshiro Kokugo Zeminarū</t>
  </si>
  <si>
    <t>おもしろ国語ゼミナール</t>
  </si>
  <si>
    <t>Popura-sha</t>
  </si>
  <si>
    <t>ポプラ社</t>
  </si>
  <si>
    <t>1996-2005</t>
  </si>
  <si>
    <t>Supirittsu jimi komikkusu</t>
  </si>
  <si>
    <t>スピリッツじみコミックス</t>
  </si>
  <si>
    <t>For beginners shirīzu</t>
  </si>
  <si>
    <t>For beginners シリーズ</t>
  </si>
  <si>
    <t>Gendai Shokan</t>
  </si>
  <si>
    <t>現代書館</t>
  </si>
  <si>
    <t>Bungei tokuhon</t>
  </si>
  <si>
    <t>2016</t>
  </si>
  <si>
    <t>Natsume booklet</t>
  </si>
  <si>
    <t>夏目 booklet</t>
  </si>
  <si>
    <t>Natsume Shobō</t>
  </si>
  <si>
    <t>夏目書房</t>
  </si>
  <si>
    <t>Rokusaisha</t>
  </si>
  <si>
    <t>鹿砦社</t>
  </si>
  <si>
    <t>Kenbun Shuppan</t>
  </si>
  <si>
    <t>研文出版</t>
  </si>
  <si>
    <t>1970-1977</t>
  </si>
  <si>
    <t>Ima wo Ikiru</t>
  </si>
  <si>
    <t>いまを生きる</t>
  </si>
  <si>
    <t>Yukku-sha</t>
  </si>
  <si>
    <t>ユック舎</t>
  </si>
  <si>
    <t>Dang dai ming jia</t>
  </si>
  <si>
    <t>當代名家 李志銘作品集</t>
  </si>
  <si>
    <t>Lian Jing Chu Ban Shi Ye Gu Fen You Xian Gong Si</t>
  </si>
  <si>
    <t>Ochanomizu Shobō</t>
  </si>
  <si>
    <t>御茶の水書房</t>
  </si>
  <si>
    <t>Minatoya Yumekichi Sakuhinshū</t>
  </si>
  <si>
    <t>湊谷夢吉作品集 / 湊谷夢吉著</t>
  </si>
  <si>
    <t>Asupekuto</t>
  </si>
  <si>
    <t>アスペクト</t>
  </si>
  <si>
    <t>Tōkyō] Shibundō</t>
  </si>
  <si>
    <t>東京] 至文堂 [1967]</t>
  </si>
  <si>
    <t>慶應義塾大学出版会</t>
  </si>
  <si>
    <t>Zhong yang yan jiu yuan cong shu</t>
  </si>
  <si>
    <t>中央研究院叢書</t>
  </si>
  <si>
    <t>Lian Jing Chu Ban Gong Si</t>
  </si>
  <si>
    <t>聯經出版公司</t>
  </si>
  <si>
    <t>Zhuan kan</t>
  </si>
  <si>
    <t>專刊</t>
  </si>
  <si>
    <t>Zhong Yang Yan Jiu Yuan Taiwan Shi Yan Jiu Suo</t>
  </si>
  <si>
    <t>Yin ke wen xue</t>
  </si>
  <si>
    <t>印刻文學</t>
  </si>
  <si>
    <t>Ink Yin Ke Wen Xue Sheng Huo Za Zhi Chu Ban You Xian Gong Si</t>
  </si>
  <si>
    <t>INK 印刻文學生活雜誌出版有限公司</t>
  </si>
  <si>
    <t>2014</t>
  </si>
  <si>
    <t>Zhong yang yan jiu yuan ren wen she hui ke xue yan jiu zhong xin zhuan shu</t>
  </si>
  <si>
    <t>中央研究院人文社會科學研究中心專書</t>
  </si>
  <si>
    <t>Ya Tai Qu Yu Yan Jiu Zhuan Ti Zhong Xin</t>
  </si>
  <si>
    <t>Ying xiang ji shi xi lie</t>
  </si>
  <si>
    <t>映像紀實系列</t>
  </si>
  <si>
    <t>Nong Xue Zong Jing Xiao</t>
  </si>
  <si>
    <t>農學總經銷</t>
  </si>
  <si>
    <t>Qi Dong Wen Hua</t>
  </si>
  <si>
    <t>Lian jing xue shu</t>
  </si>
  <si>
    <t>聯經學術</t>
  </si>
  <si>
    <t>Lan Yifeng shuo li shi</t>
  </si>
  <si>
    <t>藍弋丰說歷史</t>
  </si>
  <si>
    <t>Xiu Wei Zi Xun Ke Ji Gu Fen You Xian Gong Si</t>
  </si>
  <si>
    <t>秀威資訊科技股份有限公司</t>
  </si>
  <si>
    <t>Lian He Wen Xue Chu Ban She</t>
  </si>
  <si>
    <t>聯合文學出版社</t>
  </si>
  <si>
    <t>Beijing Chu Ban She</t>
  </si>
  <si>
    <t>北京出版社</t>
  </si>
  <si>
    <t>Jiu ge wen ku</t>
  </si>
  <si>
    <t>九歌文庫</t>
  </si>
  <si>
    <t>Jiu Ge Chu Ban She</t>
  </si>
  <si>
    <t>九歌出版社</t>
  </si>
  <si>
    <t>Ju Liu</t>
  </si>
  <si>
    <t>巨流</t>
  </si>
  <si>
    <t>台灣史料叢刊</t>
  </si>
  <si>
    <t>中央硏究院台灣史研究所</t>
  </si>
  <si>
    <t>People</t>
  </si>
  <si>
    <t>People (時報出版公司)</t>
  </si>
  <si>
    <t>Shi Bao Wen Hua Chu Ban Qi Ye Gu Fen You Xian Gong Si</t>
  </si>
  <si>
    <t>時報文化出版企業股份有限公司</t>
  </si>
  <si>
    <t>Jin dai si xiang tu shu guan</t>
  </si>
  <si>
    <t>近代思想圖書館</t>
  </si>
  <si>
    <t>Shi Pao Wen Hua Chu Ban Qi Ye Gu Fen You Xian Gong Si</t>
  </si>
  <si>
    <t>Xin.ren wen</t>
  </si>
  <si>
    <t>新.人文</t>
  </si>
  <si>
    <t>Li Ming Tu Shu Zong Jing Xiao</t>
  </si>
  <si>
    <t>黎銘圖書總經銷</t>
  </si>
  <si>
    <t>Xin shi ji cong shu</t>
  </si>
  <si>
    <t>新世紀叢書</t>
  </si>
  <si>
    <t>Li Xu Wen Hua Shi Ye You Xian Gong Si</t>
  </si>
  <si>
    <t>立緖文化事業有限公司</t>
  </si>
  <si>
    <t>Wen xue yan jiu</t>
  </si>
  <si>
    <t>文學研究, 5 文學研究</t>
  </si>
  <si>
    <t>Chun Hui Chu Ban She</t>
  </si>
  <si>
    <t>春暉出版社</t>
  </si>
  <si>
    <t>Xin Hua Shu Dian Shanghai Fa Xing Suo Fa Xing</t>
  </si>
  <si>
    <t>新華書店上海发行所发行</t>
  </si>
  <si>
    <t>Jian kang ren sheng</t>
  </si>
  <si>
    <t>健康人生</t>
  </si>
  <si>
    <t>Tian Xia Za Zhi Gu Fen You Xian Gong Si</t>
  </si>
  <si>
    <t>天下雜誌股份有限公司</t>
  </si>
  <si>
    <t>Lan xiao shuo</t>
  </si>
  <si>
    <t>藍小說</t>
  </si>
  <si>
    <t>Sheng Zhi Wen Hua Shi Ye You Xian Gong Si</t>
  </si>
  <si>
    <t>生智文化事業有限公司</t>
  </si>
  <si>
    <t>Zuo Jia Chu Ban She</t>
  </si>
  <si>
    <t>作家出版社</t>
  </si>
  <si>
    <t>Hong fan wen xue cong shu</t>
  </si>
  <si>
    <t>洪範文學叢書</t>
  </si>
  <si>
    <t>Hong Fan Shu Dian</t>
  </si>
  <si>
    <t>洪範書店</t>
  </si>
  <si>
    <t>Tībīesu Buritanika</t>
  </si>
  <si>
    <t>She hui ren wen</t>
  </si>
  <si>
    <t>社會人文</t>
  </si>
  <si>
    <t>Tian Xia Yuan Jian Chu Ban Gu Fen You Xian Gong Si</t>
  </si>
  <si>
    <t>天下遠見出版股份有限公司</t>
  </si>
  <si>
    <t>Taiwan wen xue yan jiu xi lie</t>
  </si>
  <si>
    <t>台灣文學硏究系列</t>
  </si>
  <si>
    <t>Gao Xiong Shi Wen Hua Ju</t>
  </si>
  <si>
    <t>高雄市文化局</t>
  </si>
  <si>
    <t>Ningen No Hoshisha</t>
  </si>
  <si>
    <t>人間の星社</t>
  </si>
  <si>
    <t>Jinbunsha</t>
  </si>
  <si>
    <t>人文社</t>
  </si>
  <si>
    <t>1955</t>
  </si>
  <si>
    <t>Rippū Shobō</t>
  </si>
  <si>
    <t>立風書房</t>
  </si>
  <si>
    <t>Hito to bungaku shirīzu</t>
  </si>
  <si>
    <t>人と文学シリ-ズ 現代日本文学アルバム</t>
  </si>
  <si>
    <t>2017</t>
  </si>
  <si>
    <t xml:space="preserve"> </t>
  </si>
  <si>
    <t>日本学研究叢書</t>
  </si>
  <si>
    <t>国立台湾大学出版中心</t>
  </si>
  <si>
    <t>Daisan Shokan</t>
  </si>
  <si>
    <t>第三書館</t>
  </si>
  <si>
    <t>Jiyū Kokuminsha</t>
  </si>
  <si>
    <t>自由国民社</t>
  </si>
  <si>
    <t>臺灣史料叢刊</t>
  </si>
  <si>
    <t>Kyōto Daigaku Jinbun Kagaku Kenkyūjo</t>
  </si>
  <si>
    <t>中央研究院臺灣史研究所</t>
  </si>
  <si>
    <t>Zhong Yang Yan Jiu Yuan Taiwan Shi Yan Jiu Suo Chou Bei Chu</t>
  </si>
  <si>
    <t>中央硏究院薹灣史硏究所籌備處</t>
  </si>
  <si>
    <t>Nihon rekishi shirīzu</t>
  </si>
  <si>
    <t>日本歴史シリーズ</t>
  </si>
  <si>
    <t>Sekai Bunkasha</t>
  </si>
  <si>
    <t>世界文化社</t>
  </si>
  <si>
    <t>rare books</t>
  </si>
  <si>
    <t>Mainichi mukku Shirīzu nijisseiki no kioku.</t>
  </si>
  <si>
    <t>每日ムック シリーズ20世紀の記憶</t>
  </si>
  <si>
    <t>Mainichi Shinbunsha</t>
  </si>
  <si>
    <t>每日新聞社</t>
  </si>
  <si>
    <t>Kansai Daigaku Daigakuin: Bungaku Kenkyūka, Chūgoku Bungaku Senkō</t>
  </si>
  <si>
    <t>関西大学大学院, 文学研究科, 中国文学専攻</t>
  </si>
  <si>
    <t>Tōkyō Shinbun</t>
  </si>
  <si>
    <t>東京新聞</t>
  </si>
  <si>
    <t>Wen Wu Chu Ban She</t>
  </si>
  <si>
    <t>文物出版社</t>
  </si>
  <si>
    <t>[Distributed By China Books And Periodicals]</t>
  </si>
  <si>
    <t>[Distributed by China Books and Periodicals]</t>
  </si>
  <si>
    <t>Gendaigoyaku Nihon no koten</t>
  </si>
  <si>
    <t>現代語訳日本の古典</t>
  </si>
  <si>
    <t>1980-1983</t>
  </si>
  <si>
    <t>Nihon no koten. 2</t>
  </si>
  <si>
    <t>日本の古典. 2</t>
  </si>
  <si>
    <t>In Pocket</t>
  </si>
  <si>
    <t>[Kadokawa Shoten]</t>
  </si>
  <si>
    <t>1949</t>
  </si>
  <si>
    <t>Yamamoto Yūzō bunko</t>
  </si>
  <si>
    <t>山本有三文庫</t>
  </si>
  <si>
    <t>Gendai kyōyō bunko</t>
  </si>
  <si>
    <t>現代教養文庫</t>
  </si>
  <si>
    <t>Shakai Shisō Kenkyūkai Shuppanbu</t>
  </si>
  <si>
    <t>社会思想研究会出版部</t>
  </si>
  <si>
    <t>1947</t>
  </si>
  <si>
    <t>祥伝社</t>
  </si>
  <si>
    <t>maybe</t>
  </si>
  <si>
    <t>1979-1984</t>
  </si>
  <si>
    <t>Kodansha gakujutsu bunko</t>
  </si>
  <si>
    <t>講談社学術文庫</t>
  </si>
  <si>
    <t>Kōdansha gakujutsu bunko</t>
  </si>
  <si>
    <t>講談社学術文庫 講談社学術文庫</t>
  </si>
  <si>
    <t>Chūkō bunko</t>
  </si>
  <si>
    <t>中公文庫</t>
  </si>
  <si>
    <t>Bunshun Bunko</t>
  </si>
  <si>
    <t>広済堂出版</t>
  </si>
  <si>
    <t>Chikuma gakugei bunko</t>
  </si>
  <si>
    <t>ちくま学芸文庫</t>
  </si>
  <si>
    <t>1950</t>
  </si>
  <si>
    <t>Iwanami Bunko</t>
  </si>
  <si>
    <t>岩波文庫</t>
  </si>
  <si>
    <t>Iwanami shinsho. Aoban</t>
  </si>
  <si>
    <t>岩波新書. 青版</t>
  </si>
  <si>
    <t>1992-2006</t>
  </si>
  <si>
    <t>Iwanami shinsho. Shin akaban</t>
  </si>
  <si>
    <t>岩波新書. 新赤版</t>
  </si>
  <si>
    <t>Asuka Komikkusu</t>
  </si>
  <si>
    <t>あすかコミックス</t>
  </si>
  <si>
    <t>Iwanami shinsho. Kiban</t>
  </si>
  <si>
    <t>岩波新書. 黄版</t>
  </si>
  <si>
    <t>Hana to yume comics</t>
  </si>
  <si>
    <t>花とゆめcomics</t>
  </si>
  <si>
    <t>Hakusensha</t>
  </si>
  <si>
    <t>白泉社</t>
  </si>
  <si>
    <t>Kodansha aoi tori bunko</t>
  </si>
  <si>
    <t>講談社青い鳥文庫</t>
  </si>
  <si>
    <t>Tōkyō, Iwanami Shoten</t>
  </si>
  <si>
    <t>Yūrin shinsho</t>
  </si>
  <si>
    <t>有隣新書</t>
  </si>
  <si>
    <t>Yūrindō</t>
  </si>
  <si>
    <t>有隣堂</t>
  </si>
  <si>
    <t>Yūhikaku shinsho</t>
  </si>
  <si>
    <t>有斐閣新書</t>
  </si>
  <si>
    <t>有斐閣</t>
  </si>
  <si>
    <t>Kōdansha gendai shinsho</t>
  </si>
  <si>
    <t>講談社現代新書</t>
  </si>
  <si>
    <t>Chikuma shinsho</t>
  </si>
  <si>
    <t>ちくま新書</t>
  </si>
  <si>
    <t>Popurasha bunko</t>
  </si>
  <si>
    <t>ポプラ社文庫</t>
  </si>
  <si>
    <t>Popurasha</t>
  </si>
  <si>
    <t>Maruzen raiburarī</t>
  </si>
  <si>
    <t>丸善ライブラリ一</t>
  </si>
  <si>
    <t>Maruzen Kabushiki Kaisha</t>
  </si>
  <si>
    <t>丸善株式会社</t>
  </si>
  <si>
    <t>Obunsha eibun gakushu raiburari</t>
  </si>
  <si>
    <t>旺文社・英文学習ライブラリー</t>
  </si>
  <si>
    <t>旺文社</t>
  </si>
  <si>
    <t>Shinchō shinsho</t>
  </si>
  <si>
    <t>新潮新書</t>
  </si>
  <si>
    <t>金の星社</t>
  </si>
  <si>
    <t>San'ichi shinsho</t>
  </si>
  <si>
    <t>三一新書</t>
  </si>
  <si>
    <t>San'ichi Shobō</t>
  </si>
  <si>
    <t>三一書房</t>
  </si>
  <si>
    <t>Chūkō shinsho</t>
  </si>
  <si>
    <t>中公新書</t>
  </si>
  <si>
    <t>Nihon kyōyō zenshū</t>
  </si>
  <si>
    <t>日本敎養全集</t>
  </si>
  <si>
    <t>Kappa bukkusu</t>
  </si>
  <si>
    <t>カッパ・ブックス. カッパ・ブックス</t>
  </si>
  <si>
    <t>Shincho bunko</t>
  </si>
  <si>
    <t>Chikuma bunko</t>
  </si>
  <si>
    <t>ちくま文庫</t>
  </si>
  <si>
    <t>Kawade bunko</t>
  </si>
  <si>
    <t>河出文庫</t>
  </si>
  <si>
    <t>1948</t>
  </si>
  <si>
    <t>1930</t>
  </si>
  <si>
    <t>岩波文庫 岩波文庫</t>
  </si>
  <si>
    <t>Kōbunsha bunko</t>
  </si>
  <si>
    <t>光文社文庫</t>
  </si>
  <si>
    <t>文春文庫 文春文庫</t>
  </si>
  <si>
    <t>Hayakawa misuteri bunko</t>
  </si>
  <si>
    <t>早川ミステリ文庫</t>
  </si>
  <si>
    <t>Ri ben yu wen zi xiu cong shu</t>
  </si>
  <si>
    <t>日本語文自修叢書</t>
  </si>
  <si>
    <t>Wen Hua Tu Shu</t>
  </si>
  <si>
    <t>文化圖書</t>
  </si>
  <si>
    <t>norst</t>
  </si>
  <si>
    <t>Hoppō bunka shashin shirīzu</t>
  </si>
  <si>
    <t>北方文化写真シリーズ</t>
  </si>
  <si>
    <t>Nire Shobō</t>
  </si>
  <si>
    <t>榆書房</t>
  </si>
  <si>
    <t>Asahi shōjiten</t>
  </si>
  <si>
    <t>朝日小事典</t>
  </si>
  <si>
    <t>1976-1982</t>
  </si>
  <si>
    <t>Heibonsha sensho</t>
  </si>
  <si>
    <t>平凡社選書</t>
  </si>
  <si>
    <t>Erumu</t>
  </si>
  <si>
    <t>エルム</t>
  </si>
  <si>
    <t>JICC出版局</t>
  </si>
  <si>
    <t>Kin'ensha</t>
  </si>
  <si>
    <t>金園社</t>
  </si>
  <si>
    <t>Nichieisha</t>
  </si>
  <si>
    <t>日栄社</t>
  </si>
  <si>
    <t>Yūhikaku sōsho</t>
  </si>
  <si>
    <t>有斐閣双書</t>
  </si>
  <si>
    <t>24483507</t>
  </si>
  <si>
    <t>岩波小辞典日本文学. 近代</t>
  </si>
  <si>
    <t>Key# on Spreadsheet:</t>
  </si>
  <si>
    <t>Location:</t>
  </si>
  <si>
    <t>🕶</t>
  </si>
  <si>
    <t>Wilkanson Donation</t>
  </si>
  <si>
    <t>Vol. #</t>
  </si>
  <si>
    <t>of</t>
  </si>
  <si>
    <t>issue #</t>
  </si>
  <si>
    <t>Notes:</t>
  </si>
  <si>
    <t>OCLC#:</t>
  </si>
  <si>
    <t>Nissan Institute/Routledge Japanese studies series</t>
  </si>
  <si>
    <t>(blank)</t>
  </si>
  <si>
    <t>Row Labels</t>
  </si>
  <si>
    <t>First Name</t>
  </si>
  <si>
    <t>Last Name</t>
  </si>
  <si>
    <t>eMail</t>
  </si>
  <si>
    <t>Phone</t>
  </si>
  <si>
    <t>Address</t>
  </si>
  <si>
    <t>Status</t>
  </si>
  <si>
    <t>Donor:</t>
  </si>
  <si>
    <t>Contact:</t>
  </si>
  <si>
    <t>Relationship of Donor and Contact:</t>
  </si>
  <si>
    <t>Donation Located at:</t>
  </si>
  <si>
    <t>Received:</t>
  </si>
  <si>
    <t>Started Processing:</t>
  </si>
  <si>
    <t>Processing Finished:</t>
  </si>
  <si>
    <t>By Subject Specialist:</t>
  </si>
  <si>
    <t>All items Added to Collection:</t>
  </si>
  <si>
    <t>Connection to Institution?</t>
  </si>
  <si>
    <t>Other Information:</t>
  </si>
  <si>
    <t>This work is licensed under a Creative Commons Attribution-NonCommercial 4.0 International License.</t>
  </si>
  <si>
    <t>Read more about this license</t>
  </si>
  <si>
    <t>Created by</t>
  </si>
  <si>
    <t>Adam H. Lisbon</t>
  </si>
  <si>
    <t>Associate Professor</t>
  </si>
  <si>
    <t>University of Colorado Boulder</t>
  </si>
  <si>
    <t>University Libraries</t>
  </si>
  <si>
    <t>Japanese &amp; Korean Studies Librarian</t>
  </si>
  <si>
    <t>adam.lisbon@colorado.edu</t>
  </si>
  <si>
    <t>Work Profile</t>
  </si>
  <si>
    <t>CU Experts</t>
  </si>
  <si>
    <t>LinkedIn</t>
  </si>
  <si>
    <t>LinkedIn Profile</t>
  </si>
  <si>
    <t>GitHub</t>
  </si>
  <si>
    <t>https://github.com/ahlisbon/CJKmaterialProcessing</t>
  </si>
  <si>
    <t>Ref#</t>
  </si>
  <si>
    <t>Example Donation</t>
  </si>
  <si>
    <t>📚</t>
  </si>
  <si>
    <t>Cambridge ; New York: Cambridge University Press</t>
  </si>
  <si>
    <t>Lexington, Massachusetts: D.c. Heath ^ Edition: ^ Second Edition</t>
  </si>
  <si>
    <t>New York: Atlantic Monthly Press</t>
  </si>
  <si>
    <t>New York, Columbia University Press</t>
  </si>
  <si>
    <t>Modern Library war</t>
  </si>
  <si>
    <t>New York: Modern Library ^ Edition: ^ Modern Library Paperback Edition</t>
  </si>
  <si>
    <t>UNESCO collection of representative works. Japanese series; Records of civilization: sources and studies</t>
  </si>
  <si>
    <t>New York: Columbia University Press</t>
  </si>
  <si>
    <t>Rutland, Vt., C.e. Tuttle Co</t>
  </si>
  <si>
    <t>Contemporary Japanese society</t>
  </si>
  <si>
    <t>Cambridge, Uk ; New York, Ny, Usa: Cambridge University Press</t>
  </si>
  <si>
    <t>Honolulu: University Of Hawai'i Press</t>
  </si>
  <si>
    <t>Albany: State University Of New York Press</t>
  </si>
  <si>
    <t>New Haven, Conn.: Yale University Press</t>
  </si>
  <si>
    <t>Ithaca, N.y.: Cornell University Press</t>
  </si>
  <si>
    <t>Tokyo: Sekai Shuppan ^ Edition: ^ 1St Ed</t>
  </si>
  <si>
    <t>Stanford, Calif.: Stanford University Press</t>
  </si>
  <si>
    <t>New York: Pantheon Books ^ Edition: ^ 1St American Ed</t>
  </si>
  <si>
    <t>Modern Chinese literature from Taiwan</t>
  </si>
  <si>
    <t>1919</t>
  </si>
  <si>
    <t>Washington [D.c.]: Govt. Print. Office</t>
  </si>
  <si>
    <t>govdocs</t>
  </si>
  <si>
    <t>Cornell East Asia series,; 86</t>
  </si>
  <si>
    <t>Ithaca, N.y.: East Asia Program, Cornell University</t>
  </si>
  <si>
    <t>London: Bfi Pub ^ Edition: ^ [2Nd, Expanded Ed.]</t>
  </si>
  <si>
    <t>Honolulu: University Of Hawaii Press</t>
  </si>
  <si>
    <t>2019</t>
  </si>
  <si>
    <t>Singapore: Palgrave Macmillan</t>
  </si>
  <si>
    <t>[Place Of Publication Not Identified]: Quiet Vision Pub</t>
  </si>
  <si>
    <t>Cornell University East Asia papers</t>
  </si>
  <si>
    <t>Ithaca, N.y.: Cornell China-japan Program</t>
  </si>
  <si>
    <t>New York: New York University Press</t>
  </si>
  <si>
    <t>Princeton library of Asian translations</t>
  </si>
  <si>
    <t>Princeton: Princeton University Press</t>
  </si>
  <si>
    <t>Options for teaching</t>
  </si>
  <si>
    <t>New York: Modern Language Association Of America</t>
  </si>
  <si>
    <t>Berkeley: University Of California Press</t>
  </si>
  <si>
    <t>London: Peter Owen</t>
  </si>
  <si>
    <t>Honolulu, Hawaii: University Of Hawai'i Press</t>
  </si>
  <si>
    <t>Smithsonian studies in the history of film and television</t>
  </si>
  <si>
    <t>Washington, D.c.: Smithsonian Institute</t>
  </si>
  <si>
    <t>Princeton, N.j.: Princeton University Press ^ Edition: ^ Second Printing, 1988</t>
  </si>
  <si>
    <t>Columbia guides to Asian history</t>
  </si>
  <si>
    <t>Harvard-Yenching Institute monograph series</t>
  </si>
  <si>
    <t>Cambridge, Mass.: Council On East Asian Studies, Harvard University: Distributed By Harvard University Press</t>
  </si>
  <si>
    <t>norref</t>
  </si>
  <si>
    <t>Princeton, N.j.: Princeton University Press</t>
  </si>
  <si>
    <t>Stanford, California: Stanford University Press</t>
  </si>
  <si>
    <t>Publications of the Center for Japanese and Korean studies</t>
  </si>
  <si>
    <t>UNESCO collection of representative works. Japanese series</t>
  </si>
  <si>
    <t>New York: Grove Press</t>
  </si>
  <si>
    <t>Tokyo: Waseda University Press</t>
  </si>
  <si>
    <t>London ; New York: Routledge</t>
  </si>
  <si>
    <t>Downers Grove, Ill.: Intervarsity Press</t>
  </si>
  <si>
    <t>An Evergreen book</t>
  </si>
  <si>
    <t>New York: Grove Weidenfeld ^ Edition: ^ 1St Evergreen Ed</t>
  </si>
  <si>
    <t>New York: Vintage Books ^ Edition: ^ First Aventura Edition</t>
  </si>
  <si>
    <t>New York: Random House</t>
  </si>
  <si>
    <t>Haskell lectures on history of religions, new ser.</t>
  </si>
  <si>
    <t>University Of Chicago Press</t>
  </si>
  <si>
    <t>Nagasaki Association For The Hibakusha's Medical Care</t>
  </si>
  <si>
    <t>Women in translation</t>
  </si>
  <si>
    <t>Seal Press</t>
  </si>
  <si>
    <t>Routledge</t>
  </si>
  <si>
    <t>University Press Of New England</t>
  </si>
  <si>
    <t>Forum Press</t>
  </si>
  <si>
    <t>Six cultures series,; v. 7</t>
  </si>
  <si>
    <t>Wiley</t>
  </si>
  <si>
    <t>Regnery Gateway</t>
  </si>
  <si>
    <t>Connaissance de l'Orient: collection UNESCO d'oeuvres représentatives</t>
  </si>
  <si>
    <t>Gallimard</t>
  </si>
  <si>
    <t>Twentieth-century Japan: the emergence of a world power</t>
  </si>
  <si>
    <t>University Of California Press</t>
  </si>
  <si>
    <t>Public worlds</t>
  </si>
  <si>
    <t>University Of Minnesota Press</t>
  </si>
  <si>
    <t>Ohara Publications</t>
  </si>
  <si>
    <t>Rutgers University Press</t>
  </si>
  <si>
    <t>Gender and culture</t>
  </si>
  <si>
    <t>Columbia University Press</t>
  </si>
  <si>
    <t>Approaches to teaching world literature</t>
  </si>
  <si>
    <t>Modern Language Association Of America</t>
  </si>
  <si>
    <t>University Of Hawai'i Press</t>
  </si>
  <si>
    <t>D.c. Heath</t>
  </si>
  <si>
    <t>Magna Publications</t>
  </si>
  <si>
    <t>Center For Japanese Studies</t>
  </si>
  <si>
    <t>Princeton University Press</t>
  </si>
  <si>
    <t>Phaidon</t>
  </si>
  <si>
    <t>Stanford University Press</t>
  </si>
  <si>
    <t>東京: 集英社</t>
  </si>
  <si>
    <t>東京: 福武書店</t>
  </si>
  <si>
    <t>Library of world biography</t>
  </si>
  <si>
    <t>Pearson/longman</t>
  </si>
  <si>
    <t>Kodansha biographies</t>
  </si>
  <si>
    <t>Kōdansha America</t>
  </si>
  <si>
    <t>Japan unveiled</t>
  </si>
  <si>
    <t>Yohan</t>
  </si>
  <si>
    <t>Collier Macmillan</t>
  </si>
  <si>
    <t>Vintage classics.</t>
  </si>
  <si>
    <t>Vintage Books</t>
  </si>
  <si>
    <t>Penguin classics</t>
  </si>
  <si>
    <t>Penguin Books</t>
  </si>
  <si>
    <t>[Asia-Africa series]</t>
  </si>
  <si>
    <t>London</t>
  </si>
  <si>
    <t>The library of world biography</t>
  </si>
  <si>
    <t>Pearson Longman</t>
  </si>
  <si>
    <t>Vintage International</t>
  </si>
  <si>
    <t>Viz Media</t>
  </si>
  <si>
    <t>Grove Press</t>
  </si>
  <si>
    <t>Farrar Strauss</t>
  </si>
  <si>
    <t>1952</t>
  </si>
  <si>
    <t>The Cresset historical series</t>
  </si>
  <si>
    <t>New York</t>
  </si>
  <si>
    <t>Perigee Books</t>
  </si>
  <si>
    <t>Harpercollins</t>
  </si>
  <si>
    <t>The Goucher College series</t>
  </si>
  <si>
    <t>Johns Hopkins Press</t>
  </si>
  <si>
    <t>Asia perspectives</t>
  </si>
  <si>
    <t>Travelers' tales guides</t>
  </si>
  <si>
    <t>Travelers' Tales</t>
  </si>
  <si>
    <t>Pojitivu</t>
  </si>
  <si>
    <t>ポジティヴ</t>
  </si>
  <si>
    <t>Shoshikaze No Bara</t>
  </si>
  <si>
    <t>東京: 書肆風の薔薇</t>
  </si>
  <si>
    <t>University Of Washington Press</t>
  </si>
  <si>
    <t>Barnes &amp; Noble</t>
  </si>
  <si>
    <t>Beacon paperbacks</t>
  </si>
  <si>
    <t>Beacon Press</t>
  </si>
  <si>
    <t>Translations from the Asian classics; Columbia Asian studies series</t>
  </si>
  <si>
    <t>1935</t>
  </si>
  <si>
    <t>Michigan classics in Japanese studies</t>
  </si>
  <si>
    <t>Liveright Publishing Corporation</t>
  </si>
  <si>
    <t>Putnam</t>
  </si>
  <si>
    <t>North Point Press</t>
  </si>
  <si>
    <t>Cornell University East Asia Program East Asia Papers.,; 40</t>
  </si>
  <si>
    <t>Collier Books</t>
  </si>
  <si>
    <t>Palgrave</t>
  </si>
  <si>
    <t>Campus</t>
  </si>
  <si>
    <t>Trafford</t>
  </si>
  <si>
    <t>Little</t>
  </si>
  <si>
    <t>Stone Bridge Press</t>
  </si>
  <si>
    <t>Liveright</t>
  </si>
  <si>
    <t>Distributed In The United States By Kōdansha International/usa Through Harper &amp; Row</t>
  </si>
  <si>
    <t>Charles E. Tuttle Company</t>
  </si>
  <si>
    <t>Tut books</t>
  </si>
  <si>
    <t>C.e. Tuttle</t>
  </si>
  <si>
    <t>Charles E. Tuttle Co</t>
  </si>
  <si>
    <t>Sophia University</t>
  </si>
  <si>
    <t>Alfred A. Knopf</t>
  </si>
  <si>
    <t>Stanford</t>
  </si>
  <si>
    <t>The Penguin classics</t>
  </si>
  <si>
    <t>Doubleday anchor books</t>
  </si>
  <si>
    <t>Garden City</t>
  </si>
  <si>
    <t>Schneider</t>
  </si>
  <si>
    <t>George School readings on developing lands</t>
  </si>
  <si>
    <t>C.e. Tuttle Co</t>
  </si>
  <si>
    <t>1965-1966</t>
  </si>
  <si>
    <t>Pelican books</t>
  </si>
  <si>
    <t>[Harmondsworth] Penguin Books</t>
  </si>
  <si>
    <t>Charles E. Tuttle</t>
  </si>
  <si>
    <t>Vintage book</t>
  </si>
  <si>
    <t>Macmillan Co</t>
  </si>
  <si>
    <t>Foreign Press Center</t>
  </si>
  <si>
    <t>Taplinger Publishing Company</t>
  </si>
  <si>
    <t>Yamaguchi City</t>
  </si>
  <si>
    <t>UNESCO collection of representative literary works</t>
  </si>
  <si>
    <t>New Directions</t>
  </si>
  <si>
    <t>Cultures of consumption series</t>
  </si>
  <si>
    <t>Berg</t>
  </si>
  <si>
    <t>Women In Translation</t>
  </si>
  <si>
    <t>Harvard East Asian monographs</t>
  </si>
  <si>
    <t>Distributed By Harvard University Press</t>
  </si>
  <si>
    <t>A Da Capo paperback</t>
  </si>
  <si>
    <t>Da Capo Press</t>
  </si>
  <si>
    <t>Hawks Pub</t>
  </si>
  <si>
    <t>An East gate book</t>
  </si>
  <si>
    <t>M.e. Sharpe</t>
  </si>
  <si>
    <t>Stanford studies in the civilizations of Eastern Asia</t>
  </si>
  <si>
    <t>Asia-Local studies/global themes</t>
  </si>
  <si>
    <t>University Of Hawaiʻi Press</t>
  </si>
  <si>
    <t>Post-contemporary interventions</t>
  </si>
  <si>
    <t>Duke University Press</t>
  </si>
  <si>
    <t>University Of Hawaii Press</t>
  </si>
  <si>
    <t>Radio Taiwan International</t>
  </si>
  <si>
    <t>Modern Asian literature series</t>
  </si>
  <si>
    <t>東京: 大修館書店</t>
  </si>
  <si>
    <t>Michigan monograph series in Japanese studies</t>
  </si>
  <si>
    <t>Studies of the East Asian Institute; UNESCO collection of representative works.; Japanese series</t>
  </si>
  <si>
    <t>LTCB international library selection</t>
  </si>
  <si>
    <t>International House Of Japan</t>
  </si>
  <si>
    <t>Methuen</t>
  </si>
  <si>
    <t>Columbia guides to American history and cultures</t>
  </si>
  <si>
    <t>Tonnbo Books</t>
  </si>
  <si>
    <t>Westview Press</t>
  </si>
  <si>
    <t>Holt</t>
  </si>
  <si>
    <t>Ashgate</t>
  </si>
  <si>
    <t>Stanford studies in the civilization of eastern Asia</t>
  </si>
  <si>
    <t>Princeton paperbacks; Studies of the East Asian Institute, Columbia University</t>
  </si>
  <si>
    <t>World religions series</t>
  </si>
  <si>
    <t>Henry Holt &amp; Co</t>
  </si>
  <si>
    <t>English and humanities series</t>
  </si>
  <si>
    <t>Longman</t>
  </si>
  <si>
    <t>Atlantic Monthly Press</t>
  </si>
  <si>
    <t>Asian poetry in translation. Japan</t>
  </si>
  <si>
    <t>Katydid Books</t>
  </si>
  <si>
    <t>Stages</t>
  </si>
  <si>
    <t>University Of Nebraska Press</t>
  </si>
  <si>
    <t>Religion, history, and culture</t>
  </si>
  <si>
    <t>Knopf</t>
  </si>
  <si>
    <t>Studies of the East Asian Institute, Columbia University</t>
  </si>
  <si>
    <t>Weatherhill</t>
  </si>
  <si>
    <t>Houghton Mifflin Co</t>
  </si>
  <si>
    <t>THE NIPPON FOUNDATION</t>
  </si>
  <si>
    <t>University Press Of Kentucky</t>
  </si>
  <si>
    <t>1987-1990</t>
  </si>
  <si>
    <t>New York University Press</t>
  </si>
  <si>
    <t>Exclusive Distributor In The U.s.a</t>
  </si>
  <si>
    <t>東京: 大修館 ; Santa Clara</t>
  </si>
  <si>
    <t>2013</t>
  </si>
  <si>
    <t>Nichibunken monograph series,; no. 14</t>
  </si>
  <si>
    <t>International Research Center For Japanese Studies</t>
  </si>
  <si>
    <t>Nippon Budokan Foundation</t>
  </si>
  <si>
    <t>Distributors</t>
  </si>
  <si>
    <t>ABC-CLIO literary companion</t>
  </si>
  <si>
    <t>Abc-clio</t>
  </si>
  <si>
    <t>American ^ S Association Japanese Language Division</t>
  </si>
  <si>
    <t>Harvard University Press</t>
  </si>
  <si>
    <t>Feminist Press At The City University Of New York</t>
  </si>
  <si>
    <t>Berkeley</t>
  </si>
  <si>
    <t>2005-2007</t>
  </si>
  <si>
    <t>Modern Asian literature</t>
  </si>
  <si>
    <t>SHAPS library of Asian studies</t>
  </si>
  <si>
    <t>Distributed To The Trade By National Book Network</t>
  </si>
  <si>
    <t>Harvard-Yenching Institute monographs</t>
  </si>
  <si>
    <t>Council On East Asian Studies</t>
  </si>
  <si>
    <t>1955-1960</t>
  </si>
  <si>
    <t>Tokyo</t>
  </si>
  <si>
    <t>The Pantheon Asia Library</t>
  </si>
  <si>
    <t>Pantheon Books</t>
  </si>
  <si>
    <t>Alaken</t>
  </si>
  <si>
    <t>Asia-Pacific</t>
  </si>
  <si>
    <t>Search Terms in this Column</t>
  </si>
  <si>
    <t>ISBN13#</t>
  </si>
  <si>
    <t>Kōrai Daigakkō Nihon Kenkyū Sentā</t>
  </si>
  <si>
    <t>1989-2005</t>
  </si>
  <si>
    <t>Aruku Kabushiki Kaisha</t>
  </si>
  <si>
    <t>アルク株式会社 ^ 第1卷第1号-第20卷第3号 (Jan. ^ Mar. 2005); title from cover</t>
  </si>
  <si>
    <t>Kokusai Nihon Bunka Kenkyū Sentā</t>
  </si>
  <si>
    <t>国際日本文化研究センター</t>
  </si>
  <si>
    <t>国際日本文化研究センター ^ 第1集 (平成元年 5月 [May 1989])-</t>
  </si>
  <si>
    <t>1988-2000</t>
  </si>
  <si>
    <t>Nichi-bei Josei Jōhō Sentā</t>
  </si>
  <si>
    <t>日米女性情報センター</t>
  </si>
  <si>
    <t>Dō Sentā</t>
  </si>
  <si>
    <t>同センタ- ^ 第 1号 (1994)-</t>
  </si>
  <si>
    <t>Kurokamesha</t>
  </si>
  <si>
    <t>第1號 (大正8年7月 [July 1919])-no. 735 (昭和15年12月 [Dec. 1940]); 再健第1號 (昭和21年3月 [Mar. 1946])-第79號 (昭和25年4月 [Apr. 1950]); 復刋1号 (昭和25年10月下旬号[Oct. 1950])- = 通刋第1号-</t>
  </si>
  <si>
    <t>[Lian He Wen Xue Za Zhi She]</t>
  </si>
  <si>
    <t>[聯合文學雜誌社] ^ 創刊號 (民國73年11月 [Nov. 1984])-</t>
  </si>
  <si>
    <t>Kyōto Kokusai Nihon Bunka Kenkyū Sentā</t>
  </si>
  <si>
    <t>Guo Li Zheng Zhi Da Xue Zhongguo Wen Xue Xi</t>
  </si>
  <si>
    <t>國立政治大學中國文學系 ^ 第1期-</t>
  </si>
  <si>
    <t>University Of Oklahoma Press</t>
  </si>
  <si>
    <t>1899-1998</t>
  </si>
  <si>
    <t>1965-1971</t>
  </si>
  <si>
    <t>2003-2007</t>
  </si>
  <si>
    <t>Jiji Gahō Sha</t>
  </si>
  <si>
    <t>1956-2009</t>
  </si>
  <si>
    <t>Serabi Shobō</t>
  </si>
  <si>
    <t>せらび書房 ^ 創刊号 (Jun. 1991)-</t>
  </si>
  <si>
    <t>Ajls</t>
  </si>
  <si>
    <t>1904</t>
  </si>
  <si>
    <t>新潮社 ^ 第 1卷 第 1號 (明治 37年 5月 [May 1904])-第 43卷 第 6號 (大正 14年 12月 [Dec. 1925]) ; 第 23年 第 1-號 (大正 15年 1月 [Jan. 1926])-</t>
  </si>
  <si>
    <t>别册宝島</t>
  </si>
  <si>
    <t>宝島社</t>
  </si>
  <si>
    <t>1946-2004</t>
  </si>
  <si>
    <t>Shin Nihon Bungakkai</t>
  </si>
  <si>
    <t>新日本文学会 ^ -第59卷第6号 (11/12</t>
  </si>
  <si>
    <t>Nyū feminizumu rebyū</t>
  </si>
  <si>
    <t>ニューフェミニズムレビュ-</t>
  </si>
  <si>
    <t>Gakuyō Shobō</t>
  </si>
  <si>
    <t>Hatsubaisho</t>
  </si>
  <si>
    <t>発売所 ^ 第10卷復刊号-</t>
  </si>
  <si>
    <t>1982-1996</t>
  </si>
  <si>
    <t>[Fukutake Shoten]</t>
  </si>
  <si>
    <t>[福武書店] ^ 第 1卷 第 1号 (昭和 57年 1月 [Jan. 1982])-</t>
  </si>
  <si>
    <t>河出書房新社 ^ 第1卷 (昭和37年3月[Mar. 1962])-</t>
  </si>
  <si>
    <t>1923</t>
  </si>
  <si>
    <t>Bungei Shunjūsha</t>
  </si>
  <si>
    <t>Began in 1923</t>
  </si>
  <si>
    <t>Genten No Kai</t>
  </si>
  <si>
    <t>「現点」の会</t>
  </si>
  <si>
    <t>Sekai no Nihon kenkyū =; Japanese studies around the world</t>
  </si>
  <si>
    <t>世界の日本研究</t>
  </si>
  <si>
    <t>Hihyō kūkan</t>
  </si>
  <si>
    <t>1963-2011</t>
  </si>
  <si>
    <t>第1卷第1号 (昭和38年5月 [May 1963])-第531号 (October 2011)</t>
  </si>
  <si>
    <t>Kanrin Shobō</t>
  </si>
  <si>
    <t>翰林書房</t>
  </si>
  <si>
    <t>Began with: 第1卷第1号 (昭和31年10月 [October 1956])</t>
  </si>
  <si>
    <t>1997-2024</t>
  </si>
  <si>
    <t>Southern Japan Seminar</t>
  </si>
  <si>
    <t>Association Of Teachers Of Japanese</t>
  </si>
  <si>
    <t>1957-2019</t>
  </si>
  <si>
    <t>Madison</t>
  </si>
  <si>
    <t>Yuan Liu Chu Ban Shi Ye Gu Fen You Xian Gong Si</t>
  </si>
  <si>
    <t>遠流出版事業股份有限公司 ^ Began with 創刊號(2005年9月)</t>
  </si>
  <si>
    <t>; [Tokyo] Kokubungaku Kenkyū Shiryōkan</t>
  </si>
  <si>
    <t>[Tokyo] 国文学研究資料館 ^ 第1 (1977)-</t>
  </si>
  <si>
    <t>1946</t>
  </si>
  <si>
    <t>Dai Nihon Yūbenkai Kōdansha</t>
  </si>
  <si>
    <t>第 1卷 第 1號-</t>
  </si>
  <si>
    <t>Grand Total</t>
  </si>
  <si>
    <t>Count</t>
  </si>
  <si>
    <t>Series R/E</t>
  </si>
  <si>
    <t>Publisher RE</t>
  </si>
  <si>
    <t>Publisher N</t>
  </si>
  <si>
    <t>Date</t>
  </si>
  <si>
    <t>1899</t>
  </si>
  <si>
    <t>Min</t>
  </si>
  <si>
    <t>Max</t>
  </si>
  <si>
    <t>Year</t>
  </si>
  <si>
    <t>Year as Value</t>
  </si>
  <si>
    <t>Pub Date (R/E)</t>
  </si>
  <si>
    <t>Donation Name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</si>
</sst>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numFmts>
  <fonts count="44" x14ac:knownFonts="1">
    <font>
      <sz val="11"/>
      <color theme="1"/>
      <name val="Calibri"/>
      <family val="2"/>
      <scheme val="minor"/>
    </font>
    <font>
      <b/>
      <sz val="11"/>
      <color rgb="FF565A5C"/>
      <name val="Calibri"/>
      <family val="2"/>
      <scheme val="minor"/>
    </font>
    <font>
      <sz val="11"/>
      <color theme="0"/>
      <name val="Calibri"/>
      <family val="2"/>
      <scheme val="minor"/>
    </font>
    <font>
      <sz val="10"/>
      <color theme="1"/>
      <name val="Calibri"/>
      <family val="2"/>
      <scheme val="minor"/>
    </font>
    <font>
      <b/>
      <sz val="10"/>
      <color theme="7" tint="-0.499984740745262"/>
      <name val="Calibri"/>
      <family val="2"/>
      <scheme val="minor"/>
    </font>
    <font>
      <sz val="10"/>
      <color rgb="FF565A5C"/>
      <name val="Calibri"/>
      <family val="2"/>
      <scheme val="minor"/>
    </font>
    <font>
      <sz val="9"/>
      <color indexed="81"/>
      <name val="Tahoma"/>
      <family val="2"/>
    </font>
    <font>
      <b/>
      <sz val="9"/>
      <color indexed="81"/>
      <name val="Tahoma"/>
      <family val="2"/>
    </font>
    <font>
      <b/>
      <sz val="10"/>
      <color rgb="FF565A5C"/>
      <name val="Calibri"/>
      <family val="2"/>
      <scheme val="minor"/>
    </font>
    <font>
      <sz val="10"/>
      <color theme="0"/>
      <name val="Calibri"/>
      <family val="2"/>
      <scheme val="minor"/>
    </font>
    <font>
      <u/>
      <sz val="10"/>
      <color theme="10"/>
      <name val="Calibri"/>
      <family val="2"/>
      <scheme val="minor"/>
    </font>
    <font>
      <b/>
      <sz val="10"/>
      <color theme="0"/>
      <name val="Calibri"/>
      <family val="2"/>
      <scheme val="minor"/>
    </font>
    <font>
      <sz val="10"/>
      <color theme="0" tint="-0.499984740745262"/>
      <name val="Calibri"/>
      <family val="2"/>
    </font>
    <font>
      <u/>
      <sz val="10"/>
      <color theme="11"/>
      <name val="Calibri"/>
      <family val="2"/>
      <scheme val="minor"/>
    </font>
    <font>
      <b/>
      <sz val="11"/>
      <color theme="0"/>
      <name val="Calibri"/>
      <family val="2"/>
      <scheme val="minor"/>
    </font>
    <font>
      <b/>
      <sz val="11"/>
      <color theme="1"/>
      <name val="Calibri"/>
      <family val="2"/>
      <scheme val="minor"/>
    </font>
    <font>
      <sz val="9"/>
      <color theme="0" tint="-0.499984740745262"/>
      <name val="Calibri"/>
      <family val="2"/>
      <scheme val="minor"/>
    </font>
    <font>
      <b/>
      <sz val="9"/>
      <color theme="1"/>
      <name val="Calibri"/>
      <family val="2"/>
      <scheme val="minor"/>
    </font>
    <font>
      <sz val="16"/>
      <color theme="1"/>
      <name val="Calibri"/>
      <family val="2"/>
      <scheme val="minor"/>
    </font>
    <font>
      <sz val="10"/>
      <color theme="1"/>
      <name val="Calibri"/>
      <family val="2"/>
    </font>
    <font>
      <u/>
      <sz val="11"/>
      <color theme="10"/>
      <name val="Calibri"/>
      <family val="2"/>
      <scheme val="minor"/>
    </font>
    <font>
      <sz val="10"/>
      <color theme="0"/>
      <name val="Calibri"/>
      <family val="2"/>
    </font>
    <font>
      <b/>
      <sz val="12"/>
      <color theme="0"/>
      <name val="Calibri"/>
      <family val="2"/>
      <scheme val="minor"/>
    </font>
    <font>
      <sz val="9"/>
      <color theme="1"/>
      <name val="Calibri"/>
      <family val="2"/>
      <scheme val="minor"/>
    </font>
    <font>
      <b/>
      <sz val="11"/>
      <color rgb="FFCFB87C"/>
      <name val="Calibri"/>
      <family val="2"/>
      <scheme val="minor"/>
    </font>
    <font>
      <sz val="10"/>
      <color theme="0" tint="-0.499984740745262"/>
      <name val="Calibri"/>
      <family val="2"/>
      <scheme val="minor"/>
    </font>
    <font>
      <b/>
      <sz val="8"/>
      <color rgb="FF565A5C"/>
      <name val="Calibri"/>
      <family val="2"/>
      <scheme val="minor"/>
    </font>
    <font>
      <b/>
      <sz val="12"/>
      <color rgb="FF7030A0"/>
      <name val="Calibri"/>
      <family val="2"/>
      <scheme val="minor"/>
    </font>
    <font>
      <b/>
      <sz val="10"/>
      <color rgb="FFCCCCFF"/>
      <name val="Calibri"/>
      <family val="2"/>
      <scheme val="minor"/>
    </font>
    <font>
      <sz val="10"/>
      <name val="Calibri"/>
      <family val="2"/>
      <scheme val="minor"/>
    </font>
    <font>
      <sz val="10"/>
      <name val="Calibri"/>
      <family val="2"/>
    </font>
    <font>
      <b/>
      <sz val="18"/>
      <color theme="1"/>
      <name val="Calibri"/>
      <family val="2"/>
      <scheme val="minor"/>
    </font>
    <font>
      <b/>
      <sz val="9"/>
      <color rgb="FF565A5C"/>
      <name val="Calibri"/>
      <family val="2"/>
      <scheme val="minor"/>
    </font>
    <font>
      <b/>
      <sz val="16"/>
      <color theme="1"/>
      <name val="Calibri"/>
      <family val="2"/>
      <scheme val="minor"/>
    </font>
    <font>
      <sz val="11"/>
      <color rgb="FF3F3F76"/>
      <name val="Calibri"/>
      <family val="2"/>
      <scheme val="minor"/>
    </font>
    <font>
      <sz val="10"/>
      <color theme="10"/>
      <name val="Calibri"/>
      <family val="2"/>
      <scheme val="minor"/>
    </font>
    <font>
      <sz val="10"/>
      <color rgb="FF808080"/>
      <name val="Calibri"/>
      <family val="2"/>
      <scheme val="minor"/>
    </font>
    <font>
      <sz val="10"/>
      <color rgb="FF808080"/>
      <name val="Calibri"/>
      <family val="2"/>
    </font>
    <font>
      <b/>
      <sz val="11"/>
      <color rgb="FF3F3F76"/>
      <name val="Calibri"/>
      <family val="2"/>
      <scheme val="minor"/>
    </font>
    <font>
      <sz val="11"/>
      <color theme="1"/>
      <name val="Calibri"/>
      <family val="2"/>
      <scheme val="minor"/>
    </font>
    <font>
      <sz val="8"/>
      <name val="Calibri"/>
      <family val="2"/>
      <scheme val="minor"/>
    </font>
    <font>
      <sz val="11"/>
      <color rgb="FF000000"/>
      <name val="Calibri"/>
      <family val="2"/>
    </font>
    <font>
      <sz val="11"/>
      <color rgb="FFFFFFFF"/>
      <name val="Calibri"/>
      <family val="2"/>
      <scheme val="minor"/>
    </font>
    <font>
      <b/>
      <sz val="11"/>
      <color rgb="FF3F3F3F"/>
      <name val="Calibri"/>
      <family val="2"/>
      <scheme val="minor"/>
    </font>
  </fonts>
  <fills count="16">
    <fill>
      <patternFill patternType="none"/>
    </fill>
    <fill>
      <patternFill patternType="gray125"/>
    </fill>
    <fill>
      <patternFill patternType="solid">
        <fgColor rgb="FFCFB87C"/>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565A5C"/>
        <bgColor indexed="64"/>
      </patternFill>
    </fill>
    <fill>
      <patternFill patternType="solid">
        <fgColor theme="9" tint="-0.499984740745262"/>
        <bgColor indexed="64"/>
      </patternFill>
    </fill>
    <fill>
      <patternFill patternType="solid">
        <fgColor theme="4"/>
      </patternFill>
    </fill>
    <fill>
      <patternFill patternType="solid">
        <fgColor theme="0" tint="-0.249977111117893"/>
        <bgColor indexed="64"/>
      </patternFill>
    </fill>
    <fill>
      <patternFill patternType="solid">
        <fgColor rgb="FF7030A0"/>
        <bgColor indexed="64"/>
      </patternFill>
    </fill>
    <fill>
      <patternFill patternType="solid">
        <fgColor rgb="FFCCCCFF"/>
        <bgColor indexed="64"/>
      </patternFill>
    </fill>
    <fill>
      <patternFill patternType="solid">
        <fgColor theme="2"/>
        <bgColor indexed="64"/>
      </patternFill>
    </fill>
    <fill>
      <patternFill patternType="solid">
        <fgColor theme="0" tint="-4.9989318521683403E-2"/>
        <bgColor indexed="64"/>
      </patternFill>
    </fill>
    <fill>
      <patternFill patternType="solid">
        <fgColor rgb="FFFFCC99"/>
      </patternFill>
    </fill>
    <fill>
      <patternFill patternType="solid">
        <fgColor rgb="FFFFFFCC"/>
      </patternFill>
    </fill>
    <fill>
      <patternFill patternType="solid">
        <fgColor rgb="FFF2F2F2"/>
      </patternFill>
    </fill>
  </fills>
  <borders count="48">
    <border>
      <left/>
      <right/>
      <top/>
      <bottom/>
      <diagonal/>
    </border>
    <border>
      <left style="thin">
        <color rgb="FF565A5C"/>
      </left>
      <right/>
      <top/>
      <bottom/>
      <diagonal/>
    </border>
    <border>
      <left/>
      <right style="thin">
        <color rgb="FF565A5C"/>
      </right>
      <top/>
      <bottom/>
      <diagonal/>
    </border>
    <border>
      <left style="thin">
        <color theme="0" tint="-0.249977111117893"/>
      </left>
      <right/>
      <top/>
      <bottom/>
      <diagonal/>
    </border>
    <border>
      <left/>
      <right style="thin">
        <color rgb="FF565A5C"/>
      </right>
      <top style="thin">
        <color rgb="FF565A5C"/>
      </top>
      <bottom/>
      <diagonal/>
    </border>
    <border>
      <left/>
      <right style="thin">
        <color rgb="FF565A5C"/>
      </right>
      <top/>
      <bottom style="thin">
        <color rgb="FF565A5C"/>
      </bottom>
      <diagonal/>
    </border>
    <border>
      <left style="thin">
        <color rgb="FF565A5C"/>
      </left>
      <right style="thin">
        <color rgb="FF565A5C"/>
      </right>
      <top/>
      <bottom/>
      <diagonal/>
    </border>
    <border>
      <left style="thin">
        <color rgb="FF565A5C"/>
      </left>
      <right/>
      <top style="thin">
        <color rgb="FF565A5C"/>
      </top>
      <bottom style="thin">
        <color rgb="FF565A5C"/>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rgb="FF565A5C"/>
      </right>
      <top/>
      <bottom style="thin">
        <color indexed="64"/>
      </bottom>
      <diagonal/>
    </border>
    <border>
      <left/>
      <right/>
      <top style="thin">
        <color indexed="64"/>
      </top>
      <bottom/>
      <diagonal/>
    </border>
    <border>
      <left/>
      <right/>
      <top/>
      <bottom style="thin">
        <color indexed="64"/>
      </bottom>
      <diagonal/>
    </border>
    <border>
      <left style="thin">
        <color rgb="FF565A5C"/>
      </left>
      <right style="thin">
        <color theme="2" tint="-9.9978637043366805E-2"/>
      </right>
      <top style="thin">
        <color rgb="FF565A5C"/>
      </top>
      <bottom/>
      <diagonal/>
    </border>
    <border>
      <left style="thin">
        <color theme="2" tint="-9.9978637043366805E-2"/>
      </left>
      <right style="thin">
        <color theme="2" tint="-9.9978637043366805E-2"/>
      </right>
      <top style="thin">
        <color rgb="FF565A5C"/>
      </top>
      <bottom/>
      <diagonal/>
    </border>
    <border>
      <left style="thin">
        <color theme="2" tint="-9.9978637043366805E-2"/>
      </left>
      <right style="thin">
        <color theme="2" tint="-9.9978637043366805E-2"/>
      </right>
      <top/>
      <bottom style="thin">
        <color rgb="FF565A5C"/>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rgb="FF565A5C"/>
      </right>
      <top/>
      <bottom/>
      <diagonal/>
    </border>
    <border>
      <left/>
      <right style="thin">
        <color rgb="FF565A5C"/>
      </right>
      <top/>
      <bottom style="thin">
        <color indexed="64"/>
      </bottom>
      <diagonal/>
    </border>
    <border>
      <left/>
      <right style="thin">
        <color rgb="FF565A5C"/>
      </right>
      <top style="thin">
        <color indexed="64"/>
      </top>
      <bottom/>
      <diagonal/>
    </border>
    <border>
      <left style="dashDot">
        <color indexed="64"/>
      </left>
      <right/>
      <top style="thin">
        <color indexed="64"/>
      </top>
      <bottom style="thin">
        <color indexed="64"/>
      </bottom>
      <diagonal/>
    </border>
    <border>
      <left/>
      <right style="dashDot">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565A5C"/>
      </left>
      <right style="thin">
        <color theme="2" tint="-9.9978637043366805E-2"/>
      </right>
      <top/>
      <bottom style="thin">
        <color indexed="64"/>
      </bottom>
      <diagonal/>
    </border>
    <border>
      <left/>
      <right/>
      <top style="thin">
        <color rgb="FF565A5C"/>
      </top>
      <bottom/>
      <diagonal/>
    </border>
    <border>
      <left style="dashDot">
        <color indexed="64"/>
      </left>
      <right/>
      <top/>
      <bottom/>
      <diagonal/>
    </border>
    <border>
      <left style="thin">
        <color indexed="64"/>
      </left>
      <right style="thin">
        <color theme="0" tint="-0.249977111117893"/>
      </right>
      <top/>
      <bottom/>
      <diagonal/>
    </border>
    <border>
      <left style="dashDot">
        <color indexed="64"/>
      </left>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top style="thin">
        <color theme="6" tint="0.39997558519241921"/>
      </top>
      <bottom style="thin">
        <color theme="6" tint="0.39997558519241921"/>
      </bottom>
      <diagonal/>
    </border>
    <border>
      <left/>
      <right style="dashDot">
        <color indexed="64"/>
      </right>
      <top/>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right style="thin">
        <color rgb="FF565A5C"/>
      </right>
      <top style="medium">
        <color indexed="64"/>
      </top>
      <bottom/>
      <diagonal/>
    </border>
    <border>
      <left style="dashDot">
        <color indexed="64"/>
      </left>
      <right/>
      <top style="medium">
        <color indexed="64"/>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rgb="FFB2B2B2"/>
      </top>
      <bottom/>
      <diagonal/>
    </border>
    <border>
      <left style="thin">
        <color rgb="FF3F3F3F"/>
      </left>
      <right style="thin">
        <color rgb="FF3F3F3F"/>
      </right>
      <top style="thin">
        <color rgb="FF3F3F3F"/>
      </top>
      <bottom style="thin">
        <color rgb="FF3F3F3F"/>
      </bottom>
      <diagonal/>
    </border>
  </borders>
  <cellStyleXfs count="8">
    <xf numFmtId="0" fontId="0" fillId="0" borderId="0"/>
    <xf numFmtId="0" fontId="13" fillId="0" borderId="0" applyNumberFormat="0" applyFill="0" applyBorder="0" applyProtection="0">
      <alignment vertical="center"/>
    </xf>
    <xf numFmtId="0" fontId="10" fillId="0" borderId="0" applyNumberFormat="0" applyFill="0" applyBorder="0" applyProtection="0">
      <alignment vertical="center"/>
    </xf>
    <xf numFmtId="0" fontId="2" fillId="7" borderId="0" applyNumberFormat="0" applyBorder="0" applyAlignment="0" applyProtection="0"/>
    <xf numFmtId="0" fontId="34" fillId="13" borderId="37" applyNumberFormat="0" applyAlignment="0" applyProtection="0"/>
    <xf numFmtId="44" fontId="39" fillId="0" borderId="0" applyFont="0" applyFill="0" applyBorder="0" applyAlignment="0" applyProtection="0"/>
    <xf numFmtId="0" fontId="39" fillId="14" borderId="45" applyNumberFormat="0" applyFont="0" applyAlignment="0" applyProtection="0"/>
    <xf numFmtId="0" fontId="43" fillId="15" borderId="47" applyNumberFormat="0" applyAlignment="0" applyProtection="0"/>
  </cellStyleXfs>
  <cellXfs count="250">
    <xf numFmtId="0" fontId="0" fillId="0" borderId="0" xfId="0"/>
    <xf numFmtId="0" fontId="3" fillId="0" borderId="0" xfId="0" applyFont="1" applyAlignment="1">
      <alignment vertical="center"/>
    </xf>
    <xf numFmtId="0" fontId="0" fillId="0" borderId="0" xfId="0" applyAlignment="1">
      <alignment vertical="center"/>
    </xf>
    <xf numFmtId="49" fontId="8" fillId="4" borderId="3" xfId="0" applyNumberFormat="1" applyFont="1" applyFill="1" applyBorder="1" applyAlignment="1">
      <alignment horizontal="center" vertical="center" wrapText="1"/>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4" fillId="5" borderId="0" xfId="3" applyFont="1" applyFill="1" applyAlignment="1">
      <alignment horizontal="center" vertical="center"/>
    </xf>
    <xf numFmtId="0" fontId="14" fillId="5" borderId="0" xfId="3" applyFont="1" applyFill="1"/>
    <xf numFmtId="0" fontId="0" fillId="4" borderId="0" xfId="0" applyFill="1"/>
    <xf numFmtId="0" fontId="16" fillId="0" borderId="0" xfId="0" applyFont="1" applyAlignment="1">
      <alignment horizontal="left" vertical="center"/>
    </xf>
    <xf numFmtId="0" fontId="3" fillId="0" borderId="20" xfId="0" applyFont="1" applyBorder="1" applyAlignment="1">
      <alignment vertical="center"/>
    </xf>
    <xf numFmtId="0" fontId="3" fillId="0" borderId="21" xfId="0" applyFont="1" applyBorder="1" applyAlignment="1">
      <alignment vertical="center"/>
    </xf>
    <xf numFmtId="0" fontId="3" fillId="0" borderId="22" xfId="0" applyFont="1" applyBorder="1" applyAlignment="1">
      <alignment vertical="center"/>
    </xf>
    <xf numFmtId="0" fontId="10" fillId="0" borderId="22" xfId="2" applyBorder="1">
      <alignment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0" fontId="0" fillId="0" borderId="0" xfId="0" applyAlignment="1">
      <alignment horizontal="left"/>
    </xf>
    <xf numFmtId="0" fontId="10" fillId="0" borderId="21" xfId="2" applyBorder="1">
      <alignment vertical="center"/>
    </xf>
    <xf numFmtId="0" fontId="0" fillId="0" borderId="0" xfId="0" applyAlignment="1">
      <alignment horizontal="center" vertical="center" textRotation="90"/>
    </xf>
    <xf numFmtId="0" fontId="20" fillId="0" borderId="0" xfId="2" applyFont="1">
      <alignment vertical="center"/>
    </xf>
    <xf numFmtId="0" fontId="10" fillId="0" borderId="0" xfId="2">
      <alignment vertical="center"/>
    </xf>
    <xf numFmtId="49" fontId="3" fillId="0" borderId="10" xfId="0" applyNumberFormat="1" applyFont="1" applyBorder="1" applyAlignment="1">
      <alignment horizontal="left" vertical="center"/>
    </xf>
    <xf numFmtId="49" fontId="8" fillId="4" borderId="0" xfId="0" applyNumberFormat="1" applyFont="1" applyFill="1" applyAlignment="1">
      <alignment horizontal="center" vertical="center" wrapText="1"/>
    </xf>
    <xf numFmtId="49" fontId="19" fillId="0" borderId="0" xfId="0" applyNumberFormat="1" applyFont="1" applyAlignment="1">
      <alignment horizontal="left" vertical="center"/>
    </xf>
    <xf numFmtId="49" fontId="3" fillId="0" borderId="0" xfId="0" applyNumberFormat="1" applyFont="1" applyAlignment="1">
      <alignment horizontal="center" vertical="center"/>
    </xf>
    <xf numFmtId="1" fontId="3" fillId="0" borderId="10" xfId="0" applyNumberFormat="1" applyFont="1" applyBorder="1" applyAlignment="1">
      <alignment horizontal="center" vertical="center"/>
    </xf>
    <xf numFmtId="49" fontId="3" fillId="0" borderId="0" xfId="0" applyNumberFormat="1" applyFont="1" applyAlignment="1">
      <alignment horizontal="left" vertical="center"/>
    </xf>
    <xf numFmtId="0" fontId="19" fillId="0" borderId="0" xfId="0" applyFont="1" applyAlignment="1">
      <alignment vertical="center"/>
    </xf>
    <xf numFmtId="49" fontId="3" fillId="0" borderId="10" xfId="0" applyNumberFormat="1" applyFont="1" applyBorder="1" applyAlignment="1">
      <alignment horizontal="center" vertical="center"/>
    </xf>
    <xf numFmtId="0" fontId="0" fillId="0" borderId="0" xfId="0" applyAlignment="1">
      <alignment horizontal="left" vertical="center"/>
    </xf>
    <xf numFmtId="0" fontId="0" fillId="0" borderId="19" xfId="0" applyBorder="1"/>
    <xf numFmtId="0" fontId="0" fillId="0" borderId="18" xfId="0" applyBorder="1"/>
    <xf numFmtId="0" fontId="17" fillId="0" borderId="23" xfId="0" applyFont="1" applyBorder="1" applyAlignment="1">
      <alignment horizontal="right"/>
    </xf>
    <xf numFmtId="0" fontId="17" fillId="0" borderId="18" xfId="0" applyFont="1" applyBorder="1" applyAlignment="1">
      <alignment horizontal="right"/>
    </xf>
    <xf numFmtId="0" fontId="23" fillId="0" borderId="18" xfId="0" applyFont="1" applyBorder="1"/>
    <xf numFmtId="0" fontId="17" fillId="0" borderId="18" xfId="0" applyFont="1" applyBorder="1" applyAlignment="1">
      <alignment horizontal="center"/>
    </xf>
    <xf numFmtId="0" fontId="0" fillId="0" borderId="0" xfId="0" applyAlignment="1">
      <alignment horizontal="right"/>
    </xf>
    <xf numFmtId="0" fontId="17" fillId="0" borderId="19" xfId="0" applyFont="1" applyBorder="1" applyAlignment="1">
      <alignment horizontal="right" vertical="top"/>
    </xf>
    <xf numFmtId="0" fontId="23" fillId="0" borderId="24" xfId="0" applyFont="1" applyBorder="1"/>
    <xf numFmtId="49" fontId="8" fillId="8" borderId="0" xfId="0" applyNumberFormat="1" applyFont="1" applyFill="1" applyAlignment="1">
      <alignment horizontal="center" vertical="center" wrapText="1"/>
    </xf>
    <xf numFmtId="49" fontId="8" fillId="8" borderId="10" xfId="0" applyNumberFormat="1" applyFont="1" applyFill="1" applyBorder="1" applyAlignment="1">
      <alignment horizontal="center" vertical="center" wrapText="1"/>
    </xf>
    <xf numFmtId="49" fontId="8" fillId="8" borderId="3" xfId="0" applyNumberFormat="1" applyFont="1" applyFill="1" applyBorder="1" applyAlignment="1">
      <alignment horizontal="center" vertical="center" wrapText="1"/>
    </xf>
    <xf numFmtId="49" fontId="8" fillId="8" borderId="11" xfId="0" applyNumberFormat="1" applyFont="1" applyFill="1" applyBorder="1" applyAlignment="1">
      <alignment horizontal="center" vertical="center" wrapText="1"/>
    </xf>
    <xf numFmtId="49" fontId="1" fillId="2" borderId="0" xfId="0" applyNumberFormat="1" applyFont="1" applyFill="1" applyAlignment="1">
      <alignment horizontal="left" vertical="center"/>
    </xf>
    <xf numFmtId="49" fontId="19" fillId="0" borderId="0" xfId="0" applyNumberFormat="1" applyFont="1" applyAlignment="1">
      <alignment horizontal="center" vertical="center"/>
    </xf>
    <xf numFmtId="49" fontId="1" fillId="2" borderId="28" xfId="0" applyNumberFormat="1" applyFont="1" applyFill="1" applyBorder="1" applyAlignment="1">
      <alignment horizontal="left" vertical="center"/>
    </xf>
    <xf numFmtId="49" fontId="9" fillId="0" borderId="1" xfId="0" applyNumberFormat="1" applyFont="1" applyBorder="1" applyAlignment="1">
      <alignment horizontal="left" vertical="center"/>
    </xf>
    <xf numFmtId="49" fontId="9" fillId="0" borderId="1" xfId="0" applyNumberFormat="1" applyFont="1" applyBorder="1" applyAlignment="1">
      <alignment horizontal="center" vertical="center"/>
    </xf>
    <xf numFmtId="49" fontId="0" fillId="0" borderId="0" xfId="0" applyNumberFormat="1" applyAlignment="1">
      <alignment horizontal="left" vertical="center"/>
    </xf>
    <xf numFmtId="49" fontId="22" fillId="9" borderId="0" xfId="0" applyNumberFormat="1" applyFont="1" applyFill="1" applyAlignment="1">
      <alignment horizontal="left" vertical="center"/>
    </xf>
    <xf numFmtId="49" fontId="11" fillId="10" borderId="19" xfId="0" applyNumberFormat="1" applyFont="1" applyFill="1" applyBorder="1" applyAlignment="1">
      <alignment horizontal="left" vertical="center"/>
    </xf>
    <xf numFmtId="49" fontId="11" fillId="10" borderId="0" xfId="0" applyNumberFormat="1" applyFont="1" applyFill="1" applyAlignment="1">
      <alignment horizontal="left" vertical="center"/>
    </xf>
    <xf numFmtId="1" fontId="0" fillId="0" borderId="0" xfId="0" applyNumberFormat="1" applyAlignment="1">
      <alignment horizontal="center" vertical="center"/>
    </xf>
    <xf numFmtId="49" fontId="10" fillId="9" borderId="0" xfId="2" applyNumberFormat="1" applyFill="1" applyAlignment="1">
      <alignment horizontal="left" vertical="center"/>
    </xf>
    <xf numFmtId="49" fontId="10" fillId="10" borderId="19" xfId="2" applyNumberFormat="1" applyFill="1" applyBorder="1" applyAlignment="1">
      <alignment horizontal="left" vertical="center"/>
    </xf>
    <xf numFmtId="49" fontId="8" fillId="4" borderId="10" xfId="0" applyNumberFormat="1" applyFont="1" applyFill="1" applyBorder="1" applyAlignment="1">
      <alignment horizontal="center" vertical="center" wrapText="1"/>
    </xf>
    <xf numFmtId="49" fontId="12" fillId="11" borderId="0" xfId="0" applyNumberFormat="1" applyFont="1" applyFill="1" applyAlignment="1">
      <alignment horizontal="center" vertical="center"/>
    </xf>
    <xf numFmtId="49" fontId="12" fillId="11" borderId="10" xfId="0" applyNumberFormat="1" applyFont="1" applyFill="1" applyBorder="1" applyAlignment="1">
      <alignment horizontal="center" vertical="center"/>
    </xf>
    <xf numFmtId="49" fontId="10" fillId="0" borderId="0" xfId="2" applyNumberFormat="1" applyFill="1" applyBorder="1">
      <alignment vertical="center"/>
    </xf>
    <xf numFmtId="49" fontId="27" fillId="9" borderId="0" xfId="0" applyNumberFormat="1" applyFont="1" applyFill="1" applyAlignment="1">
      <alignment horizontal="left" vertical="center"/>
    </xf>
    <xf numFmtId="49" fontId="28" fillId="10" borderId="19" xfId="0" applyNumberFormat="1" applyFont="1" applyFill="1" applyBorder="1" applyAlignment="1">
      <alignment horizontal="left" vertical="center"/>
    </xf>
    <xf numFmtId="49" fontId="24" fillId="2" borderId="18" xfId="0" applyNumberFormat="1" applyFont="1" applyFill="1" applyBorder="1" applyAlignment="1">
      <alignment horizontal="left" vertical="center"/>
    </xf>
    <xf numFmtId="49" fontId="12" fillId="11" borderId="2" xfId="0" applyNumberFormat="1" applyFont="1" applyFill="1" applyBorder="1" applyAlignment="1">
      <alignment horizontal="center" vertical="center"/>
    </xf>
    <xf numFmtId="49" fontId="0" fillId="0" borderId="10" xfId="0" applyNumberFormat="1" applyBorder="1" applyAlignment="1">
      <alignment horizontal="left" vertical="center"/>
    </xf>
    <xf numFmtId="49" fontId="29" fillId="0" borderId="0" xfId="0" applyNumberFormat="1" applyFont="1" applyAlignment="1">
      <alignment horizontal="left" vertical="center"/>
    </xf>
    <xf numFmtId="0" fontId="18" fillId="0" borderId="25" xfId="0" applyFont="1" applyBorder="1" applyAlignment="1">
      <alignment horizontal="center" vertical="center"/>
    </xf>
    <xf numFmtId="0" fontId="0" fillId="0" borderId="25" xfId="0" applyBorder="1" applyAlignment="1">
      <alignment horizontal="center" vertical="center" textRotation="90" wrapText="1"/>
    </xf>
    <xf numFmtId="0" fontId="0" fillId="0" borderId="25" xfId="0" applyBorder="1" applyAlignment="1">
      <alignment horizontal="left" vertical="center" wrapText="1"/>
    </xf>
    <xf numFmtId="0" fontId="0" fillId="0" borderId="25" xfId="0" applyBorder="1" applyAlignment="1">
      <alignment horizontal="center" vertical="center" textRotation="90"/>
    </xf>
    <xf numFmtId="0" fontId="0" fillId="0" borderId="29" xfId="0" applyBorder="1" applyAlignment="1">
      <alignment horizontal="center" vertical="center" textRotation="90"/>
    </xf>
    <xf numFmtId="0" fontId="0" fillId="0" borderId="0" xfId="0" applyAlignment="1">
      <alignment vertical="center" wrapText="1"/>
    </xf>
    <xf numFmtId="1" fontId="25" fillId="0" borderId="0" xfId="0" applyNumberFormat="1" applyFont="1" applyAlignment="1">
      <alignment horizontal="left" vertical="center"/>
    </xf>
    <xf numFmtId="1" fontId="12" fillId="0" borderId="0" xfId="0" applyNumberFormat="1" applyFont="1" applyAlignment="1">
      <alignment horizontal="left" vertical="center"/>
    </xf>
    <xf numFmtId="0" fontId="10" fillId="0" borderId="0" xfId="2" applyBorder="1">
      <alignment vertical="center"/>
    </xf>
    <xf numFmtId="0" fontId="3" fillId="0" borderId="0" xfId="0" applyFont="1" applyAlignment="1">
      <alignment horizontal="center" vertical="center"/>
    </xf>
    <xf numFmtId="0" fontId="3" fillId="0" borderId="32" xfId="0" applyFont="1" applyBorder="1" applyAlignment="1">
      <alignment vertical="center"/>
    </xf>
    <xf numFmtId="0" fontId="15" fillId="12" borderId="31" xfId="0" applyFont="1" applyFill="1" applyBorder="1"/>
    <xf numFmtId="164" fontId="3" fillId="12" borderId="31" xfId="0" applyNumberFormat="1" applyFont="1" applyFill="1" applyBorder="1" applyAlignment="1">
      <alignment horizontal="right" vertical="center"/>
    </xf>
    <xf numFmtId="164" fontId="3" fillId="12" borderId="6" xfId="0" applyNumberFormat="1" applyFont="1" applyFill="1" applyBorder="1" applyAlignment="1">
      <alignment horizontal="right" vertical="center"/>
    </xf>
    <xf numFmtId="0" fontId="15" fillId="12" borderId="14" xfId="0" applyFont="1" applyFill="1" applyBorder="1"/>
    <xf numFmtId="0" fontId="0" fillId="12" borderId="9" xfId="0" applyFill="1" applyBorder="1" applyAlignment="1">
      <alignment horizontal="right" vertical="center"/>
    </xf>
    <xf numFmtId="0" fontId="8" fillId="12" borderId="15" xfId="0" applyFont="1" applyFill="1" applyBorder="1" applyAlignment="1">
      <alignment horizontal="right"/>
    </xf>
    <xf numFmtId="0" fontId="8" fillId="12" borderId="16" xfId="0" applyFont="1" applyFill="1" applyBorder="1" applyAlignment="1">
      <alignment horizontal="right"/>
    </xf>
    <xf numFmtId="164" fontId="3" fillId="12" borderId="17" xfId="0" applyNumberFormat="1" applyFont="1" applyFill="1" applyBorder="1" applyAlignment="1">
      <alignment horizontal="right" vertical="center"/>
    </xf>
    <xf numFmtId="0" fontId="15" fillId="12" borderId="7" xfId="0" applyFont="1" applyFill="1" applyBorder="1"/>
    <xf numFmtId="0" fontId="15" fillId="4" borderId="1" xfId="0" applyFont="1" applyFill="1" applyBorder="1"/>
    <xf numFmtId="164" fontId="3" fillId="4" borderId="6" xfId="0" applyNumberFormat="1" applyFont="1" applyFill="1" applyBorder="1" applyAlignment="1">
      <alignment horizontal="right" vertical="center"/>
    </xf>
    <xf numFmtId="0" fontId="0" fillId="0" borderId="33" xfId="0" applyBorder="1"/>
    <xf numFmtId="49" fontId="30" fillId="0" borderId="0" xfId="0" applyNumberFormat="1" applyFont="1" applyAlignment="1">
      <alignment horizontal="left" vertical="center"/>
    </xf>
    <xf numFmtId="0" fontId="9" fillId="0" borderId="0" xfId="0" applyFont="1" applyAlignment="1">
      <alignment vertical="center"/>
    </xf>
    <xf numFmtId="1" fontId="25" fillId="0" borderId="2" xfId="0" applyNumberFormat="1" applyFont="1" applyBorder="1" applyAlignment="1">
      <alignment horizontal="left" vertical="center"/>
    </xf>
    <xf numFmtId="0" fontId="10" fillId="0" borderId="10" xfId="2" applyNumberFormat="1" applyBorder="1">
      <alignment vertical="center"/>
    </xf>
    <xf numFmtId="0" fontId="21" fillId="0" borderId="10" xfId="0" applyFont="1" applyBorder="1" applyAlignment="1">
      <alignment vertical="center"/>
    </xf>
    <xf numFmtId="49" fontId="9" fillId="0" borderId="0" xfId="0" applyNumberFormat="1" applyFont="1" applyAlignment="1">
      <alignment horizontal="left" vertical="center"/>
    </xf>
    <xf numFmtId="49" fontId="12" fillId="11" borderId="34" xfId="0" applyNumberFormat="1" applyFont="1" applyFill="1" applyBorder="1" applyAlignment="1">
      <alignment horizontal="center" vertical="center"/>
    </xf>
    <xf numFmtId="49" fontId="3" fillId="0" borderId="0" xfId="0" applyNumberFormat="1" applyFont="1" applyAlignment="1">
      <alignment vertical="center"/>
    </xf>
    <xf numFmtId="49" fontId="3" fillId="0" borderId="0" xfId="0" applyNumberFormat="1" applyFont="1" applyAlignment="1">
      <alignment horizontal="right" vertical="center"/>
    </xf>
    <xf numFmtId="49" fontId="9" fillId="0" borderId="0" xfId="0" applyNumberFormat="1" applyFont="1" applyAlignment="1">
      <alignment horizontal="center" vertical="center"/>
    </xf>
    <xf numFmtId="49" fontId="1" fillId="2" borderId="36" xfId="0" applyNumberFormat="1" applyFont="1" applyFill="1" applyBorder="1" applyAlignment="1">
      <alignment horizontal="left" vertical="center"/>
    </xf>
    <xf numFmtId="49" fontId="19" fillId="0" borderId="34" xfId="0" applyNumberFormat="1" applyFont="1" applyBorder="1" applyAlignment="1">
      <alignment horizontal="left" vertical="center"/>
    </xf>
    <xf numFmtId="49" fontId="3" fillId="0" borderId="34" xfId="0" applyNumberFormat="1" applyFont="1" applyBorder="1" applyAlignment="1">
      <alignment horizontal="left" vertical="center"/>
    </xf>
    <xf numFmtId="49" fontId="8" fillId="8" borderId="34" xfId="0" applyNumberFormat="1" applyFont="1" applyFill="1" applyBorder="1" applyAlignment="1">
      <alignment horizontal="center" vertical="center" wrapText="1"/>
    </xf>
    <xf numFmtId="49" fontId="26" fillId="8" borderId="3" xfId="0" applyNumberFormat="1" applyFont="1" applyFill="1" applyBorder="1" applyAlignment="1">
      <alignment horizontal="center" vertical="center" textRotation="90" wrapText="1"/>
    </xf>
    <xf numFmtId="49" fontId="8" fillId="4" borderId="35" xfId="0" applyNumberFormat="1" applyFont="1" applyFill="1" applyBorder="1" applyAlignment="1">
      <alignment horizontal="center" vertical="center" wrapText="1"/>
    </xf>
    <xf numFmtId="49" fontId="8" fillId="4" borderId="26" xfId="0" applyNumberFormat="1" applyFont="1" applyFill="1" applyBorder="1" applyAlignment="1">
      <alignment horizontal="center" vertical="center" wrapText="1"/>
    </xf>
    <xf numFmtId="49" fontId="12" fillId="11" borderId="15" xfId="0" applyNumberFormat="1" applyFont="1" applyFill="1" applyBorder="1" applyAlignment="1">
      <alignment horizontal="center" vertical="center"/>
    </xf>
    <xf numFmtId="49" fontId="32" fillId="8" borderId="15" xfId="0" applyNumberFormat="1" applyFont="1" applyFill="1" applyBorder="1" applyAlignment="1">
      <alignment horizontal="center" vertical="center" wrapText="1"/>
    </xf>
    <xf numFmtId="0" fontId="18" fillId="0" borderId="0" xfId="0" applyFont="1" applyAlignment="1">
      <alignment horizontal="center" vertical="center"/>
    </xf>
    <xf numFmtId="0" fontId="0" fillId="0" borderId="0" xfId="0" applyAlignment="1">
      <alignment horizontal="center" vertical="center" textRotation="90" wrapText="1"/>
    </xf>
    <xf numFmtId="0" fontId="33" fillId="0" borderId="0" xfId="0" applyFont="1" applyAlignment="1">
      <alignment horizontal="center" vertical="center" textRotation="90"/>
    </xf>
    <xf numFmtId="0" fontId="0" fillId="0" borderId="30" xfId="0" applyBorder="1" applyAlignment="1">
      <alignment horizontal="center" textRotation="90" shrinkToFit="1"/>
    </xf>
    <xf numFmtId="0" fontId="0" fillId="0" borderId="0" xfId="0" applyAlignment="1">
      <alignment horizontal="center" textRotation="90"/>
    </xf>
    <xf numFmtId="1" fontId="3" fillId="0" borderId="0" xfId="0" applyNumberFormat="1" applyFont="1" applyAlignment="1">
      <alignment horizontal="left" vertical="center"/>
    </xf>
    <xf numFmtId="1" fontId="19" fillId="0" borderId="15" xfId="0" applyNumberFormat="1" applyFont="1" applyBorder="1" applyAlignment="1">
      <alignment horizontal="center" vertical="center"/>
    </xf>
    <xf numFmtId="1" fontId="3" fillId="0" borderId="15" xfId="0" applyNumberFormat="1" applyFont="1" applyBorder="1" applyAlignment="1">
      <alignment horizontal="center" vertical="center"/>
    </xf>
    <xf numFmtId="49" fontId="2" fillId="0" borderId="0" xfId="0" applyNumberFormat="1" applyFont="1" applyAlignment="1">
      <alignment horizontal="left" vertical="center"/>
    </xf>
    <xf numFmtId="49" fontId="4" fillId="3" borderId="19" xfId="0" applyNumberFormat="1" applyFont="1" applyFill="1" applyBorder="1" applyAlignment="1">
      <alignment horizontal="left" vertical="center"/>
    </xf>
    <xf numFmtId="49" fontId="10" fillId="0" borderId="0" xfId="2" applyNumberFormat="1" applyAlignment="1">
      <alignment horizontal="center" vertical="center"/>
    </xf>
    <xf numFmtId="44" fontId="3" fillId="0" borderId="10" xfId="0" applyNumberFormat="1" applyFont="1" applyBorder="1" applyAlignment="1">
      <alignment horizontal="left" vertical="center"/>
    </xf>
    <xf numFmtId="1" fontId="3" fillId="0" borderId="11" xfId="0" applyNumberFormat="1" applyFont="1" applyBorder="1" applyAlignment="1">
      <alignment horizontal="left" vertical="center"/>
    </xf>
    <xf numFmtId="49" fontId="4" fillId="3" borderId="27" xfId="0" applyNumberFormat="1" applyFont="1" applyFill="1" applyBorder="1" applyAlignment="1">
      <alignment horizontal="left" vertical="center"/>
    </xf>
    <xf numFmtId="49" fontId="10" fillId="10" borderId="0" xfId="2" applyNumberFormat="1" applyFill="1" applyBorder="1" applyAlignment="1">
      <alignment horizontal="left" vertical="center"/>
    </xf>
    <xf numFmtId="49" fontId="36" fillId="11" borderId="0" xfId="2" applyNumberFormat="1" applyFont="1" applyFill="1" applyAlignment="1">
      <alignment horizontal="center" vertical="center"/>
    </xf>
    <xf numFmtId="49" fontId="37" fillId="11" borderId="10" xfId="0" applyNumberFormat="1" applyFont="1" applyFill="1" applyBorder="1" applyAlignment="1">
      <alignment horizontal="center" vertical="center"/>
    </xf>
    <xf numFmtId="49" fontId="37" fillId="11" borderId="0" xfId="0" applyNumberFormat="1" applyFont="1" applyFill="1" applyAlignment="1">
      <alignment horizontal="center" vertical="center"/>
    </xf>
    <xf numFmtId="49" fontId="36" fillId="11" borderId="11" xfId="2" applyNumberFormat="1" applyFont="1" applyFill="1" applyBorder="1" applyAlignment="1">
      <alignment horizontal="center" vertical="center"/>
    </xf>
    <xf numFmtId="49" fontId="35" fillId="2" borderId="18" xfId="2" applyNumberFormat="1" applyFont="1" applyFill="1" applyBorder="1" applyAlignment="1">
      <alignment horizontal="left" vertical="center"/>
    </xf>
    <xf numFmtId="49" fontId="35" fillId="2" borderId="9" xfId="2" applyNumberFormat="1" applyFont="1" applyFill="1" applyBorder="1" applyAlignment="1">
      <alignment horizontal="left" vertical="center"/>
    </xf>
    <xf numFmtId="49" fontId="35" fillId="2" borderId="0" xfId="2" applyNumberFormat="1" applyFont="1" applyFill="1" applyAlignment="1">
      <alignment horizontal="left" vertical="center"/>
    </xf>
    <xf numFmtId="49" fontId="1" fillId="2" borderId="8" xfId="2" applyNumberFormat="1" applyFont="1" applyFill="1" applyBorder="1" applyAlignment="1">
      <alignment horizontal="left" vertical="center"/>
    </xf>
    <xf numFmtId="49" fontId="5" fillId="4" borderId="0" xfId="2" applyNumberFormat="1" applyFont="1" applyFill="1" applyAlignment="1">
      <alignment horizontal="center" vertical="center" wrapText="1"/>
    </xf>
    <xf numFmtId="49" fontId="5" fillId="8" borderId="3" xfId="2" applyNumberFormat="1" applyFont="1" applyFill="1" applyBorder="1" applyAlignment="1">
      <alignment horizontal="center" vertical="center" wrapText="1"/>
    </xf>
    <xf numFmtId="49" fontId="5" fillId="0" borderId="0" xfId="0" applyNumberFormat="1" applyFont="1" applyAlignment="1">
      <alignment horizontal="left" vertical="center"/>
    </xf>
    <xf numFmtId="49" fontId="5" fillId="0" borderId="11" xfId="0" applyNumberFormat="1" applyFont="1" applyBorder="1" applyAlignment="1">
      <alignment horizontal="left" vertical="center"/>
    </xf>
    <xf numFmtId="44" fontId="29" fillId="0" borderId="10" xfId="0" applyNumberFormat="1" applyFont="1" applyBorder="1" applyAlignment="1">
      <alignment horizontal="left" vertical="center"/>
    </xf>
    <xf numFmtId="49" fontId="0" fillId="0" borderId="0" xfId="0" applyNumberFormat="1" applyAlignment="1">
      <alignment horizontal="center" vertical="center"/>
    </xf>
    <xf numFmtId="49" fontId="5" fillId="0" borderId="10" xfId="0" applyNumberFormat="1" applyFont="1" applyBorder="1" applyAlignment="1">
      <alignment horizontal="center" vertical="center"/>
    </xf>
    <xf numFmtId="0" fontId="21" fillId="0" borderId="0" xfId="0" applyFont="1" applyAlignment="1">
      <alignment horizontal="center" vertical="center"/>
    </xf>
    <xf numFmtId="49" fontId="38" fillId="13" borderId="16" xfId="4" applyNumberFormat="1" applyFont="1" applyBorder="1" applyAlignment="1">
      <alignment horizontal="center" vertical="center"/>
    </xf>
    <xf numFmtId="49" fontId="5" fillId="0" borderId="0" xfId="0" applyNumberFormat="1" applyFont="1" applyAlignment="1">
      <alignment horizontal="center" vertical="center"/>
    </xf>
    <xf numFmtId="49" fontId="1" fillId="2" borderId="14" xfId="0" applyNumberFormat="1" applyFont="1" applyFill="1" applyBorder="1" applyAlignment="1">
      <alignment horizontal="left" vertical="center"/>
    </xf>
    <xf numFmtId="49" fontId="0" fillId="11" borderId="15" xfId="0" applyNumberFormat="1" applyFill="1" applyBorder="1" applyAlignment="1">
      <alignment horizontal="center" vertical="center"/>
    </xf>
    <xf numFmtId="1" fontId="3" fillId="0" borderId="11" xfId="0" applyNumberFormat="1" applyFont="1" applyBorder="1" applyAlignment="1">
      <alignment horizontal="center" vertical="center"/>
    </xf>
    <xf numFmtId="49" fontId="29" fillId="0" borderId="11" xfId="0" applyNumberFormat="1" applyFont="1" applyBorder="1" applyAlignment="1">
      <alignment horizontal="left" vertical="center"/>
    </xf>
    <xf numFmtId="49" fontId="9" fillId="0" borderId="1" xfId="0" applyNumberFormat="1" applyFont="1" applyBorder="1" applyAlignment="1">
      <alignment horizontal="center" vertical="center" wrapText="1"/>
    </xf>
    <xf numFmtId="49" fontId="5" fillId="4" borderId="38" xfId="0" applyNumberFormat="1" applyFont="1" applyFill="1" applyBorder="1" applyAlignment="1">
      <alignment horizontal="center" vertical="center" wrapText="1"/>
    </xf>
    <xf numFmtId="49" fontId="5" fillId="4" borderId="0" xfId="0" applyNumberFormat="1" applyFont="1" applyFill="1" applyAlignment="1">
      <alignment horizontal="center" vertical="center" wrapText="1"/>
    </xf>
    <xf numFmtId="49" fontId="5" fillId="4" borderId="11" xfId="0" applyNumberFormat="1" applyFont="1" applyFill="1" applyBorder="1" applyAlignment="1">
      <alignment horizontal="center" vertical="center" wrapText="1"/>
    </xf>
    <xf numFmtId="49" fontId="3" fillId="0" borderId="0" xfId="0" applyNumberFormat="1" applyFont="1" applyAlignment="1">
      <alignment horizontal="center" vertical="center" wrapText="1"/>
    </xf>
    <xf numFmtId="49" fontId="8" fillId="4" borderId="15" xfId="0" applyNumberFormat="1" applyFont="1" applyFill="1" applyBorder="1" applyAlignment="1">
      <alignment horizontal="center" vertical="center" wrapText="1"/>
    </xf>
    <xf numFmtId="49" fontId="8" fillId="4" borderId="39"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33" fillId="0" borderId="30" xfId="0" applyNumberFormat="1" applyFont="1" applyBorder="1" applyAlignment="1">
      <alignment horizontal="center" vertical="center" textRotation="90"/>
    </xf>
    <xf numFmtId="49" fontId="0" fillId="0" borderId="41" xfId="0" applyNumberFormat="1" applyBorder="1" applyAlignment="1">
      <alignment horizontal="left" vertical="center"/>
    </xf>
    <xf numFmtId="49" fontId="0" fillId="0" borderId="42" xfId="0" applyNumberFormat="1" applyBorder="1" applyAlignment="1">
      <alignment horizontal="left" vertical="center"/>
    </xf>
    <xf numFmtId="49" fontId="30" fillId="0" borderId="42" xfId="0" applyNumberFormat="1" applyFont="1" applyBorder="1" applyAlignment="1">
      <alignment horizontal="left" vertical="center"/>
    </xf>
    <xf numFmtId="49" fontId="3" fillId="0" borderId="42" xfId="0" applyNumberFormat="1" applyFont="1" applyBorder="1" applyAlignment="1">
      <alignment horizontal="left" vertical="center"/>
    </xf>
    <xf numFmtId="49" fontId="3" fillId="0" borderId="41" xfId="0" applyNumberFormat="1" applyFont="1" applyBorder="1" applyAlignment="1">
      <alignment horizontal="center" vertical="center"/>
    </xf>
    <xf numFmtId="49" fontId="3" fillId="0" borderId="42" xfId="0" applyNumberFormat="1" applyFont="1" applyBorder="1" applyAlignment="1">
      <alignment horizontal="center" vertical="center"/>
    </xf>
    <xf numFmtId="1" fontId="3" fillId="0" borderId="40" xfId="0" applyNumberFormat="1" applyFont="1" applyBorder="1" applyAlignment="1">
      <alignment horizontal="center" vertical="center"/>
    </xf>
    <xf numFmtId="1" fontId="3" fillId="0" borderId="41" xfId="0" applyNumberFormat="1" applyFont="1" applyBorder="1" applyAlignment="1">
      <alignment horizontal="center" vertical="center"/>
    </xf>
    <xf numFmtId="49" fontId="3" fillId="0" borderId="41" xfId="0" applyNumberFormat="1" applyFont="1" applyBorder="1" applyAlignment="1">
      <alignment horizontal="left" vertical="center"/>
    </xf>
    <xf numFmtId="49" fontId="3" fillId="0" borderId="44" xfId="0" applyNumberFormat="1" applyFont="1" applyBorder="1" applyAlignment="1">
      <alignment horizontal="left" vertical="center"/>
    </xf>
    <xf numFmtId="49" fontId="29" fillId="0" borderId="42" xfId="0" applyNumberFormat="1" applyFont="1" applyBorder="1" applyAlignment="1">
      <alignment horizontal="center" vertical="center"/>
    </xf>
    <xf numFmtId="49" fontId="29" fillId="0" borderId="42" xfId="0" applyNumberFormat="1" applyFont="1" applyBorder="1" applyAlignment="1">
      <alignment horizontal="left" vertical="center"/>
    </xf>
    <xf numFmtId="49" fontId="29" fillId="0" borderId="40" xfId="0" applyNumberFormat="1" applyFont="1" applyBorder="1" applyAlignment="1">
      <alignment horizontal="left" vertical="center"/>
    </xf>
    <xf numFmtId="1" fontId="25" fillId="0" borderId="40" xfId="0" applyNumberFormat="1" applyFont="1" applyBorder="1" applyAlignment="1">
      <alignment horizontal="left" vertical="center"/>
    </xf>
    <xf numFmtId="49" fontId="1" fillId="2" borderId="8" xfId="0" applyNumberFormat="1" applyFont="1" applyFill="1" applyBorder="1" applyAlignment="1">
      <alignment horizontal="left" vertical="center"/>
    </xf>
    <xf numFmtId="49" fontId="1" fillId="2" borderId="18" xfId="0" applyNumberFormat="1" applyFont="1" applyFill="1" applyBorder="1" applyAlignment="1">
      <alignment horizontal="left" vertical="center"/>
    </xf>
    <xf numFmtId="49" fontId="1" fillId="2" borderId="9" xfId="0" applyNumberFormat="1" applyFont="1" applyFill="1" applyBorder="1" applyAlignment="1">
      <alignment horizontal="left" vertical="center"/>
    </xf>
    <xf numFmtId="1" fontId="25" fillId="0" borderId="43" xfId="0" applyNumberFormat="1" applyFont="1" applyBorder="1" applyAlignment="1">
      <alignment horizontal="left" vertical="center"/>
    </xf>
    <xf numFmtId="2" fontId="31" fillId="0" borderId="25" xfId="0" applyNumberFormat="1" applyFont="1" applyBorder="1" applyAlignment="1">
      <alignment horizontal="center" textRotation="90"/>
    </xf>
    <xf numFmtId="49" fontId="3" fillId="0" borderId="11" xfId="0" applyNumberFormat="1" applyFont="1" applyBorder="1" applyAlignment="1">
      <alignment horizontal="left" vertical="center"/>
    </xf>
    <xf numFmtId="49" fontId="3" fillId="0" borderId="11" xfId="0" applyNumberFormat="1" applyFont="1" applyBorder="1" applyAlignment="1">
      <alignment horizontal="center" vertical="center"/>
    </xf>
    <xf numFmtId="49" fontId="3" fillId="0" borderId="39" xfId="0" applyNumberFormat="1" applyFont="1" applyBorder="1" applyAlignment="1">
      <alignment horizontal="left" vertical="center"/>
    </xf>
    <xf numFmtId="1" fontId="3" fillId="0" borderId="0" xfId="0" applyNumberFormat="1" applyFont="1" applyAlignment="1">
      <alignment horizontal="center" vertical="center"/>
    </xf>
    <xf numFmtId="44" fontId="42" fillId="3" borderId="12" xfId="5" applyFont="1" applyFill="1" applyBorder="1" applyAlignment="1">
      <alignment horizontal="left" vertical="center"/>
    </xf>
    <xf numFmtId="44" fontId="30" fillId="0" borderId="10" xfId="0" applyNumberFormat="1" applyFont="1" applyBorder="1" applyAlignment="1">
      <alignment horizontal="left" vertical="center"/>
    </xf>
    <xf numFmtId="0" fontId="0" fillId="0" borderId="0" xfId="0" applyAlignment="1">
      <alignment horizontal="center" vertical="center"/>
    </xf>
    <xf numFmtId="0" fontId="43" fillId="15" borderId="47" xfId="7" applyAlignment="1">
      <alignment horizontal="center" vertical="center"/>
    </xf>
    <xf numFmtId="0" fontId="0" fillId="0" borderId="0" xfId="0" pivotButton="1" applyAlignment="1">
      <alignment horizontal="center" vertical="center"/>
    </xf>
    <xf numFmtId="49" fontId="5" fillId="10" borderId="19" xfId="0" applyNumberFormat="1" applyFont="1" applyFill="1" applyBorder="1" applyAlignment="1">
      <alignment horizontal="left" vertical="center"/>
    </xf>
    <xf numFmtId="49" fontId="10" fillId="0" borderId="0" xfId="2" applyNumberFormat="1" applyFill="1" applyBorder="1" applyAlignment="1">
      <alignment horizontal="left" vertical="center"/>
    </xf>
    <xf numFmtId="49" fontId="10" fillId="0" borderId="42" xfId="2" applyNumberFormat="1" applyFill="1" applyBorder="1" applyAlignment="1">
      <alignment horizontal="left" vertical="center"/>
    </xf>
    <xf numFmtId="49" fontId="10" fillId="0" borderId="0" xfId="2" applyNumberFormat="1" applyBorder="1" applyAlignment="1">
      <alignment horizontal="left" vertical="center"/>
    </xf>
    <xf numFmtId="0" fontId="10" fillId="0" borderId="10" xfId="2" applyNumberFormat="1" applyBorder="1" applyAlignment="1">
      <alignment horizontal="left" vertical="center"/>
    </xf>
    <xf numFmtId="0" fontId="10" fillId="0" borderId="10" xfId="2" applyNumberFormat="1" applyFill="1" applyBorder="1" applyAlignment="1">
      <alignment horizontal="left" vertical="center"/>
    </xf>
    <xf numFmtId="0" fontId="10" fillId="0" borderId="41" xfId="2" applyNumberFormat="1" applyFill="1" applyBorder="1" applyAlignment="1">
      <alignment horizontal="left" vertical="center"/>
    </xf>
    <xf numFmtId="0" fontId="10" fillId="0" borderId="0" xfId="2" applyNumberFormat="1" applyFill="1" applyBorder="1" applyAlignment="1">
      <alignment horizontal="left" vertical="center"/>
    </xf>
    <xf numFmtId="0" fontId="10" fillId="0" borderId="0" xfId="2" applyNumberFormat="1" applyAlignment="1">
      <alignment horizontal="center" vertical="center"/>
    </xf>
    <xf numFmtId="0" fontId="10" fillId="0" borderId="0" xfId="2" applyNumberFormat="1" applyFill="1" applyBorder="1" applyAlignment="1">
      <alignment horizontal="center" vertical="center"/>
    </xf>
    <xf numFmtId="0" fontId="10" fillId="0" borderId="42" xfId="2" applyNumberFormat="1" applyFill="1" applyBorder="1" applyAlignment="1">
      <alignment horizontal="center" vertical="center"/>
    </xf>
    <xf numFmtId="0" fontId="10" fillId="0" borderId="0" xfId="2" applyNumberFormat="1" applyBorder="1" applyAlignment="1">
      <alignment horizontal="center" vertical="center"/>
    </xf>
    <xf numFmtId="49" fontId="12" fillId="0" borderId="0" xfId="0" applyNumberFormat="1" applyFont="1" applyAlignment="1">
      <alignment horizontal="center" vertical="center"/>
    </xf>
    <xf numFmtId="49" fontId="25" fillId="0" borderId="0" xfId="0" applyNumberFormat="1" applyFont="1" applyAlignment="1">
      <alignment horizontal="center" vertical="center"/>
    </xf>
    <xf numFmtId="49" fontId="25" fillId="0" borderId="42" xfId="0" applyNumberFormat="1" applyFont="1" applyBorder="1" applyAlignment="1">
      <alignment horizontal="center" vertical="center"/>
    </xf>
    <xf numFmtId="2" fontId="29" fillId="0" borderId="0" xfId="0" applyNumberFormat="1" applyFont="1" applyAlignment="1">
      <alignment horizontal="left" vertical="center"/>
    </xf>
    <xf numFmtId="2" fontId="29" fillId="0" borderId="11" xfId="0" applyNumberFormat="1" applyFont="1" applyBorder="1" applyAlignment="1">
      <alignment horizontal="left" vertical="center"/>
    </xf>
    <xf numFmtId="2" fontId="29" fillId="0" borderId="40" xfId="0" applyNumberFormat="1" applyFont="1" applyBorder="1" applyAlignment="1">
      <alignment horizontal="left" vertical="center"/>
    </xf>
    <xf numFmtId="2" fontId="0" fillId="0" borderId="0" xfId="0" applyNumberFormat="1" applyAlignment="1">
      <alignment horizontal="left" vertical="center"/>
    </xf>
    <xf numFmtId="0" fontId="19" fillId="0" borderId="0" xfId="0" applyFont="1" applyAlignment="1">
      <alignment horizontal="center" vertical="center"/>
    </xf>
    <xf numFmtId="0" fontId="3" fillId="0" borderId="2" xfId="0" applyFont="1" applyBorder="1" applyAlignment="1">
      <alignment horizontal="center" vertical="center"/>
    </xf>
    <xf numFmtId="0" fontId="3" fillId="0" borderId="43" xfId="0" applyFont="1" applyBorder="1" applyAlignment="1">
      <alignment horizontal="center" vertical="center"/>
    </xf>
    <xf numFmtId="0" fontId="3" fillId="0" borderId="11" xfId="0" applyFont="1" applyBorder="1" applyAlignment="1">
      <alignment horizontal="center" vertical="center"/>
    </xf>
    <xf numFmtId="0" fontId="10" fillId="0" borderId="2" xfId="2" applyNumberFormat="1" applyBorder="1" applyAlignment="1">
      <alignment horizontal="center" vertical="center"/>
    </xf>
    <xf numFmtId="0" fontId="10" fillId="0" borderId="43" xfId="2" applyNumberFormat="1" applyBorder="1" applyAlignment="1">
      <alignment horizontal="center" vertical="center"/>
    </xf>
    <xf numFmtId="0" fontId="10" fillId="0" borderId="11" xfId="2" applyNumberFormat="1" applyBorder="1" applyAlignment="1">
      <alignment horizontal="center" vertical="center"/>
    </xf>
    <xf numFmtId="0" fontId="10" fillId="0" borderId="2" xfId="2" applyNumberFormat="1" applyFill="1" applyBorder="1" applyAlignment="1">
      <alignment horizontal="center" vertical="center"/>
    </xf>
    <xf numFmtId="49" fontId="1" fillId="2" borderId="8" xfId="0" applyNumberFormat="1" applyFont="1" applyFill="1" applyBorder="1" applyAlignment="1">
      <alignment horizontal="left" vertical="center"/>
    </xf>
    <xf numFmtId="49" fontId="1" fillId="2" borderId="18" xfId="0" applyNumberFormat="1" applyFont="1" applyFill="1" applyBorder="1" applyAlignment="1">
      <alignment horizontal="left" vertical="center"/>
    </xf>
    <xf numFmtId="49" fontId="1" fillId="2" borderId="9" xfId="0" applyNumberFormat="1" applyFont="1" applyFill="1" applyBorder="1" applyAlignment="1">
      <alignment horizontal="left" vertical="center"/>
    </xf>
    <xf numFmtId="49" fontId="5" fillId="11" borderId="10" xfId="0" applyNumberFormat="1" applyFont="1" applyFill="1" applyBorder="1" applyAlignment="1">
      <alignment horizontal="center" vertical="center" wrapText="1"/>
    </xf>
    <xf numFmtId="49" fontId="5" fillId="11" borderId="0" xfId="0" applyNumberFormat="1" applyFont="1" applyFill="1" applyAlignment="1">
      <alignment horizontal="center" vertical="center" wrapText="1"/>
    </xf>
    <xf numFmtId="49" fontId="5" fillId="11" borderId="11" xfId="0" applyNumberFormat="1" applyFont="1" applyFill="1" applyBorder="1" applyAlignment="1">
      <alignment horizontal="center" vertical="center" wrapText="1"/>
    </xf>
    <xf numFmtId="49" fontId="11" fillId="6" borderId="10" xfId="0" applyNumberFormat="1" applyFont="1" applyFill="1" applyBorder="1" applyAlignment="1">
      <alignment horizontal="left" vertical="center"/>
    </xf>
    <xf numFmtId="49" fontId="11" fillId="6" borderId="0" xfId="0" applyNumberFormat="1" applyFont="1" applyFill="1" applyAlignment="1">
      <alignment horizontal="left" vertical="center"/>
    </xf>
    <xf numFmtId="49" fontId="11" fillId="6" borderId="2" xfId="0" applyNumberFormat="1" applyFont="1" applyFill="1" applyBorder="1" applyAlignment="1">
      <alignment horizontal="left" vertical="center"/>
    </xf>
    <xf numFmtId="49" fontId="29" fillId="14" borderId="46" xfId="6" applyNumberFormat="1" applyFont="1" applyBorder="1" applyAlignment="1">
      <alignment horizontal="center" vertical="center" wrapText="1"/>
    </xf>
    <xf numFmtId="49" fontId="29" fillId="14" borderId="16" xfId="6" applyNumberFormat="1" applyFont="1" applyBorder="1" applyAlignment="1">
      <alignment horizontal="center" vertical="center" wrapText="1"/>
    </xf>
    <xf numFmtId="0" fontId="17" fillId="0" borderId="18" xfId="0" applyFont="1" applyBorder="1" applyAlignment="1">
      <alignment horizontal="center" vertical="center" textRotation="90" wrapText="1"/>
    </xf>
    <xf numFmtId="0" fontId="17" fillId="0" borderId="0" xfId="0" applyFont="1" applyAlignment="1">
      <alignment horizontal="center" vertical="center" textRotation="90" wrapText="1"/>
    </xf>
    <xf numFmtId="0" fontId="17" fillId="0" borderId="19" xfId="0" applyFont="1" applyBorder="1" applyAlignment="1">
      <alignment horizontal="center" vertical="center" textRotation="90" wrapText="1"/>
    </xf>
    <xf numFmtId="0" fontId="17" fillId="0" borderId="8" xfId="0" applyFont="1" applyBorder="1" applyAlignment="1">
      <alignment horizontal="center" vertical="center" textRotation="90" wrapText="1"/>
    </xf>
    <xf numFmtId="0" fontId="17" fillId="0" borderId="10" xfId="0" applyFont="1" applyBorder="1" applyAlignment="1">
      <alignment horizontal="center" vertical="center" textRotation="90" wrapText="1"/>
    </xf>
    <xf numFmtId="0" fontId="17" fillId="0" borderId="12" xfId="0" applyFont="1" applyBorder="1" applyAlignment="1">
      <alignment horizontal="center" vertical="center" textRotation="90" wrapText="1"/>
    </xf>
    <xf numFmtId="0" fontId="0" fillId="0" borderId="9"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17" fillId="0" borderId="18" xfId="0" applyFont="1" applyBorder="1" applyAlignment="1">
      <alignment horizontal="center" vertical="top"/>
    </xf>
    <xf numFmtId="0" fontId="17" fillId="0" borderId="9" xfId="0" applyFont="1" applyBorder="1" applyAlignment="1">
      <alignment horizontal="center" vertical="top"/>
    </xf>
    <xf numFmtId="0" fontId="17" fillId="0" borderId="19" xfId="0" applyFont="1" applyBorder="1" applyAlignment="1">
      <alignment horizontal="center" vertical="top"/>
    </xf>
    <xf numFmtId="0" fontId="17" fillId="0" borderId="13" xfId="0" applyFont="1" applyBorder="1" applyAlignment="1">
      <alignment horizontal="center" vertical="top"/>
    </xf>
    <xf numFmtId="0" fontId="0" fillId="0" borderId="18" xfId="0" applyBorder="1" applyAlignment="1">
      <alignment horizontal="center" vertical="center" textRotation="90"/>
    </xf>
    <xf numFmtId="0" fontId="0" fillId="0" borderId="0" xfId="0" applyAlignment="1">
      <alignment horizontal="center" vertical="center" textRotation="90"/>
    </xf>
    <xf numFmtId="0" fontId="0" fillId="0" borderId="19" xfId="0" applyBorder="1" applyAlignment="1">
      <alignment horizontal="center" vertical="center" textRotation="90"/>
    </xf>
    <xf numFmtId="0" fontId="3" fillId="12" borderId="8" xfId="0" applyFont="1" applyFill="1" applyBorder="1" applyAlignment="1">
      <alignment horizontal="left" vertical="top"/>
    </xf>
    <xf numFmtId="0" fontId="3" fillId="12" borderId="18" xfId="0" applyFont="1" applyFill="1" applyBorder="1" applyAlignment="1">
      <alignment horizontal="left" vertical="top"/>
    </xf>
    <xf numFmtId="0" fontId="3" fillId="12" borderId="9" xfId="0" applyFont="1" applyFill="1" applyBorder="1" applyAlignment="1">
      <alignment horizontal="left" vertical="top"/>
    </xf>
    <xf numFmtId="0" fontId="3" fillId="12" borderId="10" xfId="0" applyFont="1" applyFill="1" applyBorder="1" applyAlignment="1">
      <alignment horizontal="left" vertical="top"/>
    </xf>
    <xf numFmtId="0" fontId="3" fillId="12" borderId="0" xfId="0" applyFont="1" applyFill="1" applyAlignment="1">
      <alignment horizontal="left" vertical="top"/>
    </xf>
    <xf numFmtId="0" fontId="3" fillId="12" borderId="11" xfId="0" applyFont="1" applyFill="1" applyBorder="1" applyAlignment="1">
      <alignment horizontal="left" vertical="top"/>
    </xf>
    <xf numFmtId="0" fontId="3" fillId="12" borderId="12" xfId="0" applyFont="1" applyFill="1" applyBorder="1" applyAlignment="1">
      <alignment horizontal="left" vertical="top"/>
    </xf>
    <xf numFmtId="0" fontId="3" fillId="12" borderId="19" xfId="0" applyFont="1" applyFill="1" applyBorder="1" applyAlignment="1">
      <alignment horizontal="left" vertical="top"/>
    </xf>
    <xf numFmtId="0" fontId="3" fillId="12" borderId="13" xfId="0" applyFont="1" applyFill="1" applyBorder="1" applyAlignment="1">
      <alignment horizontal="left" vertical="top"/>
    </xf>
    <xf numFmtId="0" fontId="3" fillId="12" borderId="23" xfId="0" applyFont="1" applyFill="1" applyBorder="1" applyAlignment="1">
      <alignment horizontal="left" vertical="center"/>
    </xf>
    <xf numFmtId="0" fontId="3" fillId="12" borderId="25" xfId="0" applyFont="1" applyFill="1" applyBorder="1" applyAlignment="1">
      <alignment horizontal="left" vertical="center"/>
    </xf>
    <xf numFmtId="0" fontId="3" fillId="12" borderId="24" xfId="0" applyFont="1" applyFill="1" applyBorder="1" applyAlignment="1">
      <alignment horizontal="left" vertical="center"/>
    </xf>
    <xf numFmtId="0" fontId="0" fillId="12" borderId="23" xfId="0" applyFill="1" applyBorder="1" applyAlignment="1">
      <alignment horizontal="center"/>
    </xf>
    <xf numFmtId="0" fontId="0" fillId="12" borderId="25" xfId="0" applyFill="1" applyBorder="1" applyAlignment="1">
      <alignment horizontal="center"/>
    </xf>
    <xf numFmtId="0" fontId="0" fillId="12" borderId="24" xfId="0" applyFill="1" applyBorder="1" applyAlignment="1">
      <alignment horizontal="center"/>
    </xf>
  </cellXfs>
  <cellStyles count="8">
    <cellStyle name="Accent1" xfId="3" builtinId="29"/>
    <cellStyle name="Currency" xfId="5" builtinId="4"/>
    <cellStyle name="Followed Hyperlink" xfId="1" builtinId="9" customBuiltin="1"/>
    <cellStyle name="Hyperlink" xfId="2" builtinId="8" customBuiltin="1"/>
    <cellStyle name="Input" xfId="4" builtinId="20"/>
    <cellStyle name="Normal" xfId="0" builtinId="0"/>
    <cellStyle name="Note" xfId="6" builtinId="10"/>
    <cellStyle name="Output" xfId="7" builtinId="21"/>
  </cellStyles>
  <dxfs count="133">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none">
          <fgColor indexed="64"/>
          <bgColor indexed="65"/>
        </patternFill>
      </fill>
      <alignment horizontal="center" vertical="center" textRotation="0" wrapText="0" indent="0" justifyLastLine="0" shrinkToFit="0" readingOrder="0"/>
    </dxf>
    <dxf>
      <numFmt numFmtId="30" formatCode="@"/>
      <alignment vertical="center" indent="0" justifyLastLine="0" shrinkToFit="0" readingOrder="0"/>
    </dxf>
    <dxf>
      <font>
        <b val="0"/>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0" tint="-0.499984740745262"/>
        <name val="Calibri"/>
        <family val="2"/>
        <scheme val="minor"/>
      </font>
      <numFmt numFmtId="1" formatCode="0"/>
      <fill>
        <patternFill patternType="none">
          <fgColor theme="6" tint="0.79998168889431442"/>
          <bgColor auto="1"/>
        </patternFill>
      </fill>
      <alignment horizontal="lef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dxf>
    <dxf>
      <font>
        <b val="0"/>
        <i val="0"/>
        <strike val="0"/>
        <condense val="0"/>
        <extend val="0"/>
        <outline val="0"/>
        <shadow val="0"/>
        <u val="none"/>
        <vertAlign val="baseline"/>
        <sz val="10"/>
        <color theme="0" tint="-0.499984740745262"/>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numFmt numFmtId="34" formatCode="_(&quot;$&quot;* #,##0.00_);_(&quot;$&quot;* \(#,##0.00\);_(&quot;$&quot;* &quot;-&quot;??_);_(@_)"/>
      <fill>
        <patternFill patternType="none">
          <fgColor indexed="64"/>
          <bgColor indexed="65"/>
        </patternFill>
      </fill>
      <alignment horizontal="left"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border>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auto="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strike val="0"/>
        <outline val="0"/>
        <shadow val="0"/>
        <u val="none"/>
        <vertAlign val="baseline"/>
        <sz val="10"/>
        <color theme="1"/>
        <name val="Calibri"/>
        <family val="2"/>
        <scheme val="minor"/>
      </font>
      <numFmt numFmtId="30" formatCode="@"/>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alignment horizontal="left"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theme="6" tint="0.79998168889431442"/>
          <bgColor auto="1"/>
        </patternFill>
      </fill>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 formatCode="0"/>
      <fill>
        <patternFill patternType="none">
          <fgColor theme="6" tint="0.79998168889431442"/>
          <bgColor auto="1"/>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numFmt numFmtId="1" formatCode="0"/>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rgb="FF565A5C"/>
        </right>
        <top/>
        <bottom/>
      </border>
    </dxf>
    <dxf>
      <numFmt numFmtId="0" formatCode="General"/>
      <fill>
        <patternFill patternType="none">
          <fgColor theme="6" tint="0.79998168889431442"/>
          <bgColor auto="1"/>
        </patternFill>
      </fill>
      <alignment horizontal="center" vertical="center" textRotation="0" indent="0" justifyLastLine="0" shrinkToFit="0" readingOrder="0"/>
      <border diagonalUp="0" diagonalDown="0" outline="0">
        <left/>
        <right style="thin">
          <color rgb="FF565A5C"/>
        </right>
        <top/>
        <bottom/>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numFmt numFmtId="0" formatCode="General"/>
      <fill>
        <patternFill patternType="none">
          <fgColor theme="6" tint="0.79998168889431442"/>
          <bgColor auto="1"/>
        </patternFill>
      </fill>
      <alignment horizontal="center" vertical="center" textRotation="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numFmt numFmtId="0" formatCode="General"/>
      <fill>
        <patternFill patternType="none">
          <fgColor theme="6" tint="0.79998168889431442"/>
          <bgColor auto="1"/>
        </patternFill>
      </fill>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1"/>
        <name val="Calibri"/>
        <family val="2"/>
        <scheme val="minor"/>
      </font>
      <numFmt numFmtId="30" formatCode="@"/>
      <fill>
        <patternFill patternType="none">
          <fgColor theme="6" tint="0.79998168889431442"/>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left" vertical="center" textRotation="0" wrapText="0" indent="0" justifyLastLine="0" shrinkToFit="0" readingOrder="0"/>
    </dxf>
    <dxf>
      <numFmt numFmtId="30" formatCode="@"/>
      <fill>
        <patternFill patternType="none">
          <fgColor indexed="64"/>
          <bgColor indexed="65"/>
        </patternFill>
      </fill>
    </dxf>
    <dxf>
      <font>
        <b val="0"/>
        <i val="0"/>
        <strike val="0"/>
        <condense val="0"/>
        <extend val="0"/>
        <outline val="0"/>
        <shadow val="0"/>
        <u val="none"/>
        <vertAlign val="baseline"/>
        <sz val="10"/>
        <color theme="0"/>
        <name val="Calibri"/>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numFmt numFmtId="30" formatCode="@"/>
      <fill>
        <patternFill patternType="none">
          <fgColor indexed="64"/>
          <bgColor auto="1"/>
        </patternFill>
      </fill>
      <alignment horizontal="left" vertical="center" textRotation="0" wrapText="0" indent="0" justifyLastLine="0" shrinkToFit="0" readingOrder="0"/>
    </dxf>
    <dxf>
      <numFmt numFmtId="30" formatCode="@"/>
      <alignment horizontal="left" vertical="center" textRotation="0" indent="0" justifyLastLine="0" shrinkToFit="0" readingOrder="0"/>
    </dxf>
    <dxf>
      <font>
        <b val="0"/>
        <i val="0"/>
        <strike val="0"/>
        <condense val="0"/>
        <extend val="0"/>
        <outline val="0"/>
        <shadow val="0"/>
        <u val="none"/>
        <vertAlign val="baseline"/>
        <sz val="10"/>
        <color theme="1"/>
        <name val="Calibri"/>
        <family val="2"/>
        <scheme val="minor"/>
      </font>
      <alignment horizontal="general" vertical="center" textRotation="0" wrapText="0" indent="0" justifyLastLine="0" shrinkToFit="0" readingOrder="0"/>
      <border diagonalUp="0" diagonalDown="0" outline="0">
        <left style="thin">
          <color indexed="64"/>
        </left>
        <right/>
        <top/>
        <bottom/>
      </border>
    </dxf>
    <dxf>
      <numFmt numFmtId="30" formatCode="@"/>
      <alignment horizontal="left" vertical="center" textRotation="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right style="thin">
          <color indexed="64"/>
        </right>
        <top/>
        <bottom/>
      </border>
    </dxf>
    <dxf>
      <numFmt numFmtId="30" formatCode="@"/>
      <alignment horizontal="left" vertical="center" textRotation="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numFmt numFmtId="30" formatCode="@"/>
      <alignment horizontal="left" vertical="center" textRotation="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outline="0">
        <left style="thin">
          <color indexed="64"/>
        </left>
        <right/>
        <top/>
        <bottom/>
      </border>
    </dxf>
    <dxf>
      <numFmt numFmtId="30" formatCode="@"/>
      <alignment horizontal="left" vertical="center" textRotation="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rgb="FFFF0000"/>
        <name val="Calibri"/>
        <family val="2"/>
        <scheme val="none"/>
      </font>
      <alignment horizontal="lef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Calibri"/>
        <family val="2"/>
        <scheme val="minor"/>
      </font>
      <numFmt numFmtId="2" formatCode="0.00"/>
      <alignment horizontal="left" vertical="center" textRotation="0" indent="0" justifyLastLine="0" shrinkToFit="0" readingOrder="0"/>
      <border outline="0">
        <right style="thin">
          <color indexed="64"/>
        </right>
      </border>
    </dxf>
    <dxf>
      <numFmt numFmtId="30" formatCode="@"/>
      <alignment vertical="center" textRotation="0" indent="0" justifyLastLine="0" shrinkToFit="0" readingOrder="0"/>
    </dxf>
    <dxf>
      <border outline="0">
        <left style="thin">
          <color rgb="FFC9C9C9"/>
        </left>
        <right style="thin">
          <color rgb="FF000000"/>
        </right>
        <top style="thin">
          <color rgb="FFBFBFBF"/>
        </top>
        <bottom style="thin">
          <color rgb="FFC9C9C9"/>
        </bottom>
      </border>
    </dxf>
    <dxf>
      <font>
        <strike val="0"/>
        <outline val="0"/>
        <shadow val="0"/>
        <vertAlign val="baseline"/>
        <sz val="10"/>
        <name val="Calibri"/>
        <family val="2"/>
      </font>
      <numFmt numFmtId="30" formatCode="@"/>
      <fill>
        <patternFill patternType="none">
          <bgColor auto="1"/>
        </patternFill>
      </fill>
      <alignment vertical="center" textRotation="0" indent="0" justifyLastLine="0" shrinkToFit="0" readingOrder="0"/>
    </dxf>
    <dxf>
      <font>
        <b/>
        <i val="0"/>
        <strike val="0"/>
        <condense val="0"/>
        <extend val="0"/>
        <outline val="0"/>
        <shadow val="0"/>
        <u val="none"/>
        <vertAlign val="baseline"/>
        <sz val="10"/>
        <color rgb="FF565A5C"/>
        <name val="Calibri"/>
        <family val="2"/>
        <scheme val="minor"/>
      </font>
      <numFmt numFmtId="30" formatCode="@"/>
      <fill>
        <patternFill patternType="solid">
          <fgColor indexed="64"/>
          <bgColor theme="0" tint="-0.14999847407452621"/>
        </patternFill>
      </fill>
      <alignment horizontal="center" vertical="center" textRotation="0" wrapText="1" indent="0" justifyLastLine="0" shrinkToFit="0" readingOrder="0"/>
    </dxf>
    <dxf>
      <font>
        <color theme="0" tint="-0.24994659260841701"/>
      </font>
    </dxf>
    <dxf>
      <font>
        <color theme="0" tint="-0.24994659260841701"/>
      </font>
    </dxf>
    <dxf>
      <fill>
        <patternFill>
          <fgColor indexed="64"/>
          <bgColor rgb="FFFFC7CE"/>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fgColor indexed="64"/>
          <bgColor rgb="FFFFC7CE"/>
        </patternFill>
      </fill>
    </dxf>
    <dxf>
      <font>
        <color rgb="FF9C5700"/>
      </font>
      <fill>
        <patternFill>
          <fgColor indexed="64"/>
          <bgColor rgb="FFFFEB9C"/>
        </patternFill>
      </fill>
    </dxf>
  </dxfs>
  <tableStyles count="0" defaultTableStyle="TableStyleMedium2" defaultPivotStyle="PivotStyleMedium9"/>
  <colors>
    <mruColors>
      <color rgb="FF0563C1"/>
      <color rgb="FF565A5C"/>
      <color rgb="FFCFB87C"/>
      <color rgb="FFCCCCFF"/>
      <color rgb="FF9933FF"/>
      <color rgb="FF9C5700"/>
      <color rgb="FFCC99FF"/>
      <color rgb="FFA2A4A3"/>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microsoft.com/office/2017/06/relationships/rdSupportingPropertyBagStructure" Target="richData/rdsupportingpropertybagstructure.xml"/><Relationship Id="rId28"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17/06/relationships/richStyles" Target="richData/richStyle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Template.xlsm]Assign!Assign</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Items Assigned to Collections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Assign!$B$2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Assign!$A$3:$A$17</c:f>
              <c:strCache>
                <c:ptCount val="14"/>
                <c:pt idx="0">
                  <c:v>govdocs</c:v>
                </c:pt>
                <c:pt idx="1">
                  <c:v>japan</c:v>
                </c:pt>
                <c:pt idx="2">
                  <c:v>dvd</c:v>
                </c:pt>
                <c:pt idx="3">
                  <c:v>?</c:v>
                </c:pt>
                <c:pt idx="4">
                  <c:v>asnt</c:v>
                </c:pt>
                <c:pt idx="5">
                  <c:v>maybe</c:v>
                </c:pt>
                <c:pt idx="6">
                  <c:v>rare books</c:v>
                </c:pt>
                <c:pt idx="7">
                  <c:v>norref</c:v>
                </c:pt>
                <c:pt idx="8">
                  <c:v>asnref</c:v>
                </c:pt>
                <c:pt idx="9">
                  <c:v>norst</c:v>
                </c:pt>
                <c:pt idx="10">
                  <c:v>asnst</c:v>
                </c:pt>
                <c:pt idx="11">
                  <c:v>pascal</c:v>
                </c:pt>
                <c:pt idx="12">
                  <c:v>dupe</c:v>
                </c:pt>
                <c:pt idx="13">
                  <c:v>reject</c:v>
                </c:pt>
              </c:strCache>
            </c:strRef>
          </c:cat>
          <c:val>
            <c:numRef>
              <c:f>Assign!$B$3:$B$17</c:f>
              <c:numCache>
                <c:formatCode>General</c:formatCode>
                <c:ptCount val="14"/>
                <c:pt idx="0">
                  <c:v>1</c:v>
                </c:pt>
                <c:pt idx="1">
                  <c:v>1</c:v>
                </c:pt>
                <c:pt idx="2">
                  <c:v>1</c:v>
                </c:pt>
                <c:pt idx="3">
                  <c:v>1</c:v>
                </c:pt>
                <c:pt idx="4">
                  <c:v>1</c:v>
                </c:pt>
                <c:pt idx="5">
                  <c:v>1</c:v>
                </c:pt>
                <c:pt idx="6">
                  <c:v>1</c:v>
                </c:pt>
                <c:pt idx="7">
                  <c:v>1</c:v>
                </c:pt>
                <c:pt idx="8">
                  <c:v>2</c:v>
                </c:pt>
                <c:pt idx="9">
                  <c:v>17</c:v>
                </c:pt>
                <c:pt idx="10">
                  <c:v>79</c:v>
                </c:pt>
                <c:pt idx="11">
                  <c:v>341</c:v>
                </c:pt>
                <c:pt idx="12">
                  <c:v>367</c:v>
                </c:pt>
                <c:pt idx="13">
                  <c:v>439</c:v>
                </c:pt>
              </c:numCache>
            </c:numRef>
          </c:val>
          <c:extLst>
            <c:ext xmlns:c16="http://schemas.microsoft.com/office/drawing/2014/chart" uri="{C3380CC4-5D6E-409C-BE32-E72D297353CC}">
              <c16:uniqueId val="{00000000-31A9-4BB8-A2DB-A9BE8990F399}"/>
            </c:ext>
          </c:extLst>
        </c:ser>
        <c:dLbls>
          <c:dLblPos val="outEnd"/>
          <c:showLegendKey val="0"/>
          <c:showVal val="1"/>
          <c:showCatName val="0"/>
          <c:showSerName val="0"/>
          <c:showPercent val="0"/>
          <c:showBubbleSize val="0"/>
        </c:dLbls>
        <c:gapWidth val="182"/>
        <c:axId val="465690623"/>
        <c:axId val="178200719"/>
      </c:barChart>
      <c:catAx>
        <c:axId val="4656906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00719"/>
        <c:crosses val="autoZero"/>
        <c:auto val="1"/>
        <c:lblAlgn val="ctr"/>
        <c:lblOffset val="100"/>
        <c:noMultiLvlLbl val="0"/>
      </c:catAx>
      <c:valAx>
        <c:axId val="1782007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90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Template.xlsm]Series!SeriesRE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Series Titles</a:t>
            </a:r>
            <a:r>
              <a:rPr lang="en-US" baseline="0"/>
              <a:t> (Romanized / English)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Series!$B$2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Series!$A$3:$A$238</c:f>
              <c:strCache>
                <c:ptCount val="235"/>
                <c:pt idx="0">
                  <c:v>(blank)</c:v>
                </c:pt>
                <c:pt idx="1">
                  <c:v>Minatoya Yumekichi Sakuhinshū</c:v>
                </c:pt>
                <c:pt idx="2">
                  <c:v>Miura Ayako sakuhinshū</c:v>
                </c:pt>
                <c:pt idx="3">
                  <c:v>A Da Capo paperback</c:v>
                </c:pt>
                <c:pt idx="4">
                  <c:v>Mizutani, Osamu,; 1932-2014</c:v>
                </c:pt>
                <c:pt idx="5">
                  <c:v>An East gate book</c:v>
                </c:pt>
                <c:pt idx="6">
                  <c:v>Modern Asian literature</c:v>
                </c:pt>
                <c:pt idx="7">
                  <c:v>Approaches to teaching world literature</c:v>
                </c:pt>
                <c:pt idx="8">
                  <c:v>Modern Asian literature series</c:v>
                </c:pt>
                <c:pt idx="9">
                  <c:v>Aruku no Nihongo tekisuto = ALC Press Japanese textbook series; &lt;/font&gt;</c:v>
                </c:pt>
                <c:pt idx="10">
                  <c:v>Modern Chinese literature from Taiwan</c:v>
                </c:pt>
                <c:pt idx="11">
                  <c:v>Asahi sensho</c:v>
                </c:pt>
                <c:pt idx="12">
                  <c:v>Modern Japanese authors</c:v>
                </c:pt>
                <c:pt idx="13">
                  <c:v>Asia perspectives</c:v>
                </c:pt>
                <c:pt idx="14">
                  <c:v>Modern Library war</c:v>
                </c:pt>
                <c:pt idx="15">
                  <c:v>Asian language series</c:v>
                </c:pt>
                <c:pt idx="16">
                  <c:v>Natsume booklet</c:v>
                </c:pt>
                <c:pt idx="17">
                  <c:v>Asuka Komikkusu</c:v>
                </c:pt>
                <c:pt idx="18">
                  <c:v>Nichibunken monograph series,; no. 14</c:v>
                </c:pt>
                <c:pt idx="19">
                  <c:v>Beacon paperbacks</c:v>
                </c:pt>
                <c:pt idx="20">
                  <c:v>Nihon jijō shirizu</c:v>
                </c:pt>
                <c:pt idx="21">
                  <c:v>Bungei tokuhon</c:v>
                </c:pt>
                <c:pt idx="22">
                  <c:v>Nihon jijo shirizu; &lt;/font&gt;</c:v>
                </c:pt>
                <c:pt idx="23">
                  <c:v>Campus</c:v>
                </c:pt>
                <c:pt idx="24">
                  <c:v>Nihon kokumin bungaku zenshū</c:v>
                </c:pt>
                <c:pt idx="25">
                  <c:v>Chen xing cong shu</c:v>
                </c:pt>
                <c:pt idx="26">
                  <c:v>Nihon kyōyō zenshū</c:v>
                </c:pt>
                <c:pt idx="27">
                  <c:v>Chikuma gakugei bunko</c:v>
                </c:pt>
                <c:pt idx="28">
                  <c:v>Nihon no koten. 2</c:v>
                </c:pt>
                <c:pt idx="29">
                  <c:v>Chikuma shinsho</c:v>
                </c:pt>
                <c:pt idx="30">
                  <c:v>Nihon rekishi shirīzu</c:v>
                </c:pt>
                <c:pt idx="31">
                  <c:v>Chūkō sosho; &lt;/font&gt;</c:v>
                </c:pt>
                <c:pt idx="32">
                  <c:v>Nihongo kyōiku shiryō shirīzu</c:v>
                </c:pt>
                <c:pt idx="33">
                  <c:v>Columbia guides to Asian history</c:v>
                </c:pt>
                <c:pt idx="34">
                  <c:v>Nissan Institute/Routledge Japanese studies series</c:v>
                </c:pt>
                <c:pt idx="35">
                  <c:v>Cornell East Asia series,; 86</c:v>
                </c:pt>
                <c:pt idx="36">
                  <c:v>Nyū feminizumu rebyū</c:v>
                </c:pt>
                <c:pt idx="37">
                  <c:v>Cornell University East Asia Program East Asia Papers.,; 40</c:v>
                </c:pt>
                <c:pt idx="38">
                  <c:v>Obunsha eibun gakushu raiburari</c:v>
                </c:pt>
                <c:pt idx="39">
                  <c:v>Criterion collection</c:v>
                </c:pt>
                <c:pt idx="40">
                  <c:v>Omoshiro Kokugo Zeminarū</c:v>
                </c:pt>
                <c:pt idx="41">
                  <c:v>Dang dai ming jia</c:v>
                </c:pt>
                <c:pt idx="42">
                  <c:v>Onna no isshō</c:v>
                </c:pt>
                <c:pt idx="43">
                  <c:v>English and humanities series</c:v>
                </c:pt>
                <c:pt idx="44">
                  <c:v>Options for teaching</c:v>
                </c:pt>
                <c:pt idx="45">
                  <c:v>Foto Rivuru</c:v>
                </c:pt>
                <c:pt idx="46">
                  <c:v>Penguin classics</c:v>
                </c:pt>
                <c:pt idx="47">
                  <c:v>Fukutake books</c:v>
                </c:pt>
                <c:pt idx="48">
                  <c:v>People</c:v>
                </c:pt>
                <c:pt idx="49">
                  <c:v>George School readings on developing lands</c:v>
                </c:pt>
                <c:pt idx="50">
                  <c:v>Pojitivu</c:v>
                </c:pt>
                <c:pt idx="51">
                  <c:v>Harvard-Yenching Institute monograph series</c:v>
                </c:pt>
                <c:pt idx="52">
                  <c:v>Popurasha bunko</c:v>
                </c:pt>
                <c:pt idx="53">
                  <c:v>Haskell lectures on history of religions, new ser.</c:v>
                </c:pt>
                <c:pt idx="54">
                  <c:v>Post-contemporary interventions</c:v>
                </c:pt>
                <c:pt idx="55">
                  <c:v>Hihyō kūkan</c:v>
                </c:pt>
                <c:pt idx="56">
                  <c:v>Power Japanese series</c:v>
                </c:pt>
                <c:pt idx="57">
                  <c:v>Hito to bungaku shirīzu</c:v>
                </c:pt>
                <c:pt idx="58">
                  <c:v>Princeton paperbacks; Studies of the East Asian Institute, Columbia University</c:v>
                </c:pt>
                <c:pt idx="59">
                  <c:v>Hoppō bunka shashin shirīzu</c:v>
                </c:pt>
                <c:pt idx="60">
                  <c:v>Public worlds</c:v>
                </c:pt>
                <c:pt idx="61">
                  <c:v>Iwanami shinsho. Aoban</c:v>
                </c:pt>
                <c:pt idx="62">
                  <c:v>Publications of the Center for Japanese and Korean studies</c:v>
                </c:pt>
                <c:pt idx="63">
                  <c:v>Iwanami shinsho. Shin akaban</c:v>
                </c:pt>
                <c:pt idx="64">
                  <c:v>ReachnewheightsinJapanese;</c:v>
                </c:pt>
                <c:pt idx="65">
                  <c:v>Jian kang ren sheng</c:v>
                </c:pt>
                <c:pt idx="66">
                  <c:v>Religion, history, and culture</c:v>
                </c:pt>
                <c:pt idx="67">
                  <c:v>Jinbutsu kindai joseishi onna no isshō</c:v>
                </c:pt>
                <c:pt idx="68">
                  <c:v>Ri ben wen xue cong shu.</c:v>
                </c:pt>
                <c:pt idx="69">
                  <c:v>Kadokawa sensho</c:v>
                </c:pt>
                <c:pt idx="70">
                  <c:v>Ri ben yu wen zi xiu cong shu</c:v>
                </c:pt>
                <c:pt idx="71">
                  <c:v>Kawade bunko</c:v>
                </c:pt>
                <c:pt idx="72">
                  <c:v>Ryūkyū geinō zenshū</c:v>
                </c:pt>
                <c:pt idx="73">
                  <c:v>Kodansha aoi tori bunko</c:v>
                </c:pt>
                <c:pt idx="74">
                  <c:v>San'ichi shinsho</c:v>
                </c:pt>
                <c:pt idx="75">
                  <c:v>Kodansha biographies</c:v>
                </c:pt>
                <c:pt idx="76">
                  <c:v>Seikyūsha raiburarī</c:v>
                </c:pt>
                <c:pt idx="77">
                  <c:v>Kodansha philosophia</c:v>
                </c:pt>
                <c:pt idx="78">
                  <c:v>Sekai gendaishi bunko</c:v>
                </c:pt>
                <c:pt idx="79">
                  <c:v>Komyunikēshon no tame no Nihongo I</c:v>
                </c:pt>
                <c:pt idx="80">
                  <c:v>Sekai no Nihon kenkyū =; Japanese studies around the world</c:v>
                </c:pt>
                <c:pt idx="81">
                  <c:v>Lan Yifeng shuo li shi</c:v>
                </c:pt>
                <c:pt idx="82">
                  <c:v>Sekaishiso seminar</c:v>
                </c:pt>
                <c:pt idx="83">
                  <c:v>Library of world biography</c:v>
                </c:pt>
                <c:pt idx="84">
                  <c:v>SHAPS library of Asian studies</c:v>
                </c:pt>
                <c:pt idx="85">
                  <c:v>Lu du yu cong shu</c:v>
                </c:pt>
                <c:pt idx="86">
                  <c:v>She hui ren wen</c:v>
                </c:pt>
                <c:pt idx="87">
                  <c:v>Maruzen raiburarī</c:v>
                </c:pt>
                <c:pt idx="88">
                  <c:v>Sheng huo zhi wei</c:v>
                </c:pt>
                <c:pt idx="89">
                  <c:v>Michigan classics in Japanese studies</c:v>
                </c:pt>
                <c:pt idx="90">
                  <c:v>Shincho bunko</c:v>
                </c:pt>
                <c:pt idx="91">
                  <c:v> </c:v>
                </c:pt>
                <c:pt idx="92">
                  <c:v>Shinchō Nihon bungaku arubamu</c:v>
                </c:pt>
                <c:pt idx="93">
                  <c:v>An Evergreen book</c:v>
                </c:pt>
                <c:pt idx="94">
                  <c:v>Shinchō shinsho</c:v>
                </c:pt>
                <c:pt idx="95">
                  <c:v>Asahi shōjiten</c:v>
                </c:pt>
                <c:pt idx="96">
                  <c:v>Shirīzu Genji daigaku</c:v>
                </c:pt>
                <c:pt idx="97">
                  <c:v>Asian poetry in translation. Japan</c:v>
                </c:pt>
                <c:pt idx="98">
                  <c:v>Shirīzu kokusai kōryū</c:v>
                </c:pt>
                <c:pt idx="99">
                  <c:v>n</c:v>
                </c:pt>
                <c:pt idx="100">
                  <c:v>Shokyū Nihongo mondaishū</c:v>
                </c:pt>
                <c:pt idx="101">
                  <c:v>ZZ</c:v>
                </c:pt>
                <c:pt idx="102">
                  <c:v>Shōwa bungaku zenshū</c:v>
                </c:pt>
                <c:pt idx="103">
                  <c:v>Bunkagaku docu.</c:v>
                </c:pt>
                <c:pt idx="104">
                  <c:v>Six cultures series,; v. 7</c:v>
                </c:pt>
                <c:pt idx="105">
                  <c:v>Chikuma bunko</c:v>
                </c:pt>
                <c:pt idx="106">
                  <c:v>Smithsonian studies in the history of film and television</c:v>
                </c:pt>
                <c:pt idx="107">
                  <c:v>Chūkō shinsho</c:v>
                </c:pt>
                <c:pt idx="108">
                  <c:v>SOHO Bukkusu; &lt;/font&gt;</c:v>
                </c:pt>
                <c:pt idx="109">
                  <c:v>Connaissance de l'Orient: collection UNESCO d'oeuvres représentatives</c:v>
                </c:pt>
                <c:pt idx="110">
                  <c:v>Somosomo sōsho</c:v>
                </c:pt>
                <c:pt idx="111">
                  <c:v>Course in modern Japanese</c:v>
                </c:pt>
                <c:pt idx="112">
                  <c:v>Stages</c:v>
                </c:pt>
                <c:pt idx="113">
                  <c:v>Doubleday anchor books</c:v>
                </c:pt>
                <c:pt idx="114">
                  <c:v>Stanford studies in the civilization of eastern Asia</c:v>
                </c:pt>
                <c:pt idx="115">
                  <c:v>Fox film noir</c:v>
                </c:pt>
                <c:pt idx="116">
                  <c:v>Stanford studies in the civilizations of Eastern Asia</c:v>
                </c:pt>
                <c:pt idx="117">
                  <c:v>Harvard East Asian monographs</c:v>
                </c:pt>
                <c:pt idx="118">
                  <c:v>Studies of the East Asian Institute, Columbia University</c:v>
                </c:pt>
                <c:pt idx="119">
                  <c:v>Hayakawa misuteri bunko</c:v>
                </c:pt>
                <c:pt idx="120">
                  <c:v>Studies of the East Asian Institute; UNESCO collection of representative works.; Japanese series</c:v>
                </c:pt>
                <c:pt idx="121">
                  <c:v>Hong fan wen xue cong shu</c:v>
                </c:pt>
                <c:pt idx="122">
                  <c:v>Taiwan Gendai Shijin Shirīzu</c:v>
                </c:pt>
                <c:pt idx="123">
                  <c:v>Iwanami shinsho. Kiban</c:v>
                </c:pt>
                <c:pt idx="124">
                  <c:v>Taiwan wen xue yan jiu xi lie</c:v>
                </c:pt>
                <c:pt idx="125">
                  <c:v>Jin dai si xiang tu shu guan</c:v>
                </c:pt>
                <c:pt idx="126">
                  <c:v>The Cresset historical series</c:v>
                </c:pt>
                <c:pt idx="127">
                  <c:v>Kappa bukkusu</c:v>
                </c:pt>
                <c:pt idx="128">
                  <c:v>The Goucher College series</c:v>
                </c:pt>
                <c:pt idx="129">
                  <c:v>Kōdansha bijinesu</c:v>
                </c:pt>
                <c:pt idx="130">
                  <c:v>The library of world biography</c:v>
                </c:pt>
                <c:pt idx="131">
                  <c:v>Kodansha sophia books</c:v>
                </c:pt>
                <c:pt idx="132">
                  <c:v>THE NIPPON FOUNDATION</c:v>
                </c:pt>
                <c:pt idx="133">
                  <c:v>Lian jing xue shu</c:v>
                </c:pt>
                <c:pt idx="134">
                  <c:v>The Pantheon Asia Library</c:v>
                </c:pt>
                <c:pt idx="135">
                  <c:v>Mainichi mukku Shirīzu nijisseiki no kioku.</c:v>
                </c:pt>
                <c:pt idx="136">
                  <c:v>The Penguin classics</c:v>
                </c:pt>
                <c:pt idx="137">
                  <c:v>Michigan monograph series in Japanese studies</c:v>
                </c:pt>
                <c:pt idx="138">
                  <c:v>Translations from the Asian classics; Columbia Asian studies series</c:v>
                </c:pt>
                <c:pt idx="139">
                  <c:v>Aruku no Nihongo tekisuto =ALC Press Japanese textbook series</c:v>
                </c:pt>
                <c:pt idx="140">
                  <c:v>Travelers' tales guides</c:v>
                </c:pt>
                <c:pt idx="141">
                  <c:v>Asia-Pacific</c:v>
                </c:pt>
                <c:pt idx="142">
                  <c:v>Twentieth-century Japan: the emergence of a world power</c:v>
                </c:pt>
                <c:pt idx="143">
                  <c:v>Bungei geijutsu no hon; &lt;/font&gt;</c:v>
                </c:pt>
                <c:pt idx="144">
                  <c:v>UNESCO collection of representative literary works</c:v>
                </c:pt>
                <c:pt idx="145">
                  <c:v>Chikuma gendai bungaku taikei</c:v>
                </c:pt>
                <c:pt idx="146">
                  <c:v>UNESCO collection of representative works. Japanese series; Records of civilization: sources and studies</c:v>
                </c:pt>
                <c:pt idx="147">
                  <c:v>Cornell University East Asia papers</c:v>
                </c:pt>
                <c:pt idx="148">
                  <c:v>Vintage book</c:v>
                </c:pt>
                <c:pt idx="149">
                  <c:v>For beginners shirīzu</c:v>
                </c:pt>
                <c:pt idx="150">
                  <c:v>Vintage classics.</c:v>
                </c:pt>
                <c:pt idx="151">
                  <c:v>Harvard-Yenching Institute monographs</c:v>
                </c:pt>
                <c:pt idx="152">
                  <c:v>Wen xue yan jiu</c:v>
                </c:pt>
                <c:pt idx="153">
                  <c:v>Ima wo Ikiru</c:v>
                </c:pt>
                <c:pt idx="154">
                  <c:v>Women in translation</c:v>
                </c:pt>
                <c:pt idx="155">
                  <c:v>Jiu ge wen ku</c:v>
                </c:pt>
                <c:pt idx="156">
                  <c:v>World films (MGM Home Entertainment Inc</c:v>
                </c:pt>
                <c:pt idx="157">
                  <c:v>Kodansha dictionary</c:v>
                </c:pt>
                <c:pt idx="158">
                  <c:v>World religions series</c:v>
                </c:pt>
                <c:pt idx="159">
                  <c:v>LTCB international library selection</c:v>
                </c:pt>
                <c:pt idx="160">
                  <c:v>Xin shi ji cong shu</c:v>
                </c:pt>
                <c:pt idx="161">
                  <c:v>ABC-CLIO literary companion</c:v>
                </c:pt>
                <c:pt idx="162">
                  <c:v>Xin.ren wen</c:v>
                </c:pt>
                <c:pt idx="163">
                  <c:v>[Asia-Africa series]</c:v>
                </c:pt>
                <c:pt idx="164">
                  <c:v>Yamamoto Yūzō bunko</c:v>
                </c:pt>
                <c:pt idx="165">
                  <c:v>Columbia guides to American history and cultures</c:v>
                </c:pt>
                <c:pt idx="166">
                  <c:v>Yin ke wen xue</c:v>
                </c:pt>
                <c:pt idx="167">
                  <c:v>Gendai Nihon bungaku zenshū. Hokan</c:v>
                </c:pt>
                <c:pt idx="168">
                  <c:v>Ying xiang ji shi xi lie</c:v>
                </c:pt>
                <c:pt idx="169">
                  <c:v>Japan unveiled</c:v>
                </c:pt>
                <c:pt idx="170">
                  <c:v>Yorimichi pan!se</c:v>
                </c:pt>
                <c:pt idx="171">
                  <c:v>Lan xiao shuo</c:v>
                </c:pt>
                <c:pt idx="172">
                  <c:v>Yūhikaku shinsho</c:v>
                </c:pt>
                <c:pt idx="173">
                  <c:v>Asia-Local studies/global themes</c:v>
                </c:pt>
                <c:pt idx="174">
                  <c:v>Yūhikaku sōsho</c:v>
                </c:pt>
                <c:pt idx="175">
                  <c:v>Cultures of consumption series</c:v>
                </c:pt>
                <c:pt idx="176">
                  <c:v>Yūrin shinsho</c:v>
                </c:pt>
                <c:pt idx="177">
                  <c:v>Kōbunsha bunko</c:v>
                </c:pt>
                <c:pt idx="178">
                  <c:v>Zhong yang yan jiu yuan cong shu</c:v>
                </c:pt>
                <c:pt idx="179">
                  <c:v>CARE</c:v>
                </c:pt>
                <c:pt idx="180">
                  <c:v>Zhong yang yan jiu yuan ren wen she hui ke xue yan jiu zhong xin zhuan shu</c:v>
                </c:pt>
                <c:pt idx="181">
                  <c:v>Meikai shirīzu</c:v>
                </c:pt>
                <c:pt idx="182">
                  <c:v>Zhuan kan</c:v>
                </c:pt>
                <c:pt idx="183">
                  <c:v>Hihyo no hoho</c:v>
                </c:pt>
                <c:pt idx="184">
                  <c:v>Z-kai peburu senshō</c:v>
                </c:pt>
                <c:pt idx="185">
                  <c:v>NHK bideo kyōzai</c:v>
                </c:pt>
                <c:pt idx="186">
                  <c:v>Contemporary Japanese society</c:v>
                </c:pt>
                <c:pt idx="187">
                  <c:v>Gendai kyōyō bunko</c:v>
                </c:pt>
                <c:pt idx="188">
                  <c:v>East Asian film collection</c:v>
                </c:pt>
                <c:pt idx="189">
                  <c:v>Bessatsu Takarajima</c:v>
                </c:pt>
                <c:pt idx="190">
                  <c:v>Nihon kindai bungaku taikei</c:v>
                </c:pt>
                <c:pt idx="191">
                  <c:v>Pelican books</c:v>
                </c:pt>
                <c:pt idx="192">
                  <c:v>Kōdansha bungei bunko</c:v>
                </c:pt>
                <c:pt idx="193">
                  <c:v>Iwanami Bunko</c:v>
                </c:pt>
                <c:pt idx="194">
                  <c:v>Nihon no Bungaku</c:v>
                </c:pt>
                <c:pt idx="195">
                  <c:v>Nihon bungaku zenshū</c:v>
                </c:pt>
                <c:pt idx="196">
                  <c:v>Riben wen xue cong shu</c:v>
                </c:pt>
                <c:pt idx="197">
                  <c:v>Gender and culture</c:v>
                </c:pt>
                <c:pt idx="198">
                  <c:v>Supirittsu jimi komikkusu</c:v>
                </c:pt>
                <c:pt idx="199">
                  <c:v>Tut books</c:v>
                </c:pt>
                <c:pt idx="200">
                  <c:v>Kōdansha gakujutsu bunko</c:v>
                </c:pt>
                <c:pt idx="201">
                  <c:v>Bungei-dokuhon</c:v>
                </c:pt>
                <c:pt idx="202">
                  <c:v>Heibonsha sensho</c:v>
                </c:pt>
                <c:pt idx="203">
                  <c:v>Nihon bungaku kenkyū shiryō sōsho</c:v>
                </c:pt>
                <c:pt idx="204">
                  <c:v>Zhongguo xin wen xue da shi ming zuo shang xi</c:v>
                </c:pt>
                <c:pt idx="205">
                  <c:v>Lian he wen xue</c:v>
                </c:pt>
                <c:pt idx="206">
                  <c:v>Nippon, the land and its people</c:v>
                </c:pt>
                <c:pt idx="207">
                  <c:v>Princeton library of Asian translations</c:v>
                </c:pt>
                <c:pt idx="208">
                  <c:v>Kadokawa shōjiten</c:v>
                </c:pt>
                <c:pt idx="209">
                  <c:v>Yale language series</c:v>
                </c:pt>
                <c:pt idx="210">
                  <c:v>Gendai bungaku taikei</c:v>
                </c:pt>
                <c:pt idx="211">
                  <c:v>Shinchō sensho</c:v>
                </c:pt>
                <c:pt idx="212">
                  <c:v>Gakken manga, jiten shirīzu; &lt;/font&gt;</c:v>
                </c:pt>
                <c:pt idx="213">
                  <c:v>Bunshun bunko</c:v>
                </c:pt>
                <c:pt idx="214">
                  <c:v>UNESCO collection of representative works. Japanese series</c:v>
                </c:pt>
                <c:pt idx="215">
                  <c:v>Shūeisha bunko</c:v>
                </c:pt>
                <c:pt idx="216">
                  <c:v>Hana to yume comics</c:v>
                </c:pt>
                <c:pt idx="217">
                  <c:v>Kōdansha sensho mechie</c:v>
                </c:pt>
                <c:pt idx="218">
                  <c:v>Morikawa Tatsuya hyōron shūsei</c:v>
                </c:pt>
                <c:pt idx="219">
                  <c:v>Kōdansha bunko</c:v>
                </c:pt>
                <c:pt idx="220">
                  <c:v>In Pocket</c:v>
                </c:pt>
                <c:pt idx="221">
                  <c:v>Shinchō Nihon bungaku</c:v>
                </c:pt>
                <c:pt idx="222">
                  <c:v>Chūkō bunko</c:v>
                </c:pt>
                <c:pt idx="223">
                  <c:v>Aruku no Nihongo tekisuto</c:v>
                </c:pt>
                <c:pt idx="224">
                  <c:v>Kōdansha gendai shinsho</c:v>
                </c:pt>
                <c:pt idx="225">
                  <c:v>Gaikokujin no tame no Nihongo reibun mondai shirīzu</c:v>
                </c:pt>
                <c:pt idx="226">
                  <c:v>Taiwan zuo jia quan ji. Duan pian xiao shuo juan. Ri ju shi dai</c:v>
                </c:pt>
                <c:pt idx="227">
                  <c:v>Kodansha gakujutsu bunko</c:v>
                </c:pt>
                <c:pt idx="228">
                  <c:v>Taiwan shi liao cong kan</c:v>
                </c:pt>
                <c:pt idx="229">
                  <c:v>Hihyō no hōhō</c:v>
                </c:pt>
                <c:pt idx="230">
                  <c:v>Gendaigoyaku Nihon no koten</c:v>
                </c:pt>
                <c:pt idx="231">
                  <c:v>Manga mini jiten shirīzu</c:v>
                </c:pt>
                <c:pt idx="232">
                  <c:v>Kadokawa bunko</c:v>
                </c:pt>
                <c:pt idx="233">
                  <c:v>Shinchō bunko</c:v>
                </c:pt>
                <c:pt idx="234">
                  <c:v>Nihon koten bungaku taikei</c:v>
                </c:pt>
              </c:strCache>
            </c:strRef>
          </c:cat>
          <c:val>
            <c:numRef>
              <c:f>Series!$B$3:$B$238</c:f>
              <c:numCache>
                <c:formatCode>General</c:formatCode>
                <c:ptCount val="235"/>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2</c:v>
                </c:pt>
                <c:pt idx="186">
                  <c:v>2</c:v>
                </c:pt>
                <c:pt idx="187">
                  <c:v>2</c:v>
                </c:pt>
                <c:pt idx="188">
                  <c:v>2</c:v>
                </c:pt>
                <c:pt idx="189">
                  <c:v>2</c:v>
                </c:pt>
                <c:pt idx="190">
                  <c:v>2</c:v>
                </c:pt>
                <c:pt idx="191">
                  <c:v>2</c:v>
                </c:pt>
                <c:pt idx="192">
                  <c:v>2</c:v>
                </c:pt>
                <c:pt idx="193">
                  <c:v>2</c:v>
                </c:pt>
                <c:pt idx="194">
                  <c:v>2</c:v>
                </c:pt>
                <c:pt idx="195">
                  <c:v>2</c:v>
                </c:pt>
                <c:pt idx="196">
                  <c:v>2</c:v>
                </c:pt>
                <c:pt idx="197">
                  <c:v>2</c:v>
                </c:pt>
                <c:pt idx="198">
                  <c:v>2</c:v>
                </c:pt>
                <c:pt idx="199">
                  <c:v>2</c:v>
                </c:pt>
                <c:pt idx="200">
                  <c:v>2</c:v>
                </c:pt>
                <c:pt idx="201">
                  <c:v>2</c:v>
                </c:pt>
                <c:pt idx="202">
                  <c:v>2</c:v>
                </c:pt>
                <c:pt idx="203">
                  <c:v>2</c:v>
                </c:pt>
                <c:pt idx="204">
                  <c:v>2</c:v>
                </c:pt>
                <c:pt idx="205">
                  <c:v>2</c:v>
                </c:pt>
                <c:pt idx="206">
                  <c:v>2</c:v>
                </c:pt>
                <c:pt idx="207">
                  <c:v>3</c:v>
                </c:pt>
                <c:pt idx="208">
                  <c:v>3</c:v>
                </c:pt>
                <c:pt idx="209">
                  <c:v>3</c:v>
                </c:pt>
                <c:pt idx="210">
                  <c:v>3</c:v>
                </c:pt>
                <c:pt idx="211">
                  <c:v>3</c:v>
                </c:pt>
                <c:pt idx="212">
                  <c:v>3</c:v>
                </c:pt>
                <c:pt idx="213">
                  <c:v>4</c:v>
                </c:pt>
                <c:pt idx="214">
                  <c:v>4</c:v>
                </c:pt>
                <c:pt idx="215">
                  <c:v>4</c:v>
                </c:pt>
                <c:pt idx="216">
                  <c:v>5</c:v>
                </c:pt>
                <c:pt idx="217">
                  <c:v>5</c:v>
                </c:pt>
                <c:pt idx="218">
                  <c:v>6</c:v>
                </c:pt>
                <c:pt idx="219">
                  <c:v>6</c:v>
                </c:pt>
                <c:pt idx="220">
                  <c:v>6</c:v>
                </c:pt>
                <c:pt idx="221">
                  <c:v>6</c:v>
                </c:pt>
                <c:pt idx="222">
                  <c:v>7</c:v>
                </c:pt>
                <c:pt idx="223">
                  <c:v>8</c:v>
                </c:pt>
                <c:pt idx="224">
                  <c:v>8</c:v>
                </c:pt>
                <c:pt idx="225">
                  <c:v>9</c:v>
                </c:pt>
                <c:pt idx="226">
                  <c:v>9</c:v>
                </c:pt>
                <c:pt idx="227">
                  <c:v>9</c:v>
                </c:pt>
                <c:pt idx="228">
                  <c:v>10</c:v>
                </c:pt>
                <c:pt idx="229">
                  <c:v>11</c:v>
                </c:pt>
                <c:pt idx="230">
                  <c:v>12</c:v>
                </c:pt>
                <c:pt idx="231">
                  <c:v>12</c:v>
                </c:pt>
                <c:pt idx="232">
                  <c:v>16</c:v>
                </c:pt>
                <c:pt idx="233">
                  <c:v>23</c:v>
                </c:pt>
                <c:pt idx="234">
                  <c:v>37</c:v>
                </c:pt>
              </c:numCache>
            </c:numRef>
          </c:val>
          <c:extLst>
            <c:ext xmlns:c16="http://schemas.microsoft.com/office/drawing/2014/chart" uri="{C3380CC4-5D6E-409C-BE32-E72D297353CC}">
              <c16:uniqueId val="{00000000-4BFC-444B-AEE1-459BB1C381C3}"/>
            </c:ext>
          </c:extLst>
        </c:ser>
        <c:dLbls>
          <c:dLblPos val="outEnd"/>
          <c:showLegendKey val="0"/>
          <c:showVal val="1"/>
          <c:showCatName val="0"/>
          <c:showSerName val="0"/>
          <c:showPercent val="0"/>
          <c:showBubbleSize val="0"/>
        </c:dLbls>
        <c:gapWidth val="182"/>
        <c:axId val="397050111"/>
        <c:axId val="397052511"/>
      </c:barChart>
      <c:catAx>
        <c:axId val="397050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052511"/>
        <c:crosses val="autoZero"/>
        <c:auto val="1"/>
        <c:lblAlgn val="ctr"/>
        <c:lblOffset val="100"/>
        <c:noMultiLvlLbl val="0"/>
      </c:catAx>
      <c:valAx>
        <c:axId val="39705251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7050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[Donation - Donation Name - Template.xlsm]Series!SeriesN</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Series Titles (Native)</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Series!$Q$2</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Series!$P$3:$P$149</c:f>
              <c:strCache>
                <c:ptCount val="146"/>
                <c:pt idx="0">
                  <c:v>(blank)</c:v>
                </c:pt>
                <c:pt idx="1">
                  <c:v>文化学 docu</c:v>
                </c:pt>
                <c:pt idx="2">
                  <c:v>文學研究, 5 文學研究</c:v>
                </c:pt>
                <c:pt idx="3">
                  <c:v>People (時報出版公司)</c:v>
                </c:pt>
                <c:pt idx="4">
                  <c:v>文春文庫 文春文庫</c:v>
                </c:pt>
                <c:pt idx="5">
                  <c:v>Z会ペブル選書</c:v>
                </c:pt>
                <c:pt idx="6">
                  <c:v>文芸.芸術の本</c:v>
                </c:pt>
                <c:pt idx="7">
                  <c:v>アルクの日本語あテキスト. アルクの日本語テキスト</c:v>
                </c:pt>
                <c:pt idx="8">
                  <c:v>Care (大塊文化)</c:v>
                </c:pt>
                <c:pt idx="9">
                  <c:v>いまを生きる</c:v>
                </c:pt>
                <c:pt idx="10">
                  <c:v>新.人文</c:v>
                </c:pt>
                <c:pt idx="11">
                  <c:v>カッパ・ブックス. カッパ・ブックス</c:v>
                </c:pt>
                <c:pt idx="12">
                  <c:v>新世紀叢書</c:v>
                </c:pt>
                <c:pt idx="13">
                  <c:v>シリ-ズ国際交流</c:v>
                </c:pt>
                <c:pt idx="14">
                  <c:v>新潮新書</c:v>
                </c:pt>
                <c:pt idx="15">
                  <c:v>アルクの日本語テキスト = ALC Press Japanese textbook series</c:v>
                </c:pt>
                <c:pt idx="16">
                  <c:v>靑弓社ライブラリー</c:v>
                </c:pt>
                <c:pt idx="17">
                  <c:v>おもしろ国語ゼミナール</c:v>
                </c:pt>
                <c:pt idx="18">
                  <c:v>ちくま文庫</c:v>
                </c:pt>
                <c:pt idx="19">
                  <c:v>コミュケ-ションのための日本語 I</c:v>
                </c:pt>
                <c:pt idx="20">
                  <c:v>ニューフェミニズムレビュ-</c:v>
                </c:pt>
                <c:pt idx="21">
                  <c:v>シリ-ズ源氏大学</c:v>
                </c:pt>
                <c:pt idx="22">
                  <c:v>ポジティヴ</c:v>
                </c:pt>
                <c:pt idx="23">
                  <c:v>そもそも双書</c:v>
                </c:pt>
                <c:pt idx="24">
                  <c:v>よりみちパン! セ</c:v>
                </c:pt>
                <c:pt idx="25">
                  <c:v>新潮日本文学アルバム</c:v>
                </c:pt>
                <c:pt idx="26">
                  <c:v>三浦綾子作品集</c:v>
                </c:pt>
                <c:pt idx="27">
                  <c:v>日本の古典. 2</c:v>
                </c:pt>
                <c:pt idx="28">
                  <c:v>世界現代詩文庫</c:v>
                </c:pt>
                <c:pt idx="29">
                  <c:v>日本国民文学全集</c:v>
                </c:pt>
                <c:pt idx="30">
                  <c:v>中公新書</c:v>
                </c:pt>
                <c:pt idx="31">
                  <c:v>日本学研究叢書</c:v>
                </c:pt>
                <c:pt idx="32">
                  <c:v>中央研究院叢書</c:v>
                </c:pt>
                <c:pt idx="33">
                  <c:v>日本敎養全集</c:v>
                </c:pt>
                <c:pt idx="34">
                  <c:v>九歌文庫</c:v>
                </c:pt>
                <c:pt idx="35">
                  <c:v>日本文学丛书</c:v>
                </c:pt>
                <c:pt idx="36">
                  <c:v>人物近代女性史女の一生</c:v>
                </c:pt>
                <c:pt idx="37">
                  <c:v>日本歴史シリーズ</c:v>
                </c:pt>
                <c:pt idx="38">
                  <c:v>光文社文庫</c:v>
                </c:pt>
                <c:pt idx="39">
                  <c:v>日本語敎育資料シリーズ. コミュニケーション重視の学習活動</c:v>
                </c:pt>
                <c:pt idx="40">
                  <c:v>別冊宝島</c:v>
                </c:pt>
                <c:pt idx="41">
                  <c:v>日本語文自修叢書</c:v>
                </c:pt>
                <c:pt idx="42">
                  <c:v>北方文化写真シリーズ</c:v>
                </c:pt>
                <c:pt idx="43">
                  <c:v>早川ミステリ文庫</c:v>
                </c:pt>
                <c:pt idx="44">
                  <c:v>台湾現代詩人シリーズ</c:v>
                </c:pt>
                <c:pt idx="45">
                  <c:v>旺文社・英文学習ライブラリー</c:v>
                </c:pt>
                <c:pt idx="46">
                  <c:v>台灣文學硏究系列</c:v>
                </c:pt>
                <c:pt idx="47">
                  <c:v>明解シり-ズ</c:v>
                </c:pt>
                <c:pt idx="48">
                  <c:v>女の一生</c:v>
                </c:pt>
                <c:pt idx="49">
                  <c:v>映像紀實系列</c:v>
                </c:pt>
                <c:pt idx="50">
                  <c:v>山本有三文庫</c:v>
                </c:pt>
                <c:pt idx="51">
                  <c:v>昭和文学全集</c:v>
                </c:pt>
                <c:pt idx="52">
                  <c:v>岩波文庫 岩波文庫</c:v>
                </c:pt>
                <c:pt idx="53">
                  <c:v>晨星叢書</c:v>
                </c:pt>
                <c:pt idx="54">
                  <c:v>岩波新書. 青版</c:v>
                </c:pt>
                <c:pt idx="55">
                  <c:v>有斐閣双書</c:v>
                </c:pt>
                <c:pt idx="56">
                  <c:v>批評の方法 / スタンレー・ハイマン著</c:v>
                </c:pt>
                <c:pt idx="57">
                  <c:v>有斐閣新書</c:v>
                </c:pt>
                <c:pt idx="58">
                  <c:v>For beginners シリーズ</c:v>
                </c:pt>
                <c:pt idx="59">
                  <c:v>有隣新書</c:v>
                </c:pt>
                <c:pt idx="60">
                  <c:v>あすかコミックス</c:v>
                </c:pt>
                <c:pt idx="61">
                  <c:v>朝日小事典</c:v>
                </c:pt>
                <c:pt idx="62">
                  <c:v>ちくま新書</c:v>
                </c:pt>
                <c:pt idx="63">
                  <c:v>朝日選書</c:v>
                </c:pt>
                <c:pt idx="64">
                  <c:v>ポプラ社文庫</c:v>
                </c:pt>
                <c:pt idx="65">
                  <c:v>每日ムック シリーズ20世紀の記憶</c:v>
                </c:pt>
                <c:pt idx="66">
                  <c:v>世界の日本研究</c:v>
                </c:pt>
                <c:pt idx="67">
                  <c:v>水谷修, 1932-2014. Nihongo notes</c:v>
                </c:pt>
                <c:pt idx="68">
                  <c:v>中央研究院人文社會科學研究中心專書</c:v>
                </c:pt>
                <c:pt idx="69">
                  <c:v>河出文庫</c:v>
                </c:pt>
                <c:pt idx="70">
                  <c:v>人と文学シリ-ズ 現代日本文学アルバム</c:v>
                </c:pt>
                <c:pt idx="71">
                  <c:v>洪範文學叢書</c:v>
                </c:pt>
                <c:pt idx="72">
                  <c:v>初級日本語問題集</c:v>
                </c:pt>
                <c:pt idx="73">
                  <c:v>湊谷夢吉作品集 / 湊谷夢吉著</c:v>
                </c:pt>
                <c:pt idx="74">
                  <c:v>印刻文學</c:v>
                </c:pt>
                <c:pt idx="75">
                  <c:v>現代日本文学英訳選集</c:v>
                </c:pt>
                <c:pt idx="76">
                  <c:v>夏目 booklet</c:v>
                </c:pt>
                <c:pt idx="77">
                  <c:v>現代日本文學全集. 補卷</c:v>
                </c:pt>
                <c:pt idx="78">
                  <c:v>岩波文庫</c:v>
                </c:pt>
                <c:pt idx="79">
                  <c:v>琉球芸能全集</c:v>
                </c:pt>
                <c:pt idx="80">
                  <c:v>岩波新書. 黄版</c:v>
                </c:pt>
                <c:pt idx="81">
                  <c:v>生活之味</c:v>
                </c:pt>
                <c:pt idx="82">
                  <c:v>SOHOブックス</c:v>
                </c:pt>
                <c:pt idx="83">
                  <c:v>當代名家 李志銘作品集</c:v>
                </c:pt>
                <c:pt idx="84">
                  <c:v>フォト・リーヴル</c:v>
                </c:pt>
                <c:pt idx="85">
                  <c:v>社會人文</c:v>
                </c:pt>
                <c:pt idx="86">
                  <c:v>中公叢書</c:v>
                </c:pt>
                <c:pt idx="87">
                  <c:v>筑摩現代文学大系</c:v>
                </c:pt>
                <c:pt idx="88">
                  <c:v>健康人生</c:v>
                </c:pt>
                <c:pt idx="89">
                  <c:v>綠蠹魚叢書</c:v>
                </c:pt>
                <c:pt idx="90">
                  <c:v>台灣史料叢刊</c:v>
                </c:pt>
                <c:pt idx="91">
                  <c:v>聯經學術</c:v>
                </c:pt>
                <c:pt idx="92">
                  <c:v>岩波新書. 新赤版</c:v>
                </c:pt>
                <c:pt idx="93">
                  <c:v>藍小說</c:v>
                </c:pt>
                <c:pt idx="94">
                  <c:v>ちくま学芸文庫</c:v>
                </c:pt>
                <c:pt idx="95">
                  <c:v>藍弋丰說歷史</c:v>
                </c:pt>
                <c:pt idx="96">
                  <c:v>丸善ライブラリ一</c:v>
                </c:pt>
                <c:pt idx="97">
                  <c:v>角川選書</c:v>
                </c:pt>
                <c:pt idx="98">
                  <c:v>專刊</c:v>
                </c:pt>
                <c:pt idx="99">
                  <c:v>講談社ビジネス</c:v>
                </c:pt>
                <c:pt idx="100">
                  <c:v>三一新書</c:v>
                </c:pt>
                <c:pt idx="101">
                  <c:v>講談社学術文庫 講談社学術文庫</c:v>
                </c:pt>
                <c:pt idx="102">
                  <c:v>批評の方法スタンレー・ハイマン著</c:v>
                </c:pt>
                <c:pt idx="103">
                  <c:v>講談社青い鳥文庫</c:v>
                </c:pt>
                <c:pt idx="104">
                  <c:v>别册宝島</c:v>
                </c:pt>
                <c:pt idx="105">
                  <c:v>近代思想圖書館</c:v>
                </c:pt>
                <c:pt idx="106">
                  <c:v>スピリッツじみコミックス</c:v>
                </c:pt>
                <c:pt idx="107">
                  <c:v>日本文学全集</c:v>
                </c:pt>
                <c:pt idx="108">
                  <c:v>日本文学研究資料叢書</c:v>
                </c:pt>
                <c:pt idx="109">
                  <c:v>現代教養文庫</c:v>
                </c:pt>
                <c:pt idx="110">
                  <c:v>中國新文學大師名作賞析</c:v>
                </c:pt>
                <c:pt idx="111">
                  <c:v>日本事情シリーズ</c:v>
                </c:pt>
                <c:pt idx="112">
                  <c:v>講談社文芸文庫</c:v>
                </c:pt>
                <c:pt idx="113">
                  <c:v>聯合文學</c:v>
                </c:pt>
                <c:pt idx="114">
                  <c:v>平凡社選書</c:v>
                </c:pt>
                <c:pt idx="115">
                  <c:v>日本文学丛书 日本文学丛书</c:v>
                </c:pt>
                <c:pt idx="116">
                  <c:v>日本の文学</c:v>
                </c:pt>
                <c:pt idx="117">
                  <c:v>臺灣史料叢刊</c:v>
                </c:pt>
                <c:pt idx="118">
                  <c:v>日本近代文学大系</c:v>
                </c:pt>
                <c:pt idx="119">
                  <c:v>文芸読本</c:v>
                </c:pt>
                <c:pt idx="120">
                  <c:v>角川小辞典</c:v>
                </c:pt>
                <c:pt idx="121">
                  <c:v>文春文庫</c:v>
                </c:pt>
                <c:pt idx="122">
                  <c:v>新潮選書</c:v>
                </c:pt>
                <c:pt idx="123">
                  <c:v>学研まんが, 事典シリーズ</c:v>
                </c:pt>
                <c:pt idx="124">
                  <c:v>現代文学大系</c:v>
                </c:pt>
                <c:pt idx="125">
                  <c:v>集英社文庫</c:v>
                </c:pt>
                <c:pt idx="126">
                  <c:v>花とゆめcomics</c:v>
                </c:pt>
                <c:pt idx="127">
                  <c:v>講談社選書メチエ</c:v>
                </c:pt>
                <c:pt idx="128">
                  <c:v>In Pocket</c:v>
                </c:pt>
                <c:pt idx="129">
                  <c:v>講談社文庫</c:v>
                </c:pt>
                <c:pt idx="130">
                  <c:v>森川達也評論集成</c:v>
                </c:pt>
                <c:pt idx="131">
                  <c:v>新潮日本文学</c:v>
                </c:pt>
                <c:pt idx="132">
                  <c:v>臺灣史料丛刊</c:v>
                </c:pt>
                <c:pt idx="133">
                  <c:v>中公文庫</c:v>
                </c:pt>
                <c:pt idx="134">
                  <c:v>講談社現代新書</c:v>
                </c:pt>
                <c:pt idx="135">
                  <c:v>アルクの日本語テキスト</c:v>
                </c:pt>
                <c:pt idx="136">
                  <c:v>外国人のための日本語例文・問題シリ-ズ</c:v>
                </c:pt>
                <c:pt idx="137">
                  <c:v>台灣作家全集. 短篇小說卷. 日據時代</c:v>
                </c:pt>
                <c:pt idx="138">
                  <c:v>批評の方法</c:v>
                </c:pt>
                <c:pt idx="139">
                  <c:v>講談社学術文庫</c:v>
                </c:pt>
                <c:pt idx="140">
                  <c:v>現代語訳日本の古典</c:v>
                </c:pt>
                <c:pt idx="141">
                  <c:v>まんがミニじてんシリーズ</c:v>
                </c:pt>
                <c:pt idx="142">
                  <c:v>日本古典文学大系</c:v>
                </c:pt>
                <c:pt idx="143">
                  <c:v>角川文庫</c:v>
                </c:pt>
                <c:pt idx="144">
                  <c:v>新潮文庫</c:v>
                </c:pt>
                <c:pt idx="145">
                  <c:v>日本古典文學大系</c:v>
                </c:pt>
              </c:strCache>
            </c:strRef>
          </c:cat>
          <c:val>
            <c:numRef>
              <c:f>Series!$Q$3:$Q$149</c:f>
              <c:numCache>
                <c:formatCode>General</c:formatCode>
                <c:ptCount val="146"/>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2</c:v>
                </c:pt>
                <c:pt idx="107">
                  <c:v>2</c:v>
                </c:pt>
                <c:pt idx="108">
                  <c:v>2</c:v>
                </c:pt>
                <c:pt idx="109">
                  <c:v>2</c:v>
                </c:pt>
                <c:pt idx="110">
                  <c:v>2</c:v>
                </c:pt>
                <c:pt idx="111">
                  <c:v>2</c:v>
                </c:pt>
                <c:pt idx="112">
                  <c:v>2</c:v>
                </c:pt>
                <c:pt idx="113">
                  <c:v>2</c:v>
                </c:pt>
                <c:pt idx="114">
                  <c:v>2</c:v>
                </c:pt>
                <c:pt idx="115">
                  <c:v>2</c:v>
                </c:pt>
                <c:pt idx="116">
                  <c:v>2</c:v>
                </c:pt>
                <c:pt idx="117">
                  <c:v>2</c:v>
                </c:pt>
                <c:pt idx="118">
                  <c:v>2</c:v>
                </c:pt>
                <c:pt idx="119">
                  <c:v>3</c:v>
                </c:pt>
                <c:pt idx="120">
                  <c:v>3</c:v>
                </c:pt>
                <c:pt idx="121">
                  <c:v>3</c:v>
                </c:pt>
                <c:pt idx="122">
                  <c:v>3</c:v>
                </c:pt>
                <c:pt idx="123">
                  <c:v>3</c:v>
                </c:pt>
                <c:pt idx="124">
                  <c:v>3</c:v>
                </c:pt>
                <c:pt idx="125">
                  <c:v>4</c:v>
                </c:pt>
                <c:pt idx="126">
                  <c:v>5</c:v>
                </c:pt>
                <c:pt idx="127">
                  <c:v>5</c:v>
                </c:pt>
                <c:pt idx="128">
                  <c:v>6</c:v>
                </c:pt>
                <c:pt idx="129">
                  <c:v>6</c:v>
                </c:pt>
                <c:pt idx="130">
                  <c:v>6</c:v>
                </c:pt>
                <c:pt idx="131">
                  <c:v>6</c:v>
                </c:pt>
                <c:pt idx="132">
                  <c:v>7</c:v>
                </c:pt>
                <c:pt idx="133">
                  <c:v>7</c:v>
                </c:pt>
                <c:pt idx="134">
                  <c:v>8</c:v>
                </c:pt>
                <c:pt idx="135">
                  <c:v>8</c:v>
                </c:pt>
                <c:pt idx="136">
                  <c:v>9</c:v>
                </c:pt>
                <c:pt idx="137">
                  <c:v>9</c:v>
                </c:pt>
                <c:pt idx="138">
                  <c:v>10</c:v>
                </c:pt>
                <c:pt idx="139">
                  <c:v>10</c:v>
                </c:pt>
                <c:pt idx="140">
                  <c:v>12</c:v>
                </c:pt>
                <c:pt idx="141">
                  <c:v>12</c:v>
                </c:pt>
                <c:pt idx="142">
                  <c:v>12</c:v>
                </c:pt>
                <c:pt idx="143">
                  <c:v>16</c:v>
                </c:pt>
                <c:pt idx="144">
                  <c:v>24</c:v>
                </c:pt>
                <c:pt idx="145">
                  <c:v>25</c:v>
                </c:pt>
              </c:numCache>
            </c:numRef>
          </c:val>
          <c:extLst>
            <c:ext xmlns:c16="http://schemas.microsoft.com/office/drawing/2014/chart" uri="{C3380CC4-5D6E-409C-BE32-E72D297353CC}">
              <c16:uniqueId val="{00000000-E019-4656-BC62-1E616739E7C2}"/>
            </c:ext>
          </c:extLst>
        </c:ser>
        <c:dLbls>
          <c:dLblPos val="outEnd"/>
          <c:showLegendKey val="0"/>
          <c:showVal val="1"/>
          <c:showCatName val="0"/>
          <c:showSerName val="0"/>
          <c:showPercent val="0"/>
          <c:showBubbleSize val="0"/>
        </c:dLbls>
        <c:gapWidth val="182"/>
        <c:axId val="163312063"/>
        <c:axId val="163310143"/>
      </c:barChart>
      <c:catAx>
        <c:axId val="1633120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10143"/>
        <c:crosses val="autoZero"/>
        <c:auto val="1"/>
        <c:lblAlgn val="ctr"/>
        <c:lblOffset val="100"/>
        <c:noMultiLvlLbl val="0"/>
      </c:catAx>
      <c:valAx>
        <c:axId val="1633101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12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Template.xlsm]Publisher!PubRE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Publishers (Romanized / English)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Publisher!$B$2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Publisher!$A$3:$A$419</c:f>
              <c:strCache>
                <c:ptCount val="416"/>
                <c:pt idx="0">
                  <c:v>(blank)</c:v>
                </c:pt>
                <c:pt idx="1">
                  <c:v>Merukumāru</c:v>
                </c:pt>
                <c:pt idx="2">
                  <c:v>Methuen</c:v>
                </c:pt>
                <c:pt idx="3">
                  <c:v>Mgm Home Entertainment</c:v>
                </c:pt>
                <c:pt idx="4">
                  <c:v>Meiji Shoin</c:v>
                </c:pt>
                <c:pt idx="5">
                  <c:v>; [Tokyo] Kokubungaku Kenkyū Shiryōkan</c:v>
                </c:pt>
                <c:pt idx="6">
                  <c:v>[Kadokawa Shoten]</c:v>
                </c:pt>
                <c:pt idx="7">
                  <c:v>[Distributed By China Books And Periodicals]</c:v>
                </c:pt>
                <c:pt idx="8">
                  <c:v>Abc-clio</c:v>
                </c:pt>
                <c:pt idx="9">
                  <c:v>[Harmondsworth] Penguin Books</c:v>
                </c:pt>
                <c:pt idx="10">
                  <c:v>Āku Akademī</c:v>
                </c:pt>
                <c:pt idx="11">
                  <c:v>Miraisha</c:v>
                </c:pt>
                <c:pt idx="12">
                  <c:v>American ^ S Association Japanese Language Division</c:v>
                </c:pt>
                <c:pt idx="13">
                  <c:v>Misuzu Shobō</c:v>
                </c:pt>
                <c:pt idx="14">
                  <c:v>Aratake Shoten</c:v>
                </c:pt>
                <c:pt idx="15">
                  <c:v>Modern Language Association Of America</c:v>
                </c:pt>
                <c:pt idx="16">
                  <c:v>Association Of Teachers Of Japanese</c:v>
                </c:pt>
                <c:pt idx="17">
                  <c:v>Nagasaki Shuppan</c:v>
                </c:pt>
                <c:pt idx="18">
                  <c:v>Atlantic Monthly Press</c:v>
                </c:pt>
                <c:pt idx="19">
                  <c:v>Nagoya Daigaku Shuppankai</c:v>
                </c:pt>
                <c:pt idx="20">
                  <c:v>Beacon Press</c:v>
                </c:pt>
                <c:pt idx="21">
                  <c:v>Natsume Shobō</c:v>
                </c:pt>
                <c:pt idx="22">
                  <c:v>Benseisha</c:v>
                </c:pt>
                <c:pt idx="23">
                  <c:v>New Directions</c:v>
                </c:pt>
                <c:pt idx="24">
                  <c:v>Berkeley</c:v>
                </c:pt>
                <c:pt idx="25">
                  <c:v>New Haven, Conn.: Yale University Press</c:v>
                </c:pt>
                <c:pt idx="26">
                  <c:v>Bonjinsha(hatsubai)</c:v>
                </c:pt>
                <c:pt idx="27">
                  <c:v>New York University Press</c:v>
                </c:pt>
                <c:pt idx="28">
                  <c:v>Bunka Kagaku Kōtō Kenkyūin Shuppankyoku</c:v>
                </c:pt>
                <c:pt idx="29">
                  <c:v>New York, Columbia University Press</c:v>
                </c:pt>
                <c:pt idx="30">
                  <c:v>Bunshun Bunko</c:v>
                </c:pt>
                <c:pt idx="31">
                  <c:v>New York: Atlantic Monthly Press</c:v>
                </c:pt>
                <c:pt idx="32">
                  <c:v>C.e. Tuttle</c:v>
                </c:pt>
                <c:pt idx="33">
                  <c:v>New York: Grove Press</c:v>
                </c:pt>
                <c:pt idx="34">
                  <c:v>Cambridge ; New York: Cambridge University Press</c:v>
                </c:pt>
                <c:pt idx="35">
                  <c:v>New York: Grove Weidenfeld ^ Edition: ^ 1St Evergreen Ed</c:v>
                </c:pt>
                <c:pt idx="36">
                  <c:v>Charles E. Tuttle</c:v>
                </c:pt>
                <c:pt idx="37">
                  <c:v>New York: Modern Language Association Of America</c:v>
                </c:pt>
                <c:pt idx="38">
                  <c:v>Charles E. Tuttle Company</c:v>
                </c:pt>
                <c:pt idx="39">
                  <c:v>New York: Modern Library ^ Edition: ^ Modern Library Paperback Edition</c:v>
                </c:pt>
                <c:pt idx="40">
                  <c:v>Chun Hui Chu Ban She</c:v>
                </c:pt>
                <c:pt idx="41">
                  <c:v>New York: New York University Press</c:v>
                </c:pt>
                <c:pt idx="42">
                  <c:v>Da Capo Press</c:v>
                </c:pt>
                <c:pt idx="43">
                  <c:v>New York: Pantheon Books ^ Edition: ^ 1St American Ed</c:v>
                </c:pt>
                <c:pt idx="44">
                  <c:v>Da Xin Shu Ju</c:v>
                </c:pt>
                <c:pt idx="45">
                  <c:v>New York: Random House</c:v>
                </c:pt>
                <c:pt idx="46">
                  <c:v>Daishūkan Shoten</c:v>
                </c:pt>
                <c:pt idx="47">
                  <c:v>Nichi-bei Josei Jōhō Sentā</c:v>
                </c:pt>
                <c:pt idx="48">
                  <c:v>Distributed By Harvard University Press</c:v>
                </c:pt>
                <c:pt idx="49">
                  <c:v>Nihon Hoso Shuppan Kyokai</c:v>
                </c:pt>
                <c:pt idx="50">
                  <c:v>Distributed In The U.s. By Kōdansha America</c:v>
                </c:pt>
                <c:pt idx="51">
                  <c:v>Nihon Hosō Shuppan Kyōkai</c:v>
                </c:pt>
                <c:pt idx="52">
                  <c:v>Distributed In The United States By Kōdansha International/usa Through Harper &amp; Row</c:v>
                </c:pt>
                <c:pt idx="53">
                  <c:v>Ningen No Hoshisha</c:v>
                </c:pt>
                <c:pt idx="54">
                  <c:v>Dō Sentā</c:v>
                </c:pt>
                <c:pt idx="55">
                  <c:v>Nippon Budokan Foundation</c:v>
                </c:pt>
                <c:pt idx="56">
                  <c:v>Doyō Bijutsuhsa Shuppan Hanbai</c:v>
                </c:pt>
                <c:pt idx="57">
                  <c:v>Nire Shobō</c:v>
                </c:pt>
                <c:pt idx="58">
                  <c:v>Exclusive Distributor In The U.s.a</c:v>
                </c:pt>
                <c:pt idx="59">
                  <c:v>Nōberu Shobō</c:v>
                </c:pt>
                <c:pt idx="60">
                  <c:v>Farrar Strauss</c:v>
                </c:pt>
                <c:pt idx="61">
                  <c:v>Nong Xue Zong Jing Xiao</c:v>
                </c:pt>
                <c:pt idx="62">
                  <c:v>Foreign Press Center</c:v>
                </c:pt>
                <c:pt idx="63">
                  <c:v>Ochanomizu Shobō</c:v>
                </c:pt>
                <c:pt idx="64">
                  <c:v>Fotopuranetto</c:v>
                </c:pt>
                <c:pt idx="65">
                  <c:v>Ōfū</c:v>
                </c:pt>
                <c:pt idx="66">
                  <c:v>Gakken</c:v>
                </c:pt>
                <c:pt idx="67">
                  <c:v>Ohara Publications</c:v>
                </c:pt>
                <c:pt idx="68">
                  <c:v>Gakushū Kenkyuūsha</c:v>
                </c:pt>
                <c:pt idx="69">
                  <c:v>Okinawa Sha</c:v>
                </c:pt>
                <c:pt idx="70">
                  <c:v>Gallimard</c:v>
                </c:pt>
                <c:pt idx="71">
                  <c:v>Ootori Shobō</c:v>
                </c:pt>
                <c:pt idx="72">
                  <c:v>Garden City</c:v>
                </c:pt>
                <c:pt idx="73">
                  <c:v>Ōtsuki Shoten</c:v>
                </c:pt>
                <c:pt idx="74">
                  <c:v>Hara Shobō</c:v>
                </c:pt>
                <c:pt idx="75">
                  <c:v>Palgrave</c:v>
                </c:pt>
                <c:pt idx="76">
                  <c:v>Harpercollins</c:v>
                </c:pt>
                <c:pt idx="77">
                  <c:v>Pantheon Books</c:v>
                </c:pt>
                <c:pt idx="78">
                  <c:v>Hatsubaijo Nihon Shuppan Bōeki</c:v>
                </c:pt>
                <c:pt idx="79">
                  <c:v>Paruko Shuppan</c:v>
                </c:pt>
                <c:pt idx="80">
                  <c:v>Hawks Pub</c:v>
                </c:pt>
                <c:pt idx="81">
                  <c:v>Pearson Longman</c:v>
                </c:pt>
                <c:pt idx="82">
                  <c:v>Hokkaidō Daigaku. Japanese Language Research Group</c:v>
                </c:pt>
                <c:pt idx="83">
                  <c:v>Pearson/longman</c:v>
                </c:pt>
                <c:pt idx="84">
                  <c:v>Hong Fan Shu Dian</c:v>
                </c:pt>
                <c:pt idx="85">
                  <c:v>Perigee Books</c:v>
                </c:pt>
                <c:pt idx="86">
                  <c:v>Honolulu: University Of Hawai'i Press</c:v>
                </c:pt>
                <c:pt idx="87">
                  <c:v>Phaidon</c:v>
                </c:pt>
                <c:pt idx="88">
                  <c:v>Houghton Mifflin Co.</c:v>
                </c:pt>
                <c:pt idx="89">
                  <c:v>Php Kenkyūjo</c:v>
                </c:pt>
                <c:pt idx="90">
                  <c:v>International House Of Japan</c:v>
                </c:pt>
                <c:pt idx="91">
                  <c:v>Planet</c:v>
                </c:pt>
                <c:pt idx="92">
                  <c:v>Ithaca, N.y.: Cornell China-japan Program</c:v>
                </c:pt>
                <c:pt idx="93">
                  <c:v>Popurasha</c:v>
                </c:pt>
                <c:pt idx="94">
                  <c:v>Ithaca, N.y.: East Asia Program, Cornell University</c:v>
                </c:pt>
                <c:pt idx="95">
                  <c:v>Popura-sha</c:v>
                </c:pt>
                <c:pt idx="96">
                  <c:v>Jicc Shuppankyoku</c:v>
                </c:pt>
                <c:pt idx="97">
                  <c:v>Princeton, N.j.: Princeton University Press</c:v>
                </c:pt>
                <c:pt idx="98">
                  <c:v>Jinbunsha</c:v>
                </c:pt>
                <c:pt idx="99">
                  <c:v>Princeton, N.j.: Princeton University Press ^ Edition: ^ Second Printing, 1988</c:v>
                </c:pt>
                <c:pt idx="100">
                  <c:v>Jiyū Kokuminsha</c:v>
                </c:pt>
                <c:pt idx="101">
                  <c:v>Princeton: Princeton University Press</c:v>
                </c:pt>
                <c:pt idx="102">
                  <c:v>Ju Liu</c:v>
                </c:pt>
                <c:pt idx="103">
                  <c:v>Published For University Of Maryland University College [By] University Of Hawaii Press</c:v>
                </c:pt>
                <c:pt idx="104">
                  <c:v>Kadokawa</c:v>
                </c:pt>
                <c:pt idx="105">
                  <c:v>Putnam</c:v>
                </c:pt>
                <c:pt idx="106">
                  <c:v>Kanehara [Showa 40 Nen]</c:v>
                </c:pt>
                <c:pt idx="107">
                  <c:v>Radio Taiwan International</c:v>
                </c:pt>
                <c:pt idx="108">
                  <c:v>Kansai Daigaku Daigakuin: Bungaku Kenkyūka, Chūgoku Bungaku Senkō</c:v>
                </c:pt>
                <c:pt idx="109">
                  <c:v>Rakuyōsha</c:v>
                </c:pt>
                <c:pt idx="110">
                  <c:v>Katydid Books</c:v>
                </c:pt>
                <c:pt idx="111">
                  <c:v>Regnery Gateway</c:v>
                </c:pt>
                <c:pt idx="112">
                  <c:v>Kenkyusha</c:v>
                </c:pt>
                <c:pt idx="113">
                  <c:v>Ren Min Wen Xue Chu Ban She</c:v>
                </c:pt>
                <c:pt idx="114">
                  <c:v>Kin'ensha</c:v>
                </c:pt>
                <c:pt idx="115">
                  <c:v>Retro Flix</c:v>
                </c:pt>
                <c:pt idx="116">
                  <c:v>Kōbundō</c:v>
                </c:pt>
                <c:pt idx="117">
                  <c:v>Ribun Shuppan</c:v>
                </c:pt>
                <c:pt idx="118">
                  <c:v>Kōdansha America</c:v>
                </c:pt>
                <c:pt idx="119">
                  <c:v>Rikurūtodavinchi Henshūbu</c:v>
                </c:pt>
                <c:pt idx="120">
                  <c:v>Kōfūsha Shoten</c:v>
                </c:pt>
                <c:pt idx="121">
                  <c:v>Rippū Shobō</c:v>
                </c:pt>
                <c:pt idx="122">
                  <c:v>Kokusho Kankōkai</c:v>
                </c:pt>
                <c:pt idx="123">
                  <c:v>Rironsha</c:v>
                </c:pt>
                <c:pt idx="124">
                  <c:v>Kondō Shuppansha</c:v>
                </c:pt>
                <c:pt idx="125">
                  <c:v>Rokusaisha</c:v>
                </c:pt>
                <c:pt idx="126">
                  <c:v>Kōsakusha</c:v>
                </c:pt>
                <c:pt idx="127">
                  <c:v>Rutland, Vt., C.e. Tuttle Co</c:v>
                </c:pt>
                <c:pt idx="128">
                  <c:v>Kyōiku Shuppan Sentā</c:v>
                </c:pt>
                <c:pt idx="129">
                  <c:v>Saibizu</c:v>
                </c:pt>
                <c:pt idx="130">
                  <c:v>Kyōto Kokusai Nihon Bunka Kenkyū Sentā</c:v>
                </c:pt>
                <c:pt idx="131">
                  <c:v>Saimaru Shuppankai</c:v>
                </c:pt>
                <c:pt idx="132">
                  <c:v>Lexington, Massachusetts: D.c. Heath ^ Edition: ^ Second Edition</c:v>
                </c:pt>
                <c:pt idx="133">
                  <c:v>Sairyūsha</c:v>
                </c:pt>
                <c:pt idx="134">
                  <c:v>Li Xu Wen Hua Shi Ye You Xian Gong Si</c:v>
                </c:pt>
                <c:pt idx="135">
                  <c:v>San'ichi Shobō</c:v>
                </c:pt>
                <c:pt idx="136">
                  <c:v>Lian He Wen Xue Chu Ban She Gu Fen You Xian Gong Si</c:v>
                </c:pt>
                <c:pt idx="137">
                  <c:v>Sankōsha</c:v>
                </c:pt>
                <c:pt idx="138">
                  <c:v>Little</c:v>
                </c:pt>
                <c:pt idx="139">
                  <c:v>Schneider</c:v>
                </c:pt>
                <c:pt idx="140">
                  <c:v>London</c:v>
                </c:pt>
                <c:pt idx="141">
                  <c:v>Seal Press</c:v>
                </c:pt>
                <c:pt idx="142">
                  <c:v>London: Bfi Pub ^ Edition: ^ [2Nd, Expanded Ed.]</c:v>
                </c:pt>
                <c:pt idx="143">
                  <c:v>Seiga Shobō</c:v>
                </c:pt>
                <c:pt idx="144">
                  <c:v>Longman</c:v>
                </c:pt>
                <c:pt idx="145">
                  <c:v>Seikyūsha</c:v>
                </c:pt>
                <c:pt idx="146">
                  <c:v>Macmillan Co</c:v>
                </c:pt>
                <c:pt idx="147">
                  <c:v>Sekai Shisōsha</c:v>
                </c:pt>
                <c:pt idx="148">
                  <c:v>Magna Publications</c:v>
                </c:pt>
                <c:pt idx="149">
                  <c:v>Senmonkyōiku Shuppan</c:v>
                </c:pt>
                <c:pt idx="150">
                  <c:v>Maruzen Kabushiki Kaisha</c:v>
                </c:pt>
                <c:pt idx="151">
                  <c:v>Senshū Daigaku Shuppankyoku</c:v>
                </c:pt>
                <c:pt idx="152">
                  <c:v> Shoten</c:v>
                </c:pt>
                <c:pt idx="153">
                  <c:v>Sheng Zhi Wen Hua Shi Ye You Xian Gong Si</c:v>
                </c:pt>
                <c:pt idx="154">
                  <c:v>[Place Of Publication Not Identified]: Quiet Vision Pub</c:v>
                </c:pt>
                <c:pt idx="155">
                  <c:v>Shi Pao Wen Hua Chu Ban Qi Ye Gu Fen You Xian Gong Si</c:v>
                </c:pt>
                <c:pt idx="156">
                  <c:v>Alaken</c:v>
                </c:pt>
                <c:pt idx="157">
                  <c:v>Shichigatsudō</c:v>
                </c:pt>
                <c:pt idx="158">
                  <c:v>Ashgate</c:v>
                </c:pt>
                <c:pt idx="159">
                  <c:v>Shiki Shuppan</c:v>
                </c:pt>
                <c:pt idx="160">
                  <c:v>Barnes &amp; Noble</c:v>
                </c:pt>
                <c:pt idx="161">
                  <c:v>Shimizu Shoin</c:v>
                </c:pt>
                <c:pt idx="162">
                  <c:v>Berg</c:v>
                </c:pt>
                <c:pt idx="163">
                  <c:v>Shin Jinbutsu Ōraisha</c:v>
                </c:pt>
                <c:pt idx="164">
                  <c:v>Bungei Shunjūsha</c:v>
                </c:pt>
                <c:pt idx="165">
                  <c:v>Shin Nihon Bungakkai</c:v>
                </c:pt>
                <c:pt idx="166">
                  <c:v>C. Itoh &amp; Co. (America)</c:v>
                </c:pt>
                <c:pt idx="167">
                  <c:v>Shin-el</c:v>
                </c:pt>
                <c:pt idx="168">
                  <c:v>Cambridge, Mass.: Council On East Asian Studies, Harvard University: Distributed By Harvard University Press</c:v>
                </c:pt>
                <c:pt idx="169">
                  <c:v>Shinjuku Nihongo Gakkō</c:v>
                </c:pt>
                <c:pt idx="170">
                  <c:v>Chūkei Shuppan</c:v>
                </c:pt>
                <c:pt idx="171">
                  <c:v>Shinkansha</c:v>
                </c:pt>
                <c:pt idx="172">
                  <c:v>Da Kuai Wen Hua Chu Ban Gu Fen You Xian Gong Si</c:v>
                </c:pt>
                <c:pt idx="173">
                  <c:v>Shoshikaze No Bara</c:v>
                </c:pt>
                <c:pt idx="174">
                  <c:v>De Bao</c:v>
                </c:pt>
                <c:pt idx="175">
                  <c:v>Shūei Shuppan</c:v>
                </c:pt>
                <c:pt idx="176">
                  <c:v>Distributed In The U.s. By Kōdansha International/usa</c:v>
                </c:pt>
                <c:pt idx="177">
                  <c:v>Singapore: Palgrave Macmillan</c:v>
                </c:pt>
                <c:pt idx="178">
                  <c:v>Downers Grove, Ill.: Intervarsity Press</c:v>
                </c:pt>
                <c:pt idx="179">
                  <c:v>Sōbunsha Shuppan</c:v>
                </c:pt>
                <c:pt idx="180">
                  <c:v>Exclusive Distributor In The U.s.a.</c:v>
                </c:pt>
                <c:pt idx="181">
                  <c:v>Sōgensha</c:v>
                </c:pt>
                <c:pt idx="182">
                  <c:v>Forum Press</c:v>
                </c:pt>
                <c:pt idx="183">
                  <c:v>Sōhatsubaimoto Horupu</c:v>
                </c:pt>
                <c:pt idx="184">
                  <c:v>Gakubunsha</c:v>
                </c:pt>
                <c:pt idx="185">
                  <c:v>Sophia University</c:v>
                </c:pt>
                <c:pt idx="186">
                  <c:v>Gao Xiong Shi Wen Hua Ju</c:v>
                </c:pt>
                <c:pt idx="187">
                  <c:v>Sōshisha</c:v>
                </c:pt>
                <c:pt idx="188">
                  <c:v>Harcourt Brace Jovanovich Japan</c:v>
                </c:pt>
                <c:pt idx="189">
                  <c:v>Southern Japan Seminar</c:v>
                </c:pt>
                <c:pt idx="190">
                  <c:v>Hatsubaimoto Bungei Shunjū</c:v>
                </c:pt>
                <c:pt idx="191">
                  <c:v>Stanford</c:v>
                </c:pt>
                <c:pt idx="192">
                  <c:v>Holt</c:v>
                </c:pt>
                <c:pt idx="193">
                  <c:v>Stanford, California: Stanford University Press</c:v>
                </c:pt>
                <c:pt idx="194">
                  <c:v>Houghton Mifflin Co</c:v>
                </c:pt>
                <c:pt idx="195">
                  <c:v>Stone Bridge Press</c:v>
                </c:pt>
                <c:pt idx="196">
                  <c:v>International Research Center For Japanese Studies</c:v>
                </c:pt>
                <c:pt idx="197">
                  <c:v>Surīē Nettowāku</c:v>
                </c:pt>
                <c:pt idx="198">
                  <c:v>Japan Forum</c:v>
                </c:pt>
                <c:pt idx="199">
                  <c:v>Tairiku Shobō</c:v>
                </c:pt>
                <c:pt idx="200">
                  <c:v>Jiu Ge Chu Ban She</c:v>
                </c:pt>
                <c:pt idx="201">
                  <c:v>Taplinger Publishing Company</c:v>
                </c:pt>
                <c:pt idx="202">
                  <c:v>Kabushiki Kaisha Kadokawa</c:v>
                </c:pt>
                <c:pt idx="203">
                  <c:v>The Japan Foundation</c:v>
                </c:pt>
                <c:pt idx="204">
                  <c:v>Kanrin Shobō</c:v>
                </c:pt>
                <c:pt idx="205">
                  <c:v>Tian Xia Yuan Jian Chu Ban Gu Fen You Xian Gong Si</c:v>
                </c:pt>
                <c:pt idx="206">
                  <c:v>Kenbun Shuppan</c:v>
                </c:pt>
                <c:pt idx="207">
                  <c:v>Tian Xia Za Zhi Gu Fen You Xian Gong Si</c:v>
                </c:pt>
                <c:pt idx="208">
                  <c:v>Knopf</c:v>
                </c:pt>
                <c:pt idx="209">
                  <c:v>Tibīesuburitanika</c:v>
                </c:pt>
                <c:pt idx="210">
                  <c:v>Kōdansha Intānashonaru</c:v>
                </c:pt>
                <c:pt idx="211">
                  <c:v>Tokyo</c:v>
                </c:pt>
                <c:pt idx="212">
                  <c:v>Kondansha International</c:v>
                </c:pt>
                <c:pt idx="213">
                  <c:v>Tōkyō Daigaku Shuppankai</c:v>
                </c:pt>
                <c:pt idx="214">
                  <c:v>Kurokamesha</c:v>
                </c:pt>
                <c:pt idx="215">
                  <c:v>Tōkyō Shinbun</c:v>
                </c:pt>
                <c:pt idx="216">
                  <c:v>Kyōto Shobō</c:v>
                </c:pt>
                <c:pt idx="217">
                  <c:v>Tōkyō, Iwanami Shoten</c:v>
                </c:pt>
                <c:pt idx="218">
                  <c:v>Lian He Wen Xue Chu Ban She</c:v>
                </c:pt>
                <c:pt idx="219">
                  <c:v>Tokyo: Sekai Shuppan ^ Edition: ^ 1St Ed</c:v>
                </c:pt>
                <c:pt idx="220">
                  <c:v>Liveright</c:v>
                </c:pt>
                <c:pt idx="221">
                  <c:v>Tokyo: Waseda University Press</c:v>
                </c:pt>
                <c:pt idx="222">
                  <c:v>London: Peter Owen</c:v>
                </c:pt>
                <c:pt idx="223">
                  <c:v>Tōkyō] Shibundō</c:v>
                </c:pt>
                <c:pt idx="224">
                  <c:v>Madison</c:v>
                </c:pt>
                <c:pt idx="225">
                  <c:v>Tōkyōdō</c:v>
                </c:pt>
                <c:pt idx="226">
                  <c:v>Mcgraw Hill</c:v>
                </c:pt>
                <c:pt idx="227">
                  <c:v>Tonnbo Books</c:v>
                </c:pt>
                <c:pt idx="228">
                  <c:v>Ajls</c:v>
                </c:pt>
                <c:pt idx="229">
                  <c:v>Tōyō Keizai Shinpōsha</c:v>
                </c:pt>
                <c:pt idx="230">
                  <c:v>Asupekuto</c:v>
                </c:pt>
                <c:pt idx="231">
                  <c:v>Trafford</c:v>
                </c:pt>
                <c:pt idx="232">
                  <c:v>Birejji Sentā Shuppankyoku</c:v>
                </c:pt>
                <c:pt idx="233">
                  <c:v>Travelers' Tales</c:v>
                </c:pt>
                <c:pt idx="234">
                  <c:v>C.e. Tuttle Co</c:v>
                </c:pt>
                <c:pt idx="235">
                  <c:v>Tuttle Publishing</c:v>
                </c:pt>
                <c:pt idx="236">
                  <c:v>Council On East Asian Studies</c:v>
                </c:pt>
                <c:pt idx="237">
                  <c:v>Twentieth Century Fox Home Entertainment Llc</c:v>
                </c:pt>
                <c:pt idx="238">
                  <c:v>Distributed By Kino Lorber</c:v>
                </c:pt>
                <c:pt idx="239">
                  <c:v>University Of Hawaiʻi Press</c:v>
                </c:pt>
                <c:pt idx="240">
                  <c:v>Erumu</c:v>
                </c:pt>
                <c:pt idx="241">
                  <c:v>University Of Minnesota Press</c:v>
                </c:pt>
                <c:pt idx="242">
                  <c:v>Fujimori Shoten</c:v>
                </c:pt>
                <c:pt idx="243">
                  <c:v>University Of Nebraska Press</c:v>
                </c:pt>
                <c:pt idx="244">
                  <c:v>Hanbai Nichi-bei Josei Sentā Tōkyō Nishihara Jimusho</c:v>
                </c:pt>
                <c:pt idx="245">
                  <c:v>University Of Oklahoma Press</c:v>
                </c:pt>
                <c:pt idx="246">
                  <c:v>Henry Holt &amp; Co</c:v>
                </c:pt>
                <c:pt idx="247">
                  <c:v>University Press Of Kentucky</c:v>
                </c:pt>
                <c:pt idx="248">
                  <c:v>Ink Yin Ke Wen Xue Sheng Huo Za Zhi Chu Ban You Xian Gong Si</c:v>
                </c:pt>
                <c:pt idx="249">
                  <c:v>University Press Of New England</c:v>
                </c:pt>
                <c:pt idx="250">
                  <c:v>Jinbun Shoin</c:v>
                </c:pt>
                <c:pt idx="251">
                  <c:v>Vintage International</c:v>
                </c:pt>
                <c:pt idx="252">
                  <c:v>Kanae Shobō</c:v>
                </c:pt>
                <c:pt idx="253">
                  <c:v>Viz Media</c:v>
                </c:pt>
                <c:pt idx="254">
                  <c:v>Kenkyūsha</c:v>
                </c:pt>
                <c:pt idx="255">
                  <c:v>Voyager Co.</c:v>
                </c:pt>
                <c:pt idx="256">
                  <c:v>Kokusai Kōryū Kikin, Nihongo Kokusai Sentā</c:v>
                </c:pt>
                <c:pt idx="257">
                  <c:v>Waseda Daigaku Shuppanbu</c:v>
                </c:pt>
                <c:pt idx="258">
                  <c:v>Kyōto Daigaku Jinbun Kagaku Kenkyūjo</c:v>
                </c:pt>
                <c:pt idx="259">
                  <c:v>Washington [D.c.]: Govt. Print. Office</c:v>
                </c:pt>
                <c:pt idx="260">
                  <c:v>Lian Jing Chu Ban Gong Si</c:v>
                </c:pt>
                <c:pt idx="261">
                  <c:v>Washington, D.c.: Smithsonian Institute</c:v>
                </c:pt>
                <c:pt idx="262">
                  <c:v>M.e. Sharpe</c:v>
                </c:pt>
                <c:pt idx="263">
                  <c:v>Wen Hua Tu Shu</c:v>
                </c:pt>
                <c:pt idx="264">
                  <c:v>Zuo Jia Chu Ban She</c:v>
                </c:pt>
                <c:pt idx="265">
                  <c:v>Wen Sheng</c:v>
                </c:pt>
                <c:pt idx="266">
                  <c:v>Beijing Chu Ban She</c:v>
                </c:pt>
                <c:pt idx="267">
                  <c:v>Wen Wu Chu Ban She</c:v>
                </c:pt>
                <c:pt idx="268">
                  <c:v>Charles E. Tuttle Co</c:v>
                </c:pt>
                <c:pt idx="269">
                  <c:v>Westview Press</c:v>
                </c:pt>
                <c:pt idx="270">
                  <c:v>Distributed To The Trade By National Book Network</c:v>
                </c:pt>
                <c:pt idx="271">
                  <c:v>Women In Translation</c:v>
                </c:pt>
                <c:pt idx="272">
                  <c:v>Gakuyō Shobō</c:v>
                </c:pt>
                <c:pt idx="273">
                  <c:v>Wu Fu</c:v>
                </c:pt>
                <c:pt idx="274">
                  <c:v>Honolulu, Hawaii: University Of Hawai'i Press</c:v>
                </c:pt>
                <c:pt idx="275">
                  <c:v>Xia Ri Chu Ban She</c:v>
                </c:pt>
                <c:pt idx="276">
                  <c:v>Johns Hopkins Press</c:v>
                </c:pt>
                <c:pt idx="277">
                  <c:v>Xin Hua Shu Dian Shanghai Fa Xing Suo Fa Xing</c:v>
                </c:pt>
                <c:pt idx="278">
                  <c:v>Kōdansha</c:v>
                </c:pt>
                <c:pt idx="279">
                  <c:v>Xiu Wei Zi Xun Ke Ji Gu Fen You Xian Gong Si</c:v>
                </c:pt>
                <c:pt idx="280">
                  <c:v>Li Ming Tu Shu Zong Jing Xiao</c:v>
                </c:pt>
                <c:pt idx="281">
                  <c:v>Ya Tai Qu Yu Yan Jiu Zhuan Ti Zhong Xin</c:v>
                </c:pt>
                <c:pt idx="282">
                  <c:v>Mainichi Shinbunsha</c:v>
                </c:pt>
                <c:pt idx="283">
                  <c:v>Yamaguchi City</c:v>
                </c:pt>
                <c:pt idx="284">
                  <c:v>Bunkōdō</c:v>
                </c:pt>
                <c:pt idx="285">
                  <c:v>Yohan</c:v>
                </c:pt>
                <c:pt idx="286">
                  <c:v>Feminist Press At The City University Of New York</c:v>
                </c:pt>
                <c:pt idx="287">
                  <c:v>Yuan Liu</c:v>
                </c:pt>
                <c:pt idx="288">
                  <c:v>Ithaca, N.y.: Cornell University Press</c:v>
                </c:pt>
                <c:pt idx="289">
                  <c:v>Yuan Liu Chu Ban Shi Ye Gu Fen You Xian Gong Si</c:v>
                </c:pt>
                <c:pt idx="290">
                  <c:v>Kōrai Daigakkō Nihon Kenkyū Sentā</c:v>
                </c:pt>
                <c:pt idx="291">
                  <c:v>Yūhōdō</c:v>
                </c:pt>
                <c:pt idx="292">
                  <c:v>American Translators Association</c:v>
                </c:pt>
                <c:pt idx="293">
                  <c:v>Yukku-sha</c:v>
                </c:pt>
                <c:pt idx="294">
                  <c:v>Hatsubai Yamakawa Shuppansha</c:v>
                </c:pt>
                <c:pt idx="295">
                  <c:v>Yūrindō</c:v>
                </c:pt>
                <c:pt idx="296">
                  <c:v>London ; New York: Routledge</c:v>
                </c:pt>
                <c:pt idx="297">
                  <c:v>Yūshindō</c:v>
                </c:pt>
                <c:pt idx="298">
                  <c:v>Kasama Shoin</c:v>
                </c:pt>
                <c:pt idx="299">
                  <c:v>Zhong Yang Yan Jiu Yuan Taiwan Shi Yan Jiu Suo Chou Bei Chu</c:v>
                </c:pt>
                <c:pt idx="300">
                  <c:v>Dai Nihon Yūbenkai Kōdansha</c:v>
                </c:pt>
                <c:pt idx="301">
                  <c:v>Zōshinkai Suppansha</c:v>
                </c:pt>
                <c:pt idx="302">
                  <c:v>[Fukutake Shoten]</c:v>
                </c:pt>
                <c:pt idx="303">
                  <c:v>Lian Jing Chu Ban Shi Ye Gu Fen You Xian Gong Si</c:v>
                </c:pt>
                <c:pt idx="304">
                  <c:v>Rutgers University Press</c:v>
                </c:pt>
                <c:pt idx="305">
                  <c:v>Collier Macmillan</c:v>
                </c:pt>
                <c:pt idx="306">
                  <c:v>Chen Xing Chu Ban You Xian Gong Si</c:v>
                </c:pt>
                <c:pt idx="307">
                  <c:v>Kindai Bungeisha</c:v>
                </c:pt>
                <c:pt idx="308">
                  <c:v>Hokuseido Press</c:v>
                </c:pt>
                <c:pt idx="309">
                  <c:v>Liveright Publishing Corporation</c:v>
                </c:pt>
                <c:pt idx="310">
                  <c:v>Daisan Shokan</c:v>
                </c:pt>
                <c:pt idx="311">
                  <c:v>Harvard University Press</c:v>
                </c:pt>
                <c:pt idx="312">
                  <c:v>Tbs Buritanika</c:v>
                </c:pt>
                <c:pt idx="313">
                  <c:v>Weatherhill</c:v>
                </c:pt>
                <c:pt idx="314">
                  <c:v>Honolulu: University Of Hawaii Press</c:v>
                </c:pt>
                <c:pt idx="315">
                  <c:v>Hatsubai</c:v>
                </c:pt>
                <c:pt idx="316">
                  <c:v>Tōkyōdō Shuppan</c:v>
                </c:pt>
                <c:pt idx="317">
                  <c:v>Shin'yōsha</c:v>
                </c:pt>
                <c:pt idx="318">
                  <c:v>Grove Press</c:v>
                </c:pt>
                <c:pt idx="319">
                  <c:v>D.c. Heath</c:v>
                </c:pt>
                <c:pt idx="320">
                  <c:v>Hai Feng Chu Ban She</c:v>
                </c:pt>
                <c:pt idx="321">
                  <c:v>Wiley</c:v>
                </c:pt>
                <c:pt idx="322">
                  <c:v>University Of Chicago Press</c:v>
                </c:pt>
                <c:pt idx="323">
                  <c:v>Japan Taimuzu</c:v>
                </c:pt>
                <c:pt idx="324">
                  <c:v>Shi Bao Wen Hua Chu Ban Qi Ye Gu Fen You Xian Gong Si</c:v>
                </c:pt>
                <c:pt idx="325">
                  <c:v>New York: Vintage Books ^ Edition: ^ First Aventura Edition</c:v>
                </c:pt>
                <c:pt idx="326">
                  <c:v>Collier Books</c:v>
                </c:pt>
                <c:pt idx="327">
                  <c:v>Albany: State University Of New York Press</c:v>
                </c:pt>
                <c:pt idx="328">
                  <c:v>The Japan Times</c:v>
                </c:pt>
                <c:pt idx="329">
                  <c:v>Nihon Bungeisha</c:v>
                </c:pt>
                <c:pt idx="330">
                  <c:v>Tokuma Shoten</c:v>
                </c:pt>
                <c:pt idx="331">
                  <c:v>Ren Min Wen Xue Chu Ban She: Xin Hua Shu Dian Beijing Fa Xing Suo Fa Xing</c:v>
                </c:pt>
                <c:pt idx="332">
                  <c:v>Cambridge, Uk ; New York, Ny, Usa: Cambridge University Press</c:v>
                </c:pt>
                <c:pt idx="333">
                  <c:v>Jiji Gahō Sha</c:v>
                </c:pt>
                <c:pt idx="334">
                  <c:v>Sekai Bunkasha</c:v>
                </c:pt>
                <c:pt idx="335">
                  <c:v>Stanford, Calif.: Stanford University Press</c:v>
                </c:pt>
                <c:pt idx="336">
                  <c:v>Shakai Hyōronsha</c:v>
                </c:pt>
                <c:pt idx="337">
                  <c:v>Distributors</c:v>
                </c:pt>
                <c:pt idx="338">
                  <c:v>Cinema Epoch</c:v>
                </c:pt>
                <c:pt idx="339">
                  <c:v>Hatsubaimoto Senmon Kyōiku Shuppan</c:v>
                </c:pt>
                <c:pt idx="340">
                  <c:v>North Point Press</c:v>
                </c:pt>
                <c:pt idx="341">
                  <c:v>Hatsubaisho</c:v>
                </c:pt>
                <c:pt idx="342">
                  <c:v>Gendai Shokan</c:v>
                </c:pt>
                <c:pt idx="343">
                  <c:v>Tabata Shoten</c:v>
                </c:pt>
                <c:pt idx="344">
                  <c:v>Shakai Shisō Kenkyūkai Shuppanbu</c:v>
                </c:pt>
                <c:pt idx="345">
                  <c:v>Yūseidō</c:v>
                </c:pt>
                <c:pt idx="346">
                  <c:v>[Lian He Wen Xue Za Zhi She]</c:v>
                </c:pt>
                <c:pt idx="347">
                  <c:v>Alfred A. Knopf</c:v>
                </c:pt>
                <c:pt idx="348">
                  <c:v>Shichōsha</c:v>
                </c:pt>
                <c:pt idx="349">
                  <c:v>Takarajimasha</c:v>
                </c:pt>
                <c:pt idx="350">
                  <c:v>Tuttle</c:v>
                </c:pt>
                <c:pt idx="351">
                  <c:v>Aruku Kabushiki Kaisha</c:v>
                </c:pt>
                <c:pt idx="352">
                  <c:v>Center For Japanese Studies</c:v>
                </c:pt>
                <c:pt idx="353">
                  <c:v>Qi Dong Wen Hua</c:v>
                </c:pt>
                <c:pt idx="354">
                  <c:v>Oxford University Press</c:v>
                </c:pt>
                <c:pt idx="355">
                  <c:v>Senmon Kyōiku Shuppan</c:v>
                </c:pt>
                <c:pt idx="356">
                  <c:v>Keiō Gijuku Daigaku Shuppankai</c:v>
                </c:pt>
                <c:pt idx="357">
                  <c:v>University Of Washington Press</c:v>
                </c:pt>
                <c:pt idx="358">
                  <c:v>Nagasaki Association For The Hibakusha's Medical Care</c:v>
                </c:pt>
                <c:pt idx="359">
                  <c:v>Zhong Yang Yan Jiu Yuan Taiwan Shi Yan Jiu Suo</c:v>
                </c:pt>
                <c:pt idx="360">
                  <c:v>Kōbunsha</c:v>
                </c:pt>
                <c:pt idx="361">
                  <c:v>Nichieisha</c:v>
                </c:pt>
                <c:pt idx="362">
                  <c:v>Ōfūsha</c:v>
                </c:pt>
                <c:pt idx="363">
                  <c:v>Seidosha</c:v>
                </c:pt>
                <c:pt idx="364">
                  <c:v>Yūhikaku</c:v>
                </c:pt>
                <c:pt idx="365">
                  <c:v>University Of Hawai'i Press</c:v>
                </c:pt>
                <c:pt idx="366">
                  <c:v>Mcgraw-hill</c:v>
                </c:pt>
                <c:pt idx="367">
                  <c:v>Taishūkanshoten</c:v>
                </c:pt>
                <c:pt idx="368">
                  <c:v>Taishūkan Shoten</c:v>
                </c:pt>
                <c:pt idx="369">
                  <c:v>Berkeley: University Of California Press</c:v>
                </c:pt>
                <c:pt idx="370">
                  <c:v>Routledge</c:v>
                </c:pt>
                <c:pt idx="371">
                  <c:v>New York: Columbia University Press</c:v>
                </c:pt>
                <c:pt idx="372">
                  <c:v>Kōdansha International</c:v>
                </c:pt>
                <c:pt idx="373">
                  <c:v>Penguin Books</c:v>
                </c:pt>
                <c:pt idx="374">
                  <c:v>University Of Hawaii Press</c:v>
                </c:pt>
                <c:pt idx="375">
                  <c:v>Duke University Press</c:v>
                </c:pt>
                <c:pt idx="376">
                  <c:v>Heibonsha</c:v>
                </c:pt>
                <c:pt idx="377">
                  <c:v>Yale University Press</c:v>
                </c:pt>
                <c:pt idx="378">
                  <c:v>Bonjinsha Co.</c:v>
                </c:pt>
                <c:pt idx="379">
                  <c:v>Vintage Books</c:v>
                </c:pt>
                <c:pt idx="380">
                  <c:v>Shibundō</c:v>
                </c:pt>
                <c:pt idx="381">
                  <c:v>Hakusensha</c:v>
                </c:pt>
                <c:pt idx="382">
                  <c:v>Asahi Shinbunsha</c:v>
                </c:pt>
                <c:pt idx="383">
                  <c:v>Taishūkan</c:v>
                </c:pt>
                <c:pt idx="384">
                  <c:v>Sanseidō</c:v>
                </c:pt>
                <c:pt idx="385">
                  <c:v>Fukutake Shoten</c:v>
                </c:pt>
                <c:pt idx="386">
                  <c:v>Stanford University Press</c:v>
                </c:pt>
                <c:pt idx="387">
                  <c:v>Genten No Kai</c:v>
                </c:pt>
                <c:pt idx="388">
                  <c:v>New York</c:v>
                </c:pt>
                <c:pt idx="389">
                  <c:v>Shinbisha</c:v>
                </c:pt>
                <c:pt idx="390">
                  <c:v>University Of California Press</c:v>
                </c:pt>
                <c:pt idx="391">
                  <c:v>Aruku</c:v>
                </c:pt>
                <c:pt idx="392">
                  <c:v>Aratake Shuppan</c:v>
                </c:pt>
                <c:pt idx="393">
                  <c:v>Guo Li Zheng Zhi Da Xue Zhongguo Wen Xue Xi</c:v>
                </c:pt>
                <c:pt idx="394">
                  <c:v>Kokusai Nihon Bunka Kenkyū Sentā</c:v>
                </c:pt>
                <c:pt idx="395">
                  <c:v>Princeton University Press</c:v>
                </c:pt>
                <c:pt idx="396">
                  <c:v>Qian Wei Chu Ban She</c:v>
                </c:pt>
                <c:pt idx="397">
                  <c:v>Serabi Shobō</c:v>
                </c:pt>
                <c:pt idx="398">
                  <c:v>Shūeisha</c:v>
                </c:pt>
                <c:pt idx="399">
                  <c:v>Columbia University Press</c:v>
                </c:pt>
                <c:pt idx="400">
                  <c:v>Dōonsha</c:v>
                </c:pt>
                <c:pt idx="401">
                  <c:v>Chikuma Shobō</c:v>
                </c:pt>
                <c:pt idx="402">
                  <c:v>Bungei Shunjū</c:v>
                </c:pt>
                <c:pt idx="403">
                  <c:v>Chūō Kōronsha</c:v>
                </c:pt>
                <c:pt idx="404">
                  <c:v>Guo Li Wen Hua Zi Chan Bao Cun Yan Jiu Zhong Xin Chou Bei Chu</c:v>
                </c:pt>
                <c:pt idx="405">
                  <c:v>Gakushū Kenkyūsha</c:v>
                </c:pt>
                <c:pt idx="406">
                  <c:v>Japan Times</c:v>
                </c:pt>
                <c:pt idx="407">
                  <c:v>Shōgakkan</c:v>
                </c:pt>
                <c:pt idx="408">
                  <c:v>Tībīesu Buritanika</c:v>
                </c:pt>
                <c:pt idx="409">
                  <c:v>Kawade Shobō Shinsha</c:v>
                </c:pt>
                <c:pt idx="410">
                  <c:v>Kadokawa Shoten</c:v>
                </c:pt>
                <c:pt idx="411">
                  <c:v>Bonjinsha</c:v>
                </c:pt>
                <c:pt idx="412">
                  <c:v>Gakutōsha</c:v>
                </c:pt>
                <c:pt idx="413">
                  <c:v>Shinchōsha</c:v>
                </c:pt>
                <c:pt idx="414">
                  <c:v>Iwanami Shoten</c:v>
                </c:pt>
                <c:pt idx="415">
                  <c:v>Kōdansha</c:v>
                </c:pt>
              </c:strCache>
            </c:strRef>
          </c:cat>
          <c:val>
            <c:numRef>
              <c:f>Publisher!$B$3:$B$419</c:f>
              <c:numCache>
                <c:formatCode>General</c:formatCode>
                <c:ptCount val="416"/>
                <c:pt idx="0">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2</c:v>
                </c:pt>
                <c:pt idx="303">
                  <c:v>2</c:v>
                </c:pt>
                <c:pt idx="304">
                  <c:v>2</c:v>
                </c:pt>
                <c:pt idx="305">
                  <c:v>2</c:v>
                </c:pt>
                <c:pt idx="306">
                  <c:v>2</c:v>
                </c:pt>
                <c:pt idx="307">
                  <c:v>2</c:v>
                </c:pt>
                <c:pt idx="308">
                  <c:v>2</c:v>
                </c:pt>
                <c:pt idx="309">
                  <c:v>2</c:v>
                </c:pt>
                <c:pt idx="310">
                  <c:v>2</c:v>
                </c:pt>
                <c:pt idx="311">
                  <c:v>2</c:v>
                </c:pt>
                <c:pt idx="312">
                  <c:v>2</c:v>
                </c:pt>
                <c:pt idx="313">
                  <c:v>2</c:v>
                </c:pt>
                <c:pt idx="314">
                  <c:v>2</c:v>
                </c:pt>
                <c:pt idx="315">
                  <c:v>2</c:v>
                </c:pt>
                <c:pt idx="316">
                  <c:v>2</c:v>
                </c:pt>
                <c:pt idx="317">
                  <c:v>2</c:v>
                </c:pt>
                <c:pt idx="318">
                  <c:v>2</c:v>
                </c:pt>
                <c:pt idx="319">
                  <c:v>2</c:v>
                </c:pt>
                <c:pt idx="320">
                  <c:v>2</c:v>
                </c:pt>
                <c:pt idx="321">
                  <c:v>2</c:v>
                </c:pt>
                <c:pt idx="322">
                  <c:v>2</c:v>
                </c:pt>
                <c:pt idx="323">
                  <c:v>2</c:v>
                </c:pt>
                <c:pt idx="324">
                  <c:v>2</c:v>
                </c:pt>
                <c:pt idx="325">
                  <c:v>2</c:v>
                </c:pt>
                <c:pt idx="326">
                  <c:v>2</c:v>
                </c:pt>
                <c:pt idx="327">
                  <c:v>2</c:v>
                </c:pt>
                <c:pt idx="328">
                  <c:v>2</c:v>
                </c:pt>
                <c:pt idx="329">
                  <c:v>2</c:v>
                </c:pt>
                <c:pt idx="330">
                  <c:v>2</c:v>
                </c:pt>
                <c:pt idx="331">
                  <c:v>2</c:v>
                </c:pt>
                <c:pt idx="332">
                  <c:v>2</c:v>
                </c:pt>
                <c:pt idx="333">
                  <c:v>2</c:v>
                </c:pt>
                <c:pt idx="334">
                  <c:v>2</c:v>
                </c:pt>
                <c:pt idx="335">
                  <c:v>2</c:v>
                </c:pt>
                <c:pt idx="336">
                  <c:v>2</c:v>
                </c:pt>
                <c:pt idx="337">
                  <c:v>2</c:v>
                </c:pt>
                <c:pt idx="338">
                  <c:v>2</c:v>
                </c:pt>
                <c:pt idx="339">
                  <c:v>2</c:v>
                </c:pt>
                <c:pt idx="340">
                  <c:v>2</c:v>
                </c:pt>
                <c:pt idx="341">
                  <c:v>2</c:v>
                </c:pt>
                <c:pt idx="342">
                  <c:v>2</c:v>
                </c:pt>
                <c:pt idx="343">
                  <c:v>2</c:v>
                </c:pt>
                <c:pt idx="344">
                  <c:v>2</c:v>
                </c:pt>
                <c:pt idx="345">
                  <c:v>2</c:v>
                </c:pt>
                <c:pt idx="346">
                  <c:v>2</c:v>
                </c:pt>
                <c:pt idx="347">
                  <c:v>2</c:v>
                </c:pt>
                <c:pt idx="348">
                  <c:v>2</c:v>
                </c:pt>
                <c:pt idx="349">
                  <c:v>2</c:v>
                </c:pt>
                <c:pt idx="350">
                  <c:v>2</c:v>
                </c:pt>
                <c:pt idx="351">
                  <c:v>2</c:v>
                </c:pt>
                <c:pt idx="352">
                  <c:v>3</c:v>
                </c:pt>
                <c:pt idx="353">
                  <c:v>3</c:v>
                </c:pt>
                <c:pt idx="354">
                  <c:v>3</c:v>
                </c:pt>
                <c:pt idx="355">
                  <c:v>3</c:v>
                </c:pt>
                <c:pt idx="356">
                  <c:v>3</c:v>
                </c:pt>
                <c:pt idx="357">
                  <c:v>3</c:v>
                </c:pt>
                <c:pt idx="358">
                  <c:v>3</c:v>
                </c:pt>
                <c:pt idx="359">
                  <c:v>3</c:v>
                </c:pt>
                <c:pt idx="360">
                  <c:v>3</c:v>
                </c:pt>
                <c:pt idx="361">
                  <c:v>3</c:v>
                </c:pt>
                <c:pt idx="362">
                  <c:v>3</c:v>
                </c:pt>
                <c:pt idx="363">
                  <c:v>3</c:v>
                </c:pt>
                <c:pt idx="364">
                  <c:v>3</c:v>
                </c:pt>
                <c:pt idx="365">
                  <c:v>3</c:v>
                </c:pt>
                <c:pt idx="366">
                  <c:v>4</c:v>
                </c:pt>
                <c:pt idx="367">
                  <c:v>4</c:v>
                </c:pt>
                <c:pt idx="368">
                  <c:v>4</c:v>
                </c:pt>
                <c:pt idx="369">
                  <c:v>4</c:v>
                </c:pt>
                <c:pt idx="370">
                  <c:v>4</c:v>
                </c:pt>
                <c:pt idx="371">
                  <c:v>4</c:v>
                </c:pt>
                <c:pt idx="372">
                  <c:v>4</c:v>
                </c:pt>
                <c:pt idx="373">
                  <c:v>4</c:v>
                </c:pt>
                <c:pt idx="374">
                  <c:v>4</c:v>
                </c:pt>
                <c:pt idx="375">
                  <c:v>4</c:v>
                </c:pt>
                <c:pt idx="376">
                  <c:v>4</c:v>
                </c:pt>
                <c:pt idx="377">
                  <c:v>4</c:v>
                </c:pt>
                <c:pt idx="378">
                  <c:v>5</c:v>
                </c:pt>
                <c:pt idx="379">
                  <c:v>5</c:v>
                </c:pt>
                <c:pt idx="380">
                  <c:v>5</c:v>
                </c:pt>
                <c:pt idx="381">
                  <c:v>5</c:v>
                </c:pt>
                <c:pt idx="382">
                  <c:v>5</c:v>
                </c:pt>
                <c:pt idx="383">
                  <c:v>6</c:v>
                </c:pt>
                <c:pt idx="384">
                  <c:v>6</c:v>
                </c:pt>
                <c:pt idx="385">
                  <c:v>6</c:v>
                </c:pt>
                <c:pt idx="386">
                  <c:v>6</c:v>
                </c:pt>
                <c:pt idx="387">
                  <c:v>7</c:v>
                </c:pt>
                <c:pt idx="388">
                  <c:v>7</c:v>
                </c:pt>
                <c:pt idx="389">
                  <c:v>8</c:v>
                </c:pt>
                <c:pt idx="390">
                  <c:v>9</c:v>
                </c:pt>
                <c:pt idx="391">
                  <c:v>9</c:v>
                </c:pt>
                <c:pt idx="392">
                  <c:v>10</c:v>
                </c:pt>
                <c:pt idx="393">
                  <c:v>10</c:v>
                </c:pt>
                <c:pt idx="394">
                  <c:v>10</c:v>
                </c:pt>
                <c:pt idx="395">
                  <c:v>10</c:v>
                </c:pt>
                <c:pt idx="396">
                  <c:v>10</c:v>
                </c:pt>
                <c:pt idx="397">
                  <c:v>11</c:v>
                </c:pt>
                <c:pt idx="398">
                  <c:v>11</c:v>
                </c:pt>
                <c:pt idx="399">
                  <c:v>12</c:v>
                </c:pt>
                <c:pt idx="400">
                  <c:v>12</c:v>
                </c:pt>
                <c:pt idx="401">
                  <c:v>14</c:v>
                </c:pt>
                <c:pt idx="402">
                  <c:v>14</c:v>
                </c:pt>
                <c:pt idx="403">
                  <c:v>14</c:v>
                </c:pt>
                <c:pt idx="404">
                  <c:v>14</c:v>
                </c:pt>
                <c:pt idx="405">
                  <c:v>15</c:v>
                </c:pt>
                <c:pt idx="406">
                  <c:v>16</c:v>
                </c:pt>
                <c:pt idx="407">
                  <c:v>20</c:v>
                </c:pt>
                <c:pt idx="408">
                  <c:v>20</c:v>
                </c:pt>
                <c:pt idx="409">
                  <c:v>21</c:v>
                </c:pt>
                <c:pt idx="410">
                  <c:v>27</c:v>
                </c:pt>
                <c:pt idx="411">
                  <c:v>28</c:v>
                </c:pt>
                <c:pt idx="412">
                  <c:v>34</c:v>
                </c:pt>
                <c:pt idx="413">
                  <c:v>54</c:v>
                </c:pt>
                <c:pt idx="414">
                  <c:v>57</c:v>
                </c:pt>
                <c:pt idx="415">
                  <c:v>69</c:v>
                </c:pt>
              </c:numCache>
            </c:numRef>
          </c:val>
          <c:extLst>
            <c:ext xmlns:c16="http://schemas.microsoft.com/office/drawing/2014/chart" uri="{C3380CC4-5D6E-409C-BE32-E72D297353CC}">
              <c16:uniqueId val="{00000000-3995-4EEA-8FCB-29482A08C4E1}"/>
            </c:ext>
          </c:extLst>
        </c:ser>
        <c:dLbls>
          <c:dLblPos val="outEnd"/>
          <c:showLegendKey val="0"/>
          <c:showVal val="1"/>
          <c:showCatName val="0"/>
          <c:showSerName val="0"/>
          <c:showPercent val="0"/>
          <c:showBubbleSize val="0"/>
        </c:dLbls>
        <c:gapWidth val="182"/>
        <c:axId val="417478447"/>
        <c:axId val="417476047"/>
      </c:barChart>
      <c:catAx>
        <c:axId val="4174784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76047"/>
        <c:crosses val="autoZero"/>
        <c:auto val="1"/>
        <c:lblAlgn val="ctr"/>
        <c:lblOffset val="100"/>
        <c:noMultiLvlLbl val="0"/>
      </c:catAx>
      <c:valAx>
        <c:axId val="41747604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478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[Donation - Donation Name - Template.xlsm]Publisher!PubN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Publishers (Native)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Publisher!$O$2</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Publisher!$N$3:$N$240</c:f>
              <c:strCache>
                <c:ptCount val="237"/>
                <c:pt idx="0">
                  <c:v>(blank)</c:v>
                </c:pt>
                <c:pt idx="1">
                  <c:v>文春文庫</c:v>
                </c:pt>
                <c:pt idx="2">
                  <c:v>文物出版社</c:v>
                </c:pt>
                <c:pt idx="3">
                  <c:v>[Distributed by China Books and Periodicals]</c:v>
                </c:pt>
                <c:pt idx="4">
                  <c:v>文笙</c:v>
                </c:pt>
                <c:pt idx="5">
                  <c:v>Began in 1923</c:v>
                </c:pt>
                <c:pt idx="6">
                  <c:v>文芸春秋</c:v>
                </c:pt>
                <c:pt idx="7">
                  <c:v>INK 印刻文學生活雜誌出版有限公司</c:v>
                </c:pt>
                <c:pt idx="8">
                  <c:v>新人物住来社</c:v>
                </c:pt>
                <c:pt idx="9">
                  <c:v>JICC 出版局</c:v>
                </c:pt>
                <c:pt idx="10">
                  <c:v>新宿日本語学校</c:v>
                </c:pt>
                <c:pt idx="11">
                  <c:v>PLANET</c:v>
                </c:pt>
                <c:pt idx="12">
                  <c:v>新幹社</c:v>
                </c:pt>
                <c:pt idx="13">
                  <c:v>エルム</c:v>
                </c:pt>
                <c:pt idx="14">
                  <c:v>新日本文学会 ^ -第59卷第6号 (11/12</c:v>
                </c:pt>
                <c:pt idx="15">
                  <c:v>サイビズ</c:v>
                </c:pt>
                <c:pt idx="16">
                  <c:v>新華書店上海发行所发行</c:v>
                </c:pt>
                <c:pt idx="17">
                  <c:v>スリ-エ-ネットワ-ク</c:v>
                </c:pt>
                <c:pt idx="18">
                  <c:v>日本放送出版会</c:v>
                </c:pt>
                <c:pt idx="19">
                  <c:v>ティビーエス・ブリタニカ</c:v>
                </c:pt>
                <c:pt idx="20">
                  <c:v>日本放送出版協会</c:v>
                </c:pt>
                <c:pt idx="21">
                  <c:v>パルコ出版</c:v>
                </c:pt>
                <c:pt idx="22">
                  <c:v>日米女性情報センター</c:v>
                </c:pt>
                <c:pt idx="23">
                  <c:v>ユック舎</c:v>
                </c:pt>
                <c:pt idx="24">
                  <c:v>早川書房</c:v>
                </c:pt>
                <c:pt idx="25">
                  <c:v>三一書房</c:v>
                </c:pt>
                <c:pt idx="26">
                  <c:v>早稲田大学出版部</c:v>
                </c:pt>
                <c:pt idx="27">
                  <c:v>三聯</c:v>
                </c:pt>
                <c:pt idx="28">
                  <c:v>旺文社</c:v>
                </c:pt>
                <c:pt idx="29">
                  <c:v>中央図書</c:v>
                </c:pt>
                <c:pt idx="30">
                  <c:v>明治書院</c:v>
                </c:pt>
                <c:pt idx="31">
                  <c:v>中央硏究院台灣史研究所</c:v>
                </c:pt>
                <c:pt idx="32">
                  <c:v>春暉出版社</c:v>
                </c:pt>
                <c:pt idx="33">
                  <c:v>中経出版</c:v>
                </c:pt>
                <c:pt idx="34">
                  <c:v>有信堂</c:v>
                </c:pt>
                <c:pt idx="35">
                  <c:v>主婦の友社</c:v>
                </c:pt>
                <c:pt idx="36">
                  <c:v>有朋堂</c:v>
                </c:pt>
                <c:pt idx="37">
                  <c:v>五福</c:v>
                </c:pt>
                <c:pt idx="38">
                  <c:v>有隣堂</c:v>
                </c:pt>
                <c:pt idx="39">
                  <c:v>人文書院</c:v>
                </c:pt>
                <c:pt idx="40">
                  <c:v>未来社</c:v>
                </c:pt>
                <c:pt idx="41">
                  <c:v>人民文学出版社</c:v>
                </c:pt>
                <c:pt idx="42">
                  <c:v>東京</c:v>
                </c:pt>
                <c:pt idx="43">
                  <c:v>作家出版社</c:v>
                </c:pt>
                <c:pt idx="44">
                  <c:v>東京: 大修館 ; Santa Clara</c:v>
                </c:pt>
                <c:pt idx="45">
                  <c:v>凡人社(発売)</c:v>
                </c:pt>
                <c:pt idx="46">
                  <c:v>東京: 大修館書店</c:v>
                </c:pt>
                <c:pt idx="47">
                  <c:v>加藤中道館</c:v>
                </c:pt>
                <c:pt idx="48">
                  <c:v>東京: 書肆風の薔薇</c:v>
                </c:pt>
                <c:pt idx="49">
                  <c:v>勉誠社</c:v>
                </c:pt>
                <c:pt idx="50">
                  <c:v>東京: 福武書店</c:v>
                </c:pt>
                <c:pt idx="51">
                  <c:v>原書房</c:v>
                </c:pt>
                <c:pt idx="52">
                  <c:v>東京: 集英社</c:v>
                </c:pt>
                <c:pt idx="53">
                  <c:v>史輝出版</c:v>
                </c:pt>
                <c:pt idx="54">
                  <c:v>東京] 至文堂 [1967]</c:v>
                </c:pt>
                <c:pt idx="55">
                  <c:v>名古屋大学出版会</c:v>
                </c:pt>
                <c:pt idx="56">
                  <c:v>東京堂</c:v>
                </c:pt>
                <c:pt idx="57">
                  <c:v>国立台湾大学出版中心</c:v>
                </c:pt>
                <c:pt idx="58">
                  <c:v>東京大学出版会</c:v>
                </c:pt>
                <c:pt idx="59">
                  <c:v>土曜美術出版販売</c:v>
                </c:pt>
                <c:pt idx="60">
                  <c:v>東京新聞</c:v>
                </c:pt>
                <c:pt idx="61">
                  <c:v>夏日出版社</c:v>
                </c:pt>
                <c:pt idx="62">
                  <c:v>東洋経済新報社</c:v>
                </c:pt>
                <c:pt idx="63">
                  <c:v>大塊文化出版股份有限公司</c:v>
                </c:pt>
                <c:pt idx="64">
                  <c:v>榆書房</c:v>
                </c:pt>
                <c:pt idx="65">
                  <c:v>大陸書房</c:v>
                </c:pt>
                <c:pt idx="66">
                  <c:v>每日新聞社</c:v>
                </c:pt>
                <c:pt idx="67">
                  <c:v>天下雜誌股份有限公司</c:v>
                </c:pt>
                <c:pt idx="68">
                  <c:v>河出書房新社(発売)</c:v>
                </c:pt>
                <c:pt idx="69">
                  <c:v>学燈社</c:v>
                </c:pt>
                <c:pt idx="70">
                  <c:v>洪範書店</c:v>
                </c:pt>
                <c:pt idx="71">
                  <c:v>専修大学出版局</c:v>
                </c:pt>
                <c:pt idx="72">
                  <c:v>清水書院</c:v>
                </c:pt>
                <c:pt idx="73">
                  <c:v>巨流</c:v>
                </c:pt>
                <c:pt idx="74">
                  <c:v>理論社</c:v>
                </c:pt>
                <c:pt idx="75">
                  <c:v>弘文堂</c:v>
                </c:pt>
                <c:pt idx="76">
                  <c:v>生智文化事業有限公司</c:v>
                </c:pt>
                <c:pt idx="77">
                  <c:v>得寶</c:v>
                </c:pt>
                <c:pt idx="78">
                  <c:v>番町書房</c:v>
                </c:pt>
                <c:pt idx="79">
                  <c:v>思潮社</c:v>
                </c:pt>
                <c:pt idx="80">
                  <c:v>発売元 文藝春秋</c:v>
                </c:pt>
                <c:pt idx="81">
                  <c:v>教育出版センター</c:v>
                </c:pt>
                <c:pt idx="82">
                  <c:v>発売山川出版社</c:v>
                </c:pt>
                <c:pt idx="83">
                  <c:v>文化圖書</c:v>
                </c:pt>
                <c:pt idx="84">
                  <c:v>発売所日本出版貿易</c:v>
                </c:pt>
                <c:pt idx="85">
                  <c:v>[Tokyo] 国文学研究資料館 ^ 第1 (1977)-</c:v>
                </c:pt>
                <c:pt idx="86">
                  <c:v>研文出版</c:v>
                </c:pt>
                <c:pt idx="87">
                  <c:v>Japan Times</c:v>
                </c:pt>
                <c:pt idx="88">
                  <c:v>研究社出版</c:v>
                </c:pt>
                <c:pt idx="89">
                  <c:v>アスペクト</c:v>
                </c:pt>
                <c:pt idx="90">
                  <c:v>硏究社</c:v>
                </c:pt>
                <c:pt idx="91">
                  <c:v>サイマル出版会</c:v>
                </c:pt>
                <c:pt idx="92">
                  <c:v>祥伝社</c:v>
                </c:pt>
                <c:pt idx="93">
                  <c:v>ノ-ベル書房</c:v>
                </c:pt>
                <c:pt idx="94">
                  <c:v>秀威資訊科技股份有限公司</c:v>
                </c:pt>
                <c:pt idx="95">
                  <c:v>七月堂</c:v>
                </c:pt>
                <c:pt idx="96">
                  <c:v>秀英出版</c:v>
                </c:pt>
                <c:pt idx="97">
                  <c:v>世界思想社</c:v>
                </c:pt>
                <c:pt idx="98">
                  <c:v>立緖文化事業有限公司</c:v>
                </c:pt>
                <c:pt idx="99">
                  <c:v>中央硏究院薹灣史硏究所籌備處</c:v>
                </c:pt>
                <c:pt idx="100">
                  <c:v>立風書房</c:v>
                </c:pt>
                <c:pt idx="101">
                  <c:v>九歌出版社</c:v>
                </c:pt>
                <c:pt idx="102">
                  <c:v>笠間書院</c:v>
                </c:pt>
                <c:pt idx="103">
                  <c:v>人文社</c:v>
                </c:pt>
                <c:pt idx="104">
                  <c:v>第 1卷 第 1號-</c:v>
                </c:pt>
                <c:pt idx="105">
                  <c:v>光風社書店</c:v>
                </c:pt>
                <c:pt idx="106">
                  <c:v>第1卷第1号 (昭和38年5月 [May 1963])-第531号 (October 2011)</c:v>
                </c:pt>
                <c:pt idx="107">
                  <c:v>勁草書房</c:v>
                </c:pt>
                <c:pt idx="108">
                  <c:v>第1號 (大正8年7月 [July 1919])-no. 735 (昭和15年12月 [Dec. 1940]); 再健第1號 (昭和21年3月 [Mar. 1946])-第79號 (昭和25年4月 [Apr. 1950]); 復刋1号 (昭和25年10月下旬号[Oct. 1950])- = 通刋第1号-</c:v>
                </c:pt>
                <c:pt idx="109">
                  <c:v>双文社出版</c:v>
                </c:pt>
                <c:pt idx="110">
                  <c:v>総発売元 ほるぷ</c:v>
                </c:pt>
                <c:pt idx="111">
                  <c:v>国書刊行会</c:v>
                </c:pt>
                <c:pt idx="112">
                  <c:v>翰林書房</c:v>
                </c:pt>
                <c:pt idx="113">
                  <c:v>増進会出版社</c:v>
                </c:pt>
                <c:pt idx="114">
                  <c:v>聯合文學出版社</c:v>
                </c:pt>
                <c:pt idx="115">
                  <c:v>大月書店</c:v>
                </c:pt>
                <c:pt idx="116">
                  <c:v>聯經出版公司</c:v>
                </c:pt>
                <c:pt idx="117">
                  <c:v>学文社</c:v>
                </c:pt>
                <c:pt idx="118">
                  <c:v>自由国民社</c:v>
                </c:pt>
                <c:pt idx="119">
                  <c:v>工作舎</c:v>
                </c:pt>
                <c:pt idx="120">
                  <c:v>芸文社</c:v>
                </c:pt>
                <c:pt idx="121">
                  <c:v>彩流社</c:v>
                </c:pt>
                <c:pt idx="122">
                  <c:v>草思社</c:v>
                </c:pt>
                <c:pt idx="123">
                  <c:v>慶應義塾大学出版会</c:v>
                </c:pt>
                <c:pt idx="124">
                  <c:v>荒竹 出版</c:v>
                </c:pt>
                <c:pt idx="125">
                  <c:v>文化科学高等研究院出版局</c:v>
                </c:pt>
                <c:pt idx="126">
                  <c:v>藤森書店</c:v>
                </c:pt>
                <c:pt idx="127">
                  <c:v>PHP 研究所</c:v>
                </c:pt>
                <c:pt idx="128">
                  <c:v>販売日米女性センター東京西原事務所</c:v>
                </c:pt>
                <c:pt idx="129">
                  <c:v>ダイヤモンド社</c:v>
                </c:pt>
                <c:pt idx="130">
                  <c:v>農學總經銷</c:v>
                </c:pt>
                <c:pt idx="131">
                  <c:v>三交社</c:v>
                </c:pt>
                <c:pt idx="132">
                  <c:v>近藤出版社</c:v>
                </c:pt>
                <c:pt idx="133">
                  <c:v>丸善株式会社</c:v>
                </c:pt>
                <c:pt idx="134">
                  <c:v>遠流</c:v>
                </c:pt>
                <c:pt idx="135">
                  <c:v>人間の星社</c:v>
                </c:pt>
                <c:pt idx="136">
                  <c:v>遠流出版事業股份有限公司 ^ Began with 創刊號(2005年9月)</c:v>
                </c:pt>
                <c:pt idx="137">
                  <c:v>北京出版社</c:v>
                </c:pt>
                <c:pt idx="138">
                  <c:v>里文出版</c:v>
                </c:pt>
                <c:pt idx="139">
                  <c:v>国際交流基金</c:v>
                </c:pt>
                <c:pt idx="140">
                  <c:v>金の星社</c:v>
                </c:pt>
                <c:pt idx="141">
                  <c:v>天下遠見出版股份有限公司</c:v>
                </c:pt>
                <c:pt idx="142">
                  <c:v>金原出版株式会社</c:v>
                </c:pt>
                <c:pt idx="143">
                  <c:v>広済堂出版</c:v>
                </c:pt>
                <c:pt idx="144">
                  <c:v>金園社</c:v>
                </c:pt>
                <c:pt idx="145">
                  <c:v>文光堂</c:v>
                </c:pt>
                <c:pt idx="146">
                  <c:v>長崎出版</c:v>
                </c:pt>
                <c:pt idx="147">
                  <c:v>おうふう</c:v>
                </c:pt>
                <c:pt idx="148">
                  <c:v>関西大学大学院, 文学研究科, 中国文学専攻</c:v>
                </c:pt>
                <c:pt idx="149">
                  <c:v>中央研究院臺灣史研究所</c:v>
                </c:pt>
                <c:pt idx="150">
                  <c:v>靑弓社</c:v>
                </c:pt>
                <c:pt idx="151">
                  <c:v>創元社</c:v>
                </c:pt>
                <c:pt idx="152">
                  <c:v>青土社</c:v>
                </c:pt>
                <c:pt idx="153">
                  <c:v>夏目書房</c:v>
                </c:pt>
                <c:pt idx="154">
                  <c:v>青娥書房</c:v>
                </c:pt>
                <c:pt idx="155">
                  <c:v>御茶の水書房</c:v>
                </c:pt>
                <c:pt idx="156">
                  <c:v>風響社</c:v>
                </c:pt>
                <c:pt idx="157">
                  <c:v>みすず書房</c:v>
                </c:pt>
                <c:pt idx="158">
                  <c:v>高雄市文化局</c:v>
                </c:pt>
                <c:pt idx="159">
                  <c:v>同センタ- ^ 第 1号 (1994)-</c:v>
                </c:pt>
                <c:pt idx="160">
                  <c:v>鳳書房</c:v>
                </c:pt>
                <c:pt idx="161">
                  <c:v>Exclusive distributor in the U.S.A.</c:v>
                </c:pt>
                <c:pt idx="162">
                  <c:v>鹿砦社</c:v>
                </c:pt>
                <c:pt idx="163">
                  <c:v>宝島社</c:v>
                </c:pt>
                <c:pt idx="164">
                  <c:v>黎銘圖書總經銷</c:v>
                </c:pt>
                <c:pt idx="165">
                  <c:v>京都書房</c:v>
                </c:pt>
                <c:pt idx="166">
                  <c:v>鼎書房</c:v>
                </c:pt>
                <c:pt idx="167">
                  <c:v>[福武書店] ^ 第 1卷 第 1号 (昭和 57年 1月 [Jan. 1982])-</c:v>
                </c:pt>
                <c:pt idx="168">
                  <c:v>世界文化社</c:v>
                </c:pt>
                <c:pt idx="169">
                  <c:v>第三書館</c:v>
                </c:pt>
                <c:pt idx="170">
                  <c:v>河出書房新社 ^ 第1卷 (昭和37年3月[Mar. 1962])-</c:v>
                </c:pt>
                <c:pt idx="171">
                  <c:v>[聯合文學雜誌社] ^ 創刊號 (民國73年11月 [Nov. 1984])-</c:v>
                </c:pt>
                <c:pt idx="172">
                  <c:v>アルク株式会社 ^ 第1卷第1号-第20卷第3号 (Jan. ^ Mar. 2005); title from cover</c:v>
                </c:pt>
                <c:pt idx="173">
                  <c:v>ポプラ社</c:v>
                </c:pt>
                <c:pt idx="174">
                  <c:v>海風出版社</c:v>
                </c:pt>
                <c:pt idx="175">
                  <c:v>田畑書店</c:v>
                </c:pt>
                <c:pt idx="176">
                  <c:v>現代書館</c:v>
                </c:pt>
                <c:pt idx="177">
                  <c:v>発売元専門敎育出版</c:v>
                </c:pt>
                <c:pt idx="178">
                  <c:v>専門敎育出版</c:v>
                </c:pt>
                <c:pt idx="179">
                  <c:v>発売所 ^ 第10卷復刊号-</c:v>
                </c:pt>
                <c:pt idx="180">
                  <c:v>專門教育出版</c:v>
                </c:pt>
                <c:pt idx="181">
                  <c:v>新曜社</c:v>
                </c:pt>
                <c:pt idx="182">
                  <c:v>有斐閣</c:v>
                </c:pt>
                <c:pt idx="183">
                  <c:v>社会評論社</c:v>
                </c:pt>
                <c:pt idx="184">
                  <c:v>有精堂</c:v>
                </c:pt>
                <c:pt idx="185">
                  <c:v>The Japan Times</c:v>
                </c:pt>
                <c:pt idx="186">
                  <c:v>朝曰新聞社</c:v>
                </c:pt>
                <c:pt idx="187">
                  <c:v>ジャパンタイムズ</c:v>
                </c:pt>
                <c:pt idx="188">
                  <c:v>近代文芸社</c:v>
                </c:pt>
                <c:pt idx="189">
                  <c:v>社会思想研究会出版部</c:v>
                </c:pt>
                <c:pt idx="190">
                  <c:v>人民文学出版社: 新华书店北京发行所发行</c:v>
                </c:pt>
                <c:pt idx="191">
                  <c:v>大新書局</c:v>
                </c:pt>
                <c:pt idx="192">
                  <c:v>東京 新潮社 昭和48 (1973)</c:v>
                </c:pt>
                <c:pt idx="193">
                  <c:v>北星堂書店</c:v>
                </c:pt>
                <c:pt idx="194">
                  <c:v>Began with: 第1卷第1号 (昭和31年10月 [October 1956])</c:v>
                </c:pt>
                <c:pt idx="195">
                  <c:v>JICC出版局</c:v>
                </c:pt>
                <c:pt idx="196">
                  <c:v>東京堂出版</c:v>
                </c:pt>
                <c:pt idx="197">
                  <c:v>桜楓社</c:v>
                </c:pt>
                <c:pt idx="198">
                  <c:v>平凡社</c:v>
                </c:pt>
                <c:pt idx="199">
                  <c:v>新潮社 ^ 第 1卷 第 1號 (明治 37年 5月 [May 1904])-第 43卷 第 6號 (大正 14年 12月 [Dec. 1925]) ; 第 23年 第 1-號 (大正 15年 1月 [Jan. 1926])-</c:v>
                </c:pt>
                <c:pt idx="200">
                  <c:v>日栄社</c:v>
                </c:pt>
                <c:pt idx="201">
                  <c:v>時報文化出版企業股份有限公司</c:v>
                </c:pt>
                <c:pt idx="202">
                  <c:v>日本文芸社</c:v>
                </c:pt>
                <c:pt idx="203">
                  <c:v>光文社</c:v>
                </c:pt>
                <c:pt idx="204">
                  <c:v>至文堂</c:v>
                </c:pt>
                <c:pt idx="205">
                  <c:v>国際日本文化研究センター</c:v>
                </c:pt>
                <c:pt idx="206">
                  <c:v>福武書店</c:v>
                </c:pt>
                <c:pt idx="207">
                  <c:v>国際日本文化研究センター ^ 第1集 (平成元年 5月 [May 1989])-</c:v>
                </c:pt>
                <c:pt idx="208">
                  <c:v>白泉社</c:v>
                </c:pt>
                <c:pt idx="209">
                  <c:v>徳間書店</c:v>
                </c:pt>
                <c:pt idx="210">
                  <c:v>三省堂</c:v>
                </c:pt>
                <c:pt idx="211">
                  <c:v>大修館</c:v>
                </c:pt>
                <c:pt idx="212">
                  <c:v>「現点」の会</c:v>
                </c:pt>
                <c:pt idx="213">
                  <c:v>朝日新聞社</c:v>
                </c:pt>
                <c:pt idx="214">
                  <c:v>審美社</c:v>
                </c:pt>
                <c:pt idx="215">
                  <c:v>アルク</c:v>
                </c:pt>
                <c:pt idx="216">
                  <c:v>前衛出版社</c:v>
                </c:pt>
                <c:pt idx="217">
                  <c:v>荒竹出版</c:v>
                </c:pt>
                <c:pt idx="218">
                  <c:v>大修館書店</c:v>
                </c:pt>
                <c:pt idx="219">
                  <c:v>國立政治大學中國文學系 ^ 第1期-</c:v>
                </c:pt>
                <c:pt idx="220">
                  <c:v>せらび書房 ^ 創刊号 (Jun. 1991)-</c:v>
                </c:pt>
                <c:pt idx="221">
                  <c:v>文藝春秋</c:v>
                </c:pt>
                <c:pt idx="222">
                  <c:v>童音社</c:v>
                </c:pt>
                <c:pt idx="223">
                  <c:v>中央公論社</c:v>
                </c:pt>
                <c:pt idx="224">
                  <c:v>筑摩書房</c:v>
                </c:pt>
                <c:pt idx="225">
                  <c:v>國立文化資產保存硏究中心籌備處</c:v>
                </c:pt>
                <c:pt idx="226">
                  <c:v>学習研究社</c:v>
                </c:pt>
                <c:pt idx="227">
                  <c:v>河出書房新社</c:v>
                </c:pt>
                <c:pt idx="228">
                  <c:v>集英社</c:v>
                </c:pt>
                <c:pt idx="229">
                  <c:v>TBSブリタニカ</c:v>
                </c:pt>
                <c:pt idx="230">
                  <c:v>小学館</c:v>
                </c:pt>
                <c:pt idx="231">
                  <c:v>角川書店</c:v>
                </c:pt>
                <c:pt idx="232">
                  <c:v>凡人社</c:v>
                </c:pt>
                <c:pt idx="233">
                  <c:v>學燈社</c:v>
                </c:pt>
                <c:pt idx="234">
                  <c:v>新潮社</c:v>
                </c:pt>
                <c:pt idx="235">
                  <c:v>岩波書店</c:v>
                </c:pt>
                <c:pt idx="236">
                  <c:v>講談社</c:v>
                </c:pt>
              </c:strCache>
            </c:strRef>
          </c:cat>
          <c:val>
            <c:numRef>
              <c:f>Publisher!$O$3:$O$240</c:f>
              <c:numCache>
                <c:formatCode>General</c:formatCode>
                <c:ptCount val="237"/>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2</c:v>
                </c:pt>
                <c:pt idx="168">
                  <c:v>2</c:v>
                </c:pt>
                <c:pt idx="169">
                  <c:v>2</c:v>
                </c:pt>
                <c:pt idx="170">
                  <c:v>2</c:v>
                </c:pt>
                <c:pt idx="171">
                  <c:v>2</c:v>
                </c:pt>
                <c:pt idx="172">
                  <c:v>2</c:v>
                </c:pt>
                <c:pt idx="173">
                  <c:v>2</c:v>
                </c:pt>
                <c:pt idx="174">
                  <c:v>2</c:v>
                </c:pt>
                <c:pt idx="175">
                  <c:v>2</c:v>
                </c:pt>
                <c:pt idx="176">
                  <c:v>2</c:v>
                </c:pt>
                <c:pt idx="177">
                  <c:v>2</c:v>
                </c:pt>
                <c:pt idx="178">
                  <c:v>2</c:v>
                </c:pt>
                <c:pt idx="179">
                  <c:v>2</c:v>
                </c:pt>
                <c:pt idx="180">
                  <c:v>2</c:v>
                </c:pt>
                <c:pt idx="181">
                  <c:v>2</c:v>
                </c:pt>
                <c:pt idx="182">
                  <c:v>2</c:v>
                </c:pt>
                <c:pt idx="183">
                  <c:v>2</c:v>
                </c:pt>
                <c:pt idx="184">
                  <c:v>2</c:v>
                </c:pt>
                <c:pt idx="185">
                  <c:v>2</c:v>
                </c:pt>
                <c:pt idx="186">
                  <c:v>2</c:v>
                </c:pt>
                <c:pt idx="187">
                  <c:v>2</c:v>
                </c:pt>
                <c:pt idx="188">
                  <c:v>2</c:v>
                </c:pt>
                <c:pt idx="189">
                  <c:v>2</c:v>
                </c:pt>
                <c:pt idx="190">
                  <c:v>2</c:v>
                </c:pt>
                <c:pt idx="191">
                  <c:v>2</c:v>
                </c:pt>
                <c:pt idx="192">
                  <c:v>2</c:v>
                </c:pt>
                <c:pt idx="193">
                  <c:v>2</c:v>
                </c:pt>
                <c:pt idx="194">
                  <c:v>2</c:v>
                </c:pt>
                <c:pt idx="195">
                  <c:v>2</c:v>
                </c:pt>
                <c:pt idx="196">
                  <c:v>2</c:v>
                </c:pt>
                <c:pt idx="197">
                  <c:v>3</c:v>
                </c:pt>
                <c:pt idx="198">
                  <c:v>3</c:v>
                </c:pt>
                <c:pt idx="199">
                  <c:v>3</c:v>
                </c:pt>
                <c:pt idx="200">
                  <c:v>3</c:v>
                </c:pt>
                <c:pt idx="201">
                  <c:v>3</c:v>
                </c:pt>
                <c:pt idx="202">
                  <c:v>3</c:v>
                </c:pt>
                <c:pt idx="203">
                  <c:v>3</c:v>
                </c:pt>
                <c:pt idx="204">
                  <c:v>4</c:v>
                </c:pt>
                <c:pt idx="205">
                  <c:v>4</c:v>
                </c:pt>
                <c:pt idx="206">
                  <c:v>5</c:v>
                </c:pt>
                <c:pt idx="207">
                  <c:v>5</c:v>
                </c:pt>
                <c:pt idx="208">
                  <c:v>5</c:v>
                </c:pt>
                <c:pt idx="209">
                  <c:v>5</c:v>
                </c:pt>
                <c:pt idx="210">
                  <c:v>5</c:v>
                </c:pt>
                <c:pt idx="211">
                  <c:v>6</c:v>
                </c:pt>
                <c:pt idx="212">
                  <c:v>7</c:v>
                </c:pt>
                <c:pt idx="213">
                  <c:v>7</c:v>
                </c:pt>
                <c:pt idx="214">
                  <c:v>8</c:v>
                </c:pt>
                <c:pt idx="215">
                  <c:v>9</c:v>
                </c:pt>
                <c:pt idx="216">
                  <c:v>10</c:v>
                </c:pt>
                <c:pt idx="217">
                  <c:v>10</c:v>
                </c:pt>
                <c:pt idx="218">
                  <c:v>10</c:v>
                </c:pt>
                <c:pt idx="219">
                  <c:v>10</c:v>
                </c:pt>
                <c:pt idx="220">
                  <c:v>11</c:v>
                </c:pt>
                <c:pt idx="221">
                  <c:v>12</c:v>
                </c:pt>
                <c:pt idx="222">
                  <c:v>12</c:v>
                </c:pt>
                <c:pt idx="223">
                  <c:v>12</c:v>
                </c:pt>
                <c:pt idx="224">
                  <c:v>14</c:v>
                </c:pt>
                <c:pt idx="225">
                  <c:v>14</c:v>
                </c:pt>
                <c:pt idx="226">
                  <c:v>15</c:v>
                </c:pt>
                <c:pt idx="227">
                  <c:v>17</c:v>
                </c:pt>
                <c:pt idx="228">
                  <c:v>19</c:v>
                </c:pt>
                <c:pt idx="229">
                  <c:v>22</c:v>
                </c:pt>
                <c:pt idx="230">
                  <c:v>24</c:v>
                </c:pt>
                <c:pt idx="231">
                  <c:v>26</c:v>
                </c:pt>
                <c:pt idx="232">
                  <c:v>30</c:v>
                </c:pt>
                <c:pt idx="233">
                  <c:v>33</c:v>
                </c:pt>
                <c:pt idx="234">
                  <c:v>52</c:v>
                </c:pt>
                <c:pt idx="235">
                  <c:v>57</c:v>
                </c:pt>
                <c:pt idx="236">
                  <c:v>83</c:v>
                </c:pt>
              </c:numCache>
            </c:numRef>
          </c:val>
          <c:extLst>
            <c:ext xmlns:c16="http://schemas.microsoft.com/office/drawing/2014/chart" uri="{C3380CC4-5D6E-409C-BE32-E72D297353CC}">
              <c16:uniqueId val="{00000000-1D68-4079-AC6E-B5E1A0990015}"/>
            </c:ext>
          </c:extLst>
        </c:ser>
        <c:dLbls>
          <c:dLblPos val="outEnd"/>
          <c:showLegendKey val="0"/>
          <c:showVal val="1"/>
          <c:showCatName val="0"/>
          <c:showSerName val="0"/>
          <c:showPercent val="0"/>
          <c:showBubbleSize val="0"/>
        </c:dLbls>
        <c:gapWidth val="182"/>
        <c:axId val="766348335"/>
        <c:axId val="766345935"/>
      </c:barChart>
      <c:catAx>
        <c:axId val="766348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345935"/>
        <c:crosses val="autoZero"/>
        <c:auto val="1"/>
        <c:lblAlgn val="ctr"/>
        <c:lblOffset val="100"/>
        <c:noMultiLvlLbl val="0"/>
      </c:catAx>
      <c:valAx>
        <c:axId val="7663459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6348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[Donation - Donation Name - Template.xlsm]Date!Date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Date of Publication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Date!$B$2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Date!$A$3:$A$129</c:f>
              <c:strCache>
                <c:ptCount val="127"/>
                <c:pt idx="0">
                  <c:v>1899-1998</c:v>
                </c:pt>
                <c:pt idx="1">
                  <c:v>19??</c:v>
                </c:pt>
                <c:pt idx="2">
                  <c:v>1904</c:v>
                </c:pt>
                <c:pt idx="3">
                  <c:v>1919</c:v>
                </c:pt>
                <c:pt idx="4">
                  <c:v>1923</c:v>
                </c:pt>
                <c:pt idx="5">
                  <c:v>1930</c:v>
                </c:pt>
                <c:pt idx="6">
                  <c:v>1931</c:v>
                </c:pt>
                <c:pt idx="7">
                  <c:v>1935</c:v>
                </c:pt>
                <c:pt idx="8">
                  <c:v>1946</c:v>
                </c:pt>
                <c:pt idx="9">
                  <c:v>1946-2004</c:v>
                </c:pt>
                <c:pt idx="10">
                  <c:v>1947</c:v>
                </c:pt>
                <c:pt idx="11">
                  <c:v>1948</c:v>
                </c:pt>
                <c:pt idx="12">
                  <c:v>1949</c:v>
                </c:pt>
                <c:pt idx="13">
                  <c:v>1949-?</c:v>
                </c:pt>
                <c:pt idx="14">
                  <c:v>1950</c:v>
                </c:pt>
                <c:pt idx="15">
                  <c:v>1952</c:v>
                </c:pt>
                <c:pt idx="16">
                  <c:v>1954</c:v>
                </c:pt>
                <c:pt idx="17">
                  <c:v>1955</c:v>
                </c:pt>
                <c:pt idx="18">
                  <c:v>1955-1960</c:v>
                </c:pt>
                <c:pt idx="19">
                  <c:v>1956</c:v>
                </c:pt>
                <c:pt idx="20">
                  <c:v>1956-2009</c:v>
                </c:pt>
                <c:pt idx="21">
                  <c:v>1957</c:v>
                </c:pt>
                <c:pt idx="22">
                  <c:v>1957-1962</c:v>
                </c:pt>
                <c:pt idx="23">
                  <c:v>1957-2019</c:v>
                </c:pt>
                <c:pt idx="24">
                  <c:v>1958</c:v>
                </c:pt>
                <c:pt idx="25">
                  <c:v>1958-1963</c:v>
                </c:pt>
                <c:pt idx="26">
                  <c:v>1959</c:v>
                </c:pt>
                <c:pt idx="27">
                  <c:v>1959-1960</c:v>
                </c:pt>
                <c:pt idx="28">
                  <c:v>1959-1962</c:v>
                </c:pt>
                <c:pt idx="29">
                  <c:v>1959-1963</c:v>
                </c:pt>
                <c:pt idx="30">
                  <c:v>1959-1965</c:v>
                </c:pt>
                <c:pt idx="31">
                  <c:v>1960</c:v>
                </c:pt>
                <c:pt idx="32">
                  <c:v>1960-1961</c:v>
                </c:pt>
                <c:pt idx="33">
                  <c:v>1960-1962</c:v>
                </c:pt>
                <c:pt idx="34">
                  <c:v>1960-1963</c:v>
                </c:pt>
                <c:pt idx="35">
                  <c:v>1961</c:v>
                </c:pt>
                <c:pt idx="36">
                  <c:v>1962</c:v>
                </c:pt>
                <c:pt idx="37">
                  <c:v>1962-1963</c:v>
                </c:pt>
                <c:pt idx="38">
                  <c:v>1963</c:v>
                </c:pt>
                <c:pt idx="39">
                  <c:v>1963-2011</c:v>
                </c:pt>
                <c:pt idx="40">
                  <c:v>1964</c:v>
                </c:pt>
                <c:pt idx="41">
                  <c:v>1965</c:v>
                </c:pt>
                <c:pt idx="42">
                  <c:v>1965-1966</c:v>
                </c:pt>
                <c:pt idx="43">
                  <c:v>1965-1971</c:v>
                </c:pt>
                <c:pt idx="44">
                  <c:v>1966</c:v>
                </c:pt>
                <c:pt idx="45">
                  <c:v>1967</c:v>
                </c:pt>
                <c:pt idx="46">
                  <c:v>1968</c:v>
                </c:pt>
                <c:pt idx="47">
                  <c:v>1969</c:v>
                </c:pt>
                <c:pt idx="48">
                  <c:v>1969-1972</c:v>
                </c:pt>
                <c:pt idx="49">
                  <c:v>1970</c:v>
                </c:pt>
                <c:pt idx="50">
                  <c:v>1970-1977</c:v>
                </c:pt>
                <c:pt idx="51">
                  <c:v>1971</c:v>
                </c:pt>
                <c:pt idx="52">
                  <c:v>1971-1987</c:v>
                </c:pt>
                <c:pt idx="53">
                  <c:v>1972</c:v>
                </c:pt>
                <c:pt idx="54">
                  <c:v>1973</c:v>
                </c:pt>
                <c:pt idx="55">
                  <c:v>1974</c:v>
                </c:pt>
                <c:pt idx="56">
                  <c:v>1975</c:v>
                </c:pt>
                <c:pt idx="57">
                  <c:v>1975-1976</c:v>
                </c:pt>
                <c:pt idx="58">
                  <c:v>1975-1977</c:v>
                </c:pt>
                <c:pt idx="59">
                  <c:v>1976</c:v>
                </c:pt>
                <c:pt idx="60">
                  <c:v>1976-1982</c:v>
                </c:pt>
                <c:pt idx="61">
                  <c:v>1977</c:v>
                </c:pt>
                <c:pt idx="62">
                  <c:v>1977-</c:v>
                </c:pt>
                <c:pt idx="63">
                  <c:v>1977-1984</c:v>
                </c:pt>
                <c:pt idx="64">
                  <c:v>1978</c:v>
                </c:pt>
                <c:pt idx="65">
                  <c:v>1978-1981</c:v>
                </c:pt>
                <c:pt idx="66">
                  <c:v>1979</c:v>
                </c:pt>
                <c:pt idx="67">
                  <c:v>1979-1984</c:v>
                </c:pt>
                <c:pt idx="68">
                  <c:v>1980</c:v>
                </c:pt>
                <c:pt idx="69">
                  <c:v>1980-1983</c:v>
                </c:pt>
                <c:pt idx="70">
                  <c:v>1981</c:v>
                </c:pt>
                <c:pt idx="71">
                  <c:v>1982</c:v>
                </c:pt>
                <c:pt idx="72">
                  <c:v>1982-1983</c:v>
                </c:pt>
                <c:pt idx="73">
                  <c:v>1982-1996</c:v>
                </c:pt>
                <c:pt idx="74">
                  <c:v>1983</c:v>
                </c:pt>
                <c:pt idx="75">
                  <c:v>1984</c:v>
                </c:pt>
                <c:pt idx="76">
                  <c:v>1984-1985</c:v>
                </c:pt>
                <c:pt idx="77">
                  <c:v>1985</c:v>
                </c:pt>
                <c:pt idx="78">
                  <c:v>1986</c:v>
                </c:pt>
                <c:pt idx="79">
                  <c:v>1986-1990</c:v>
                </c:pt>
                <c:pt idx="80">
                  <c:v>1987</c:v>
                </c:pt>
                <c:pt idx="81">
                  <c:v>1987-</c:v>
                </c:pt>
                <c:pt idx="82">
                  <c:v>1987-1990</c:v>
                </c:pt>
                <c:pt idx="83">
                  <c:v>1988</c:v>
                </c:pt>
                <c:pt idx="84">
                  <c:v>1988-</c:v>
                </c:pt>
                <c:pt idx="85">
                  <c:v>1988-1990</c:v>
                </c:pt>
                <c:pt idx="86">
                  <c:v>1988-2000</c:v>
                </c:pt>
                <c:pt idx="87">
                  <c:v>1989</c:v>
                </c:pt>
                <c:pt idx="88">
                  <c:v>1989-2005</c:v>
                </c:pt>
                <c:pt idx="89">
                  <c:v>1990</c:v>
                </c:pt>
                <c:pt idx="90">
                  <c:v>1990-1994?</c:v>
                </c:pt>
                <c:pt idx="91">
                  <c:v>1991</c:v>
                </c:pt>
                <c:pt idx="92">
                  <c:v>1992</c:v>
                </c:pt>
                <c:pt idx="93">
                  <c:v>1992-2006</c:v>
                </c:pt>
                <c:pt idx="94">
                  <c:v>1993</c:v>
                </c:pt>
                <c:pt idx="95">
                  <c:v>1994</c:v>
                </c:pt>
                <c:pt idx="96">
                  <c:v>1995</c:v>
                </c:pt>
                <c:pt idx="97">
                  <c:v>1996</c:v>
                </c:pt>
                <c:pt idx="98">
                  <c:v>1996-2005</c:v>
                </c:pt>
                <c:pt idx="99">
                  <c:v>1997</c:v>
                </c:pt>
                <c:pt idx="100">
                  <c:v>1997-2024</c:v>
                </c:pt>
                <c:pt idx="101">
                  <c:v>1998</c:v>
                </c:pt>
                <c:pt idx="102">
                  <c:v>1998-2001</c:v>
                </c:pt>
                <c:pt idx="103">
                  <c:v>1999</c:v>
                </c:pt>
                <c:pt idx="104">
                  <c:v>2000</c:v>
                </c:pt>
                <c:pt idx="105">
                  <c:v>2000-2013</c:v>
                </c:pt>
                <c:pt idx="106">
                  <c:v>2001</c:v>
                </c:pt>
                <c:pt idx="107">
                  <c:v>2002</c:v>
                </c:pt>
                <c:pt idx="108">
                  <c:v>2003</c:v>
                </c:pt>
                <c:pt idx="109">
                  <c:v>2003-2007</c:v>
                </c:pt>
                <c:pt idx="110">
                  <c:v>2004</c:v>
                </c:pt>
                <c:pt idx="111">
                  <c:v>2005</c:v>
                </c:pt>
                <c:pt idx="112">
                  <c:v>2005-2007</c:v>
                </c:pt>
                <c:pt idx="113">
                  <c:v>2006</c:v>
                </c:pt>
                <c:pt idx="114">
                  <c:v>2007</c:v>
                </c:pt>
                <c:pt idx="115">
                  <c:v>2008</c:v>
                </c:pt>
                <c:pt idx="116">
                  <c:v>2009</c:v>
                </c:pt>
                <c:pt idx="117">
                  <c:v>2010</c:v>
                </c:pt>
                <c:pt idx="118">
                  <c:v>2011</c:v>
                </c:pt>
                <c:pt idx="119">
                  <c:v>2012</c:v>
                </c:pt>
                <c:pt idx="120">
                  <c:v>2013</c:v>
                </c:pt>
                <c:pt idx="121">
                  <c:v>2014</c:v>
                </c:pt>
                <c:pt idx="122">
                  <c:v>2015</c:v>
                </c:pt>
                <c:pt idx="123">
                  <c:v>2016</c:v>
                </c:pt>
                <c:pt idx="124">
                  <c:v>2017</c:v>
                </c:pt>
                <c:pt idx="125">
                  <c:v>2019</c:v>
                </c:pt>
                <c:pt idx="126">
                  <c:v>(blank)</c:v>
                </c:pt>
              </c:strCache>
            </c:strRef>
          </c:cat>
          <c:val>
            <c:numRef>
              <c:f>Date!$B$3:$B$129</c:f>
              <c:numCache>
                <c:formatCode>General</c:formatCode>
                <c:ptCount val="127"/>
                <c:pt idx="0">
                  <c:v>9</c:v>
                </c:pt>
                <c:pt idx="1">
                  <c:v>12</c:v>
                </c:pt>
                <c:pt idx="2">
                  <c:v>3</c:v>
                </c:pt>
                <c:pt idx="3">
                  <c:v>2</c:v>
                </c:pt>
                <c:pt idx="4">
                  <c:v>1</c:v>
                </c:pt>
                <c:pt idx="5">
                  <c:v>1</c:v>
                </c:pt>
                <c:pt idx="6">
                  <c:v>2</c:v>
                </c:pt>
                <c:pt idx="7">
                  <c:v>1</c:v>
                </c:pt>
                <c:pt idx="8">
                  <c:v>1</c:v>
                </c:pt>
                <c:pt idx="9">
                  <c:v>1</c:v>
                </c:pt>
                <c:pt idx="10">
                  <c:v>3</c:v>
                </c:pt>
                <c:pt idx="11">
                  <c:v>1</c:v>
                </c:pt>
                <c:pt idx="12">
                  <c:v>1</c:v>
                </c:pt>
                <c:pt idx="13">
                  <c:v>1</c:v>
                </c:pt>
                <c:pt idx="14">
                  <c:v>3</c:v>
                </c:pt>
                <c:pt idx="15">
                  <c:v>3</c:v>
                </c:pt>
                <c:pt idx="16">
                  <c:v>4</c:v>
                </c:pt>
                <c:pt idx="17">
                  <c:v>8</c:v>
                </c:pt>
                <c:pt idx="18">
                  <c:v>1</c:v>
                </c:pt>
                <c:pt idx="19">
                  <c:v>6</c:v>
                </c:pt>
                <c:pt idx="20">
                  <c:v>32</c:v>
                </c:pt>
                <c:pt idx="21">
                  <c:v>4</c:v>
                </c:pt>
                <c:pt idx="22">
                  <c:v>4</c:v>
                </c:pt>
                <c:pt idx="23">
                  <c:v>1</c:v>
                </c:pt>
                <c:pt idx="24">
                  <c:v>9</c:v>
                </c:pt>
                <c:pt idx="25">
                  <c:v>4</c:v>
                </c:pt>
                <c:pt idx="26">
                  <c:v>4</c:v>
                </c:pt>
                <c:pt idx="27">
                  <c:v>2</c:v>
                </c:pt>
                <c:pt idx="28">
                  <c:v>3</c:v>
                </c:pt>
                <c:pt idx="29">
                  <c:v>5</c:v>
                </c:pt>
                <c:pt idx="30">
                  <c:v>3</c:v>
                </c:pt>
                <c:pt idx="31">
                  <c:v>9</c:v>
                </c:pt>
                <c:pt idx="32">
                  <c:v>2</c:v>
                </c:pt>
                <c:pt idx="33">
                  <c:v>2</c:v>
                </c:pt>
                <c:pt idx="34">
                  <c:v>2</c:v>
                </c:pt>
                <c:pt idx="35">
                  <c:v>8</c:v>
                </c:pt>
                <c:pt idx="36">
                  <c:v>10</c:v>
                </c:pt>
                <c:pt idx="37">
                  <c:v>1</c:v>
                </c:pt>
                <c:pt idx="38">
                  <c:v>7</c:v>
                </c:pt>
                <c:pt idx="39">
                  <c:v>1</c:v>
                </c:pt>
                <c:pt idx="40">
                  <c:v>5</c:v>
                </c:pt>
                <c:pt idx="41">
                  <c:v>7</c:v>
                </c:pt>
                <c:pt idx="42">
                  <c:v>1</c:v>
                </c:pt>
                <c:pt idx="43">
                  <c:v>8</c:v>
                </c:pt>
                <c:pt idx="44">
                  <c:v>6</c:v>
                </c:pt>
                <c:pt idx="45">
                  <c:v>8</c:v>
                </c:pt>
                <c:pt idx="46">
                  <c:v>11</c:v>
                </c:pt>
                <c:pt idx="47">
                  <c:v>13</c:v>
                </c:pt>
                <c:pt idx="48">
                  <c:v>8</c:v>
                </c:pt>
                <c:pt idx="49">
                  <c:v>13</c:v>
                </c:pt>
                <c:pt idx="50">
                  <c:v>1</c:v>
                </c:pt>
                <c:pt idx="51">
                  <c:v>10</c:v>
                </c:pt>
                <c:pt idx="52">
                  <c:v>1</c:v>
                </c:pt>
                <c:pt idx="53">
                  <c:v>10</c:v>
                </c:pt>
                <c:pt idx="54">
                  <c:v>21</c:v>
                </c:pt>
                <c:pt idx="55">
                  <c:v>26</c:v>
                </c:pt>
                <c:pt idx="56">
                  <c:v>17</c:v>
                </c:pt>
                <c:pt idx="57">
                  <c:v>12</c:v>
                </c:pt>
                <c:pt idx="58">
                  <c:v>1</c:v>
                </c:pt>
                <c:pt idx="59">
                  <c:v>16</c:v>
                </c:pt>
                <c:pt idx="60">
                  <c:v>2</c:v>
                </c:pt>
                <c:pt idx="61">
                  <c:v>21</c:v>
                </c:pt>
                <c:pt idx="62">
                  <c:v>1</c:v>
                </c:pt>
                <c:pt idx="63">
                  <c:v>2</c:v>
                </c:pt>
                <c:pt idx="64">
                  <c:v>19</c:v>
                </c:pt>
                <c:pt idx="65">
                  <c:v>1</c:v>
                </c:pt>
                <c:pt idx="66">
                  <c:v>23</c:v>
                </c:pt>
                <c:pt idx="67">
                  <c:v>9</c:v>
                </c:pt>
                <c:pt idx="68">
                  <c:v>19</c:v>
                </c:pt>
                <c:pt idx="69">
                  <c:v>15</c:v>
                </c:pt>
                <c:pt idx="70">
                  <c:v>18</c:v>
                </c:pt>
                <c:pt idx="71">
                  <c:v>17</c:v>
                </c:pt>
                <c:pt idx="72">
                  <c:v>5</c:v>
                </c:pt>
                <c:pt idx="73">
                  <c:v>2</c:v>
                </c:pt>
                <c:pt idx="74">
                  <c:v>23</c:v>
                </c:pt>
                <c:pt idx="75">
                  <c:v>20</c:v>
                </c:pt>
                <c:pt idx="76">
                  <c:v>1</c:v>
                </c:pt>
                <c:pt idx="77">
                  <c:v>13</c:v>
                </c:pt>
                <c:pt idx="78">
                  <c:v>19</c:v>
                </c:pt>
                <c:pt idx="79">
                  <c:v>1</c:v>
                </c:pt>
                <c:pt idx="80">
                  <c:v>25</c:v>
                </c:pt>
                <c:pt idx="81">
                  <c:v>2</c:v>
                </c:pt>
                <c:pt idx="82">
                  <c:v>1</c:v>
                </c:pt>
                <c:pt idx="83">
                  <c:v>21</c:v>
                </c:pt>
                <c:pt idx="84">
                  <c:v>3</c:v>
                </c:pt>
                <c:pt idx="85">
                  <c:v>1</c:v>
                </c:pt>
                <c:pt idx="86">
                  <c:v>1</c:v>
                </c:pt>
                <c:pt idx="87">
                  <c:v>38</c:v>
                </c:pt>
                <c:pt idx="88">
                  <c:v>2</c:v>
                </c:pt>
                <c:pt idx="89">
                  <c:v>37</c:v>
                </c:pt>
                <c:pt idx="90">
                  <c:v>1</c:v>
                </c:pt>
                <c:pt idx="91">
                  <c:v>69</c:v>
                </c:pt>
                <c:pt idx="92">
                  <c:v>41</c:v>
                </c:pt>
                <c:pt idx="93">
                  <c:v>1</c:v>
                </c:pt>
                <c:pt idx="94">
                  <c:v>24</c:v>
                </c:pt>
                <c:pt idx="95">
                  <c:v>14</c:v>
                </c:pt>
                <c:pt idx="96">
                  <c:v>23</c:v>
                </c:pt>
                <c:pt idx="97">
                  <c:v>22</c:v>
                </c:pt>
                <c:pt idx="98">
                  <c:v>1</c:v>
                </c:pt>
                <c:pt idx="99">
                  <c:v>22</c:v>
                </c:pt>
                <c:pt idx="100">
                  <c:v>1</c:v>
                </c:pt>
                <c:pt idx="101">
                  <c:v>42</c:v>
                </c:pt>
                <c:pt idx="102">
                  <c:v>14</c:v>
                </c:pt>
                <c:pt idx="103">
                  <c:v>15</c:v>
                </c:pt>
                <c:pt idx="104">
                  <c:v>47</c:v>
                </c:pt>
                <c:pt idx="105">
                  <c:v>6</c:v>
                </c:pt>
                <c:pt idx="106">
                  <c:v>12</c:v>
                </c:pt>
                <c:pt idx="107">
                  <c:v>19</c:v>
                </c:pt>
                <c:pt idx="108">
                  <c:v>12</c:v>
                </c:pt>
                <c:pt idx="109">
                  <c:v>2</c:v>
                </c:pt>
                <c:pt idx="110">
                  <c:v>13</c:v>
                </c:pt>
                <c:pt idx="111">
                  <c:v>17</c:v>
                </c:pt>
                <c:pt idx="112">
                  <c:v>1</c:v>
                </c:pt>
                <c:pt idx="113">
                  <c:v>6</c:v>
                </c:pt>
                <c:pt idx="114">
                  <c:v>6</c:v>
                </c:pt>
                <c:pt idx="115">
                  <c:v>6</c:v>
                </c:pt>
                <c:pt idx="116">
                  <c:v>6</c:v>
                </c:pt>
                <c:pt idx="117">
                  <c:v>3</c:v>
                </c:pt>
                <c:pt idx="118">
                  <c:v>9</c:v>
                </c:pt>
                <c:pt idx="119">
                  <c:v>5</c:v>
                </c:pt>
                <c:pt idx="120">
                  <c:v>1</c:v>
                </c:pt>
                <c:pt idx="121">
                  <c:v>7</c:v>
                </c:pt>
                <c:pt idx="122">
                  <c:v>4</c:v>
                </c:pt>
                <c:pt idx="123">
                  <c:v>3</c:v>
                </c:pt>
                <c:pt idx="124">
                  <c:v>1</c:v>
                </c:pt>
                <c:pt idx="125">
                  <c:v>3</c:v>
                </c:pt>
                <c:pt idx="126">
                  <c:v>0</c:v>
                </c:pt>
              </c:numCache>
            </c:numRef>
          </c:val>
          <c:extLst>
            <c:ext xmlns:c16="http://schemas.microsoft.com/office/drawing/2014/chart" uri="{C3380CC4-5D6E-409C-BE32-E72D297353CC}">
              <c16:uniqueId val="{00000000-3909-4860-8C75-64F7E76A0890}"/>
            </c:ext>
          </c:extLst>
        </c:ser>
        <c:dLbls>
          <c:dLblPos val="outEnd"/>
          <c:showLegendKey val="0"/>
          <c:showVal val="1"/>
          <c:showCatName val="0"/>
          <c:showSerName val="0"/>
          <c:showPercent val="0"/>
          <c:showBubbleSize val="0"/>
        </c:dLbls>
        <c:gapWidth val="182"/>
        <c:axId val="162410015"/>
        <c:axId val="162411935"/>
      </c:barChart>
      <c:catAx>
        <c:axId val="1624100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411935"/>
        <c:crosses val="autoZero"/>
        <c:auto val="1"/>
        <c:lblAlgn val="ctr"/>
        <c:lblOffset val="100"/>
        <c:noMultiLvlLbl val="0"/>
      </c:catAx>
      <c:valAx>
        <c:axId val="1624119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410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552450</xdr:colOff>
          <xdr:row>0</xdr:row>
          <xdr:rowOff>133350</xdr:rowOff>
        </xdr:from>
        <xdr:to>
          <xdr:col>34</xdr:col>
          <xdr:colOff>923925</xdr:colOff>
          <xdr:row>1</xdr:row>
          <xdr:rowOff>123825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Formatting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0</xdr:row>
          <xdr:rowOff>133350</xdr:rowOff>
        </xdr:from>
        <xdr:to>
          <xdr:col>11</xdr:col>
          <xdr:colOff>19050</xdr:colOff>
          <xdr:row>1</xdr:row>
          <xdr:rowOff>123825</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000-000009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Make Slips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0</xdr:colOff>
      <xdr:row>3</xdr:row>
      <xdr:rowOff>1</xdr:rowOff>
    </xdr:from>
    <xdr:to>
      <xdr:col>11</xdr:col>
      <xdr:colOff>0</xdr:colOff>
      <xdr:row>21</xdr:row>
      <xdr:rowOff>149138</xdr:rowOff>
    </xdr:to>
    <xdr:graphicFrame macro="">
      <xdr:nvGraphicFramePr>
        <xdr:cNvPr id="2" name="Assign">
          <a:extLst>
            <a:ext uri="{FF2B5EF4-FFF2-40B4-BE49-F238E27FC236}">
              <a16:creationId xmlns:a16="http://schemas.microsoft.com/office/drawing/2014/main" id="{0201CBCD-7B04-496C-B994-0C8364E938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0</xdr:colOff>
          <xdr:row>1</xdr:row>
          <xdr:rowOff>238125</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300-000001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9525</xdr:rowOff>
        </xdr:from>
        <xdr:to>
          <xdr:col>7</xdr:col>
          <xdr:colOff>0</xdr:colOff>
          <xdr:row>2</xdr:row>
          <xdr:rowOff>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300-000002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9525</xdr:rowOff>
        </xdr:from>
        <xdr:to>
          <xdr:col>9</xdr:col>
          <xdr:colOff>0</xdr:colOff>
          <xdr:row>2</xdr:row>
          <xdr:rowOff>0</xdr:rowOff>
        </xdr:to>
        <xdr:sp macro="" textlink="">
          <xdr:nvSpPr>
            <xdr:cNvPr id="40963" name="Button 3" hidden="1">
              <a:extLst>
                <a:ext uri="{63B3BB69-23CF-44E3-9099-C40C66FF867C}">
                  <a14:compatExt spid="_x0000_s40963"/>
                </a:ext>
                <a:ext uri="{FF2B5EF4-FFF2-40B4-BE49-F238E27FC236}">
                  <a16:creationId xmlns:a16="http://schemas.microsoft.com/office/drawing/2014/main" id="{00000000-0008-0000-0300-000003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Contract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0</xdr:colOff>
      <xdr:row>2</xdr:row>
      <xdr:rowOff>190495</xdr:rowOff>
    </xdr:from>
    <xdr:to>
      <xdr:col>13</xdr:col>
      <xdr:colOff>0</xdr:colOff>
      <xdr:row>199</xdr:row>
      <xdr:rowOff>104231</xdr:rowOff>
    </xdr:to>
    <xdr:graphicFrame macro="">
      <xdr:nvGraphicFramePr>
        <xdr:cNvPr id="2" name="SeriesRE">
          <a:extLst>
            <a:ext uri="{FF2B5EF4-FFF2-40B4-BE49-F238E27FC236}">
              <a16:creationId xmlns:a16="http://schemas.microsoft.com/office/drawing/2014/main" id="{0FD4A1CA-AC13-5799-5100-0D7F54F5D8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0</xdr:colOff>
          <xdr:row>1</xdr:row>
          <xdr:rowOff>238125</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4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9525</xdr:rowOff>
        </xdr:from>
        <xdr:to>
          <xdr:col>7</xdr:col>
          <xdr:colOff>0</xdr:colOff>
          <xdr:row>2</xdr:row>
          <xdr:rowOff>0</xdr:rowOff>
        </xdr:to>
        <xdr:sp macro="" textlink="">
          <xdr:nvSpPr>
            <xdr:cNvPr id="36867" name="Button 3" hidden="1">
              <a:extLst>
                <a:ext uri="{63B3BB69-23CF-44E3-9099-C40C66FF867C}">
                  <a14:compatExt spid="_x0000_s36867"/>
                </a:ext>
                <a:ext uri="{FF2B5EF4-FFF2-40B4-BE49-F238E27FC236}">
                  <a16:creationId xmlns:a16="http://schemas.microsoft.com/office/drawing/2014/main" id="{00000000-0008-0000-0400-000003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9525</xdr:rowOff>
        </xdr:from>
        <xdr:to>
          <xdr:col>9</xdr:col>
          <xdr:colOff>0</xdr:colOff>
          <xdr:row>2</xdr:row>
          <xdr:rowOff>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04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Contract</a:t>
              </a:r>
            </a:p>
          </xdr:txBody>
        </xdr:sp>
        <xdr:clientData fPrintsWithSheet="0"/>
      </xdr:twoCellAnchor>
    </mc:Choice>
    <mc:Fallback/>
  </mc:AlternateContent>
  <xdr:twoCellAnchor>
    <xdr:from>
      <xdr:col>18</xdr:col>
      <xdr:colOff>0</xdr:colOff>
      <xdr:row>2</xdr:row>
      <xdr:rowOff>190494</xdr:rowOff>
    </xdr:from>
    <xdr:to>
      <xdr:col>28</xdr:col>
      <xdr:colOff>0</xdr:colOff>
      <xdr:row>137</xdr:row>
      <xdr:rowOff>59934</xdr:rowOff>
    </xdr:to>
    <xdr:graphicFrame macro="">
      <xdr:nvGraphicFramePr>
        <xdr:cNvPr id="3" name="SeriesN">
          <a:extLst>
            <a:ext uri="{FF2B5EF4-FFF2-40B4-BE49-F238E27FC236}">
              <a16:creationId xmlns:a16="http://schemas.microsoft.com/office/drawing/2014/main" id="{C4729DF1-8205-5819-7F8E-6688E44764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0</xdr:colOff>
          <xdr:row>1</xdr:row>
          <xdr:rowOff>0</xdr:rowOff>
        </xdr:from>
        <xdr:to>
          <xdr:col>20</xdr:col>
          <xdr:colOff>0</xdr:colOff>
          <xdr:row>1</xdr:row>
          <xdr:rowOff>238125</xdr:rowOff>
        </xdr:to>
        <xdr:sp macro="" textlink="">
          <xdr:nvSpPr>
            <xdr:cNvPr id="36869" name="Button 5" hidden="1">
              <a:extLst>
                <a:ext uri="{63B3BB69-23CF-44E3-9099-C40C66FF867C}">
                  <a14:compatExt spid="_x0000_s36869"/>
                </a:ext>
                <a:ext uri="{FF2B5EF4-FFF2-40B4-BE49-F238E27FC236}">
                  <a16:creationId xmlns:a16="http://schemas.microsoft.com/office/drawing/2014/main" id="{00000000-0008-0000-0400-000005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xdr:row>
          <xdr:rowOff>9525</xdr:rowOff>
        </xdr:from>
        <xdr:to>
          <xdr:col>22</xdr:col>
          <xdr:colOff>0</xdr:colOff>
          <xdr:row>2</xdr:row>
          <xdr:rowOff>0</xdr:rowOff>
        </xdr:to>
        <xdr:sp macro="" textlink="">
          <xdr:nvSpPr>
            <xdr:cNvPr id="36870" name="Button 6" hidden="1">
              <a:extLst>
                <a:ext uri="{63B3BB69-23CF-44E3-9099-C40C66FF867C}">
                  <a14:compatExt spid="_x0000_s36870"/>
                </a:ext>
                <a:ext uri="{FF2B5EF4-FFF2-40B4-BE49-F238E27FC236}">
                  <a16:creationId xmlns:a16="http://schemas.microsoft.com/office/drawing/2014/main" id="{00000000-0008-0000-0400-000006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xdr:row>
          <xdr:rowOff>9525</xdr:rowOff>
        </xdr:from>
        <xdr:to>
          <xdr:col>24</xdr:col>
          <xdr:colOff>0</xdr:colOff>
          <xdr:row>2</xdr:row>
          <xdr:rowOff>0</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0400-000007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Contract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0</xdr:colOff>
      <xdr:row>2</xdr:row>
      <xdr:rowOff>190490</xdr:rowOff>
    </xdr:from>
    <xdr:to>
      <xdr:col>11</xdr:col>
      <xdr:colOff>0</xdr:colOff>
      <xdr:row>370</xdr:row>
      <xdr:rowOff>168929</xdr:rowOff>
    </xdr:to>
    <xdr:graphicFrame macro="">
      <xdr:nvGraphicFramePr>
        <xdr:cNvPr id="2" name="PubRE">
          <a:extLst>
            <a:ext uri="{FF2B5EF4-FFF2-40B4-BE49-F238E27FC236}">
              <a16:creationId xmlns:a16="http://schemas.microsoft.com/office/drawing/2014/main" id="{D0530094-780D-D922-3B08-43FFC5C356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0</xdr:colOff>
          <xdr:row>1</xdr:row>
          <xdr:rowOff>238125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5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9525</xdr:rowOff>
        </xdr:from>
        <xdr:to>
          <xdr:col>7</xdr:col>
          <xdr:colOff>0</xdr:colOff>
          <xdr:row>2</xdr:row>
          <xdr:rowOff>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5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9525</xdr:rowOff>
        </xdr:from>
        <xdr:to>
          <xdr:col>9</xdr:col>
          <xdr:colOff>0</xdr:colOff>
          <xdr:row>2</xdr:row>
          <xdr:rowOff>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500-000003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Contract</a:t>
              </a:r>
            </a:p>
          </xdr:txBody>
        </xdr:sp>
        <xdr:clientData fPrintsWithSheet="0"/>
      </xdr:twoCellAnchor>
    </mc:Choice>
    <mc:Fallback/>
  </mc:AlternateContent>
  <xdr:twoCellAnchor>
    <xdr:from>
      <xdr:col>16</xdr:col>
      <xdr:colOff>0</xdr:colOff>
      <xdr:row>2</xdr:row>
      <xdr:rowOff>190492</xdr:rowOff>
    </xdr:from>
    <xdr:to>
      <xdr:col>24</xdr:col>
      <xdr:colOff>0</xdr:colOff>
      <xdr:row>211</xdr:row>
      <xdr:rowOff>105285</xdr:rowOff>
    </xdr:to>
    <xdr:graphicFrame macro="">
      <xdr:nvGraphicFramePr>
        <xdr:cNvPr id="3" name="PubN">
          <a:extLst>
            <a:ext uri="{FF2B5EF4-FFF2-40B4-BE49-F238E27FC236}">
              <a16:creationId xmlns:a16="http://schemas.microsoft.com/office/drawing/2014/main" id="{C5FE7DCE-6A81-DAE7-9C6D-21EF8534D1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0</xdr:colOff>
          <xdr:row>1</xdr:row>
          <xdr:rowOff>0</xdr:rowOff>
        </xdr:from>
        <xdr:to>
          <xdr:col>18</xdr:col>
          <xdr:colOff>0</xdr:colOff>
          <xdr:row>1</xdr:row>
          <xdr:rowOff>238125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5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xdr:row>
          <xdr:rowOff>9525</xdr:rowOff>
        </xdr:from>
        <xdr:to>
          <xdr:col>20</xdr:col>
          <xdr:colOff>0</xdr:colOff>
          <xdr:row>2</xdr:row>
          <xdr:rowOff>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500-000005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1</xdr:row>
          <xdr:rowOff>9525</xdr:rowOff>
        </xdr:from>
        <xdr:to>
          <xdr:col>22</xdr:col>
          <xdr:colOff>0</xdr:colOff>
          <xdr:row>2</xdr:row>
          <xdr:rowOff>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500-000006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Contract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190499</xdr:rowOff>
    </xdr:from>
    <xdr:to>
      <xdr:col>11</xdr:col>
      <xdr:colOff>0</xdr:colOff>
      <xdr:row>118</xdr:row>
      <xdr:rowOff>28876</xdr:rowOff>
    </xdr:to>
    <xdr:graphicFrame macro="">
      <xdr:nvGraphicFramePr>
        <xdr:cNvPr id="2" name="Date">
          <a:extLst>
            <a:ext uri="{FF2B5EF4-FFF2-40B4-BE49-F238E27FC236}">
              <a16:creationId xmlns:a16="http://schemas.microsoft.com/office/drawing/2014/main" id="{F0762D87-0FBC-38CA-1344-35B89B7995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0</xdr:colOff>
          <xdr:row>1</xdr:row>
          <xdr:rowOff>238125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1</xdr:row>
          <xdr:rowOff>238125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6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9</xdr:col>
          <xdr:colOff>0</xdr:colOff>
          <xdr:row>1</xdr:row>
          <xdr:rowOff>238125</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600-000003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Contract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231721</xdr:colOff>
      <xdr:row>1</xdr:row>
      <xdr:rowOff>292633</xdr:rowOff>
    </xdr:to>
    <xdr:pic>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1"/>
        <a:stretch>
          <a:fillRect/>
        </a:stretch>
      </xdr:blipFill>
      <xdr:spPr>
        <a:xfrm>
          <a:off x="0" y="0"/>
          <a:ext cx="841321" cy="2926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621.450360416668" createdVersion="8" refreshedVersion="8" minRefreshableVersion="3" recordCount="1253" xr:uid="{F08B9081-BE63-4177-B266-44CF06F2AD2B}">
  <cacheSource type="worksheet">
    <worksheetSource name="Items[Series (R/E)]"/>
  </cacheSource>
  <cacheFields count="1">
    <cacheField name="Series (R/E)" numFmtId="49">
      <sharedItems containsBlank="1" count="236">
        <s v="n/a"/>
        <s v="NHK bideo kyōzai"/>
        <s v="Asian language series"/>
        <m/>
        <s v="Course in modern Japanese"/>
        <s v="Aruku no Nihongo tekisuto"/>
        <s v="ZZ"/>
        <s v="Yale language series"/>
        <s v="Nihongo kyōiku shiryō shirīzu"/>
        <s v="SOHO Bukkusu; &lt;/font&gt;"/>
        <s v="Gaikokujin no tame no Nihongo reibun mondai shirīzu"/>
        <s v="Mizutani, Osamu,; 1932-2014"/>
        <s v="Power Japanese series"/>
        <s v="Kodansha dictionary"/>
        <s v="Nihon jijō shirizu"/>
        <s v="Shokyū Nihongo mondaishū"/>
        <s v="Aruku no Nihongo tekisuto = ALC Press Japanese textbook series; &lt;/font&gt;"/>
        <s v="Nihon jijo shirizu; &lt;/font&gt;"/>
        <s v="Aruku no Nihongo tekisuto =ALC Press Japanese textbook series"/>
        <s v="ReachnewheightsinJapanese;"/>
        <s v="Komyunikēshon no tame no Nihongo I"/>
        <s v="East Asian film collection"/>
        <s v="World films (MGM Home Entertainment Inc"/>
        <s v="Fox film noir"/>
        <s v="Criterion collection"/>
        <s v="Nippon, the land and its people"/>
        <s v="Gakken manga, jiten shirīzu; &lt;/font&gt;"/>
        <s v="Manga mini jiten shirīzu"/>
        <s v="n"/>
        <s v="Sekai gendaishi bunko"/>
        <s v="Yorimichi pan!se"/>
        <s v="Z-kai peburu senshō"/>
        <s v="Meikai shirīzu"/>
        <s v="Kōdansha sensho mechie"/>
        <s v="Shinchō sensho"/>
        <s v="Asahi sensho"/>
        <s v="Hihyō no hōhō"/>
        <s v="Bunshun bunko"/>
        <s v="Kadokawa shōjiten"/>
        <s v="Shinchō Nihon bungaku arubamu"/>
        <s v="Chūkō sosho; &lt;/font&gt;"/>
        <s v="Bungei geijutsu no hon; &lt;/font&gt;"/>
        <s v="Kodansha sophia books"/>
        <s v="Fukutake books"/>
        <s v="Foto Rivuru"/>
        <s v="Miura Ayako sakuhinshū"/>
        <s v="Kadokawa bunko"/>
        <s v="Kōdansha bijinesu"/>
        <s v="Shirīzu Genji daigaku"/>
        <s v="Ryūkyū geinō zenshū"/>
        <s v="Shinchō bunko"/>
        <s v="Modern Japanese authors"/>
        <s v="Somosomo sōsho"/>
        <s v="Ri ben wen xue cong shu."/>
        <s v="Kōdansha bungei bunko"/>
        <s v="Taiwan Gendai Shijin Shirīzu"/>
        <s v="Kōdansha bunko"/>
        <s v="Shūeisha bunko"/>
        <s v="Seikyūsha raiburarī"/>
        <s v="Sekaishiso seminar"/>
        <s v="Kodansha philosophia"/>
        <s v="Hihyo no hoho"/>
        <s v="Kadokawa sensho"/>
        <s v="Shirīzu kokusai kōryū"/>
        <s v="Jinbutsu kindai joseishi onna no isshō"/>
        <s v="Onna no isshō"/>
        <s v="Nihon no Bungaku"/>
        <s v="Gendai bungaku taikei"/>
        <s v="Chikuma gendai bungaku taikei"/>
        <s v="Nihon bungaku zenshū"/>
        <s v="Gendai Nihon bungaku zenshū. Hokan"/>
        <s v="Nihon bungaku kenkyū shiryō sōsho"/>
        <s v="Nihon kokumin bungaku zenshū"/>
        <s v="Nihon kindai bungaku taikei"/>
        <s v="Shōwa bungaku zenshū"/>
        <s v="Shinchō Nihon bungaku"/>
        <s v="Morikawa Tatsuya hyōron shūsei"/>
        <s v="Taiwan zuo jia quan ji. Duan pian xiao shuo juan. Ri ju shi dai"/>
        <s v="Taiwan shi liao cong kan"/>
        <s v="Nihon koten bungaku taikei"/>
        <s v="Sheng huo zhi wei"/>
        <s v="Chen xing cong shu"/>
        <s v="Lu du yu cong shu"/>
        <s v="Bessatsu Takarajima"/>
        <s v="Bungei-dokuhon"/>
        <s v="CARE"/>
        <s v="Bunkagaku docu."/>
        <s v="Lian he wen xue"/>
        <s v="Riben wen xue cong shu"/>
        <s v="Zhongguo xin wen xue da shi ming zuo shang xi"/>
        <s v="Omoshiro Kokugo Zeminarū"/>
        <s v="Supirittsu jimi komikkusu"/>
        <s v="For beginners shirīzu"/>
        <s v="Bungei tokuhon"/>
        <s v="Natsume booklet"/>
        <s v="Ima wo Ikiru"/>
        <s v="Dang dai ming jia"/>
        <s v="Minatoya Yumekichi Sakuhinshū"/>
        <s v="Zhong yang yan jiu yuan cong shu"/>
        <s v="Zhuan kan"/>
        <s v="Yin ke wen xue"/>
        <s v="Zhong yang yan jiu yuan ren wen she hui ke xue yan jiu zhong xin zhuan shu"/>
        <s v="Ying xiang ji shi xi lie"/>
        <s v="Lian jing xue shu"/>
        <s v="Lan Yifeng shuo li shi"/>
        <s v="Jiu ge wen ku"/>
        <s v="People"/>
        <s v="Jin dai si xiang tu shu guan"/>
        <s v="Xin.ren wen"/>
        <s v="Xin shi ji cong shu"/>
        <s v="Wen xue yan jiu"/>
        <s v="Jian kang ren sheng"/>
        <s v="Lan xiao shuo"/>
        <s v="Hong fan wen xue cong shu"/>
        <s v="She hui ren wen"/>
        <s v="Taiwan wen xue yan jiu xi lie"/>
        <s v="Hito to bungaku shirīzu"/>
        <s v=" "/>
        <s v="Nihon rekishi shirīzu"/>
        <s v="Mainichi mukku Shirīzu nijisseiki no kioku."/>
        <s v="Gendaigoyaku Nihon no koten"/>
        <s v="Nihon no koten. 2"/>
        <s v="In Pocket"/>
        <s v="Yamamoto Yūzō bunko"/>
        <s v="Gendai kyōyō bunko"/>
        <s v="Kodansha gakujutsu bunko"/>
        <s v="Kōdansha gakujutsu bunko"/>
        <s v="Chūkō bunko"/>
        <s v="Chikuma gakugei bunko"/>
        <s v="Iwanami Bunko"/>
        <s v="Iwanami shinsho. Aoban"/>
        <s v="Iwanami shinsho. Shin akaban"/>
        <s v="Asuka Komikkusu"/>
        <s v="Iwanami shinsho. Kiban"/>
        <s v="Hana to yume comics"/>
        <s v="Kodansha aoi tori bunko"/>
        <s v="Yūrin shinsho"/>
        <s v="Yūhikaku shinsho"/>
        <s v="Kōdansha gendai shinsho"/>
        <s v="Chikuma shinsho"/>
        <s v="Popurasha bunko"/>
        <s v="Maruzen raiburarī"/>
        <s v="Obunsha eibun gakushu raiburari"/>
        <s v="Shinchō shinsho"/>
        <s v="San'ichi shinsho"/>
        <s v="Chūkō shinsho"/>
        <s v="Nihon kyōyō zenshū"/>
        <s v="Kappa bukkusu"/>
        <s v="Shincho bunko"/>
        <s v="Chikuma bunko"/>
        <s v="Kawade bunko"/>
        <s v="Kōbunsha bunko"/>
        <s v="Hayakawa misuteri bunko"/>
        <s v="Ri ben yu wen zi xiu cong shu"/>
        <s v="Hoppō bunka shashin shirīzu"/>
        <s v="Asahi shōjiten"/>
        <s v="Heibonsha sensho"/>
        <s v="Yūhikaku sōsho"/>
        <s v="Modern Library war"/>
        <s v="UNESCO collection of representative works. Japanese series; Records of civilization: sources and studies"/>
        <s v="Contemporary Japanese society"/>
        <s v="Modern Chinese literature from Taiwan"/>
        <s v="Cornell East Asia series,; 86"/>
        <s v="Cornell University East Asia papers"/>
        <s v="Princeton library of Asian translations"/>
        <s v="Options for teaching"/>
        <s v="Smithsonian studies in the history of film and television"/>
        <s v="Columbia guides to Asian history"/>
        <s v="Harvard-Yenching Institute monograph series"/>
        <s v="Publications of the Center for Japanese and Korean studies"/>
        <s v="UNESCO collection of representative works. Japanese series"/>
        <s v="An Evergreen book"/>
        <s v="Haskell lectures on history of religions, new ser."/>
        <s v="Women in translation"/>
        <s v="Nissan Institute/Routledge Japanese studies series"/>
        <s v="Six cultures series,; v. 7"/>
        <s v="Connaissance de l'Orient: collection UNESCO d'oeuvres représentatives"/>
        <s v="Twentieth-century Japan: the emergence of a world power"/>
        <s v="Public worlds"/>
        <s v="Gender and culture"/>
        <s v="Approaches to teaching world literature"/>
        <s v="Library of world biography"/>
        <s v="Kodansha biographies"/>
        <s v="Japan unveiled"/>
        <s v="Vintage classics."/>
        <s v="Penguin classics"/>
        <s v="[Asia-Africa series]"/>
        <s v="The library of world biography"/>
        <s v="The Cresset historical series"/>
        <s v="The Goucher College series"/>
        <s v="Asia perspectives"/>
        <s v="Travelers' tales guides"/>
        <s v="Pojitivu"/>
        <s v="Beacon paperbacks"/>
        <s v="Translations from the Asian classics; Columbia Asian studies series"/>
        <s v="Michigan classics in Japanese studies"/>
        <s v="Cornell University East Asia Program East Asia Papers.,; 40"/>
        <s v="Campus"/>
        <s v="The Penguin classics"/>
        <s v="Doubleday anchor books"/>
        <s v="George School readings on developing lands"/>
        <s v="Pelican books"/>
        <s v="Tut books"/>
        <s v="Vintage book"/>
        <s v="UNESCO collection of representative literary works"/>
        <s v="Cultures of consumption series"/>
        <s v="Harvard East Asian monographs"/>
        <s v="A Da Capo paperback"/>
        <s v="An East gate book"/>
        <s v="Stanford studies in the civilizations of Eastern Asia"/>
        <s v="Asia-Local studies/global themes"/>
        <s v="Post-contemporary interventions"/>
        <s v="Modern Asian literature series"/>
        <s v="Michigan monograph series in Japanese studies"/>
        <s v="Studies of the East Asian Institute; UNESCO collection of representative works.; Japanese series"/>
        <s v="LTCB international library selection"/>
        <s v="Columbia guides to American history and cultures"/>
        <s v="Stanford studies in the civilization of eastern Asia"/>
        <s v="Princeton paperbacks; Studies of the East Asian Institute, Columbia University"/>
        <s v="World religions series"/>
        <s v="English and humanities series"/>
        <s v="Asian poetry in translation. Japan"/>
        <s v="Stages"/>
        <s v="Religion, history, and culture"/>
        <s v="Studies of the East Asian Institute, Columbia University"/>
        <s v="THE NIPPON FOUNDATION"/>
        <s v="Nichibunken monograph series,; no. 14"/>
        <s v="ABC-CLIO literary companion"/>
        <s v="Modern Asian literature"/>
        <s v="SHAPS library of Asian studies"/>
        <s v="Harvard-Yenching Institute monographs"/>
        <s v="The Pantheon Asia Library"/>
        <s v="Asia-Pacific"/>
        <s v="Nyū feminizumu rebyū"/>
        <s v="Sekai no Nihon kenkyū =; Japanese studies around the world"/>
        <s v="Hihyō kūkan"/>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621.464417592593" createdVersion="8" refreshedVersion="8" minRefreshableVersion="3" recordCount="1253" xr:uid="{BAEDA15C-FDF8-465D-A606-D08ADDCC551F}">
  <cacheSource type="worksheet">
    <worksheetSource name="Items[Series (N)]"/>
  </cacheSource>
  <cacheFields count="1">
    <cacheField name="Series (N)" numFmtId="49">
      <sharedItems containsBlank="1" count="147">
        <s v="n/a"/>
        <m/>
        <s v="アルクの日本語テキスト"/>
        <s v="日本語敎育資料シリーズ. コミュニケーション重視の学習活動"/>
        <s v="SOHOブックス"/>
        <s v="外国人のための日本語例文・問題シリ-ズ"/>
        <s v="水谷修, 1932-2014. Nihongo notes"/>
        <s v="日本事情シリーズ"/>
        <s v="初級日本語問題集"/>
        <s v="アルクの日本語テキスト = ALC Press Japanese textbook series"/>
        <s v="アルクの日本語あテキスト. アルクの日本語テキスト"/>
        <s v="コミュケ-ションのための日本語 I"/>
        <s v="学研まんが, 事典シリーズ"/>
        <s v="まんがミニじてんシリーズ"/>
        <s v="世界現代詩文庫"/>
        <s v="よりみちパン! セ"/>
        <s v="Z会ペブル選書"/>
        <s v="明解シり-ズ"/>
        <s v="講談社選書メチエ"/>
        <s v="新潮選書"/>
        <s v="朝日選書"/>
        <s v="批評の方法"/>
        <s v="文春文庫"/>
        <s v="角川小辞典"/>
        <s v="新潮日本文学アルバム"/>
        <s v="中公叢書"/>
        <s v="文芸.芸術の本"/>
        <s v="批評の方法 / スタンレー・ハイマン著"/>
        <s v="フォト・リーヴル"/>
        <s v="三浦綾子作品集"/>
        <s v="角川文庫"/>
        <s v="講談社ビジネス"/>
        <s v="シリ-ズ源氏大学"/>
        <s v="琉球芸能全集"/>
        <s v="新潮文庫"/>
        <s v="現代日本文学英訳選集"/>
        <s v="そもそも双書"/>
        <s v="日本文学丛书"/>
        <s v="講談社文芸文庫"/>
        <s v="台湾現代詩人シリーズ"/>
        <s v="講談社文庫"/>
        <s v="集英社文庫"/>
        <s v="靑弓社ライブラリー"/>
        <s v="批評の方法スタンレー・ハイマン著"/>
        <s v="角川選書"/>
        <s v="シリ-ズ国際交流"/>
        <s v="人物近代女性史女の一生"/>
        <s v="女の一生"/>
        <s v="日本の文学"/>
        <s v="現代文学大系"/>
        <s v="筑摩現代文学大系"/>
        <s v="日本文学全集"/>
        <s v="現代日本文學全集. 補卷"/>
        <s v="日本文学研究資料叢書"/>
        <s v="日本国民文学全集"/>
        <s v="日本近代文学大系"/>
        <s v="昭和文学全集"/>
        <s v="新潮日本文学"/>
        <s v="森川達也評論集成"/>
        <s v="台灣作家全集. 短篇小說卷. 日據時代"/>
        <s v="臺灣史料丛刊"/>
        <s v="日本古典文学大系"/>
        <s v="日本古典文學大系"/>
        <s v="生活之味"/>
        <s v="晨星叢書"/>
        <s v="綠蠹魚叢書"/>
        <s v="別冊宝島"/>
        <s v="文芸読本"/>
        <s v="Care (大塊文化)"/>
        <s v="文化学 docu"/>
        <s v="聯合文學"/>
        <s v="日本文学丛书 日本文学丛书"/>
        <s v="中國新文學大師名作賞析"/>
        <s v="おもしろ国語ゼミナール"/>
        <s v="スピリッツじみコミックス"/>
        <s v="For beginners シリーズ"/>
        <s v="夏目 booklet"/>
        <s v="いまを生きる"/>
        <s v="當代名家 李志銘作品集"/>
        <s v="湊谷夢吉作品集 / 湊谷夢吉著"/>
        <s v="中央研究院叢書"/>
        <s v="專刊"/>
        <s v="印刻文學"/>
        <s v="中央研究院人文社會科學研究中心專書"/>
        <s v="映像紀實系列"/>
        <s v="聯經學術"/>
        <s v="藍弋丰說歷史"/>
        <s v="九歌文庫"/>
        <s v="台灣史料叢刊"/>
        <s v="People (時報出版公司)"/>
        <s v="近代思想圖書館"/>
        <s v="新.人文"/>
        <s v="新世紀叢書"/>
        <s v="文學研究, 5 文學研究"/>
        <s v="健康人生"/>
        <s v="藍小說"/>
        <s v="洪範文學叢書"/>
        <s v="社會人文"/>
        <s v="台灣文學硏究系列"/>
        <s v="人と文学シリ-ズ 現代日本文学アルバム"/>
        <s v="日本学研究叢書"/>
        <s v="臺灣史料叢刊"/>
        <s v="日本歴史シリーズ"/>
        <s v="每日ムック シリーズ20世紀の記憶"/>
        <s v="現代語訳日本の古典"/>
        <s v="日本の古典. 2"/>
        <s v="In Pocket"/>
        <s v="山本有三文庫"/>
        <s v="現代教養文庫"/>
        <s v="講談社学術文庫"/>
        <s v="講談社学術文庫 講談社学術文庫"/>
        <s v="中公文庫"/>
        <s v="ちくま学芸文庫"/>
        <s v="岩波文庫"/>
        <s v="岩波新書. 青版"/>
        <s v="岩波新書. 新赤版"/>
        <s v="あすかコミックス"/>
        <s v="岩波新書. 黄版"/>
        <s v="花とゆめcomics"/>
        <s v="講談社青い鳥文庫"/>
        <s v="有隣新書"/>
        <s v="有斐閣新書"/>
        <s v="講談社現代新書"/>
        <s v="ちくま新書"/>
        <s v="ポプラ社文庫"/>
        <s v="丸善ライブラリ一"/>
        <s v="旺文社・英文学習ライブラリー"/>
        <s v="新潮新書"/>
        <s v="三一新書"/>
        <s v="中公新書"/>
        <s v="日本敎養全集"/>
        <s v="カッパ・ブックス. カッパ・ブックス"/>
        <s v="ちくま文庫"/>
        <s v="河出文庫"/>
        <s v="岩波文庫 岩波文庫"/>
        <s v="光文社文庫"/>
        <s v="文春文庫 文春文庫"/>
        <s v="早川ミステリ文庫"/>
        <s v="日本語文自修叢書"/>
        <s v="北方文化写真シリーズ"/>
        <s v="朝日小事典"/>
        <s v="平凡社選書"/>
        <s v="有斐閣双書"/>
        <s v="ポジティヴ"/>
        <s v="别册宝島"/>
        <s v="ニューフェミニズムレビュ-"/>
        <s v="世界の日本研究"/>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621.481432638888" createdVersion="8" refreshedVersion="8" minRefreshableVersion="3" recordCount="1253" xr:uid="{E8AB2819-7EDC-4A15-81FA-CEDBC4BFBE66}">
  <cacheSource type="worksheet">
    <worksheetSource name="Items[Publisher (R/E)]"/>
  </cacheSource>
  <cacheFields count="1">
    <cacheField name="Publisher (R/E)" numFmtId="49">
      <sharedItems containsBlank="1" count="417">
        <s v="The Japan Foundation"/>
        <s v="Hatsubai"/>
        <s v="n/a"/>
        <s v="Published For University Of Maryland University College [By] University Of Hawaii Press"/>
        <m/>
        <s v="Mcgraw-hill"/>
        <s v="Mcgraw Hill"/>
        <s v="Japan Times"/>
        <s v="Nagoya Daigaku Shuppankai"/>
        <s v="Bonjinsha"/>
        <s v="Bonjinsha Co."/>
        <s v="Distributed In The U.s. By Kōdansha International/usa"/>
        <s v="Houghton Mifflin Co."/>
        <s v="Tōkyō Daigaku Shuppankai"/>
        <s v="Exclusive Distributor In The U.s.a."/>
        <s v="Aratake Shuppan"/>
        <s v="Yale University Press"/>
        <s v="Surīē Nettowāku"/>
        <s v="Aruku"/>
        <s v="American Translators Association"/>
        <s v="Harcourt Brace Jovanovich Japan"/>
        <s v="Saibizu"/>
        <s v="Sanseidō"/>
        <s v="Tuttle Publishing"/>
        <s v="Iwanami Shoten"/>
        <s v="Kōdansha"/>
        <s v="Gakushū Kenkyuūsha"/>
        <s v="Taishūkan Shoten"/>
        <s v="Oxford University Press"/>
        <s v="Aratake Shoten"/>
        <s v="Hokuseido Press"/>
        <s v="The Japan Times"/>
        <s v="Tuttle"/>
        <s v="Japan Taimuzu"/>
        <s v="Tōkyōdō Shuppan"/>
        <s v="Tōkyōdō"/>
        <s v="Wu Fu"/>
        <s v="Gakken"/>
        <s v="Kōdansha International"/>
        <s v="Kōdansha Intānashonaru"/>
        <s v="Kanehara [Showa 40 Nen]"/>
        <s v="Kondō Shuppansha"/>
        <s v="Bunkōdō"/>
        <s v="Kenkyūsha"/>
        <s v="Kenkyusha"/>
        <s v="Da Xin Shu Ju"/>
        <s v="Senmon Kyōiku Shuppan"/>
        <s v="Hatsubaimoto Senmon Kyōiku Shuppan"/>
        <s v="Senmonkyōiku Shuppan"/>
        <s v="Shinjuku Nihongo Gakkō"/>
        <s v="Hokkaidō Daigaku. Japanese Language Research Group"/>
        <s v="Japan Forum"/>
        <s v="Shakai Hyōronsha"/>
        <s v="Kondansha International"/>
        <s v="Distributed In The U.s. By Kōdansha America"/>
        <s v="De Bao"/>
        <s v="Cinema Epoch"/>
        <s v="Mgm Home Entertainment"/>
        <s v="Planet"/>
        <s v="Retro Flix"/>
        <s v="Distributed By Kino Lorber"/>
        <s v="Twentieth Century Fox Home Entertainment Llc"/>
        <s v="Voyager Co."/>
        <s v="Āku Akademī"/>
        <s v="Shin-el"/>
        <s v="C. Itoh &amp; Co. (America)"/>
        <s v="Bonjinsha(hatsubai)"/>
        <s v="Gakushū Kenkyūsha"/>
        <s v="Dōonsha"/>
        <s v="Kadokawa"/>
        <s v="Tairiku Shobō"/>
        <s v="Doyō Bijutsuhsa Shuppan Hanbai"/>
        <s v="Rironsha"/>
        <s v="Zōshinkai Suppansha"/>
        <s v="Tōyō Keizai Shinpōsha"/>
        <s v="Kōsakusha"/>
        <s v="Yūhōdō"/>
        <s v="Rakuyōsha"/>
        <s v="Php Kenkyūjo"/>
        <s v="Shinchōsha"/>
        <s v="Asahi Shinbunsha"/>
        <s v="Kawade Shobō Shinsha"/>
        <s v="Nihon Bungeisha"/>
        <s v="Shōgakkan"/>
        <s v="Kadokawa Shoten"/>
        <s v="Bungei Shunjū"/>
        <s v="Gakutōsha"/>
        <s v="Shibundō"/>
        <s v="Taishūkanshoten"/>
        <s v="Ribun Shuppan"/>
        <s v="Chikuma Shobō"/>
        <s v="Tibīesuburitanika"/>
        <s v="Chūō Kōronsha"/>
        <s v="Fujimori Shoten"/>
        <s v="Shūeisha"/>
        <s v="Kōfūsha Shoten"/>
        <s v="Tabata Shoten"/>
        <s v="Shinbisha"/>
        <s v="Sairyūsha"/>
        <s v="Taishūkan"/>
        <s v="Fukutake Shoten"/>
        <s v="Fotopuranetto"/>
        <s v="Nihon Hosō Shuppan Kyōkai"/>
        <s v="Kōbundō"/>
        <s v="Keiō Gijuku Daigaku Shuppankai"/>
        <s v="Nihon Hoso Shuppan Kyokai"/>
        <s v="Saimaru Shuppankai"/>
        <s v="Yūhikaku"/>
        <s v="Ōtsuki Shoten"/>
        <s v="Yūshindō"/>
        <s v="Waseda Daigaku Shuppanbu"/>
        <s v="Okinawa Sha"/>
        <s v="Shin Jinbutsu Ōraisha"/>
        <s v="Merukumāru"/>
        <s v="Kōbunsha"/>
        <s v="Shiki Shuppan"/>
        <s v="Shimizu Shoin"/>
        <s v=" Shoten"/>
        <s v="Shin'yōsha"/>
        <s v="Ootori Shobō"/>
        <s v="Shinkansha"/>
        <s v="Hara Shobō"/>
        <s v="Jinbun Shoin"/>
        <s v="Tokuma Shoten"/>
        <s v="Gakubunsha"/>
        <s v="Miraisha"/>
        <s v="Seidosha"/>
        <s v="Seiga Shobō"/>
        <s v="Ren Min Wen Xue Chu Ban She"/>
        <s v="Kokusho Kankōkai"/>
        <s v="Sōshisha"/>
        <s v="Shichōsha"/>
        <s v="Misuzu Shobō"/>
        <s v="Sōgensha"/>
        <s v="Kabushiki Kaisha Kadokawa"/>
        <s v="Heibonsha"/>
        <s v="Seikyūsha"/>
        <s v="Tbs Buritanika"/>
        <s v="Sekai Shisōsha"/>
        <s v="Birejji Sentā Shuppankyoku"/>
        <s v="Hatsubaimoto Bungei Shunjū"/>
        <s v="Hatsubai Yamakawa Shuppansha"/>
        <s v="Kasama Shoin"/>
        <s v="Kōdansha"/>
        <s v="Benseisha"/>
        <s v="Nōberu Shobō"/>
        <s v="Meiji Shoin"/>
        <s v="Sōhatsubaimoto Horupu"/>
        <s v="Daishūkan Shoten"/>
        <s v="Yūseidō"/>
        <s v="Kyōiku Shuppan Sentā"/>
        <s v="Qian Wei Chu Ban She"/>
        <s v="Guo Li Wen Hua Zi Chan Bao Cun Yan Jiu Zhong Xin Chou Bei Chu"/>
        <s v="Xia Ri Chu Ban She"/>
        <s v="Hanbai Nichi-bei Josei Sentā Tōkyō Nishihara Jimusho"/>
        <s v="Chen Xing Chu Ban You Xian Gong Si"/>
        <s v="Yuan Liu"/>
        <s v="Takarajimasha"/>
        <s v="Ōfūsha"/>
        <s v="Ōfū"/>
        <s v="Paruko Shuppan"/>
        <s v="Wen Sheng"/>
        <s v="Shūei Shuppan"/>
        <s v="Da Kuai Wen Hua Chu Ban Gu Fen You Xian Gong Si"/>
        <s v="Bunka Kagaku Kōtō Kenkyūin Shuppankyoku"/>
        <s v="Shichigatsudō"/>
        <s v="Nagasaki Shuppan"/>
        <s v="Sankōsha"/>
        <s v="Lian He Wen Xue Chu Ban She Gu Fen You Xian Gong Si"/>
        <s v="Rikurūtodavinchi Henshūbu"/>
        <s v="Jicc Shuppankyoku"/>
        <s v="Kindai Bungeisha"/>
        <s v="Hatsubaijo Nihon Shuppan Bōeki"/>
        <s v="Sōbunsha Shuppan"/>
        <s v="Kokusai Kōryū Kikin, Nihongo Kokusai Sentā"/>
        <s v="Kanae Shobō"/>
        <s v="Senshū Daigaku Shuppankyoku"/>
        <s v="Kyōto Shobō"/>
        <s v="Ren Min Wen Xue Chu Ban She: Xin Hua Shu Dian Beijing Fa Xing Suo Fa Xing"/>
        <s v="Chūkei Shuppan"/>
        <s v="Hai Feng Chu Ban She"/>
        <s v="Popura-sha"/>
        <s v="Gendai Shokan"/>
        <s v="Natsume Shobō"/>
        <s v="Rokusaisha"/>
        <s v="Kenbun Shuppan"/>
        <s v="Yukku-sha"/>
        <s v="Lian Jing Chu Ban Shi Ye Gu Fen You Xian Gong Si"/>
        <s v="Ochanomizu Shobō"/>
        <s v="Asupekuto"/>
        <s v="Tōkyō] Shibundō"/>
        <s v="Lian Jing Chu Ban Gong Si"/>
        <s v="Zhong Yang Yan Jiu Yuan Taiwan Shi Yan Jiu Suo"/>
        <s v="Ink Yin Ke Wen Xue Sheng Huo Za Zhi Chu Ban You Xian Gong Si"/>
        <s v="Ya Tai Qu Yu Yan Jiu Zhuan Ti Zhong Xin"/>
        <s v="Nong Xue Zong Jing Xiao"/>
        <s v="Qi Dong Wen Hua"/>
        <s v="Xiu Wei Zi Xun Ke Ji Gu Fen You Xian Gong Si"/>
        <s v="Lian He Wen Xue Chu Ban She"/>
        <s v="Beijing Chu Ban She"/>
        <s v="Jiu Ge Chu Ban She"/>
        <s v="Ju Liu"/>
        <s v="Shi Bao Wen Hua Chu Ban Qi Ye Gu Fen You Xian Gong Si"/>
        <s v="Shi Pao Wen Hua Chu Ban Qi Ye Gu Fen You Xian Gong Si"/>
        <s v="Li Ming Tu Shu Zong Jing Xiao"/>
        <s v="Li Xu Wen Hua Shi Ye You Xian Gong Si"/>
        <s v="Chun Hui Chu Ban She"/>
        <s v="Xin Hua Shu Dian Shanghai Fa Xing Suo Fa Xing"/>
        <s v="Tian Xia Za Zhi Gu Fen You Xian Gong Si"/>
        <s v="Sheng Zhi Wen Hua Shi Ye You Xian Gong Si"/>
        <s v="Zuo Jia Chu Ban She"/>
        <s v="Hong Fan Shu Dian"/>
        <s v="Tībīesu Buritanika"/>
        <s v="Tian Xia Yuan Jian Chu Ban Gu Fen You Xian Gong Si"/>
        <s v="Gao Xiong Shi Wen Hua Ju"/>
        <s v="Ningen No Hoshisha"/>
        <s v="Jinbunsha"/>
        <s v="Rippū Shobō"/>
        <s v="Daisan Shokan"/>
        <s v="Jiyū Kokuminsha"/>
        <s v="Kyōto Daigaku Jinbun Kagaku Kenkyūjo"/>
        <s v="Zhong Yang Yan Jiu Yuan Taiwan Shi Yan Jiu Suo Chou Bei Chu"/>
        <s v="Sekai Bunkasha"/>
        <s v="Mainichi Shinbunsha"/>
        <s v="Kansai Daigaku Daigakuin: Bungaku Kenkyūka, Chūgoku Bungaku Senkō"/>
        <s v="Tōkyō Shinbun"/>
        <s v="Wen Wu Chu Ban She"/>
        <s v="[Distributed By China Books And Periodicals]"/>
        <s v="[Kadokawa Shoten]"/>
        <s v="Shakai Shisō Kenkyūkai Shuppanbu"/>
        <s v="Bunshun Bunko"/>
        <s v="Hakusensha"/>
        <s v="Tōkyō, Iwanami Shoten"/>
        <s v="Yūrindō"/>
        <s v="Popurasha"/>
        <s v="Maruzen Kabushiki Kaisha"/>
        <s v="San'ichi Shobō"/>
        <s v="Wen Hua Tu Shu"/>
        <s v="Nire Shobō"/>
        <s v="Erumu"/>
        <s v="Kin'ensha"/>
        <s v="Nichieisha"/>
        <s v="Cambridge ; New York: Cambridge University Press"/>
        <s v="Lexington, Massachusetts: D.c. Heath ^ Edition: ^ Second Edition"/>
        <s v="New York: Atlantic Monthly Press"/>
        <s v="New York, Columbia University Press"/>
        <s v="New York: Modern Library ^ Edition: ^ Modern Library Paperback Edition"/>
        <s v="New York: Columbia University Press"/>
        <s v="Rutland, Vt., C.e. Tuttle Co"/>
        <s v="Cambridge, Uk ; New York, Ny, Usa: Cambridge University Press"/>
        <s v="Honolulu: University Of Hawai'i Press"/>
        <s v="Albany: State University Of New York Press"/>
        <s v="New Haven, Conn.: Yale University Press"/>
        <s v="Ithaca, N.y.: Cornell University Press"/>
        <s v="Tokyo: Sekai Shuppan ^ Edition: ^ 1St Ed"/>
        <s v="Stanford, Calif.: Stanford University Press"/>
        <s v="New York: Pantheon Books ^ Edition: ^ 1St American Ed"/>
        <s v="Washington [D.c.]: Govt. Print. Office"/>
        <s v="Ithaca, N.y.: East Asia Program, Cornell University"/>
        <s v="London: Bfi Pub ^ Edition: ^ [2Nd, Expanded Ed.]"/>
        <s v="Honolulu: University Of Hawaii Press"/>
        <s v="Singapore: Palgrave Macmillan"/>
        <s v="[Place Of Publication Not Identified]: Quiet Vision Pub"/>
        <s v="Ithaca, N.y.: Cornell China-japan Program"/>
        <s v="New York: New York University Press"/>
        <s v="Princeton: Princeton University Press"/>
        <s v="New York: Modern Language Association Of America"/>
        <s v="Berkeley: University Of California Press"/>
        <s v="London: Peter Owen"/>
        <s v="Honolulu, Hawaii: University Of Hawai'i Press"/>
        <s v="Washington, D.c.: Smithsonian Institute"/>
        <s v="Princeton, N.j.: Princeton University Press ^ Edition: ^ Second Printing, 1988"/>
        <s v="Cambridge, Mass.: Council On East Asian Studies, Harvard University: Distributed By Harvard University Press"/>
        <s v="Princeton, N.j.: Princeton University Press"/>
        <s v="Stanford, California: Stanford University Press"/>
        <s v="New York: Grove Press"/>
        <s v="Tokyo: Waseda University Press"/>
        <s v="London ; New York: Routledge"/>
        <s v="Downers Grove, Ill.: Intervarsity Press"/>
        <s v="New York: Grove Weidenfeld ^ Edition: ^ 1St Evergreen Ed"/>
        <s v="New York: Vintage Books ^ Edition: ^ First Aventura Edition"/>
        <s v="New York: Random House"/>
        <s v="University Of Chicago Press"/>
        <s v="Nagasaki Association For The Hibakusha's Medical Care"/>
        <s v="Seal Press"/>
        <s v="Routledge"/>
        <s v="University Press Of New England"/>
        <s v="Forum Press"/>
        <s v="Wiley"/>
        <s v="Regnery Gateway"/>
        <s v="Gallimard"/>
        <s v="University Of California Press"/>
        <s v="University Of Minnesota Press"/>
        <s v="Ohara Publications"/>
        <s v="Rutgers University Press"/>
        <s v="Columbia University Press"/>
        <s v="Modern Language Association Of America"/>
        <s v="University Of Hawai'i Press"/>
        <s v="D.c. Heath"/>
        <s v="Magna Publications"/>
        <s v="Center For Japanese Studies"/>
        <s v="Princeton University Press"/>
        <s v="Phaidon"/>
        <s v="Stanford University Press"/>
        <s v="Pearson/longman"/>
        <s v="Kōdansha America"/>
        <s v="Yohan"/>
        <s v="Collier Macmillan"/>
        <s v="Vintage Books"/>
        <s v="Penguin Books"/>
        <s v="London"/>
        <s v="Pearson Longman"/>
        <s v="Vintage International"/>
        <s v="Viz Media"/>
        <s v="Grove Press"/>
        <s v="Farrar Strauss"/>
        <s v="New York"/>
        <s v="Perigee Books"/>
        <s v="Harpercollins"/>
        <s v="Johns Hopkins Press"/>
        <s v="Travelers' Tales"/>
        <s v="Shoshikaze No Bara"/>
        <s v="University Of Washington Press"/>
        <s v="Barnes &amp; Noble"/>
        <s v="Beacon Press"/>
        <s v="Sophia University"/>
        <s v="Liveright Publishing Corporation"/>
        <s v="Putnam"/>
        <s v="North Point Press"/>
        <s v="Collier Books"/>
        <s v="Palgrave"/>
        <s v="Alfred A. Knopf"/>
        <s v="Stanford"/>
        <s v="Trafford"/>
        <s v="Little"/>
        <s v="Stone Bridge Press"/>
        <s v="Liveright"/>
        <s v="Distributed In The United States By Kōdansha International/usa Through Harper &amp; Row"/>
        <s v="Charles E. Tuttle Company"/>
        <s v="Garden City"/>
        <s v="Schneider"/>
        <s v="C.e. Tuttle Co"/>
        <s v="[Harmondsworth] Penguin Books"/>
        <s v="Charles E. Tuttle"/>
        <s v="C.e. Tuttle"/>
        <s v="Charles E. Tuttle Co"/>
        <s v="Macmillan Co"/>
        <s v="Foreign Press Center"/>
        <s v="Taplinger Publishing Company"/>
        <s v="Yamaguchi City"/>
        <s v="New Directions"/>
        <s v="Berg"/>
        <s v="Women In Translation"/>
        <s v="Distributed By Harvard University Press"/>
        <s v="Da Capo Press"/>
        <s v="Hawks Pub"/>
        <s v="M.e. Sharpe"/>
        <s v="University Of Hawaiʻi Press"/>
        <s v="Duke University Press"/>
        <s v="University Of Hawaii Press"/>
        <s v="Radio Taiwan International"/>
        <s v="International House Of Japan"/>
        <s v="Methuen"/>
        <s v="Tonnbo Books"/>
        <s v="Westview Press"/>
        <s v="Holt"/>
        <s v="Ashgate"/>
        <s v="Henry Holt &amp; Co"/>
        <s v="Longman"/>
        <s v="Atlantic Monthly Press"/>
        <s v="Katydid Books"/>
        <s v="University Of Nebraska Press"/>
        <s v="Knopf"/>
        <s v="Weatherhill"/>
        <s v="Houghton Mifflin Co"/>
        <s v="University Press Of Kentucky"/>
        <s v="New York University Press"/>
        <s v="Exclusive Distributor In The U.s.a"/>
        <s v="International Research Center For Japanese Studies"/>
        <s v="Nippon Budokan Foundation"/>
        <s v="Distributors"/>
        <s v="Abc-clio"/>
        <s v="American ^ S Association Japanese Language Division"/>
        <s v="Harvard University Press"/>
        <s v="Feminist Press At The City University Of New York"/>
        <s v="Berkeley"/>
        <s v="Distributed To The Trade By National Book Network"/>
        <s v="Council On East Asian Studies"/>
        <s v="Tokyo"/>
        <s v="Pantheon Books"/>
        <s v="Alaken"/>
        <s v="Kōrai Daigakkō Nihon Kenkyū Sentā"/>
        <s v="Aruku Kabushiki Kaisha"/>
        <s v="Kokusai Nihon Bunka Kenkyū Sentā"/>
        <s v="Nichi-bei Josei Jōhō Sentā"/>
        <s v="Dō Sentā"/>
        <s v="Kurokamesha"/>
        <s v="[Lian He Wen Xue Za Zhi She]"/>
        <s v="Kyōto Kokusai Nihon Bunka Kenkyū Sentā"/>
        <s v="Guo Li Zheng Zhi Da Xue Zhongguo Wen Xue Xi"/>
        <s v="University Of Oklahoma Press"/>
        <s v="Jiji Gahō Sha"/>
        <s v="Serabi Shobō"/>
        <s v="Ajls"/>
        <s v="Shin Nihon Bungakkai"/>
        <s v="Gakuyō Shobō"/>
        <s v="Hatsubaisho"/>
        <s v="[Fukutake Shoten]"/>
        <s v="Bungei Shunjūsha"/>
        <s v="Genten No Kai"/>
        <s v="Kanrin Shobō"/>
        <s v="Southern Japan Seminar"/>
        <s v="Association Of Teachers Of Japanese"/>
        <s v="Madison"/>
        <s v="Yuan Liu Chu Ban Shi Ye Gu Fen You Xian Gong Si"/>
        <s v="; [Tokyo] Kokubungaku Kenkyū Shiryōkan"/>
        <s v="Dai Nihon Yūbenkai Kōdansha"/>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621.488854166666" createdVersion="8" refreshedVersion="8" minRefreshableVersion="3" recordCount="1253" xr:uid="{964DF198-E99E-4304-9953-EFC49ABA76EA}">
  <cacheSource type="worksheet">
    <worksheetSource name="Items[Publisher (N)]"/>
  </cacheSource>
  <cacheFields count="1">
    <cacheField name="Publisher (N)" numFmtId="49">
      <sharedItems containsBlank="1" count="238">
        <s v="n/a"/>
        <m/>
        <s v="名古屋大学出版会"/>
        <s v="凡人社"/>
        <s v="東京大学出版会"/>
        <s v="Exclusive distributor in the U.S.A."/>
        <s v="荒竹出版"/>
        <s v="スリ-エ-ネットワ-ク"/>
        <s v="アルク"/>
        <s v="サイビズ"/>
        <s v="三省堂"/>
        <s v="岩波書店"/>
        <s v="講談社"/>
        <s v="学習研究社"/>
        <s v="大修館書店"/>
        <s v="荒竹 出版"/>
        <s v="北星堂書店"/>
        <s v="The Japan Times"/>
        <s v="ジャパンタイムズ"/>
        <s v="東京堂出版"/>
        <s v="東京堂"/>
        <s v="五福"/>
        <s v="金原出版株式会社"/>
        <s v="近藤出版社"/>
        <s v="文光堂"/>
        <s v="硏究社"/>
        <s v="大新書局"/>
        <s v="Japan Times"/>
        <s v="專門教育出版"/>
        <s v="専門敎育出版"/>
        <s v="発売元専門敎育出版"/>
        <s v="新宿日本語学校"/>
        <s v="朝日新聞社"/>
        <s v="社会評論社"/>
        <s v="得寶"/>
        <s v="PLANET"/>
        <s v="凡人社(発売)"/>
        <s v="童音社"/>
        <s v="加藤中道館"/>
        <s v="大陸書房"/>
        <s v="土曜美術出版販売"/>
        <s v="理論社"/>
        <s v="増進会出版社"/>
        <s v="東洋経済新報社"/>
        <s v="工作舎"/>
        <s v="有朋堂"/>
        <s v="PHP 研究所"/>
        <s v="新潮社"/>
        <s v="河出書房新社"/>
        <s v="日本文芸社"/>
        <s v="小学館"/>
        <s v="角川書店"/>
        <s v="文芸春秋"/>
        <s v="文藝春秋"/>
        <s v="学燈社"/>
        <s v="至文堂"/>
        <s v="里文出版"/>
        <s v="東京 新潮社 昭和48 (1973)"/>
        <s v="筑摩書房"/>
        <s v="ティビーエス・ブリタニカ"/>
        <s v="中央公論社"/>
        <s v="藤森書店"/>
        <s v="集英社"/>
        <s v="光風社書店"/>
        <s v="田畑書店"/>
        <s v="審美社"/>
        <s v="彩流社"/>
        <s v="大修館"/>
        <s v="福武書店"/>
        <s v="河出書房新社(発売)"/>
        <s v="朝曰新聞社"/>
        <s v="早川書房"/>
        <s v="日本放送出版協会"/>
        <s v="弘文堂"/>
        <s v="日本放送出版会"/>
        <s v="サイマル出版会"/>
        <s v="大月書店"/>
        <s v="ダイヤモンド社"/>
        <s v="有信堂"/>
        <s v="早稲田大学出版部"/>
        <s v="徳間書店"/>
        <s v="新人物住来社"/>
        <s v="番町書房"/>
        <s v="學燈社"/>
        <s v="光文社"/>
        <s v="史輝出版"/>
        <s v="清水書院"/>
        <s v="新曜社"/>
        <s v="鳳書房"/>
        <s v="新幹社"/>
        <s v="原書房"/>
        <s v="人文書院"/>
        <s v="学文社"/>
        <s v="未来社"/>
        <s v="青土社"/>
        <s v="青娥書房"/>
        <s v="人民文学出版社"/>
        <s v="国書刊行会"/>
        <s v="草思社"/>
        <s v="思潮社"/>
        <s v="みすず書房"/>
        <s v="創元社"/>
        <s v="平凡社"/>
        <s v="研究社出版"/>
        <s v="靑弓社"/>
        <s v="TBSブリタニカ"/>
        <s v="世界思想社"/>
        <s v="発売元 文藝春秋"/>
        <s v="発売山川出版社"/>
        <s v="笠間書院"/>
        <s v="風響社"/>
        <s v="勁草書房"/>
        <s v="勉誠社"/>
        <s v="ノ-ベル書房"/>
        <s v="明治書院"/>
        <s v="総発売元 ほるぷ"/>
        <s v="有精堂"/>
        <s v="教育出版センター"/>
        <s v="前衛出版社"/>
        <s v="國立文化資產保存硏究中心籌備處"/>
        <s v="夏日出版社"/>
        <s v="販売日米女性センター東京西原事務所"/>
        <s v="芸文社"/>
        <s v="遠流"/>
        <s v="桜楓社"/>
        <s v="おうふう"/>
        <s v="パルコ出版"/>
        <s v="文笙"/>
        <s v="秀英出版"/>
        <s v="三聯"/>
        <s v="大塊文化出版股份有限公司"/>
        <s v="中央図書"/>
        <s v="文化科学高等研究院出版局"/>
        <s v="七月堂"/>
        <s v="長崎出版"/>
        <s v="主婦の友社"/>
        <s v="三交社"/>
        <s v="JICC 出版局"/>
        <s v="近代文芸社"/>
        <s v="発売所日本出版貿易"/>
        <s v="双文社出版"/>
        <s v="国際交流基金"/>
        <s v="鼎書房"/>
        <s v="専修大学出版局"/>
        <s v="京都書房"/>
        <s v="人民文学出版社: 新华书店北京发行所发行"/>
        <s v="中経出版"/>
        <s v="海風出版社"/>
        <s v="ポプラ社"/>
        <s v="現代書館"/>
        <s v="夏目書房"/>
        <s v="鹿砦社"/>
        <s v="研文出版"/>
        <s v="ユック舎"/>
        <s v="御茶の水書房"/>
        <s v="アスペクト"/>
        <s v="東京] 至文堂 [1967]"/>
        <s v="慶應義塾大学出版会"/>
        <s v="聯經出版公司"/>
        <s v="INK 印刻文學生活雜誌出版有限公司"/>
        <s v="農學總經銷"/>
        <s v="秀威資訊科技股份有限公司"/>
        <s v="聯合文學出版社"/>
        <s v="北京出版社"/>
        <s v="九歌出版社"/>
        <s v="巨流"/>
        <s v="中央硏究院台灣史研究所"/>
        <s v="時報文化出版企業股份有限公司"/>
        <s v="黎銘圖書總經銷"/>
        <s v="立緖文化事業有限公司"/>
        <s v="春暉出版社"/>
        <s v="新華書店上海发行所发行"/>
        <s v="天下雜誌股份有限公司"/>
        <s v="生智文化事業有限公司"/>
        <s v="作家出版社"/>
        <s v="洪範書店"/>
        <s v="天下遠見出版股份有限公司"/>
        <s v="高雄市文化局"/>
        <s v="人間の星社"/>
        <s v="人文社"/>
        <s v="立風書房"/>
        <s v="国立台湾大学出版中心"/>
        <s v="第三書館"/>
        <s v="自由国民社"/>
        <s v="中央研究院臺灣史研究所"/>
        <s v="中央硏究院薹灣史硏究所籌備處"/>
        <s v="世界文化社"/>
        <s v="每日新聞社"/>
        <s v="関西大学大学院, 文学研究科, 中国文学専攻"/>
        <s v="東京新聞"/>
        <s v="文物出版社"/>
        <s v="[Distributed by China Books and Periodicals]"/>
        <s v="社会思想研究会出版部"/>
        <s v="祥伝社"/>
        <s v="文春文庫"/>
        <s v="広済堂出版"/>
        <s v="白泉社"/>
        <s v="東京"/>
        <s v="有隣堂"/>
        <s v="有斐閣"/>
        <s v="丸善株式会社"/>
        <s v="旺文社"/>
        <s v="金の星社"/>
        <s v="三一書房"/>
        <s v="文化圖書"/>
        <s v="榆書房"/>
        <s v="エルム"/>
        <s v="JICC出版局"/>
        <s v="金園社"/>
        <s v="日栄社"/>
        <s v="東京: 集英社"/>
        <s v="東京: 福武書店"/>
        <s v="東京: 書肆風の薔薇"/>
        <s v="東京: 大修館書店"/>
        <s v="東京: 大修館 ; Santa Clara"/>
        <s v="アルク株式会社 ^ 第1卷第1号-第20卷第3号 (Jan. ^ Mar. 2005); title from cover"/>
        <s v="国際日本文化研究センター ^ 第1集 (平成元年 5月 [May 1989])-"/>
        <s v="国際日本文化研究センター"/>
        <s v="日米女性情報センター"/>
        <s v="同センタ- ^ 第 1号 (1994)-"/>
        <s v="第1號 (大正8年7月 [July 1919])-no. 735 (昭和15年12月 [Dec. 1940]); 再健第1號 (昭和21年3月 [Mar. 1946])-第79號 (昭和25年4月 [Apr. 1950]); 復刋1号 (昭和25年10月下旬号[Oct. 1950])- = 通刋第1号-"/>
        <s v="[聯合文學雜誌社] ^ 創刊號 (民國73年11月 [Nov. 1984])-"/>
        <s v="國立政治大學中國文學系 ^ 第1期-"/>
        <s v="せらび書房 ^ 創刊号 (Jun. 1991)-"/>
        <s v="新潮社 ^ 第 1卷 第 1號 (明治 37年 5月 [May 1904])-第 43卷 第 6號 (大正 14年 12月 [Dec. 1925]) ; 第 23年 第 1-號 (大正 15年 1月 [Jan. 1926])-"/>
        <s v="宝島社"/>
        <s v="新日本文学会 ^ -第59卷第6号 (11/12"/>
        <s v="発売所 ^ 第10卷復刊号-"/>
        <s v="[福武書店] ^ 第 1卷 第 1号 (昭和 57年 1月 [Jan. 1982])-"/>
        <s v="河出書房新社 ^ 第1卷 (昭和37年3月[Mar. 1962])-"/>
        <s v="Began in 1923"/>
        <s v="「現点」の会"/>
        <s v="第1卷第1号 (昭和38年5月 [May 1963])-第531号 (October 2011)"/>
        <s v="翰林書房"/>
        <s v="Began with: 第1卷第1号 (昭和31年10月 [October 1956])"/>
        <s v="遠流出版事業股份有限公司 ^ Began with 創刊號(2005年9月)"/>
        <s v="[Tokyo] 国文学研究資料館 ^ 第1 (1977)-"/>
        <s v="第 1卷 第 1號-"/>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621.500927430556" createdVersion="8" refreshedVersion="8" minRefreshableVersion="3" recordCount="1253" xr:uid="{1893AFF2-87E7-446D-8D9E-DDC3E5B2DC3B}">
  <cacheSource type="worksheet">
    <worksheetSource name="Items[Pub Date (R/E)]"/>
  </cacheSource>
  <cacheFields count="1">
    <cacheField name="Pub Date (RE)" numFmtId="49">
      <sharedItems containsBlank="1" count="128">
        <s v="2003"/>
        <s v="1992"/>
        <s v="1971"/>
        <s v="1984-1985"/>
        <m/>
        <s v="1994"/>
        <s v="1999"/>
        <s v="1993"/>
        <s v="1995"/>
        <s v="1991"/>
        <s v="1988-1990"/>
        <s v="1987"/>
        <s v="1989"/>
        <s v="1990"/>
        <s v="1986"/>
        <s v="1998"/>
        <s v="2001"/>
        <s v="1984"/>
        <s v="n/a"/>
        <s v="1997"/>
        <s v="1988"/>
        <s v="1976"/>
        <s v="1978"/>
        <s v="1983"/>
        <s v="1987-"/>
        <s v="1981"/>
        <s v="1977"/>
        <s v="1988-"/>
        <s v="1977-"/>
        <s v="1954"/>
        <s v="1972"/>
        <s v="2002"/>
        <s v="1965"/>
        <s v="1970"/>
        <s v="1975"/>
        <s v="1974"/>
        <s v="1963"/>
        <s v="1964"/>
        <s v="2005"/>
        <s v="2006"/>
        <s v="1990-1994?"/>
        <s v="1949-?"/>
        <s v="1996"/>
        <s v="1979"/>
        <s v="2008"/>
        <s v="2010"/>
        <s v="1982"/>
        <s v="19??"/>
        <s v="1985"/>
        <s v="2000"/>
        <s v="1968"/>
        <s v="2007"/>
        <s v="1982-1983"/>
        <s v="1969"/>
        <s v="1973"/>
        <s v="1956"/>
        <s v="1980"/>
        <s v="2009"/>
        <s v="1961"/>
        <s v="2004"/>
        <s v="2015"/>
        <s v="1962"/>
        <s v="1977-1984"/>
        <s v="1969-1972"/>
        <s v="1966"/>
        <s v="1978-1981"/>
        <s v="1967"/>
        <s v="1962-1963"/>
        <s v="1958"/>
        <s v="1971-1987"/>
        <s v="1959-1965"/>
        <s v="1975-1976"/>
        <s v="1986-1990"/>
        <s v="1998-2001"/>
        <s v="2000-2013"/>
        <s v="1957-1962"/>
        <s v="1957"/>
        <s v="1959-1962"/>
        <s v="1958-1963"/>
        <s v="1960"/>
        <s v="1959-1963"/>
        <s v="1959-1960"/>
        <s v="1960-1962"/>
        <s v="1960-1963"/>
        <s v="1960-1961"/>
        <s v="1959"/>
        <s v="2011"/>
        <s v="1975-1977"/>
        <s v="2012"/>
        <s v="1931"/>
        <s v="1996-2005"/>
        <s v="2016"/>
        <s v="1970-1977"/>
        <s v="2014"/>
        <s v="1955"/>
        <s v="2017"/>
        <s v="1980-1983"/>
        <s v="1949"/>
        <s v="1947"/>
        <s v="1979-1984"/>
        <s v="1950"/>
        <s v="1992-2006"/>
        <s v="1948"/>
        <s v="1930"/>
        <s v="1976-1982"/>
        <s v="1919"/>
        <s v="2019"/>
        <s v="1952"/>
        <s v="1935"/>
        <s v="1965-1966"/>
        <s v="1987-1990"/>
        <s v="2013"/>
        <s v="2005-2007"/>
        <s v="1955-1960"/>
        <s v="1989-2005"/>
        <s v="1988-2000"/>
        <s v="1899-1998"/>
        <s v="1965-1971"/>
        <s v="2003-2007"/>
        <s v="1956-2009"/>
        <s v="1904"/>
        <s v="1946-2004"/>
        <s v="1982-1996"/>
        <s v="1923"/>
        <s v="1963-2011"/>
        <s v="1997-2024"/>
        <s v="1957-2019"/>
        <s v="1946"/>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 H. Lisbon" refreshedDate="45632.672675462964" createdVersion="8" refreshedVersion="8" minRefreshableVersion="3" recordCount="1253" xr:uid="{46020217-4224-411F-8267-B27E6EEB3738}">
  <cacheSource type="worksheet">
    <worksheetSource name="Items[Collection]"/>
  </cacheSource>
  <cacheFields count="1">
    <cacheField name="Collection" numFmtId="49">
      <sharedItems containsBlank="1" count="16">
        <s v="reject"/>
        <s v="dupe"/>
        <s v="asnst"/>
        <s v="asnref"/>
        <s v="dvd"/>
        <s v="pascal"/>
        <s v="japan"/>
        <s v="asnt"/>
        <s v="?"/>
        <s v="rare books"/>
        <s v="maybe"/>
        <s v="norst"/>
        <s v="govdocs"/>
        <s v="norref"/>
        <m u="1"/>
        <s v="exampl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3">
  <r>
    <x v="0"/>
  </r>
  <r>
    <x v="1"/>
  </r>
  <r>
    <x v="1"/>
  </r>
  <r>
    <x v="0"/>
  </r>
  <r>
    <x v="2"/>
  </r>
  <r>
    <x v="3"/>
  </r>
  <r>
    <x v="0"/>
  </r>
  <r>
    <x v="0"/>
  </r>
  <r>
    <x v="0"/>
  </r>
  <r>
    <x v="0"/>
  </r>
  <r>
    <x v="0"/>
  </r>
  <r>
    <x v="0"/>
  </r>
  <r>
    <x v="0"/>
  </r>
  <r>
    <x v="4"/>
  </r>
  <r>
    <x v="0"/>
  </r>
  <r>
    <x v="5"/>
  </r>
  <r>
    <x v="0"/>
  </r>
  <r>
    <x v="0"/>
  </r>
  <r>
    <x v="0"/>
  </r>
  <r>
    <x v="0"/>
  </r>
  <r>
    <x v="0"/>
  </r>
  <r>
    <x v="0"/>
  </r>
  <r>
    <x v="0"/>
  </r>
  <r>
    <x v="0"/>
  </r>
  <r>
    <x v="0"/>
  </r>
  <r>
    <x v="6"/>
  </r>
  <r>
    <x v="0"/>
  </r>
  <r>
    <x v="3"/>
  </r>
  <r>
    <x v="0"/>
  </r>
  <r>
    <x v="0"/>
  </r>
  <r>
    <x v="0"/>
  </r>
  <r>
    <x v="0"/>
  </r>
  <r>
    <x v="0"/>
  </r>
  <r>
    <x v="0"/>
  </r>
  <r>
    <x v="0"/>
  </r>
  <r>
    <x v="0"/>
  </r>
  <r>
    <x v="7"/>
  </r>
  <r>
    <x v="7"/>
  </r>
  <r>
    <x v="0"/>
  </r>
  <r>
    <x v="0"/>
  </r>
  <r>
    <x v="5"/>
  </r>
  <r>
    <x v="5"/>
  </r>
  <r>
    <x v="0"/>
  </r>
  <r>
    <x v="0"/>
  </r>
  <r>
    <x v="0"/>
  </r>
  <r>
    <x v="0"/>
  </r>
  <r>
    <x v="0"/>
  </r>
  <r>
    <x v="8"/>
  </r>
  <r>
    <x v="5"/>
  </r>
  <r>
    <x v="9"/>
  </r>
  <r>
    <x v="0"/>
  </r>
  <r>
    <x v="0"/>
  </r>
  <r>
    <x v="0"/>
  </r>
  <r>
    <x v="0"/>
  </r>
  <r>
    <x v="0"/>
  </r>
  <r>
    <x v="0"/>
  </r>
  <r>
    <x v="0"/>
  </r>
  <r>
    <x v="0"/>
  </r>
  <r>
    <x v="10"/>
  </r>
  <r>
    <x v="10"/>
  </r>
  <r>
    <x v="10"/>
  </r>
  <r>
    <x v="10"/>
  </r>
  <r>
    <x v="10"/>
  </r>
  <r>
    <x v="10"/>
  </r>
  <r>
    <x v="10"/>
  </r>
  <r>
    <x v="10"/>
  </r>
  <r>
    <x v="10"/>
  </r>
  <r>
    <x v="0"/>
  </r>
  <r>
    <x v="0"/>
  </r>
  <r>
    <x v="0"/>
  </r>
  <r>
    <x v="0"/>
  </r>
  <r>
    <x v="0"/>
  </r>
  <r>
    <x v="11"/>
  </r>
  <r>
    <x v="0"/>
  </r>
  <r>
    <x v="0"/>
  </r>
  <r>
    <x v="0"/>
  </r>
  <r>
    <x v="0"/>
  </r>
  <r>
    <x v="0"/>
  </r>
  <r>
    <x v="0"/>
  </r>
  <r>
    <x v="0"/>
  </r>
  <r>
    <x v="0"/>
  </r>
  <r>
    <x v="12"/>
  </r>
  <r>
    <x v="13"/>
  </r>
  <r>
    <x v="0"/>
  </r>
  <r>
    <x v="0"/>
  </r>
  <r>
    <x v="0"/>
  </r>
  <r>
    <x v="0"/>
  </r>
  <r>
    <x v="0"/>
  </r>
  <r>
    <x v="0"/>
  </r>
  <r>
    <x v="0"/>
  </r>
  <r>
    <x v="0"/>
  </r>
  <r>
    <x v="0"/>
  </r>
  <r>
    <x v="0"/>
  </r>
  <r>
    <x v="14"/>
  </r>
  <r>
    <x v="0"/>
  </r>
  <r>
    <x v="0"/>
  </r>
  <r>
    <x v="0"/>
  </r>
  <r>
    <x v="0"/>
  </r>
  <r>
    <x v="15"/>
  </r>
  <r>
    <x v="16"/>
  </r>
  <r>
    <x v="5"/>
  </r>
  <r>
    <x v="3"/>
  </r>
  <r>
    <x v="3"/>
  </r>
  <r>
    <x v="3"/>
  </r>
  <r>
    <x v="3"/>
  </r>
  <r>
    <x v="3"/>
  </r>
  <r>
    <x v="3"/>
  </r>
  <r>
    <x v="3"/>
  </r>
  <r>
    <x v="3"/>
  </r>
  <r>
    <x v="3"/>
  </r>
  <r>
    <x v="0"/>
  </r>
  <r>
    <x v="0"/>
  </r>
  <r>
    <x v="0"/>
  </r>
  <r>
    <x v="0"/>
  </r>
  <r>
    <x v="0"/>
  </r>
  <r>
    <x v="0"/>
  </r>
  <r>
    <x v="0"/>
  </r>
  <r>
    <x v="0"/>
  </r>
  <r>
    <x v="0"/>
  </r>
  <r>
    <x v="0"/>
  </r>
  <r>
    <x v="0"/>
  </r>
  <r>
    <x v="0"/>
  </r>
  <r>
    <x v="0"/>
  </r>
  <r>
    <x v="0"/>
  </r>
  <r>
    <x v="0"/>
  </r>
  <r>
    <x v="0"/>
  </r>
  <r>
    <x v="0"/>
  </r>
  <r>
    <x v="0"/>
  </r>
  <r>
    <x v="0"/>
  </r>
  <r>
    <x v="17"/>
  </r>
  <r>
    <x v="0"/>
  </r>
  <r>
    <x v="0"/>
  </r>
  <r>
    <x v="0"/>
  </r>
  <r>
    <x v="3"/>
  </r>
  <r>
    <x v="3"/>
  </r>
  <r>
    <x v="3"/>
  </r>
  <r>
    <x v="18"/>
  </r>
  <r>
    <x v="5"/>
  </r>
  <r>
    <x v="19"/>
  </r>
  <r>
    <x v="0"/>
  </r>
  <r>
    <x v="3"/>
  </r>
  <r>
    <x v="3"/>
  </r>
  <r>
    <x v="3"/>
  </r>
  <r>
    <x v="0"/>
  </r>
  <r>
    <x v="0"/>
  </r>
  <r>
    <x v="0"/>
  </r>
  <r>
    <x v="0"/>
  </r>
  <r>
    <x v="0"/>
  </r>
  <r>
    <x v="0"/>
  </r>
  <r>
    <x v="0"/>
  </r>
  <r>
    <x v="3"/>
  </r>
  <r>
    <x v="0"/>
  </r>
  <r>
    <x v="0"/>
  </r>
  <r>
    <x v="0"/>
  </r>
  <r>
    <x v="0"/>
  </r>
  <r>
    <x v="0"/>
  </r>
  <r>
    <x v="20"/>
  </r>
  <r>
    <x v="0"/>
  </r>
  <r>
    <x v="3"/>
  </r>
  <r>
    <x v="3"/>
  </r>
  <r>
    <x v="3"/>
  </r>
  <r>
    <x v="3"/>
  </r>
  <r>
    <x v="3"/>
  </r>
  <r>
    <x v="0"/>
  </r>
  <r>
    <x v="21"/>
  </r>
  <r>
    <x v="21"/>
  </r>
  <r>
    <x v="22"/>
  </r>
  <r>
    <x v="0"/>
  </r>
  <r>
    <x v="0"/>
  </r>
  <r>
    <x v="0"/>
  </r>
  <r>
    <x v="23"/>
  </r>
  <r>
    <x v="24"/>
  </r>
  <r>
    <x v="3"/>
  </r>
  <r>
    <x v="0"/>
  </r>
  <r>
    <x v="0"/>
  </r>
  <r>
    <x v="0"/>
  </r>
  <r>
    <x v="5"/>
  </r>
  <r>
    <x v="5"/>
  </r>
  <r>
    <x v="0"/>
  </r>
  <r>
    <x v="0"/>
  </r>
  <r>
    <x v="0"/>
  </r>
  <r>
    <x v="0"/>
  </r>
  <r>
    <x v="25"/>
  </r>
  <r>
    <x v="25"/>
  </r>
  <r>
    <x v="3"/>
  </r>
  <r>
    <x v="3"/>
  </r>
  <r>
    <x v="0"/>
  </r>
  <r>
    <x v="0"/>
  </r>
  <r>
    <x v="0"/>
  </r>
  <r>
    <x v="3"/>
  </r>
  <r>
    <x v="26"/>
  </r>
  <r>
    <x v="26"/>
  </r>
  <r>
    <x v="0"/>
  </r>
  <r>
    <x v="26"/>
  </r>
  <r>
    <x v="27"/>
  </r>
  <r>
    <x v="27"/>
  </r>
  <r>
    <x v="27"/>
  </r>
  <r>
    <x v="27"/>
  </r>
  <r>
    <x v="27"/>
  </r>
  <r>
    <x v="27"/>
  </r>
  <r>
    <x v="27"/>
  </r>
  <r>
    <x v="27"/>
  </r>
  <r>
    <x v="27"/>
  </r>
  <r>
    <x v="27"/>
  </r>
  <r>
    <x v="27"/>
  </r>
  <r>
    <x v="27"/>
  </r>
  <r>
    <x v="0"/>
  </r>
  <r>
    <x v="28"/>
  </r>
  <r>
    <x v="0"/>
  </r>
  <r>
    <x v="29"/>
  </r>
  <r>
    <x v="30"/>
  </r>
  <r>
    <x v="31"/>
  </r>
  <r>
    <x v="0"/>
  </r>
  <r>
    <x v="0"/>
  </r>
  <r>
    <x v="32"/>
  </r>
  <r>
    <x v="0"/>
  </r>
  <r>
    <x v="33"/>
  </r>
  <r>
    <x v="33"/>
  </r>
  <r>
    <x v="0"/>
  </r>
  <r>
    <x v="34"/>
  </r>
  <r>
    <x v="35"/>
  </r>
  <r>
    <x v="0"/>
  </r>
  <r>
    <x v="0"/>
  </r>
  <r>
    <x v="0"/>
  </r>
  <r>
    <x v="0"/>
  </r>
  <r>
    <x v="0"/>
  </r>
  <r>
    <x v="0"/>
  </r>
  <r>
    <x v="0"/>
  </r>
  <r>
    <x v="0"/>
  </r>
  <r>
    <x v="0"/>
  </r>
  <r>
    <x v="0"/>
  </r>
  <r>
    <x v="0"/>
  </r>
  <r>
    <x v="0"/>
  </r>
  <r>
    <x v="0"/>
  </r>
  <r>
    <x v="0"/>
  </r>
  <r>
    <x v="0"/>
  </r>
  <r>
    <x v="36"/>
  </r>
  <r>
    <x v="0"/>
  </r>
  <r>
    <x v="33"/>
  </r>
  <r>
    <x v="0"/>
  </r>
  <r>
    <x v="0"/>
  </r>
  <r>
    <x v="0"/>
  </r>
  <r>
    <x v="34"/>
  </r>
  <r>
    <x v="37"/>
  </r>
  <r>
    <x v="38"/>
  </r>
  <r>
    <x v="0"/>
  </r>
  <r>
    <x v="0"/>
  </r>
  <r>
    <x v="0"/>
  </r>
  <r>
    <x v="0"/>
  </r>
  <r>
    <x v="0"/>
  </r>
  <r>
    <x v="0"/>
  </r>
  <r>
    <x v="39"/>
  </r>
  <r>
    <x v="0"/>
  </r>
  <r>
    <x v="0"/>
  </r>
  <r>
    <x v="0"/>
  </r>
  <r>
    <x v="0"/>
  </r>
  <r>
    <x v="40"/>
  </r>
  <r>
    <x v="0"/>
  </r>
  <r>
    <x v="41"/>
  </r>
  <r>
    <x v="0"/>
  </r>
  <r>
    <x v="0"/>
  </r>
  <r>
    <x v="0"/>
  </r>
  <r>
    <x v="0"/>
  </r>
  <r>
    <x v="0"/>
  </r>
  <r>
    <x v="0"/>
  </r>
  <r>
    <x v="0"/>
  </r>
  <r>
    <x v="0"/>
  </r>
  <r>
    <x v="0"/>
  </r>
  <r>
    <x v="0"/>
  </r>
  <r>
    <x v="0"/>
  </r>
  <r>
    <x v="0"/>
  </r>
  <r>
    <x v="33"/>
  </r>
  <r>
    <x v="33"/>
  </r>
  <r>
    <x v="0"/>
  </r>
  <r>
    <x v="0"/>
  </r>
  <r>
    <x v="42"/>
  </r>
  <r>
    <x v="0"/>
  </r>
  <r>
    <x v="0"/>
  </r>
  <r>
    <x v="36"/>
  </r>
  <r>
    <x v="36"/>
  </r>
  <r>
    <x v="36"/>
  </r>
  <r>
    <x v="36"/>
  </r>
  <r>
    <x v="36"/>
  </r>
  <r>
    <x v="36"/>
  </r>
  <r>
    <x v="36"/>
  </r>
  <r>
    <x v="36"/>
  </r>
  <r>
    <x v="0"/>
  </r>
  <r>
    <x v="0"/>
  </r>
  <r>
    <x v="0"/>
  </r>
  <r>
    <x v="0"/>
  </r>
  <r>
    <x v="0"/>
  </r>
  <r>
    <x v="43"/>
  </r>
  <r>
    <x v="44"/>
  </r>
  <r>
    <x v="3"/>
  </r>
  <r>
    <x v="45"/>
  </r>
  <r>
    <x v="0"/>
  </r>
  <r>
    <x v="0"/>
  </r>
  <r>
    <x v="46"/>
  </r>
  <r>
    <x v="46"/>
  </r>
  <r>
    <x v="0"/>
  </r>
  <r>
    <x v="0"/>
  </r>
  <r>
    <x v="0"/>
  </r>
  <r>
    <x v="0"/>
  </r>
  <r>
    <x v="0"/>
  </r>
  <r>
    <x v="0"/>
  </r>
  <r>
    <x v="0"/>
  </r>
  <r>
    <x v="0"/>
  </r>
  <r>
    <x v="47"/>
  </r>
  <r>
    <x v="0"/>
  </r>
  <r>
    <x v="0"/>
  </r>
  <r>
    <x v="0"/>
  </r>
  <r>
    <x v="0"/>
  </r>
  <r>
    <x v="48"/>
  </r>
  <r>
    <x v="0"/>
  </r>
  <r>
    <x v="49"/>
  </r>
  <r>
    <x v="50"/>
  </r>
  <r>
    <x v="0"/>
  </r>
  <r>
    <x v="0"/>
  </r>
  <r>
    <x v="0"/>
  </r>
  <r>
    <x v="0"/>
  </r>
  <r>
    <x v="0"/>
  </r>
  <r>
    <x v="0"/>
  </r>
  <r>
    <x v="0"/>
  </r>
  <r>
    <x v="0"/>
  </r>
  <r>
    <x v="0"/>
  </r>
  <r>
    <x v="0"/>
  </r>
  <r>
    <x v="3"/>
  </r>
  <r>
    <x v="0"/>
  </r>
  <r>
    <x v="0"/>
  </r>
  <r>
    <x v="0"/>
  </r>
  <r>
    <x v="51"/>
  </r>
  <r>
    <x v="0"/>
  </r>
  <r>
    <x v="0"/>
  </r>
  <r>
    <x v="0"/>
  </r>
  <r>
    <x v="50"/>
  </r>
  <r>
    <x v="0"/>
  </r>
  <r>
    <x v="0"/>
  </r>
  <r>
    <x v="0"/>
  </r>
  <r>
    <x v="52"/>
  </r>
  <r>
    <x v="0"/>
  </r>
  <r>
    <x v="0"/>
  </r>
  <r>
    <x v="0"/>
  </r>
  <r>
    <x v="0"/>
  </r>
  <r>
    <x v="53"/>
  </r>
  <r>
    <x v="0"/>
  </r>
  <r>
    <x v="54"/>
  </r>
  <r>
    <x v="0"/>
  </r>
  <r>
    <x v="0"/>
  </r>
  <r>
    <x v="0"/>
  </r>
  <r>
    <x v="0"/>
  </r>
  <r>
    <x v="0"/>
  </r>
  <r>
    <x v="0"/>
  </r>
  <r>
    <x v="55"/>
  </r>
  <r>
    <x v="0"/>
  </r>
  <r>
    <x v="0"/>
  </r>
  <r>
    <x v="0"/>
  </r>
  <r>
    <x v="0"/>
  </r>
  <r>
    <x v="56"/>
  </r>
  <r>
    <x v="0"/>
  </r>
  <r>
    <x v="0"/>
  </r>
  <r>
    <x v="0"/>
  </r>
  <r>
    <x v="0"/>
  </r>
  <r>
    <x v="0"/>
  </r>
  <r>
    <x v="57"/>
  </r>
  <r>
    <x v="0"/>
  </r>
  <r>
    <x v="0"/>
  </r>
  <r>
    <x v="0"/>
  </r>
  <r>
    <x v="58"/>
  </r>
  <r>
    <x v="0"/>
  </r>
  <r>
    <x v="0"/>
  </r>
  <r>
    <x v="59"/>
  </r>
  <r>
    <x v="36"/>
  </r>
  <r>
    <x v="60"/>
  </r>
  <r>
    <x v="34"/>
  </r>
  <r>
    <x v="36"/>
  </r>
  <r>
    <x v="61"/>
  </r>
  <r>
    <x v="0"/>
  </r>
  <r>
    <x v="0"/>
  </r>
  <r>
    <x v="0"/>
  </r>
  <r>
    <x v="0"/>
  </r>
  <r>
    <x v="0"/>
  </r>
  <r>
    <x v="0"/>
  </r>
  <r>
    <x v="62"/>
  </r>
  <r>
    <x v="0"/>
  </r>
  <r>
    <x v="63"/>
  </r>
  <r>
    <x v="0"/>
  </r>
  <r>
    <x v="0"/>
  </r>
  <r>
    <x v="38"/>
  </r>
  <r>
    <x v="38"/>
  </r>
  <r>
    <x v="0"/>
  </r>
  <r>
    <x v="0"/>
  </r>
  <r>
    <x v="0"/>
  </r>
  <r>
    <x v="0"/>
  </r>
  <r>
    <x v="0"/>
  </r>
  <r>
    <x v="0"/>
  </r>
  <r>
    <x v="0"/>
  </r>
  <r>
    <x v="0"/>
  </r>
  <r>
    <x v="0"/>
  </r>
  <r>
    <x v="0"/>
  </r>
  <r>
    <x v="0"/>
  </r>
  <r>
    <x v="0"/>
  </r>
  <r>
    <x v="0"/>
  </r>
  <r>
    <x v="0"/>
  </r>
  <r>
    <x v="0"/>
  </r>
  <r>
    <x v="64"/>
  </r>
  <r>
    <x v="65"/>
  </r>
  <r>
    <x v="66"/>
  </r>
  <r>
    <x v="66"/>
  </r>
  <r>
    <x v="3"/>
  </r>
  <r>
    <x v="0"/>
  </r>
  <r>
    <x v="0"/>
  </r>
  <r>
    <x v="0"/>
  </r>
  <r>
    <x v="0"/>
  </r>
  <r>
    <x v="0"/>
  </r>
  <r>
    <x v="0"/>
  </r>
  <r>
    <x v="0"/>
  </r>
  <r>
    <x v="0"/>
  </r>
  <r>
    <x v="67"/>
  </r>
  <r>
    <x v="68"/>
  </r>
  <r>
    <x v="0"/>
  </r>
  <r>
    <x v="0"/>
  </r>
  <r>
    <x v="67"/>
  </r>
  <r>
    <x v="67"/>
  </r>
  <r>
    <x v="0"/>
  </r>
  <r>
    <x v="69"/>
  </r>
  <r>
    <x v="0"/>
  </r>
  <r>
    <x v="0"/>
  </r>
  <r>
    <x v="0"/>
  </r>
  <r>
    <x v="0"/>
  </r>
  <r>
    <x v="70"/>
  </r>
  <r>
    <x v="0"/>
  </r>
  <r>
    <x v="71"/>
  </r>
  <r>
    <x v="72"/>
  </r>
  <r>
    <x v="73"/>
  </r>
  <r>
    <x v="0"/>
  </r>
  <r>
    <x v="74"/>
  </r>
  <r>
    <x v="0"/>
  </r>
  <r>
    <x v="75"/>
  </r>
  <r>
    <x v="0"/>
  </r>
  <r>
    <x v="0"/>
  </r>
  <r>
    <x v="0"/>
  </r>
  <r>
    <x v="75"/>
  </r>
  <r>
    <x v="75"/>
  </r>
  <r>
    <x v="75"/>
  </r>
  <r>
    <x v="75"/>
  </r>
  <r>
    <x v="75"/>
  </r>
  <r>
    <x v="76"/>
  </r>
  <r>
    <x v="76"/>
  </r>
  <r>
    <x v="76"/>
  </r>
  <r>
    <x v="76"/>
  </r>
  <r>
    <x v="76"/>
  </r>
  <r>
    <x v="76"/>
  </r>
  <r>
    <x v="0"/>
  </r>
  <r>
    <x v="0"/>
  </r>
  <r>
    <x v="0"/>
  </r>
  <r>
    <x v="0"/>
  </r>
  <r>
    <x v="0"/>
  </r>
  <r>
    <x v="0"/>
  </r>
  <r>
    <x v="0"/>
  </r>
  <r>
    <x v="0"/>
  </r>
  <r>
    <x v="0"/>
  </r>
  <r>
    <x v="0"/>
  </r>
  <r>
    <x v="0"/>
  </r>
  <r>
    <x v="0"/>
  </r>
  <r>
    <x v="0"/>
  </r>
  <r>
    <x v="77"/>
  </r>
  <r>
    <x v="77"/>
  </r>
  <r>
    <x v="77"/>
  </r>
  <r>
    <x v="77"/>
  </r>
  <r>
    <x v="77"/>
  </r>
  <r>
    <x v="77"/>
  </r>
  <r>
    <x v="77"/>
  </r>
  <r>
    <x v="77"/>
  </r>
  <r>
    <x v="77"/>
  </r>
  <r>
    <x v="0"/>
  </r>
  <r>
    <x v="0"/>
  </r>
  <r>
    <x v="0"/>
  </r>
  <r>
    <x v="0"/>
  </r>
  <r>
    <x v="0"/>
  </r>
  <r>
    <x v="0"/>
  </r>
  <r>
    <x v="0"/>
  </r>
  <r>
    <x v="0"/>
  </r>
  <r>
    <x v="0"/>
  </r>
  <r>
    <x v="0"/>
  </r>
  <r>
    <x v="0"/>
  </r>
  <r>
    <x v="0"/>
  </r>
  <r>
    <x v="0"/>
  </r>
  <r>
    <x v="0"/>
  </r>
  <r>
    <x v="78"/>
  </r>
  <r>
    <x v="78"/>
  </r>
  <r>
    <x v="78"/>
  </r>
  <r>
    <x v="78"/>
  </r>
  <r>
    <x v="78"/>
  </r>
  <r>
    <x v="78"/>
  </r>
  <r>
    <x v="0"/>
  </r>
  <r>
    <x v="0"/>
  </r>
  <r>
    <x v="0"/>
  </r>
  <r>
    <x v="0"/>
  </r>
  <r>
    <x v="0"/>
  </r>
  <r>
    <x v="0"/>
  </r>
  <r>
    <x v="0"/>
  </r>
  <r>
    <x v="0"/>
  </r>
  <r>
    <x v="0"/>
  </r>
  <r>
    <x v="79"/>
  </r>
  <r>
    <x v="79"/>
  </r>
  <r>
    <x v="79"/>
  </r>
  <r>
    <x v="79"/>
  </r>
  <r>
    <x v="79"/>
  </r>
  <r>
    <x v="79"/>
  </r>
  <r>
    <x v="79"/>
  </r>
  <r>
    <x v="79"/>
  </r>
  <r>
    <x v="79"/>
  </r>
  <r>
    <x v="79"/>
  </r>
  <r>
    <x v="79"/>
  </r>
  <r>
    <x v="79"/>
  </r>
  <r>
    <x v="79"/>
  </r>
  <r>
    <x v="79"/>
  </r>
  <r>
    <x v="79"/>
  </r>
  <r>
    <x v="79"/>
  </r>
  <r>
    <x v="79"/>
  </r>
  <r>
    <x v="79"/>
  </r>
  <r>
    <x v="79"/>
  </r>
  <r>
    <x v="79"/>
  </r>
  <r>
    <x v="79"/>
  </r>
  <r>
    <x v="79"/>
  </r>
  <r>
    <x v="79"/>
  </r>
  <r>
    <x v="79"/>
  </r>
  <r>
    <x v="79"/>
  </r>
  <r>
    <x v="79"/>
  </r>
  <r>
    <x v="79"/>
  </r>
  <r>
    <x v="79"/>
  </r>
  <r>
    <x v="79"/>
  </r>
  <r>
    <x v="79"/>
  </r>
  <r>
    <x v="79"/>
  </r>
  <r>
    <x v="79"/>
  </r>
  <r>
    <x v="79"/>
  </r>
  <r>
    <x v="79"/>
  </r>
  <r>
    <x v="79"/>
  </r>
  <r>
    <x v="79"/>
  </r>
  <r>
    <x v="79"/>
  </r>
  <r>
    <x v="80"/>
  </r>
  <r>
    <x v="0"/>
  </r>
  <r>
    <x v="3"/>
  </r>
  <r>
    <x v="3"/>
  </r>
  <r>
    <x v="81"/>
  </r>
  <r>
    <x v="82"/>
  </r>
  <r>
    <x v="83"/>
  </r>
  <r>
    <x v="84"/>
  </r>
  <r>
    <x v="0"/>
  </r>
  <r>
    <x v="0"/>
  </r>
  <r>
    <x v="0"/>
  </r>
  <r>
    <x v="0"/>
  </r>
  <r>
    <x v="0"/>
  </r>
  <r>
    <x v="0"/>
  </r>
  <r>
    <x v="0"/>
  </r>
  <r>
    <x v="0"/>
  </r>
  <r>
    <x v="85"/>
  </r>
  <r>
    <x v="0"/>
  </r>
  <r>
    <x v="0"/>
  </r>
  <r>
    <x v="86"/>
  </r>
  <r>
    <x v="84"/>
  </r>
  <r>
    <x v="0"/>
  </r>
  <r>
    <x v="0"/>
  </r>
  <r>
    <x v="0"/>
  </r>
  <r>
    <x v="0"/>
  </r>
  <r>
    <x v="87"/>
  </r>
  <r>
    <x v="73"/>
  </r>
  <r>
    <x v="0"/>
  </r>
  <r>
    <x v="0"/>
  </r>
  <r>
    <x v="0"/>
  </r>
  <r>
    <x v="0"/>
  </r>
  <r>
    <x v="0"/>
  </r>
  <r>
    <x v="0"/>
  </r>
  <r>
    <x v="0"/>
  </r>
  <r>
    <x v="0"/>
  </r>
  <r>
    <x v="0"/>
  </r>
  <r>
    <x v="0"/>
  </r>
  <r>
    <x v="0"/>
  </r>
  <r>
    <x v="0"/>
  </r>
  <r>
    <x v="0"/>
  </r>
  <r>
    <x v="0"/>
  </r>
  <r>
    <x v="0"/>
  </r>
  <r>
    <x v="3"/>
  </r>
  <r>
    <x v="3"/>
  </r>
  <r>
    <x v="3"/>
  </r>
  <r>
    <x v="88"/>
  </r>
  <r>
    <x v="88"/>
  </r>
  <r>
    <x v="0"/>
  </r>
  <r>
    <x v="89"/>
  </r>
  <r>
    <x v="90"/>
  </r>
  <r>
    <x v="0"/>
  </r>
  <r>
    <x v="0"/>
  </r>
  <r>
    <x v="0"/>
  </r>
  <r>
    <x v="0"/>
  </r>
  <r>
    <x v="91"/>
  </r>
  <r>
    <x v="91"/>
  </r>
  <r>
    <x v="92"/>
  </r>
  <r>
    <x v="3"/>
  </r>
  <r>
    <x v="93"/>
  </r>
  <r>
    <x v="0"/>
  </r>
  <r>
    <x v="94"/>
  </r>
  <r>
    <x v="0"/>
  </r>
  <r>
    <x v="0"/>
  </r>
  <r>
    <x v="0"/>
  </r>
  <r>
    <x v="71"/>
  </r>
  <r>
    <x v="95"/>
  </r>
  <r>
    <x v="96"/>
  </r>
  <r>
    <x v="0"/>
  </r>
  <r>
    <x v="97"/>
  </r>
  <r>
    <x v="0"/>
  </r>
  <r>
    <x v="0"/>
  </r>
  <r>
    <x v="98"/>
  </r>
  <r>
    <x v="99"/>
  </r>
  <r>
    <x v="100"/>
  </r>
  <r>
    <x v="101"/>
  </r>
  <r>
    <x v="102"/>
  </r>
  <r>
    <x v="3"/>
  </r>
  <r>
    <x v="103"/>
  </r>
  <r>
    <x v="104"/>
  </r>
  <r>
    <x v="87"/>
  </r>
  <r>
    <x v="0"/>
  </r>
  <r>
    <x v="105"/>
  </r>
  <r>
    <x v="0"/>
  </r>
  <r>
    <x v="78"/>
  </r>
  <r>
    <x v="106"/>
  </r>
  <r>
    <x v="107"/>
  </r>
  <r>
    <x v="108"/>
  </r>
  <r>
    <x v="89"/>
  </r>
  <r>
    <x v="109"/>
  </r>
  <r>
    <x v="110"/>
  </r>
  <r>
    <x v="3"/>
  </r>
  <r>
    <x v="0"/>
  </r>
  <r>
    <x v="111"/>
  </r>
  <r>
    <x v="112"/>
  </r>
  <r>
    <x v="0"/>
  </r>
  <r>
    <x v="0"/>
  </r>
  <r>
    <x v="0"/>
  </r>
  <r>
    <x v="113"/>
  </r>
  <r>
    <x v="0"/>
  </r>
  <r>
    <x v="0"/>
  </r>
  <r>
    <x v="0"/>
  </r>
  <r>
    <x v="0"/>
  </r>
  <r>
    <x v="0"/>
  </r>
  <r>
    <x v="0"/>
  </r>
  <r>
    <x v="0"/>
  </r>
  <r>
    <x v="0"/>
  </r>
  <r>
    <x v="0"/>
  </r>
  <r>
    <x v="0"/>
  </r>
  <r>
    <x v="0"/>
  </r>
  <r>
    <x v="0"/>
  </r>
  <r>
    <x v="0"/>
  </r>
  <r>
    <x v="0"/>
  </r>
  <r>
    <x v="0"/>
  </r>
  <r>
    <x v="0"/>
  </r>
  <r>
    <x v="0"/>
  </r>
  <r>
    <x v="0"/>
  </r>
  <r>
    <x v="0"/>
  </r>
  <r>
    <x v="0"/>
  </r>
  <r>
    <x v="3"/>
  </r>
  <r>
    <x v="3"/>
  </r>
  <r>
    <x v="114"/>
  </r>
  <r>
    <x v="115"/>
  </r>
  <r>
    <x v="0"/>
  </r>
  <r>
    <x v="0"/>
  </r>
  <r>
    <x v="0"/>
  </r>
  <r>
    <x v="0"/>
  </r>
  <r>
    <x v="0"/>
  </r>
  <r>
    <x v="0"/>
  </r>
  <r>
    <x v="116"/>
  </r>
  <r>
    <x v="117"/>
  </r>
  <r>
    <x v="0"/>
  </r>
  <r>
    <x v="0"/>
  </r>
  <r>
    <x v="0"/>
  </r>
  <r>
    <x v="78"/>
  </r>
  <r>
    <x v="78"/>
  </r>
  <r>
    <x v="78"/>
  </r>
  <r>
    <x v="118"/>
  </r>
  <r>
    <x v="0"/>
  </r>
  <r>
    <x v="0"/>
  </r>
  <r>
    <x v="119"/>
  </r>
  <r>
    <x v="0"/>
  </r>
  <r>
    <x v="0"/>
  </r>
  <r>
    <x v="0"/>
  </r>
  <r>
    <x v="0"/>
  </r>
  <r>
    <x v="0"/>
  </r>
  <r>
    <x v="120"/>
  </r>
  <r>
    <x v="120"/>
  </r>
  <r>
    <x v="120"/>
  </r>
  <r>
    <x v="120"/>
  </r>
  <r>
    <x v="120"/>
  </r>
  <r>
    <x v="120"/>
  </r>
  <r>
    <x v="120"/>
  </r>
  <r>
    <x v="120"/>
  </r>
  <r>
    <x v="120"/>
  </r>
  <r>
    <x v="120"/>
  </r>
  <r>
    <x v="120"/>
  </r>
  <r>
    <x v="120"/>
  </r>
  <r>
    <x v="0"/>
  </r>
  <r>
    <x v="0"/>
  </r>
  <r>
    <x v="0"/>
  </r>
  <r>
    <x v="0"/>
  </r>
  <r>
    <x v="0"/>
  </r>
  <r>
    <x v="0"/>
  </r>
  <r>
    <x v="0"/>
  </r>
  <r>
    <x v="0"/>
  </r>
  <r>
    <x v="0"/>
  </r>
  <r>
    <x v="0"/>
  </r>
  <r>
    <x v="0"/>
  </r>
  <r>
    <x v="0"/>
  </r>
  <r>
    <x v="0"/>
  </r>
  <r>
    <x v="0"/>
  </r>
  <r>
    <x v="0"/>
  </r>
  <r>
    <x v="121"/>
  </r>
  <r>
    <x v="122"/>
  </r>
  <r>
    <x v="122"/>
  </r>
  <r>
    <x v="122"/>
  </r>
  <r>
    <x v="122"/>
  </r>
  <r>
    <x v="122"/>
  </r>
  <r>
    <x v="122"/>
  </r>
  <r>
    <x v="46"/>
  </r>
  <r>
    <x v="46"/>
  </r>
  <r>
    <x v="46"/>
  </r>
  <r>
    <x v="3"/>
  </r>
  <r>
    <x v="46"/>
  </r>
  <r>
    <x v="50"/>
  </r>
  <r>
    <x v="50"/>
  </r>
  <r>
    <x v="123"/>
  </r>
  <r>
    <x v="50"/>
  </r>
  <r>
    <x v="124"/>
  </r>
  <r>
    <x v="50"/>
  </r>
  <r>
    <x v="37"/>
  </r>
  <r>
    <x v="50"/>
  </r>
  <r>
    <x v="0"/>
  </r>
  <r>
    <x v="50"/>
  </r>
  <r>
    <x v="56"/>
  </r>
  <r>
    <x v="56"/>
  </r>
  <r>
    <x v="56"/>
  </r>
  <r>
    <x v="54"/>
  </r>
  <r>
    <x v="125"/>
  </r>
  <r>
    <x v="125"/>
  </r>
  <r>
    <x v="125"/>
  </r>
  <r>
    <x v="125"/>
  </r>
  <r>
    <x v="125"/>
  </r>
  <r>
    <x v="125"/>
  </r>
  <r>
    <x v="125"/>
  </r>
  <r>
    <x v="125"/>
  </r>
  <r>
    <x v="125"/>
  </r>
  <r>
    <x v="126"/>
  </r>
  <r>
    <x v="50"/>
  </r>
  <r>
    <x v="50"/>
  </r>
  <r>
    <x v="0"/>
  </r>
  <r>
    <x v="0"/>
  </r>
  <r>
    <x v="0"/>
  </r>
  <r>
    <x v="0"/>
  </r>
  <r>
    <x v="0"/>
  </r>
  <r>
    <x v="0"/>
  </r>
  <r>
    <x v="0"/>
  </r>
  <r>
    <x v="50"/>
  </r>
  <r>
    <x v="127"/>
  </r>
  <r>
    <x v="127"/>
  </r>
  <r>
    <x v="127"/>
  </r>
  <r>
    <x v="127"/>
  </r>
  <r>
    <x v="127"/>
  </r>
  <r>
    <x v="46"/>
  </r>
  <r>
    <x v="46"/>
  </r>
  <r>
    <x v="46"/>
  </r>
  <r>
    <x v="124"/>
  </r>
  <r>
    <x v="0"/>
  </r>
  <r>
    <x v="0"/>
  </r>
  <r>
    <x v="56"/>
  </r>
  <r>
    <x v="56"/>
  </r>
  <r>
    <x v="126"/>
  </r>
  <r>
    <x v="46"/>
  </r>
  <r>
    <x v="128"/>
  </r>
  <r>
    <x v="50"/>
  </r>
  <r>
    <x v="129"/>
  </r>
  <r>
    <x v="0"/>
  </r>
  <r>
    <x v="57"/>
  </r>
  <r>
    <x v="127"/>
  </r>
  <r>
    <x v="0"/>
  </r>
  <r>
    <x v="0"/>
  </r>
  <r>
    <x v="130"/>
  </r>
  <r>
    <x v="69"/>
  </r>
  <r>
    <x v="0"/>
  </r>
  <r>
    <x v="131"/>
  </r>
  <r>
    <x v="132"/>
  </r>
  <r>
    <x v="3"/>
  </r>
  <r>
    <x v="133"/>
  </r>
  <r>
    <x v="0"/>
  </r>
  <r>
    <x v="0"/>
  </r>
  <r>
    <x v="134"/>
  </r>
  <r>
    <x v="134"/>
  </r>
  <r>
    <x v="134"/>
  </r>
  <r>
    <x v="134"/>
  </r>
  <r>
    <x v="134"/>
  </r>
  <r>
    <x v="135"/>
  </r>
  <r>
    <x v="0"/>
  </r>
  <r>
    <x v="136"/>
  </r>
  <r>
    <x v="137"/>
  </r>
  <r>
    <x v="138"/>
  </r>
  <r>
    <x v="138"/>
  </r>
  <r>
    <x v="138"/>
  </r>
  <r>
    <x v="138"/>
  </r>
  <r>
    <x v="138"/>
  </r>
  <r>
    <x v="0"/>
  </r>
  <r>
    <x v="138"/>
  </r>
  <r>
    <x v="139"/>
  </r>
  <r>
    <x v="3"/>
  </r>
  <r>
    <x v="140"/>
  </r>
  <r>
    <x v="141"/>
  </r>
  <r>
    <x v="142"/>
  </r>
  <r>
    <x v="143"/>
  </r>
  <r>
    <x v="138"/>
  </r>
  <r>
    <x v="138"/>
  </r>
  <r>
    <x v="0"/>
  </r>
  <r>
    <x v="144"/>
  </r>
  <r>
    <x v="145"/>
  </r>
  <r>
    <x v="127"/>
  </r>
  <r>
    <x v="146"/>
  </r>
  <r>
    <x v="147"/>
  </r>
  <r>
    <x v="3"/>
  </r>
  <r>
    <x v="0"/>
  </r>
  <r>
    <x v="50"/>
  </r>
  <r>
    <x v="148"/>
  </r>
  <r>
    <x v="46"/>
  </r>
  <r>
    <x v="149"/>
  </r>
  <r>
    <x v="50"/>
  </r>
  <r>
    <x v="57"/>
  </r>
  <r>
    <x v="50"/>
  </r>
  <r>
    <x v="150"/>
  </r>
  <r>
    <x v="50"/>
  </r>
  <r>
    <x v="46"/>
  </r>
  <r>
    <x v="50"/>
  </r>
  <r>
    <x v="0"/>
  </r>
  <r>
    <x v="50"/>
  </r>
  <r>
    <x v="129"/>
  </r>
  <r>
    <x v="50"/>
  </r>
  <r>
    <x v="50"/>
  </r>
  <r>
    <x v="37"/>
  </r>
  <r>
    <x v="0"/>
  </r>
  <r>
    <x v="151"/>
  </r>
  <r>
    <x v="0"/>
  </r>
  <r>
    <x v="0"/>
  </r>
  <r>
    <x v="46"/>
  </r>
  <r>
    <x v="0"/>
  </r>
  <r>
    <x v="3"/>
  </r>
  <r>
    <x v="3"/>
  </r>
  <r>
    <x v="46"/>
  </r>
  <r>
    <x v="37"/>
  </r>
  <r>
    <x v="57"/>
  </r>
  <r>
    <x v="152"/>
  </r>
  <r>
    <x v="46"/>
  </r>
  <r>
    <x v="50"/>
  </r>
  <r>
    <x v="46"/>
  </r>
  <r>
    <x v="50"/>
  </r>
  <r>
    <x v="50"/>
  </r>
  <r>
    <x v="153"/>
  </r>
  <r>
    <x v="154"/>
  </r>
  <r>
    <x v="155"/>
  </r>
  <r>
    <x v="156"/>
  </r>
  <r>
    <x v="156"/>
  </r>
  <r>
    <x v="0"/>
  </r>
  <r>
    <x v="0"/>
  </r>
  <r>
    <x v="0"/>
  </r>
  <r>
    <x v="0"/>
  </r>
  <r>
    <x v="0"/>
  </r>
  <r>
    <x v="0"/>
  </r>
  <r>
    <x v="157"/>
  </r>
  <r>
    <x v="0"/>
  </r>
  <r>
    <x v="0"/>
  </r>
  <r>
    <x v="0"/>
  </r>
  <r>
    <x v="0"/>
  </r>
  <r>
    <x v="0"/>
  </r>
  <r>
    <x v="0"/>
  </r>
  <r>
    <x v="0"/>
  </r>
  <r>
    <x v="158"/>
  </r>
  <r>
    <x v="159"/>
  </r>
  <r>
    <x v="0"/>
  </r>
  <r>
    <x v="160"/>
  </r>
  <r>
    <x v="160"/>
  </r>
  <r>
    <x v="0"/>
  </r>
  <r>
    <x v="0"/>
  </r>
  <r>
    <x v="0"/>
  </r>
  <r>
    <x v="0"/>
  </r>
  <r>
    <x v="0"/>
  </r>
  <r>
    <x v="0"/>
  </r>
  <r>
    <x v="0"/>
  </r>
  <r>
    <x v="0"/>
  </r>
  <r>
    <x v="161"/>
  </r>
  <r>
    <x v="0"/>
  </r>
  <r>
    <x v="162"/>
  </r>
  <r>
    <x v="0"/>
  </r>
  <r>
    <x v="0"/>
  </r>
  <r>
    <x v="0"/>
  </r>
  <r>
    <x v="0"/>
  </r>
  <r>
    <x v="0"/>
  </r>
  <r>
    <x v="163"/>
  </r>
  <r>
    <x v="0"/>
  </r>
  <r>
    <x v="164"/>
  </r>
  <r>
    <x v="165"/>
  </r>
  <r>
    <x v="0"/>
  </r>
  <r>
    <x v="0"/>
  </r>
  <r>
    <x v="0"/>
  </r>
  <r>
    <x v="166"/>
  </r>
  <r>
    <x v="0"/>
  </r>
  <r>
    <x v="0"/>
  </r>
  <r>
    <x v="167"/>
  </r>
  <r>
    <x v="168"/>
  </r>
  <r>
    <x v="3"/>
  </r>
  <r>
    <x v="0"/>
  </r>
  <r>
    <x v="0"/>
  </r>
  <r>
    <x v="3"/>
  </r>
  <r>
    <x v="0"/>
  </r>
  <r>
    <x v="169"/>
  </r>
  <r>
    <x v="170"/>
  </r>
  <r>
    <x v="0"/>
  </r>
  <r>
    <x v="0"/>
  </r>
  <r>
    <x v="0"/>
  </r>
  <r>
    <x v="171"/>
  </r>
  <r>
    <x v="0"/>
  </r>
  <r>
    <x v="0"/>
  </r>
  <r>
    <x v="172"/>
  </r>
  <r>
    <x v="0"/>
  </r>
  <r>
    <x v="0"/>
  </r>
  <r>
    <x v="0"/>
  </r>
  <r>
    <x v="173"/>
  </r>
  <r>
    <x v="174"/>
  </r>
  <r>
    <x v="0"/>
  </r>
  <r>
    <x v="0"/>
  </r>
  <r>
    <x v="175"/>
  </r>
  <r>
    <x v="0"/>
  </r>
  <r>
    <x v="176"/>
  </r>
  <r>
    <x v="177"/>
  </r>
  <r>
    <x v="0"/>
  </r>
  <r>
    <x v="178"/>
  </r>
  <r>
    <x v="0"/>
  </r>
  <r>
    <x v="0"/>
  </r>
  <r>
    <x v="179"/>
  </r>
  <r>
    <x v="180"/>
  </r>
  <r>
    <x v="0"/>
  </r>
  <r>
    <x v="0"/>
  </r>
  <r>
    <x v="0"/>
  </r>
  <r>
    <x v="0"/>
  </r>
  <r>
    <x v="0"/>
  </r>
  <r>
    <x v="0"/>
  </r>
  <r>
    <x v="0"/>
  </r>
  <r>
    <x v="0"/>
  </r>
  <r>
    <x v="0"/>
  </r>
  <r>
    <x v="181"/>
  </r>
  <r>
    <x v="182"/>
  </r>
  <r>
    <x v="183"/>
  </r>
  <r>
    <x v="0"/>
  </r>
  <r>
    <x v="184"/>
  </r>
  <r>
    <x v="185"/>
  </r>
  <r>
    <x v="186"/>
  </r>
  <r>
    <x v="187"/>
  </r>
  <r>
    <x v="0"/>
  </r>
  <r>
    <x v="3"/>
  </r>
  <r>
    <x v="0"/>
  </r>
  <r>
    <x v="0"/>
  </r>
  <r>
    <x v="188"/>
  </r>
  <r>
    <x v="0"/>
  </r>
  <r>
    <x v="170"/>
  </r>
  <r>
    <x v="170"/>
  </r>
  <r>
    <x v="0"/>
  </r>
  <r>
    <x v="0"/>
  </r>
  <r>
    <x v="170"/>
  </r>
  <r>
    <x v="189"/>
  </r>
  <r>
    <x v="190"/>
  </r>
  <r>
    <x v="191"/>
  </r>
  <r>
    <x v="0"/>
  </r>
  <r>
    <x v="192"/>
  </r>
  <r>
    <x v="0"/>
  </r>
  <r>
    <x v="0"/>
  </r>
  <r>
    <x v="0"/>
  </r>
  <r>
    <x v="193"/>
  </r>
  <r>
    <x v="194"/>
  </r>
  <r>
    <x v="0"/>
  </r>
  <r>
    <x v="195"/>
  </r>
  <r>
    <x v="0"/>
  </r>
  <r>
    <x v="0"/>
  </r>
  <r>
    <x v="0"/>
  </r>
  <r>
    <x v="0"/>
  </r>
  <r>
    <x v="0"/>
  </r>
  <r>
    <x v="0"/>
  </r>
  <r>
    <x v="196"/>
  </r>
  <r>
    <x v="0"/>
  </r>
  <r>
    <x v="0"/>
  </r>
  <r>
    <x v="0"/>
  </r>
  <r>
    <x v="0"/>
  </r>
  <r>
    <x v="197"/>
  </r>
  <r>
    <x v="0"/>
  </r>
  <r>
    <x v="0"/>
  </r>
  <r>
    <x v="0"/>
  </r>
  <r>
    <x v="0"/>
  </r>
  <r>
    <x v="0"/>
  </r>
  <r>
    <x v="0"/>
  </r>
  <r>
    <x v="0"/>
  </r>
  <r>
    <x v="0"/>
  </r>
  <r>
    <x v="198"/>
  </r>
  <r>
    <x v="0"/>
  </r>
  <r>
    <x v="0"/>
  </r>
  <r>
    <x v="199"/>
  </r>
  <r>
    <x v="0"/>
  </r>
  <r>
    <x v="0"/>
  </r>
  <r>
    <x v="200"/>
  </r>
  <r>
    <x v="0"/>
  </r>
  <r>
    <x v="0"/>
  </r>
  <r>
    <x v="201"/>
  </r>
  <r>
    <x v="3"/>
  </r>
  <r>
    <x v="0"/>
  </r>
  <r>
    <x v="201"/>
  </r>
  <r>
    <x v="0"/>
  </r>
  <r>
    <x v="202"/>
  </r>
  <r>
    <x v="3"/>
  </r>
  <r>
    <x v="203"/>
  </r>
  <r>
    <x v="202"/>
  </r>
  <r>
    <x v="0"/>
  </r>
  <r>
    <x v="0"/>
  </r>
  <r>
    <x v="0"/>
  </r>
  <r>
    <x v="0"/>
  </r>
  <r>
    <x v="0"/>
  </r>
  <r>
    <x v="164"/>
  </r>
  <r>
    <x v="204"/>
  </r>
  <r>
    <x v="205"/>
  </r>
  <r>
    <x v="0"/>
  </r>
  <r>
    <x v="0"/>
  </r>
  <r>
    <x v="164"/>
  </r>
  <r>
    <x v="206"/>
  </r>
  <r>
    <x v="207"/>
  </r>
  <r>
    <x v="0"/>
  </r>
  <r>
    <x v="208"/>
  </r>
  <r>
    <x v="0"/>
  </r>
  <r>
    <x v="0"/>
  </r>
  <r>
    <x v="0"/>
  </r>
  <r>
    <x v="209"/>
  </r>
  <r>
    <x v="0"/>
  </r>
  <r>
    <x v="210"/>
  </r>
  <r>
    <x v="0"/>
  </r>
  <r>
    <x v="0"/>
  </r>
  <r>
    <x v="211"/>
  </r>
  <r>
    <x v="0"/>
  </r>
  <r>
    <x v="0"/>
  </r>
  <r>
    <x v="0"/>
  </r>
  <r>
    <x v="0"/>
  </r>
  <r>
    <x v="0"/>
  </r>
  <r>
    <x v="212"/>
  </r>
  <r>
    <x v="0"/>
  </r>
  <r>
    <x v="213"/>
  </r>
  <r>
    <x v="214"/>
  </r>
  <r>
    <x v="215"/>
  </r>
  <r>
    <x v="0"/>
  </r>
  <r>
    <x v="0"/>
  </r>
  <r>
    <x v="0"/>
  </r>
  <r>
    <x v="216"/>
  </r>
  <r>
    <x v="0"/>
  </r>
  <r>
    <x v="0"/>
  </r>
  <r>
    <x v="0"/>
  </r>
  <r>
    <x v="0"/>
  </r>
  <r>
    <x v="0"/>
  </r>
  <r>
    <x v="0"/>
  </r>
  <r>
    <x v="0"/>
  </r>
  <r>
    <x v="0"/>
  </r>
  <r>
    <x v="217"/>
  </r>
  <r>
    <x v="0"/>
  </r>
  <r>
    <x v="218"/>
  </r>
  <r>
    <x v="0"/>
  </r>
  <r>
    <x v="0"/>
  </r>
  <r>
    <x v="219"/>
  </r>
  <r>
    <x v="0"/>
  </r>
  <r>
    <x v="220"/>
  </r>
  <r>
    <x v="0"/>
  </r>
  <r>
    <x v="221"/>
  </r>
  <r>
    <x v="0"/>
  </r>
  <r>
    <x v="222"/>
  </r>
  <r>
    <x v="179"/>
  </r>
  <r>
    <x v="223"/>
  </r>
  <r>
    <x v="0"/>
  </r>
  <r>
    <x v="0"/>
  </r>
  <r>
    <x v="224"/>
  </r>
  <r>
    <x v="0"/>
  </r>
  <r>
    <x v="0"/>
  </r>
  <r>
    <x v="0"/>
  </r>
  <r>
    <x v="0"/>
  </r>
  <r>
    <x v="225"/>
  </r>
  <r>
    <x v="7"/>
  </r>
  <r>
    <x v="0"/>
  </r>
  <r>
    <x v="0"/>
  </r>
  <r>
    <x v="226"/>
  </r>
  <r>
    <x v="0"/>
  </r>
  <r>
    <x v="0"/>
  </r>
  <r>
    <x v="0"/>
  </r>
  <r>
    <x v="0"/>
  </r>
  <r>
    <x v="227"/>
  </r>
  <r>
    <x v="0"/>
  </r>
  <r>
    <x v="0"/>
  </r>
  <r>
    <x v="0"/>
  </r>
  <r>
    <x v="0"/>
  </r>
  <r>
    <x v="0"/>
  </r>
  <r>
    <x v="0"/>
  </r>
  <r>
    <x v="3"/>
  </r>
  <r>
    <x v="228"/>
  </r>
  <r>
    <x v="0"/>
  </r>
  <r>
    <x v="229"/>
  </r>
  <r>
    <x v="0"/>
  </r>
  <r>
    <x v="0"/>
  </r>
  <r>
    <x v="0"/>
  </r>
  <r>
    <x v="230"/>
  </r>
  <r>
    <x v="0"/>
  </r>
  <r>
    <x v="0"/>
  </r>
  <r>
    <x v="231"/>
  </r>
  <r>
    <x v="0"/>
  </r>
  <r>
    <x v="0"/>
  </r>
  <r>
    <x v="0"/>
  </r>
  <r>
    <x v="0"/>
  </r>
  <r>
    <x v="0"/>
  </r>
  <r>
    <x v="0"/>
  </r>
  <r>
    <x v="232"/>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83"/>
  </r>
  <r>
    <x v="0"/>
  </r>
  <r>
    <x v="233"/>
  </r>
  <r>
    <x v="0"/>
  </r>
  <r>
    <x v="0"/>
  </r>
  <r>
    <x v="0"/>
  </r>
  <r>
    <x v="0"/>
  </r>
  <r>
    <x v="0"/>
  </r>
  <r>
    <x v="0"/>
  </r>
  <r>
    <x v="0"/>
  </r>
  <r>
    <x v="0"/>
  </r>
  <r>
    <x v="0"/>
  </r>
  <r>
    <x v="0"/>
  </r>
  <r>
    <x v="0"/>
  </r>
  <r>
    <x v="0"/>
  </r>
  <r>
    <x v="0"/>
  </r>
  <r>
    <x v="0"/>
  </r>
  <r>
    <x v="234"/>
  </r>
  <r>
    <x v="235"/>
  </r>
  <r>
    <x v="0"/>
  </r>
  <r>
    <x v="0"/>
  </r>
  <r>
    <x v="0"/>
  </r>
  <r>
    <x v="0"/>
  </r>
  <r>
    <x v="0"/>
  </r>
  <r>
    <x v="0"/>
  </r>
  <r>
    <x v="0"/>
  </r>
  <r>
    <x v="0"/>
  </r>
  <r>
    <x v="0"/>
  </r>
  <r>
    <x v="0"/>
  </r>
  <r>
    <x v="0"/>
  </r>
  <r>
    <x v="0"/>
  </r>
  <r>
    <x v="0"/>
  </r>
  <r>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3">
  <r>
    <x v="0"/>
  </r>
  <r>
    <x v="0"/>
  </r>
  <r>
    <x v="0"/>
  </r>
  <r>
    <x v="0"/>
  </r>
  <r>
    <x v="0"/>
  </r>
  <r>
    <x v="1"/>
  </r>
  <r>
    <x v="0"/>
  </r>
  <r>
    <x v="0"/>
  </r>
  <r>
    <x v="0"/>
  </r>
  <r>
    <x v="0"/>
  </r>
  <r>
    <x v="0"/>
  </r>
  <r>
    <x v="0"/>
  </r>
  <r>
    <x v="0"/>
  </r>
  <r>
    <x v="0"/>
  </r>
  <r>
    <x v="0"/>
  </r>
  <r>
    <x v="2"/>
  </r>
  <r>
    <x v="0"/>
  </r>
  <r>
    <x v="0"/>
  </r>
  <r>
    <x v="0"/>
  </r>
  <r>
    <x v="0"/>
  </r>
  <r>
    <x v="0"/>
  </r>
  <r>
    <x v="0"/>
  </r>
  <r>
    <x v="0"/>
  </r>
  <r>
    <x v="0"/>
  </r>
  <r>
    <x v="0"/>
  </r>
  <r>
    <x v="0"/>
  </r>
  <r>
    <x v="0"/>
  </r>
  <r>
    <x v="1"/>
  </r>
  <r>
    <x v="0"/>
  </r>
  <r>
    <x v="0"/>
  </r>
  <r>
    <x v="0"/>
  </r>
  <r>
    <x v="0"/>
  </r>
  <r>
    <x v="0"/>
  </r>
  <r>
    <x v="0"/>
  </r>
  <r>
    <x v="0"/>
  </r>
  <r>
    <x v="0"/>
  </r>
  <r>
    <x v="0"/>
  </r>
  <r>
    <x v="0"/>
  </r>
  <r>
    <x v="0"/>
  </r>
  <r>
    <x v="0"/>
  </r>
  <r>
    <x v="2"/>
  </r>
  <r>
    <x v="2"/>
  </r>
  <r>
    <x v="0"/>
  </r>
  <r>
    <x v="0"/>
  </r>
  <r>
    <x v="0"/>
  </r>
  <r>
    <x v="0"/>
  </r>
  <r>
    <x v="0"/>
  </r>
  <r>
    <x v="3"/>
  </r>
  <r>
    <x v="2"/>
  </r>
  <r>
    <x v="4"/>
  </r>
  <r>
    <x v="0"/>
  </r>
  <r>
    <x v="0"/>
  </r>
  <r>
    <x v="0"/>
  </r>
  <r>
    <x v="0"/>
  </r>
  <r>
    <x v="0"/>
  </r>
  <r>
    <x v="0"/>
  </r>
  <r>
    <x v="0"/>
  </r>
  <r>
    <x v="0"/>
  </r>
  <r>
    <x v="5"/>
  </r>
  <r>
    <x v="5"/>
  </r>
  <r>
    <x v="5"/>
  </r>
  <r>
    <x v="5"/>
  </r>
  <r>
    <x v="5"/>
  </r>
  <r>
    <x v="5"/>
  </r>
  <r>
    <x v="5"/>
  </r>
  <r>
    <x v="5"/>
  </r>
  <r>
    <x v="5"/>
  </r>
  <r>
    <x v="0"/>
  </r>
  <r>
    <x v="0"/>
  </r>
  <r>
    <x v="0"/>
  </r>
  <r>
    <x v="0"/>
  </r>
  <r>
    <x v="0"/>
  </r>
  <r>
    <x v="6"/>
  </r>
  <r>
    <x v="0"/>
  </r>
  <r>
    <x v="0"/>
  </r>
  <r>
    <x v="0"/>
  </r>
  <r>
    <x v="0"/>
  </r>
  <r>
    <x v="0"/>
  </r>
  <r>
    <x v="0"/>
  </r>
  <r>
    <x v="0"/>
  </r>
  <r>
    <x v="0"/>
  </r>
  <r>
    <x v="0"/>
  </r>
  <r>
    <x v="0"/>
  </r>
  <r>
    <x v="0"/>
  </r>
  <r>
    <x v="0"/>
  </r>
  <r>
    <x v="0"/>
  </r>
  <r>
    <x v="0"/>
  </r>
  <r>
    <x v="0"/>
  </r>
  <r>
    <x v="0"/>
  </r>
  <r>
    <x v="0"/>
  </r>
  <r>
    <x v="0"/>
  </r>
  <r>
    <x v="0"/>
  </r>
  <r>
    <x v="0"/>
  </r>
  <r>
    <x v="7"/>
  </r>
  <r>
    <x v="0"/>
  </r>
  <r>
    <x v="0"/>
  </r>
  <r>
    <x v="0"/>
  </r>
  <r>
    <x v="0"/>
  </r>
  <r>
    <x v="8"/>
  </r>
  <r>
    <x v="9"/>
  </r>
  <r>
    <x v="2"/>
  </r>
  <r>
    <x v="1"/>
  </r>
  <r>
    <x v="1"/>
  </r>
  <r>
    <x v="1"/>
  </r>
  <r>
    <x v="1"/>
  </r>
  <r>
    <x v="1"/>
  </r>
  <r>
    <x v="1"/>
  </r>
  <r>
    <x v="1"/>
  </r>
  <r>
    <x v="1"/>
  </r>
  <r>
    <x v="1"/>
  </r>
  <r>
    <x v="0"/>
  </r>
  <r>
    <x v="0"/>
  </r>
  <r>
    <x v="0"/>
  </r>
  <r>
    <x v="0"/>
  </r>
  <r>
    <x v="0"/>
  </r>
  <r>
    <x v="0"/>
  </r>
  <r>
    <x v="0"/>
  </r>
  <r>
    <x v="0"/>
  </r>
  <r>
    <x v="0"/>
  </r>
  <r>
    <x v="0"/>
  </r>
  <r>
    <x v="0"/>
  </r>
  <r>
    <x v="0"/>
  </r>
  <r>
    <x v="0"/>
  </r>
  <r>
    <x v="0"/>
  </r>
  <r>
    <x v="0"/>
  </r>
  <r>
    <x v="0"/>
  </r>
  <r>
    <x v="0"/>
  </r>
  <r>
    <x v="0"/>
  </r>
  <r>
    <x v="0"/>
  </r>
  <r>
    <x v="7"/>
  </r>
  <r>
    <x v="0"/>
  </r>
  <r>
    <x v="0"/>
  </r>
  <r>
    <x v="0"/>
  </r>
  <r>
    <x v="1"/>
  </r>
  <r>
    <x v="1"/>
  </r>
  <r>
    <x v="1"/>
  </r>
  <r>
    <x v="10"/>
  </r>
  <r>
    <x v="2"/>
  </r>
  <r>
    <x v="0"/>
  </r>
  <r>
    <x v="0"/>
  </r>
  <r>
    <x v="1"/>
  </r>
  <r>
    <x v="1"/>
  </r>
  <r>
    <x v="1"/>
  </r>
  <r>
    <x v="0"/>
  </r>
  <r>
    <x v="0"/>
  </r>
  <r>
    <x v="0"/>
  </r>
  <r>
    <x v="0"/>
  </r>
  <r>
    <x v="0"/>
  </r>
  <r>
    <x v="0"/>
  </r>
  <r>
    <x v="0"/>
  </r>
  <r>
    <x v="1"/>
  </r>
  <r>
    <x v="0"/>
  </r>
  <r>
    <x v="0"/>
  </r>
  <r>
    <x v="0"/>
  </r>
  <r>
    <x v="0"/>
  </r>
  <r>
    <x v="0"/>
  </r>
  <r>
    <x v="11"/>
  </r>
  <r>
    <x v="0"/>
  </r>
  <r>
    <x v="1"/>
  </r>
  <r>
    <x v="1"/>
  </r>
  <r>
    <x v="1"/>
  </r>
  <r>
    <x v="1"/>
  </r>
  <r>
    <x v="1"/>
  </r>
  <r>
    <x v="0"/>
  </r>
  <r>
    <x v="0"/>
  </r>
  <r>
    <x v="0"/>
  </r>
  <r>
    <x v="0"/>
  </r>
  <r>
    <x v="0"/>
  </r>
  <r>
    <x v="0"/>
  </r>
  <r>
    <x v="0"/>
  </r>
  <r>
    <x v="0"/>
  </r>
  <r>
    <x v="0"/>
  </r>
  <r>
    <x v="1"/>
  </r>
  <r>
    <x v="0"/>
  </r>
  <r>
    <x v="0"/>
  </r>
  <r>
    <x v="0"/>
  </r>
  <r>
    <x v="2"/>
  </r>
  <r>
    <x v="2"/>
  </r>
  <r>
    <x v="0"/>
  </r>
  <r>
    <x v="0"/>
  </r>
  <r>
    <x v="0"/>
  </r>
  <r>
    <x v="0"/>
  </r>
  <r>
    <x v="0"/>
  </r>
  <r>
    <x v="0"/>
  </r>
  <r>
    <x v="1"/>
  </r>
  <r>
    <x v="1"/>
  </r>
  <r>
    <x v="0"/>
  </r>
  <r>
    <x v="0"/>
  </r>
  <r>
    <x v="0"/>
  </r>
  <r>
    <x v="1"/>
  </r>
  <r>
    <x v="12"/>
  </r>
  <r>
    <x v="12"/>
  </r>
  <r>
    <x v="0"/>
  </r>
  <r>
    <x v="12"/>
  </r>
  <r>
    <x v="13"/>
  </r>
  <r>
    <x v="13"/>
  </r>
  <r>
    <x v="13"/>
  </r>
  <r>
    <x v="13"/>
  </r>
  <r>
    <x v="13"/>
  </r>
  <r>
    <x v="13"/>
  </r>
  <r>
    <x v="13"/>
  </r>
  <r>
    <x v="13"/>
  </r>
  <r>
    <x v="13"/>
  </r>
  <r>
    <x v="13"/>
  </r>
  <r>
    <x v="13"/>
  </r>
  <r>
    <x v="13"/>
  </r>
  <r>
    <x v="0"/>
  </r>
  <r>
    <x v="0"/>
  </r>
  <r>
    <x v="0"/>
  </r>
  <r>
    <x v="14"/>
  </r>
  <r>
    <x v="15"/>
  </r>
  <r>
    <x v="16"/>
  </r>
  <r>
    <x v="0"/>
  </r>
  <r>
    <x v="0"/>
  </r>
  <r>
    <x v="17"/>
  </r>
  <r>
    <x v="0"/>
  </r>
  <r>
    <x v="18"/>
  </r>
  <r>
    <x v="18"/>
  </r>
  <r>
    <x v="0"/>
  </r>
  <r>
    <x v="19"/>
  </r>
  <r>
    <x v="20"/>
  </r>
  <r>
    <x v="0"/>
  </r>
  <r>
    <x v="0"/>
  </r>
  <r>
    <x v="0"/>
  </r>
  <r>
    <x v="0"/>
  </r>
  <r>
    <x v="0"/>
  </r>
  <r>
    <x v="0"/>
  </r>
  <r>
    <x v="0"/>
  </r>
  <r>
    <x v="0"/>
  </r>
  <r>
    <x v="0"/>
  </r>
  <r>
    <x v="0"/>
  </r>
  <r>
    <x v="0"/>
  </r>
  <r>
    <x v="0"/>
  </r>
  <r>
    <x v="0"/>
  </r>
  <r>
    <x v="0"/>
  </r>
  <r>
    <x v="0"/>
  </r>
  <r>
    <x v="21"/>
  </r>
  <r>
    <x v="0"/>
  </r>
  <r>
    <x v="18"/>
  </r>
  <r>
    <x v="0"/>
  </r>
  <r>
    <x v="0"/>
  </r>
  <r>
    <x v="0"/>
  </r>
  <r>
    <x v="19"/>
  </r>
  <r>
    <x v="22"/>
  </r>
  <r>
    <x v="23"/>
  </r>
  <r>
    <x v="0"/>
  </r>
  <r>
    <x v="0"/>
  </r>
  <r>
    <x v="0"/>
  </r>
  <r>
    <x v="0"/>
  </r>
  <r>
    <x v="0"/>
  </r>
  <r>
    <x v="0"/>
  </r>
  <r>
    <x v="24"/>
  </r>
  <r>
    <x v="0"/>
  </r>
  <r>
    <x v="0"/>
  </r>
  <r>
    <x v="0"/>
  </r>
  <r>
    <x v="0"/>
  </r>
  <r>
    <x v="25"/>
  </r>
  <r>
    <x v="0"/>
  </r>
  <r>
    <x v="26"/>
  </r>
  <r>
    <x v="0"/>
  </r>
  <r>
    <x v="0"/>
  </r>
  <r>
    <x v="0"/>
  </r>
  <r>
    <x v="0"/>
  </r>
  <r>
    <x v="0"/>
  </r>
  <r>
    <x v="0"/>
  </r>
  <r>
    <x v="0"/>
  </r>
  <r>
    <x v="0"/>
  </r>
  <r>
    <x v="0"/>
  </r>
  <r>
    <x v="0"/>
  </r>
  <r>
    <x v="0"/>
  </r>
  <r>
    <x v="0"/>
  </r>
  <r>
    <x v="18"/>
  </r>
  <r>
    <x v="18"/>
  </r>
  <r>
    <x v="0"/>
  </r>
  <r>
    <x v="0"/>
  </r>
  <r>
    <x v="0"/>
  </r>
  <r>
    <x v="0"/>
  </r>
  <r>
    <x v="0"/>
  </r>
  <r>
    <x v="27"/>
  </r>
  <r>
    <x v="21"/>
  </r>
  <r>
    <x v="21"/>
  </r>
  <r>
    <x v="21"/>
  </r>
  <r>
    <x v="21"/>
  </r>
  <r>
    <x v="21"/>
  </r>
  <r>
    <x v="21"/>
  </r>
  <r>
    <x v="21"/>
  </r>
  <r>
    <x v="0"/>
  </r>
  <r>
    <x v="0"/>
  </r>
  <r>
    <x v="0"/>
  </r>
  <r>
    <x v="0"/>
  </r>
  <r>
    <x v="0"/>
  </r>
  <r>
    <x v="0"/>
  </r>
  <r>
    <x v="28"/>
  </r>
  <r>
    <x v="1"/>
  </r>
  <r>
    <x v="29"/>
  </r>
  <r>
    <x v="0"/>
  </r>
  <r>
    <x v="0"/>
  </r>
  <r>
    <x v="30"/>
  </r>
  <r>
    <x v="30"/>
  </r>
  <r>
    <x v="0"/>
  </r>
  <r>
    <x v="0"/>
  </r>
  <r>
    <x v="0"/>
  </r>
  <r>
    <x v="0"/>
  </r>
  <r>
    <x v="0"/>
  </r>
  <r>
    <x v="0"/>
  </r>
  <r>
    <x v="0"/>
  </r>
  <r>
    <x v="0"/>
  </r>
  <r>
    <x v="31"/>
  </r>
  <r>
    <x v="0"/>
  </r>
  <r>
    <x v="0"/>
  </r>
  <r>
    <x v="0"/>
  </r>
  <r>
    <x v="0"/>
  </r>
  <r>
    <x v="32"/>
  </r>
  <r>
    <x v="0"/>
  </r>
  <r>
    <x v="33"/>
  </r>
  <r>
    <x v="34"/>
  </r>
  <r>
    <x v="0"/>
  </r>
  <r>
    <x v="0"/>
  </r>
  <r>
    <x v="0"/>
  </r>
  <r>
    <x v="0"/>
  </r>
  <r>
    <x v="0"/>
  </r>
  <r>
    <x v="0"/>
  </r>
  <r>
    <x v="0"/>
  </r>
  <r>
    <x v="0"/>
  </r>
  <r>
    <x v="0"/>
  </r>
  <r>
    <x v="0"/>
  </r>
  <r>
    <x v="1"/>
  </r>
  <r>
    <x v="0"/>
  </r>
  <r>
    <x v="0"/>
  </r>
  <r>
    <x v="0"/>
  </r>
  <r>
    <x v="35"/>
  </r>
  <r>
    <x v="0"/>
  </r>
  <r>
    <x v="0"/>
  </r>
  <r>
    <x v="0"/>
  </r>
  <r>
    <x v="34"/>
  </r>
  <r>
    <x v="0"/>
  </r>
  <r>
    <x v="0"/>
  </r>
  <r>
    <x v="0"/>
  </r>
  <r>
    <x v="36"/>
  </r>
  <r>
    <x v="0"/>
  </r>
  <r>
    <x v="0"/>
  </r>
  <r>
    <x v="0"/>
  </r>
  <r>
    <x v="0"/>
  </r>
  <r>
    <x v="37"/>
  </r>
  <r>
    <x v="0"/>
  </r>
  <r>
    <x v="38"/>
  </r>
  <r>
    <x v="0"/>
  </r>
  <r>
    <x v="0"/>
  </r>
  <r>
    <x v="0"/>
  </r>
  <r>
    <x v="0"/>
  </r>
  <r>
    <x v="0"/>
  </r>
  <r>
    <x v="0"/>
  </r>
  <r>
    <x v="39"/>
  </r>
  <r>
    <x v="0"/>
  </r>
  <r>
    <x v="0"/>
  </r>
  <r>
    <x v="0"/>
  </r>
  <r>
    <x v="0"/>
  </r>
  <r>
    <x v="40"/>
  </r>
  <r>
    <x v="0"/>
  </r>
  <r>
    <x v="0"/>
  </r>
  <r>
    <x v="0"/>
  </r>
  <r>
    <x v="0"/>
  </r>
  <r>
    <x v="0"/>
  </r>
  <r>
    <x v="41"/>
  </r>
  <r>
    <x v="0"/>
  </r>
  <r>
    <x v="0"/>
  </r>
  <r>
    <x v="0"/>
  </r>
  <r>
    <x v="42"/>
  </r>
  <r>
    <x v="0"/>
  </r>
  <r>
    <x v="0"/>
  </r>
  <r>
    <x v="0"/>
  </r>
  <r>
    <x v="21"/>
  </r>
  <r>
    <x v="0"/>
  </r>
  <r>
    <x v="19"/>
  </r>
  <r>
    <x v="21"/>
  </r>
  <r>
    <x v="43"/>
  </r>
  <r>
    <x v="0"/>
  </r>
  <r>
    <x v="0"/>
  </r>
  <r>
    <x v="0"/>
  </r>
  <r>
    <x v="0"/>
  </r>
  <r>
    <x v="0"/>
  </r>
  <r>
    <x v="0"/>
  </r>
  <r>
    <x v="44"/>
  </r>
  <r>
    <x v="0"/>
  </r>
  <r>
    <x v="45"/>
  </r>
  <r>
    <x v="0"/>
  </r>
  <r>
    <x v="0"/>
  </r>
  <r>
    <x v="23"/>
  </r>
  <r>
    <x v="23"/>
  </r>
  <r>
    <x v="0"/>
  </r>
  <r>
    <x v="0"/>
  </r>
  <r>
    <x v="0"/>
  </r>
  <r>
    <x v="0"/>
  </r>
  <r>
    <x v="0"/>
  </r>
  <r>
    <x v="0"/>
  </r>
  <r>
    <x v="0"/>
  </r>
  <r>
    <x v="0"/>
  </r>
  <r>
    <x v="0"/>
  </r>
  <r>
    <x v="0"/>
  </r>
  <r>
    <x v="0"/>
  </r>
  <r>
    <x v="0"/>
  </r>
  <r>
    <x v="0"/>
  </r>
  <r>
    <x v="0"/>
  </r>
  <r>
    <x v="0"/>
  </r>
  <r>
    <x v="46"/>
  </r>
  <r>
    <x v="47"/>
  </r>
  <r>
    <x v="48"/>
  </r>
  <r>
    <x v="48"/>
  </r>
  <r>
    <x v="1"/>
  </r>
  <r>
    <x v="0"/>
  </r>
  <r>
    <x v="0"/>
  </r>
  <r>
    <x v="0"/>
  </r>
  <r>
    <x v="0"/>
  </r>
  <r>
    <x v="0"/>
  </r>
  <r>
    <x v="0"/>
  </r>
  <r>
    <x v="0"/>
  </r>
  <r>
    <x v="0"/>
  </r>
  <r>
    <x v="49"/>
  </r>
  <r>
    <x v="50"/>
  </r>
  <r>
    <x v="0"/>
  </r>
  <r>
    <x v="0"/>
  </r>
  <r>
    <x v="49"/>
  </r>
  <r>
    <x v="49"/>
  </r>
  <r>
    <x v="0"/>
  </r>
  <r>
    <x v="51"/>
  </r>
  <r>
    <x v="0"/>
  </r>
  <r>
    <x v="0"/>
  </r>
  <r>
    <x v="0"/>
  </r>
  <r>
    <x v="0"/>
  </r>
  <r>
    <x v="52"/>
  </r>
  <r>
    <x v="0"/>
  </r>
  <r>
    <x v="53"/>
  </r>
  <r>
    <x v="54"/>
  </r>
  <r>
    <x v="55"/>
  </r>
  <r>
    <x v="0"/>
  </r>
  <r>
    <x v="56"/>
  </r>
  <r>
    <x v="0"/>
  </r>
  <r>
    <x v="57"/>
  </r>
  <r>
    <x v="0"/>
  </r>
  <r>
    <x v="0"/>
  </r>
  <r>
    <x v="0"/>
  </r>
  <r>
    <x v="57"/>
  </r>
  <r>
    <x v="57"/>
  </r>
  <r>
    <x v="57"/>
  </r>
  <r>
    <x v="57"/>
  </r>
  <r>
    <x v="57"/>
  </r>
  <r>
    <x v="58"/>
  </r>
  <r>
    <x v="58"/>
  </r>
  <r>
    <x v="58"/>
  </r>
  <r>
    <x v="58"/>
  </r>
  <r>
    <x v="58"/>
  </r>
  <r>
    <x v="58"/>
  </r>
  <r>
    <x v="0"/>
  </r>
  <r>
    <x v="0"/>
  </r>
  <r>
    <x v="0"/>
  </r>
  <r>
    <x v="0"/>
  </r>
  <r>
    <x v="0"/>
  </r>
  <r>
    <x v="0"/>
  </r>
  <r>
    <x v="0"/>
  </r>
  <r>
    <x v="0"/>
  </r>
  <r>
    <x v="0"/>
  </r>
  <r>
    <x v="0"/>
  </r>
  <r>
    <x v="0"/>
  </r>
  <r>
    <x v="0"/>
  </r>
  <r>
    <x v="0"/>
  </r>
  <r>
    <x v="59"/>
  </r>
  <r>
    <x v="59"/>
  </r>
  <r>
    <x v="59"/>
  </r>
  <r>
    <x v="59"/>
  </r>
  <r>
    <x v="59"/>
  </r>
  <r>
    <x v="59"/>
  </r>
  <r>
    <x v="59"/>
  </r>
  <r>
    <x v="59"/>
  </r>
  <r>
    <x v="59"/>
  </r>
  <r>
    <x v="0"/>
  </r>
  <r>
    <x v="0"/>
  </r>
  <r>
    <x v="0"/>
  </r>
  <r>
    <x v="0"/>
  </r>
  <r>
    <x v="0"/>
  </r>
  <r>
    <x v="0"/>
  </r>
  <r>
    <x v="0"/>
  </r>
  <r>
    <x v="0"/>
  </r>
  <r>
    <x v="0"/>
  </r>
  <r>
    <x v="0"/>
  </r>
  <r>
    <x v="0"/>
  </r>
  <r>
    <x v="0"/>
  </r>
  <r>
    <x v="0"/>
  </r>
  <r>
    <x v="0"/>
  </r>
  <r>
    <x v="60"/>
  </r>
  <r>
    <x v="60"/>
  </r>
  <r>
    <x v="60"/>
  </r>
  <r>
    <x v="60"/>
  </r>
  <r>
    <x v="60"/>
  </r>
  <r>
    <x v="60"/>
  </r>
  <r>
    <x v="0"/>
  </r>
  <r>
    <x v="0"/>
  </r>
  <r>
    <x v="0"/>
  </r>
  <r>
    <x v="0"/>
  </r>
  <r>
    <x v="0"/>
  </r>
  <r>
    <x v="0"/>
  </r>
  <r>
    <x v="0"/>
  </r>
  <r>
    <x v="0"/>
  </r>
  <r>
    <x v="0"/>
  </r>
  <r>
    <x v="61"/>
  </r>
  <r>
    <x v="61"/>
  </r>
  <r>
    <x v="61"/>
  </r>
  <r>
    <x v="61"/>
  </r>
  <r>
    <x v="62"/>
  </r>
  <r>
    <x v="62"/>
  </r>
  <r>
    <x v="61"/>
  </r>
  <r>
    <x v="61"/>
  </r>
  <r>
    <x v="61"/>
  </r>
  <r>
    <x v="62"/>
  </r>
  <r>
    <x v="62"/>
  </r>
  <r>
    <x v="62"/>
  </r>
  <r>
    <x v="62"/>
  </r>
  <r>
    <x v="62"/>
  </r>
  <r>
    <x v="61"/>
  </r>
  <r>
    <x v="62"/>
  </r>
  <r>
    <x v="62"/>
  </r>
  <r>
    <x v="62"/>
  </r>
  <r>
    <x v="62"/>
  </r>
  <r>
    <x v="62"/>
  </r>
  <r>
    <x v="62"/>
  </r>
  <r>
    <x v="62"/>
  </r>
  <r>
    <x v="62"/>
  </r>
  <r>
    <x v="62"/>
  </r>
  <r>
    <x v="62"/>
  </r>
  <r>
    <x v="62"/>
  </r>
  <r>
    <x v="61"/>
  </r>
  <r>
    <x v="61"/>
  </r>
  <r>
    <x v="62"/>
  </r>
  <r>
    <x v="62"/>
  </r>
  <r>
    <x v="62"/>
  </r>
  <r>
    <x v="62"/>
  </r>
  <r>
    <x v="62"/>
  </r>
  <r>
    <x v="62"/>
  </r>
  <r>
    <x v="62"/>
  </r>
  <r>
    <x v="61"/>
  </r>
  <r>
    <x v="61"/>
  </r>
  <r>
    <x v="63"/>
  </r>
  <r>
    <x v="0"/>
  </r>
  <r>
    <x v="0"/>
  </r>
  <r>
    <x v="0"/>
  </r>
  <r>
    <x v="64"/>
  </r>
  <r>
    <x v="65"/>
  </r>
  <r>
    <x v="66"/>
  </r>
  <r>
    <x v="67"/>
  </r>
  <r>
    <x v="0"/>
  </r>
  <r>
    <x v="0"/>
  </r>
  <r>
    <x v="0"/>
  </r>
  <r>
    <x v="0"/>
  </r>
  <r>
    <x v="0"/>
  </r>
  <r>
    <x v="0"/>
  </r>
  <r>
    <x v="0"/>
  </r>
  <r>
    <x v="0"/>
  </r>
  <r>
    <x v="68"/>
  </r>
  <r>
    <x v="0"/>
  </r>
  <r>
    <x v="0"/>
  </r>
  <r>
    <x v="69"/>
  </r>
  <r>
    <x v="67"/>
  </r>
  <r>
    <x v="0"/>
  </r>
  <r>
    <x v="0"/>
  </r>
  <r>
    <x v="0"/>
  </r>
  <r>
    <x v="0"/>
  </r>
  <r>
    <x v="70"/>
  </r>
  <r>
    <x v="55"/>
  </r>
  <r>
    <x v="0"/>
  </r>
  <r>
    <x v="0"/>
  </r>
  <r>
    <x v="0"/>
  </r>
  <r>
    <x v="0"/>
  </r>
  <r>
    <x v="0"/>
  </r>
  <r>
    <x v="0"/>
  </r>
  <r>
    <x v="0"/>
  </r>
  <r>
    <x v="0"/>
  </r>
  <r>
    <x v="0"/>
  </r>
  <r>
    <x v="0"/>
  </r>
  <r>
    <x v="0"/>
  </r>
  <r>
    <x v="0"/>
  </r>
  <r>
    <x v="0"/>
  </r>
  <r>
    <x v="0"/>
  </r>
  <r>
    <x v="0"/>
  </r>
  <r>
    <x v="0"/>
  </r>
  <r>
    <x v="0"/>
  </r>
  <r>
    <x v="0"/>
  </r>
  <r>
    <x v="71"/>
  </r>
  <r>
    <x v="71"/>
  </r>
  <r>
    <x v="0"/>
  </r>
  <r>
    <x v="72"/>
  </r>
  <r>
    <x v="73"/>
  </r>
  <r>
    <x v="0"/>
  </r>
  <r>
    <x v="0"/>
  </r>
  <r>
    <x v="0"/>
  </r>
  <r>
    <x v="0"/>
  </r>
  <r>
    <x v="74"/>
  </r>
  <r>
    <x v="74"/>
  </r>
  <r>
    <x v="75"/>
  </r>
  <r>
    <x v="0"/>
  </r>
  <r>
    <x v="67"/>
  </r>
  <r>
    <x v="0"/>
  </r>
  <r>
    <x v="76"/>
  </r>
  <r>
    <x v="0"/>
  </r>
  <r>
    <x v="0"/>
  </r>
  <r>
    <x v="0"/>
  </r>
  <r>
    <x v="53"/>
  </r>
  <r>
    <x v="77"/>
  </r>
  <r>
    <x v="78"/>
  </r>
  <r>
    <x v="0"/>
  </r>
  <r>
    <x v="79"/>
  </r>
  <r>
    <x v="0"/>
  </r>
  <r>
    <x v="0"/>
  </r>
  <r>
    <x v="80"/>
  </r>
  <r>
    <x v="81"/>
  </r>
  <r>
    <x v="82"/>
  </r>
  <r>
    <x v="83"/>
  </r>
  <r>
    <x v="84"/>
  </r>
  <r>
    <x v="0"/>
  </r>
  <r>
    <x v="85"/>
  </r>
  <r>
    <x v="86"/>
  </r>
  <r>
    <x v="70"/>
  </r>
  <r>
    <x v="0"/>
  </r>
  <r>
    <x v="87"/>
  </r>
  <r>
    <x v="0"/>
  </r>
  <r>
    <x v="88"/>
  </r>
  <r>
    <x v="89"/>
  </r>
  <r>
    <x v="90"/>
  </r>
  <r>
    <x v="91"/>
  </r>
  <r>
    <x v="72"/>
  </r>
  <r>
    <x v="92"/>
  </r>
  <r>
    <x v="93"/>
  </r>
  <r>
    <x v="0"/>
  </r>
  <r>
    <x v="0"/>
  </r>
  <r>
    <x v="94"/>
  </r>
  <r>
    <x v="95"/>
  </r>
  <r>
    <x v="0"/>
  </r>
  <r>
    <x v="0"/>
  </r>
  <r>
    <x v="0"/>
  </r>
  <r>
    <x v="96"/>
  </r>
  <r>
    <x v="0"/>
  </r>
  <r>
    <x v="0"/>
  </r>
  <r>
    <x v="0"/>
  </r>
  <r>
    <x v="0"/>
  </r>
  <r>
    <x v="0"/>
  </r>
  <r>
    <x v="0"/>
  </r>
  <r>
    <x v="0"/>
  </r>
  <r>
    <x v="0"/>
  </r>
  <r>
    <x v="0"/>
  </r>
  <r>
    <x v="0"/>
  </r>
  <r>
    <x v="0"/>
  </r>
  <r>
    <x v="0"/>
  </r>
  <r>
    <x v="0"/>
  </r>
  <r>
    <x v="0"/>
  </r>
  <r>
    <x v="0"/>
  </r>
  <r>
    <x v="0"/>
  </r>
  <r>
    <x v="0"/>
  </r>
  <r>
    <x v="0"/>
  </r>
  <r>
    <x v="0"/>
  </r>
  <r>
    <x v="0"/>
  </r>
  <r>
    <x v="0"/>
  </r>
  <r>
    <x v="0"/>
  </r>
  <r>
    <x v="97"/>
  </r>
  <r>
    <x v="98"/>
  </r>
  <r>
    <x v="0"/>
  </r>
  <r>
    <x v="0"/>
  </r>
  <r>
    <x v="0"/>
  </r>
  <r>
    <x v="0"/>
  </r>
  <r>
    <x v="0"/>
  </r>
  <r>
    <x v="0"/>
  </r>
  <r>
    <x v="99"/>
  </r>
  <r>
    <x v="100"/>
  </r>
  <r>
    <x v="0"/>
  </r>
  <r>
    <x v="0"/>
  </r>
  <r>
    <x v="0"/>
  </r>
  <r>
    <x v="101"/>
  </r>
  <r>
    <x v="101"/>
  </r>
  <r>
    <x v="60"/>
  </r>
  <r>
    <x v="102"/>
  </r>
  <r>
    <x v="0"/>
  </r>
  <r>
    <x v="0"/>
  </r>
  <r>
    <x v="103"/>
  </r>
  <r>
    <x v="0"/>
  </r>
  <r>
    <x v="0"/>
  </r>
  <r>
    <x v="0"/>
  </r>
  <r>
    <x v="0"/>
  </r>
  <r>
    <x v="0"/>
  </r>
  <r>
    <x v="104"/>
  </r>
  <r>
    <x v="104"/>
  </r>
  <r>
    <x v="104"/>
  </r>
  <r>
    <x v="104"/>
  </r>
  <r>
    <x v="104"/>
  </r>
  <r>
    <x v="104"/>
  </r>
  <r>
    <x v="104"/>
  </r>
  <r>
    <x v="104"/>
  </r>
  <r>
    <x v="104"/>
  </r>
  <r>
    <x v="104"/>
  </r>
  <r>
    <x v="104"/>
  </r>
  <r>
    <x v="104"/>
  </r>
  <r>
    <x v="0"/>
  </r>
  <r>
    <x v="0"/>
  </r>
  <r>
    <x v="0"/>
  </r>
  <r>
    <x v="0"/>
  </r>
  <r>
    <x v="0"/>
  </r>
  <r>
    <x v="0"/>
  </r>
  <r>
    <x v="0"/>
  </r>
  <r>
    <x v="0"/>
  </r>
  <r>
    <x v="0"/>
  </r>
  <r>
    <x v="0"/>
  </r>
  <r>
    <x v="0"/>
  </r>
  <r>
    <x v="0"/>
  </r>
  <r>
    <x v="0"/>
  </r>
  <r>
    <x v="0"/>
  </r>
  <r>
    <x v="0"/>
  </r>
  <r>
    <x v="105"/>
  </r>
  <r>
    <x v="106"/>
  </r>
  <r>
    <x v="106"/>
  </r>
  <r>
    <x v="106"/>
  </r>
  <r>
    <x v="106"/>
  </r>
  <r>
    <x v="106"/>
  </r>
  <r>
    <x v="106"/>
  </r>
  <r>
    <x v="30"/>
  </r>
  <r>
    <x v="30"/>
  </r>
  <r>
    <x v="30"/>
  </r>
  <r>
    <x v="0"/>
  </r>
  <r>
    <x v="30"/>
  </r>
  <r>
    <x v="34"/>
  </r>
  <r>
    <x v="34"/>
  </r>
  <r>
    <x v="107"/>
  </r>
  <r>
    <x v="34"/>
  </r>
  <r>
    <x v="108"/>
  </r>
  <r>
    <x v="34"/>
  </r>
  <r>
    <x v="22"/>
  </r>
  <r>
    <x v="34"/>
  </r>
  <r>
    <x v="0"/>
  </r>
  <r>
    <x v="34"/>
  </r>
  <r>
    <x v="40"/>
  </r>
  <r>
    <x v="40"/>
  </r>
  <r>
    <x v="40"/>
  </r>
  <r>
    <x v="38"/>
  </r>
  <r>
    <x v="109"/>
  </r>
  <r>
    <x v="109"/>
  </r>
  <r>
    <x v="109"/>
  </r>
  <r>
    <x v="109"/>
  </r>
  <r>
    <x v="109"/>
  </r>
  <r>
    <x v="109"/>
  </r>
  <r>
    <x v="109"/>
  </r>
  <r>
    <x v="109"/>
  </r>
  <r>
    <x v="109"/>
  </r>
  <r>
    <x v="110"/>
  </r>
  <r>
    <x v="34"/>
  </r>
  <r>
    <x v="34"/>
  </r>
  <r>
    <x v="0"/>
  </r>
  <r>
    <x v="0"/>
  </r>
  <r>
    <x v="0"/>
  </r>
  <r>
    <x v="0"/>
  </r>
  <r>
    <x v="0"/>
  </r>
  <r>
    <x v="0"/>
  </r>
  <r>
    <x v="0"/>
  </r>
  <r>
    <x v="34"/>
  </r>
  <r>
    <x v="111"/>
  </r>
  <r>
    <x v="111"/>
  </r>
  <r>
    <x v="111"/>
  </r>
  <r>
    <x v="111"/>
  </r>
  <r>
    <x v="111"/>
  </r>
  <r>
    <x v="30"/>
  </r>
  <r>
    <x v="30"/>
  </r>
  <r>
    <x v="30"/>
  </r>
  <r>
    <x v="108"/>
  </r>
  <r>
    <x v="0"/>
  </r>
  <r>
    <x v="0"/>
  </r>
  <r>
    <x v="40"/>
  </r>
  <r>
    <x v="40"/>
  </r>
  <r>
    <x v="109"/>
  </r>
  <r>
    <x v="30"/>
  </r>
  <r>
    <x v="112"/>
  </r>
  <r>
    <x v="34"/>
  </r>
  <r>
    <x v="113"/>
  </r>
  <r>
    <x v="0"/>
  </r>
  <r>
    <x v="41"/>
  </r>
  <r>
    <x v="111"/>
  </r>
  <r>
    <x v="0"/>
  </r>
  <r>
    <x v="0"/>
  </r>
  <r>
    <x v="114"/>
  </r>
  <r>
    <x v="51"/>
  </r>
  <r>
    <x v="0"/>
  </r>
  <r>
    <x v="115"/>
  </r>
  <r>
    <x v="116"/>
  </r>
  <r>
    <x v="0"/>
  </r>
  <r>
    <x v="117"/>
  </r>
  <r>
    <x v="0"/>
  </r>
  <r>
    <x v="0"/>
  </r>
  <r>
    <x v="118"/>
  </r>
  <r>
    <x v="118"/>
  </r>
  <r>
    <x v="118"/>
  </r>
  <r>
    <x v="118"/>
  </r>
  <r>
    <x v="118"/>
  </r>
  <r>
    <x v="119"/>
  </r>
  <r>
    <x v="0"/>
  </r>
  <r>
    <x v="120"/>
  </r>
  <r>
    <x v="121"/>
  </r>
  <r>
    <x v="122"/>
  </r>
  <r>
    <x v="122"/>
  </r>
  <r>
    <x v="122"/>
  </r>
  <r>
    <x v="122"/>
  </r>
  <r>
    <x v="122"/>
  </r>
  <r>
    <x v="0"/>
  </r>
  <r>
    <x v="122"/>
  </r>
  <r>
    <x v="123"/>
  </r>
  <r>
    <x v="0"/>
  </r>
  <r>
    <x v="124"/>
  </r>
  <r>
    <x v="125"/>
  </r>
  <r>
    <x v="126"/>
  </r>
  <r>
    <x v="127"/>
  </r>
  <r>
    <x v="122"/>
  </r>
  <r>
    <x v="122"/>
  </r>
  <r>
    <x v="0"/>
  </r>
  <r>
    <x v="128"/>
  </r>
  <r>
    <x v="129"/>
  </r>
  <r>
    <x v="111"/>
  </r>
  <r>
    <x v="130"/>
  </r>
  <r>
    <x v="131"/>
  </r>
  <r>
    <x v="0"/>
  </r>
  <r>
    <x v="0"/>
  </r>
  <r>
    <x v="34"/>
  </r>
  <r>
    <x v="34"/>
  </r>
  <r>
    <x v="30"/>
  </r>
  <r>
    <x v="132"/>
  </r>
  <r>
    <x v="34"/>
  </r>
  <r>
    <x v="41"/>
  </r>
  <r>
    <x v="34"/>
  </r>
  <r>
    <x v="133"/>
  </r>
  <r>
    <x v="34"/>
  </r>
  <r>
    <x v="30"/>
  </r>
  <r>
    <x v="34"/>
  </r>
  <r>
    <x v="0"/>
  </r>
  <r>
    <x v="34"/>
  </r>
  <r>
    <x v="134"/>
  </r>
  <r>
    <x v="34"/>
  </r>
  <r>
    <x v="34"/>
  </r>
  <r>
    <x v="22"/>
  </r>
  <r>
    <x v="0"/>
  </r>
  <r>
    <x v="135"/>
  </r>
  <r>
    <x v="0"/>
  </r>
  <r>
    <x v="0"/>
  </r>
  <r>
    <x v="30"/>
  </r>
  <r>
    <x v="0"/>
  </r>
  <r>
    <x v="0"/>
  </r>
  <r>
    <x v="0"/>
  </r>
  <r>
    <x v="30"/>
  </r>
  <r>
    <x v="136"/>
  </r>
  <r>
    <x v="41"/>
  </r>
  <r>
    <x v="137"/>
  </r>
  <r>
    <x v="30"/>
  </r>
  <r>
    <x v="34"/>
  </r>
  <r>
    <x v="30"/>
  </r>
  <r>
    <x v="34"/>
  </r>
  <r>
    <x v="34"/>
  </r>
  <r>
    <x v="138"/>
  </r>
  <r>
    <x v="139"/>
  </r>
  <r>
    <x v="140"/>
  </r>
  <r>
    <x v="141"/>
  </r>
  <r>
    <x v="141"/>
  </r>
  <r>
    <x v="0"/>
  </r>
  <r>
    <x v="0"/>
  </r>
  <r>
    <x v="0"/>
  </r>
  <r>
    <x v="0"/>
  </r>
  <r>
    <x v="0"/>
  </r>
  <r>
    <x v="0"/>
  </r>
  <r>
    <x v="142"/>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43"/>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44"/>
  </r>
  <r>
    <x v="0"/>
  </r>
  <r>
    <x v="145"/>
  </r>
  <r>
    <x v="0"/>
  </r>
  <r>
    <x v="0"/>
  </r>
  <r>
    <x v="0"/>
  </r>
  <r>
    <x v="0"/>
  </r>
  <r>
    <x v="0"/>
  </r>
  <r>
    <x v="0"/>
  </r>
  <r>
    <x v="0"/>
  </r>
  <r>
    <x v="0"/>
  </r>
  <r>
    <x v="0"/>
  </r>
  <r>
    <x v="0"/>
  </r>
  <r>
    <x v="0"/>
  </r>
  <r>
    <x v="0"/>
  </r>
  <r>
    <x v="0"/>
  </r>
  <r>
    <x v="0"/>
  </r>
  <r>
    <x v="146"/>
  </r>
  <r>
    <x v="0"/>
  </r>
  <r>
    <x v="0"/>
  </r>
  <r>
    <x v="0"/>
  </r>
  <r>
    <x v="0"/>
  </r>
  <r>
    <x v="0"/>
  </r>
  <r>
    <x v="0"/>
  </r>
  <r>
    <x v="0"/>
  </r>
  <r>
    <x v="0"/>
  </r>
  <r>
    <x v="0"/>
  </r>
  <r>
    <x v="0"/>
  </r>
  <r>
    <x v="0"/>
  </r>
  <r>
    <x v="0"/>
  </r>
  <r>
    <x v="0"/>
  </r>
  <r>
    <x v="0"/>
  </r>
  <r>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3">
  <r>
    <x v="0"/>
  </r>
  <r>
    <x v="1"/>
  </r>
  <r>
    <x v="1"/>
  </r>
  <r>
    <x v="2"/>
  </r>
  <r>
    <x v="3"/>
  </r>
  <r>
    <x v="4"/>
  </r>
  <r>
    <x v="5"/>
  </r>
  <r>
    <x v="5"/>
  </r>
  <r>
    <x v="6"/>
  </r>
  <r>
    <x v="5"/>
  </r>
  <r>
    <x v="5"/>
  </r>
  <r>
    <x v="7"/>
  </r>
  <r>
    <x v="7"/>
  </r>
  <r>
    <x v="8"/>
  </r>
  <r>
    <x v="9"/>
  </r>
  <r>
    <x v="2"/>
  </r>
  <r>
    <x v="10"/>
  </r>
  <r>
    <x v="10"/>
  </r>
  <r>
    <x v="10"/>
  </r>
  <r>
    <x v="10"/>
  </r>
  <r>
    <x v="7"/>
  </r>
  <r>
    <x v="7"/>
  </r>
  <r>
    <x v="11"/>
  </r>
  <r>
    <x v="9"/>
  </r>
  <r>
    <x v="9"/>
  </r>
  <r>
    <x v="12"/>
  </r>
  <r>
    <x v="13"/>
  </r>
  <r>
    <x v="4"/>
  </r>
  <r>
    <x v="14"/>
  </r>
  <r>
    <x v="7"/>
  </r>
  <r>
    <x v="9"/>
  </r>
  <r>
    <x v="2"/>
  </r>
  <r>
    <x v="9"/>
  </r>
  <r>
    <x v="9"/>
  </r>
  <r>
    <x v="15"/>
  </r>
  <r>
    <x v="2"/>
  </r>
  <r>
    <x v="16"/>
  </r>
  <r>
    <x v="16"/>
  </r>
  <r>
    <x v="17"/>
  </r>
  <r>
    <x v="9"/>
  </r>
  <r>
    <x v="18"/>
  </r>
  <r>
    <x v="18"/>
  </r>
  <r>
    <x v="7"/>
  </r>
  <r>
    <x v="19"/>
  </r>
  <r>
    <x v="20"/>
  </r>
  <r>
    <x v="9"/>
  </r>
  <r>
    <x v="9"/>
  </r>
  <r>
    <x v="9"/>
  </r>
  <r>
    <x v="18"/>
  </r>
  <r>
    <x v="21"/>
  </r>
  <r>
    <x v="22"/>
  </r>
  <r>
    <x v="23"/>
  </r>
  <r>
    <x v="24"/>
  </r>
  <r>
    <x v="25"/>
  </r>
  <r>
    <x v="26"/>
  </r>
  <r>
    <x v="27"/>
  </r>
  <r>
    <x v="28"/>
  </r>
  <r>
    <x v="15"/>
  </r>
  <r>
    <x v="15"/>
  </r>
  <r>
    <x v="15"/>
  </r>
  <r>
    <x v="29"/>
  </r>
  <r>
    <x v="15"/>
  </r>
  <r>
    <x v="15"/>
  </r>
  <r>
    <x v="15"/>
  </r>
  <r>
    <x v="15"/>
  </r>
  <r>
    <x v="15"/>
  </r>
  <r>
    <x v="15"/>
  </r>
  <r>
    <x v="30"/>
  </r>
  <r>
    <x v="30"/>
  </r>
  <r>
    <x v="9"/>
  </r>
  <r>
    <x v="31"/>
  </r>
  <r>
    <x v="32"/>
  </r>
  <r>
    <x v="33"/>
  </r>
  <r>
    <x v="7"/>
  </r>
  <r>
    <x v="34"/>
  </r>
  <r>
    <x v="35"/>
  </r>
  <r>
    <x v="28"/>
  </r>
  <r>
    <x v="36"/>
  </r>
  <r>
    <x v="2"/>
  </r>
  <r>
    <x v="34"/>
  </r>
  <r>
    <x v="37"/>
  </r>
  <r>
    <x v="38"/>
  </r>
  <r>
    <x v="39"/>
  </r>
  <r>
    <x v="22"/>
  </r>
  <r>
    <x v="7"/>
  </r>
  <r>
    <x v="40"/>
  </r>
  <r>
    <x v="41"/>
  </r>
  <r>
    <x v="22"/>
  </r>
  <r>
    <x v="42"/>
  </r>
  <r>
    <x v="22"/>
  </r>
  <r>
    <x v="43"/>
  </r>
  <r>
    <x v="44"/>
  </r>
  <r>
    <x v="45"/>
  </r>
  <r>
    <x v="2"/>
  </r>
  <r>
    <x v="7"/>
  </r>
  <r>
    <x v="46"/>
  </r>
  <r>
    <x v="46"/>
  </r>
  <r>
    <x v="2"/>
  </r>
  <r>
    <x v="2"/>
  </r>
  <r>
    <x v="18"/>
  </r>
  <r>
    <x v="18"/>
  </r>
  <r>
    <x v="4"/>
  </r>
  <r>
    <x v="4"/>
  </r>
  <r>
    <x v="4"/>
  </r>
  <r>
    <x v="4"/>
  </r>
  <r>
    <x v="4"/>
  </r>
  <r>
    <x v="4"/>
  </r>
  <r>
    <x v="4"/>
  </r>
  <r>
    <x v="4"/>
  </r>
  <r>
    <x v="4"/>
  </r>
  <r>
    <x v="2"/>
  </r>
  <r>
    <x v="9"/>
  </r>
  <r>
    <x v="9"/>
  </r>
  <r>
    <x v="46"/>
  </r>
  <r>
    <x v="47"/>
  </r>
  <r>
    <x v="47"/>
  </r>
  <r>
    <x v="2"/>
  </r>
  <r>
    <x v="9"/>
  </r>
  <r>
    <x v="9"/>
  </r>
  <r>
    <x v="9"/>
  </r>
  <r>
    <x v="2"/>
  </r>
  <r>
    <x v="2"/>
  </r>
  <r>
    <x v="2"/>
  </r>
  <r>
    <x v="48"/>
  </r>
  <r>
    <x v="9"/>
  </r>
  <r>
    <x v="9"/>
  </r>
  <r>
    <x v="2"/>
  </r>
  <r>
    <x v="2"/>
  </r>
  <r>
    <x v="49"/>
  </r>
  <r>
    <x v="2"/>
  </r>
  <r>
    <x v="2"/>
  </r>
  <r>
    <x v="9"/>
  </r>
  <r>
    <x v="9"/>
  </r>
  <r>
    <x v="4"/>
  </r>
  <r>
    <x v="4"/>
  </r>
  <r>
    <x v="4"/>
  </r>
  <r>
    <x v="18"/>
  </r>
  <r>
    <x v="18"/>
  </r>
  <r>
    <x v="2"/>
  </r>
  <r>
    <x v="50"/>
  </r>
  <r>
    <x v="4"/>
  </r>
  <r>
    <x v="4"/>
  </r>
  <r>
    <x v="4"/>
  </r>
  <r>
    <x v="9"/>
  </r>
  <r>
    <x v="7"/>
  </r>
  <r>
    <x v="51"/>
  </r>
  <r>
    <x v="2"/>
  </r>
  <r>
    <x v="2"/>
  </r>
  <r>
    <x v="33"/>
  </r>
  <r>
    <x v="52"/>
  </r>
  <r>
    <x v="4"/>
  </r>
  <r>
    <x v="9"/>
  </r>
  <r>
    <x v="9"/>
  </r>
  <r>
    <x v="2"/>
  </r>
  <r>
    <x v="9"/>
  </r>
  <r>
    <x v="7"/>
  </r>
  <r>
    <x v="53"/>
  </r>
  <r>
    <x v="54"/>
  </r>
  <r>
    <x v="4"/>
  </r>
  <r>
    <x v="4"/>
  </r>
  <r>
    <x v="4"/>
  </r>
  <r>
    <x v="4"/>
  </r>
  <r>
    <x v="4"/>
  </r>
  <r>
    <x v="55"/>
  </r>
  <r>
    <x v="56"/>
  </r>
  <r>
    <x v="56"/>
  </r>
  <r>
    <x v="57"/>
  </r>
  <r>
    <x v="58"/>
  </r>
  <r>
    <x v="59"/>
  </r>
  <r>
    <x v="60"/>
  </r>
  <r>
    <x v="61"/>
  </r>
  <r>
    <x v="62"/>
  </r>
  <r>
    <x v="4"/>
  </r>
  <r>
    <x v="63"/>
  </r>
  <r>
    <x v="52"/>
  </r>
  <r>
    <x v="7"/>
  </r>
  <r>
    <x v="18"/>
  </r>
  <r>
    <x v="18"/>
  </r>
  <r>
    <x v="9"/>
  </r>
  <r>
    <x v="7"/>
  </r>
  <r>
    <x v="31"/>
  </r>
  <r>
    <x v="7"/>
  </r>
  <r>
    <x v="64"/>
  </r>
  <r>
    <x v="65"/>
  </r>
  <r>
    <x v="4"/>
  </r>
  <r>
    <x v="4"/>
  </r>
  <r>
    <x v="66"/>
  </r>
  <r>
    <x v="9"/>
  </r>
  <r>
    <x v="9"/>
  </r>
  <r>
    <x v="4"/>
  </r>
  <r>
    <x v="67"/>
  </r>
  <r>
    <x v="67"/>
  </r>
  <r>
    <x v="10"/>
  </r>
  <r>
    <x v="4"/>
  </r>
  <r>
    <x v="68"/>
  </r>
  <r>
    <x v="68"/>
  </r>
  <r>
    <x v="68"/>
  </r>
  <r>
    <x v="68"/>
  </r>
  <r>
    <x v="68"/>
  </r>
  <r>
    <x v="68"/>
  </r>
  <r>
    <x v="68"/>
  </r>
  <r>
    <x v="68"/>
  </r>
  <r>
    <x v="68"/>
  </r>
  <r>
    <x v="68"/>
  </r>
  <r>
    <x v="68"/>
  </r>
  <r>
    <x v="68"/>
  </r>
  <r>
    <x v="2"/>
  </r>
  <r>
    <x v="69"/>
  </r>
  <r>
    <x v="70"/>
  </r>
  <r>
    <x v="71"/>
  </r>
  <r>
    <x v="72"/>
  </r>
  <r>
    <x v="73"/>
  </r>
  <r>
    <x v="74"/>
  </r>
  <r>
    <x v="75"/>
  </r>
  <r>
    <x v="76"/>
  </r>
  <r>
    <x v="77"/>
  </r>
  <r>
    <x v="25"/>
  </r>
  <r>
    <x v="25"/>
  </r>
  <r>
    <x v="78"/>
  </r>
  <r>
    <x v="79"/>
  </r>
  <r>
    <x v="80"/>
  </r>
  <r>
    <x v="81"/>
  </r>
  <r>
    <x v="82"/>
  </r>
  <r>
    <x v="83"/>
  </r>
  <r>
    <x v="84"/>
  </r>
  <r>
    <x v="85"/>
  </r>
  <r>
    <x v="85"/>
  </r>
  <r>
    <x v="79"/>
  </r>
  <r>
    <x v="79"/>
  </r>
  <r>
    <x v="25"/>
  </r>
  <r>
    <x v="86"/>
  </r>
  <r>
    <x v="87"/>
  </r>
  <r>
    <x v="87"/>
  </r>
  <r>
    <x v="81"/>
  </r>
  <r>
    <x v="79"/>
  </r>
  <r>
    <x v="25"/>
  </r>
  <r>
    <x v="88"/>
  </r>
  <r>
    <x v="89"/>
  </r>
  <r>
    <x v="25"/>
  </r>
  <r>
    <x v="2"/>
  </r>
  <r>
    <x v="79"/>
  </r>
  <r>
    <x v="2"/>
  </r>
  <r>
    <x v="79"/>
  </r>
  <r>
    <x v="85"/>
  </r>
  <r>
    <x v="84"/>
  </r>
  <r>
    <x v="81"/>
  </r>
  <r>
    <x v="79"/>
  </r>
  <r>
    <x v="90"/>
  </r>
  <r>
    <x v="91"/>
  </r>
  <r>
    <x v="25"/>
  </r>
  <r>
    <x v="25"/>
  </r>
  <r>
    <x v="79"/>
  </r>
  <r>
    <x v="2"/>
  </r>
  <r>
    <x v="79"/>
  </r>
  <r>
    <x v="79"/>
  </r>
  <r>
    <x v="84"/>
  </r>
  <r>
    <x v="92"/>
  </r>
  <r>
    <x v="79"/>
  </r>
  <r>
    <x v="93"/>
  </r>
  <r>
    <x v="85"/>
  </r>
  <r>
    <x v="90"/>
  </r>
  <r>
    <x v="94"/>
  </r>
  <r>
    <x v="2"/>
  </r>
  <r>
    <x v="79"/>
  </r>
  <r>
    <x v="85"/>
  </r>
  <r>
    <x v="95"/>
  </r>
  <r>
    <x v="79"/>
  </r>
  <r>
    <x v="90"/>
  </r>
  <r>
    <x v="79"/>
  </r>
  <r>
    <x v="96"/>
  </r>
  <r>
    <x v="97"/>
  </r>
  <r>
    <x v="25"/>
  </r>
  <r>
    <x v="25"/>
  </r>
  <r>
    <x v="90"/>
  </r>
  <r>
    <x v="24"/>
  </r>
  <r>
    <x v="25"/>
  </r>
  <r>
    <x v="79"/>
  </r>
  <r>
    <x v="98"/>
  </r>
  <r>
    <x v="2"/>
  </r>
  <r>
    <x v="99"/>
  </r>
  <r>
    <x v="88"/>
  </r>
  <r>
    <x v="99"/>
  </r>
  <r>
    <x v="99"/>
  </r>
  <r>
    <x v="99"/>
  </r>
  <r>
    <x v="99"/>
  </r>
  <r>
    <x v="99"/>
  </r>
  <r>
    <x v="100"/>
  </r>
  <r>
    <x v="94"/>
  </r>
  <r>
    <x v="25"/>
  </r>
  <r>
    <x v="25"/>
  </r>
  <r>
    <x v="2"/>
  </r>
  <r>
    <x v="100"/>
  </r>
  <r>
    <x v="101"/>
  </r>
  <r>
    <x v="80"/>
  </r>
  <r>
    <x v="80"/>
  </r>
  <r>
    <x v="2"/>
  </r>
  <r>
    <x v="94"/>
  </r>
  <r>
    <x v="84"/>
  </r>
  <r>
    <x v="84"/>
  </r>
  <r>
    <x v="102"/>
  </r>
  <r>
    <x v="103"/>
  </r>
  <r>
    <x v="104"/>
  </r>
  <r>
    <x v="105"/>
  </r>
  <r>
    <x v="106"/>
  </r>
  <r>
    <x v="107"/>
  </r>
  <r>
    <x v="108"/>
  </r>
  <r>
    <x v="2"/>
  </r>
  <r>
    <x v="25"/>
  </r>
  <r>
    <x v="109"/>
  </r>
  <r>
    <x v="110"/>
  </r>
  <r>
    <x v="25"/>
  </r>
  <r>
    <x v="85"/>
  </r>
  <r>
    <x v="25"/>
  </r>
  <r>
    <x v="94"/>
  </r>
  <r>
    <x v="111"/>
  </r>
  <r>
    <x v="79"/>
  </r>
  <r>
    <x v="2"/>
  </r>
  <r>
    <x v="85"/>
  </r>
  <r>
    <x v="112"/>
  </r>
  <r>
    <x v="113"/>
  </r>
  <r>
    <x v="25"/>
  </r>
  <r>
    <x v="2"/>
  </r>
  <r>
    <x v="86"/>
  </r>
  <r>
    <x v="114"/>
  </r>
  <r>
    <x v="115"/>
  </r>
  <r>
    <x v="116"/>
  </r>
  <r>
    <x v="117"/>
  </r>
  <r>
    <x v="118"/>
  </r>
  <r>
    <x v="119"/>
  </r>
  <r>
    <x v="120"/>
  </r>
  <r>
    <x v="121"/>
  </r>
  <r>
    <x v="25"/>
  </r>
  <r>
    <x v="122"/>
  </r>
  <r>
    <x v="123"/>
  </r>
  <r>
    <x v="79"/>
  </r>
  <r>
    <x v="25"/>
  </r>
  <r>
    <x v="124"/>
  </r>
  <r>
    <x v="125"/>
  </r>
  <r>
    <x v="2"/>
  </r>
  <r>
    <x v="126"/>
  </r>
  <r>
    <x v="127"/>
  </r>
  <r>
    <x v="100"/>
  </r>
  <r>
    <x v="2"/>
  </r>
  <r>
    <x v="128"/>
  </r>
  <r>
    <x v="85"/>
  </r>
  <r>
    <x v="25"/>
  </r>
  <r>
    <x v="104"/>
  </r>
  <r>
    <x v="129"/>
  </r>
  <r>
    <x v="130"/>
  </r>
  <r>
    <x v="25"/>
  </r>
  <r>
    <x v="25"/>
  </r>
  <r>
    <x v="25"/>
  </r>
  <r>
    <x v="131"/>
  </r>
  <r>
    <x v="81"/>
  </r>
  <r>
    <x v="132"/>
  </r>
  <r>
    <x v="133"/>
  </r>
  <r>
    <x v="90"/>
  </r>
  <r>
    <x v="4"/>
  </r>
  <r>
    <x v="100"/>
  </r>
  <r>
    <x v="81"/>
  </r>
  <r>
    <x v="81"/>
  </r>
  <r>
    <x v="134"/>
  </r>
  <r>
    <x v="135"/>
  </r>
  <r>
    <x v="94"/>
  </r>
  <r>
    <x v="92"/>
  </r>
  <r>
    <x v="25"/>
  </r>
  <r>
    <x v="2"/>
  </r>
  <r>
    <x v="136"/>
  </r>
  <r>
    <x v="137"/>
  </r>
  <r>
    <x v="94"/>
  </r>
  <r>
    <x v="138"/>
  </r>
  <r>
    <x v="88"/>
  </r>
  <r>
    <x v="25"/>
  </r>
  <r>
    <x v="79"/>
  </r>
  <r>
    <x v="88"/>
  </r>
  <r>
    <x v="2"/>
  </r>
  <r>
    <x v="96"/>
  </r>
  <r>
    <x v="139"/>
  </r>
  <r>
    <x v="24"/>
  </r>
  <r>
    <x v="85"/>
  </r>
  <r>
    <x v="79"/>
  </r>
  <r>
    <x v="118"/>
  </r>
  <r>
    <x v="84"/>
  </r>
  <r>
    <x v="140"/>
  </r>
  <r>
    <x v="141"/>
  </r>
  <r>
    <x v="142"/>
  </r>
  <r>
    <x v="27"/>
  </r>
  <r>
    <x v="84"/>
  </r>
  <r>
    <x v="84"/>
  </r>
  <r>
    <x v="143"/>
  </r>
  <r>
    <x v="2"/>
  </r>
  <r>
    <x v="2"/>
  </r>
  <r>
    <x v="85"/>
  </r>
  <r>
    <x v="97"/>
  </r>
  <r>
    <x v="90"/>
  </r>
  <r>
    <x v="90"/>
  </r>
  <r>
    <x v="81"/>
  </r>
  <r>
    <x v="81"/>
  </r>
  <r>
    <x v="81"/>
  </r>
  <r>
    <x v="81"/>
  </r>
  <r>
    <x v="81"/>
  </r>
  <r>
    <x v="81"/>
  </r>
  <r>
    <x v="81"/>
  </r>
  <r>
    <x v="81"/>
  </r>
  <r>
    <x v="25"/>
  </r>
  <r>
    <x v="25"/>
  </r>
  <r>
    <x v="92"/>
  </r>
  <r>
    <x v="92"/>
  </r>
  <r>
    <x v="4"/>
  </r>
  <r>
    <x v="144"/>
  </r>
  <r>
    <x v="79"/>
  </r>
  <r>
    <x v="25"/>
  </r>
  <r>
    <x v="25"/>
  </r>
  <r>
    <x v="2"/>
  </r>
  <r>
    <x v="85"/>
  </r>
  <r>
    <x v="92"/>
  </r>
  <r>
    <x v="2"/>
  </r>
  <r>
    <x v="90"/>
  </r>
  <r>
    <x v="90"/>
  </r>
  <r>
    <x v="25"/>
  </r>
  <r>
    <x v="145"/>
  </r>
  <r>
    <x v="90"/>
  </r>
  <r>
    <x v="90"/>
  </r>
  <r>
    <x v="92"/>
  </r>
  <r>
    <x v="94"/>
  </r>
  <r>
    <x v="25"/>
  </r>
  <r>
    <x v="146"/>
  </r>
  <r>
    <x v="22"/>
  </r>
  <r>
    <x v="24"/>
  </r>
  <r>
    <x v="147"/>
  </r>
  <r>
    <x v="148"/>
  </r>
  <r>
    <x v="149"/>
  </r>
  <r>
    <x v="81"/>
  </r>
  <r>
    <x v="84"/>
  </r>
  <r>
    <x v="150"/>
  </r>
  <r>
    <x v="83"/>
  </r>
  <r>
    <x v="2"/>
  </r>
  <r>
    <x v="79"/>
  </r>
  <r>
    <x v="79"/>
  </r>
  <r>
    <x v="79"/>
  </r>
  <r>
    <x v="79"/>
  </r>
  <r>
    <x v="2"/>
  </r>
  <r>
    <x v="79"/>
  </r>
  <r>
    <x v="79"/>
  </r>
  <r>
    <x v="79"/>
  </r>
  <r>
    <x v="79"/>
  </r>
  <r>
    <x v="97"/>
  </r>
  <r>
    <x v="97"/>
  </r>
  <r>
    <x v="97"/>
  </r>
  <r>
    <x v="97"/>
  </r>
  <r>
    <x v="97"/>
  </r>
  <r>
    <x v="97"/>
  </r>
  <r>
    <x v="24"/>
  </r>
  <r>
    <x v="24"/>
  </r>
  <r>
    <x v="24"/>
  </r>
  <r>
    <x v="24"/>
  </r>
  <r>
    <x v="24"/>
  </r>
  <r>
    <x v="24"/>
  </r>
  <r>
    <x v="24"/>
  </r>
  <r>
    <x v="24"/>
  </r>
  <r>
    <x v="24"/>
  </r>
  <r>
    <x v="24"/>
  </r>
  <r>
    <x v="24"/>
  </r>
  <r>
    <x v="24"/>
  </r>
  <r>
    <x v="83"/>
  </r>
  <r>
    <x v="151"/>
  </r>
  <r>
    <x v="151"/>
  </r>
  <r>
    <x v="151"/>
  </r>
  <r>
    <x v="151"/>
  </r>
  <r>
    <x v="151"/>
  </r>
  <r>
    <x v="151"/>
  </r>
  <r>
    <x v="151"/>
  </r>
  <r>
    <x v="151"/>
  </r>
  <r>
    <x v="151"/>
  </r>
  <r>
    <x v="152"/>
  </r>
  <r>
    <x v="152"/>
  </r>
  <r>
    <x v="152"/>
  </r>
  <r>
    <x v="152"/>
  </r>
  <r>
    <x v="152"/>
  </r>
  <r>
    <x v="152"/>
  </r>
  <r>
    <x v="152"/>
  </r>
  <r>
    <x v="152"/>
  </r>
  <r>
    <x v="152"/>
  </r>
  <r>
    <x v="152"/>
  </r>
  <r>
    <x v="152"/>
  </r>
  <r>
    <x v="152"/>
  </r>
  <r>
    <x v="152"/>
  </r>
  <r>
    <x v="152"/>
  </r>
  <r>
    <x v="2"/>
  </r>
  <r>
    <x v="2"/>
  </r>
  <r>
    <x v="2"/>
  </r>
  <r>
    <x v="2"/>
  </r>
  <r>
    <x v="2"/>
  </r>
  <r>
    <x v="2"/>
  </r>
  <r>
    <x v="2"/>
  </r>
  <r>
    <x v="2"/>
  </r>
  <r>
    <x v="2"/>
  </r>
  <r>
    <x v="2"/>
  </r>
  <r>
    <x v="2"/>
  </r>
  <r>
    <x v="2"/>
  </r>
  <r>
    <x v="2"/>
  </r>
  <r>
    <x v="2"/>
  </r>
  <r>
    <x v="2"/>
  </r>
  <r>
    <x v="24"/>
  </r>
  <r>
    <x v="24"/>
  </r>
  <r>
    <x v="24"/>
  </r>
  <r>
    <x v="24"/>
  </r>
  <r>
    <x v="24"/>
  </r>
  <r>
    <x v="24"/>
  </r>
  <r>
    <x v="24"/>
  </r>
  <r>
    <x v="24"/>
  </r>
  <r>
    <x v="24"/>
  </r>
  <r>
    <x v="24"/>
  </r>
  <r>
    <x v="24"/>
  </r>
  <r>
    <x v="24"/>
  </r>
  <r>
    <x v="24"/>
  </r>
  <r>
    <x v="24"/>
  </r>
  <r>
    <x v="24"/>
  </r>
  <r>
    <x v="24"/>
  </r>
  <r>
    <x v="24"/>
  </r>
  <r>
    <x v="24"/>
  </r>
  <r>
    <x v="24"/>
  </r>
  <r>
    <x v="24"/>
  </r>
  <r>
    <x v="24"/>
  </r>
  <r>
    <x v="24"/>
  </r>
  <r>
    <x v="24"/>
  </r>
  <r>
    <x v="2"/>
  </r>
  <r>
    <x v="24"/>
  </r>
  <r>
    <x v="24"/>
  </r>
  <r>
    <x v="24"/>
  </r>
  <r>
    <x v="24"/>
  </r>
  <r>
    <x v="24"/>
  </r>
  <r>
    <x v="24"/>
  </r>
  <r>
    <x v="24"/>
  </r>
  <r>
    <x v="2"/>
  </r>
  <r>
    <x v="2"/>
  </r>
  <r>
    <x v="24"/>
  </r>
  <r>
    <x v="24"/>
  </r>
  <r>
    <x v="24"/>
  </r>
  <r>
    <x v="24"/>
  </r>
  <r>
    <x v="153"/>
  </r>
  <r>
    <x v="154"/>
  </r>
  <r>
    <x v="80"/>
  </r>
  <r>
    <x v="2"/>
  </r>
  <r>
    <x v="155"/>
  </r>
  <r>
    <x v="156"/>
  </r>
  <r>
    <x v="157"/>
  </r>
  <r>
    <x v="81"/>
  </r>
  <r>
    <x v="158"/>
  </r>
  <r>
    <x v="159"/>
  </r>
  <r>
    <x v="160"/>
  </r>
  <r>
    <x v="2"/>
  </r>
  <r>
    <x v="87"/>
  </r>
  <r>
    <x v="161"/>
  </r>
  <r>
    <x v="162"/>
  </r>
  <r>
    <x v="2"/>
  </r>
  <r>
    <x v="163"/>
  </r>
  <r>
    <x v="2"/>
  </r>
  <r>
    <x v="2"/>
  </r>
  <r>
    <x v="164"/>
  </r>
  <r>
    <x v="81"/>
  </r>
  <r>
    <x v="165"/>
  </r>
  <r>
    <x v="166"/>
  </r>
  <r>
    <x v="2"/>
  </r>
  <r>
    <x v="167"/>
  </r>
  <r>
    <x v="168"/>
  </r>
  <r>
    <x v="84"/>
  </r>
  <r>
    <x v="169"/>
  </r>
  <r>
    <x v="9"/>
  </r>
  <r>
    <x v="158"/>
  </r>
  <r>
    <x v="170"/>
  </r>
  <r>
    <x v="171"/>
  </r>
  <r>
    <x v="171"/>
  </r>
  <r>
    <x v="27"/>
  </r>
  <r>
    <x v="172"/>
  </r>
  <r>
    <x v="173"/>
  </r>
  <r>
    <x v="25"/>
  </r>
  <r>
    <x v="174"/>
  </r>
  <r>
    <x v="175"/>
  </r>
  <r>
    <x v="176"/>
  </r>
  <r>
    <x v="22"/>
  </r>
  <r>
    <x v="177"/>
  </r>
  <r>
    <x v="2"/>
  </r>
  <r>
    <x v="2"/>
  </r>
  <r>
    <x v="2"/>
  </r>
  <r>
    <x v="178"/>
  </r>
  <r>
    <x v="178"/>
  </r>
  <r>
    <x v="179"/>
  </r>
  <r>
    <x v="180"/>
  </r>
  <r>
    <x v="181"/>
  </r>
  <r>
    <x v="2"/>
  </r>
  <r>
    <x v="67"/>
  </r>
  <r>
    <x v="67"/>
  </r>
  <r>
    <x v="135"/>
  </r>
  <r>
    <x v="83"/>
  </r>
  <r>
    <x v="83"/>
  </r>
  <r>
    <x v="182"/>
  </r>
  <r>
    <x v="182"/>
  </r>
  <r>
    <x v="81"/>
  </r>
  <r>
    <x v="155"/>
  </r>
  <r>
    <x v="183"/>
  </r>
  <r>
    <x v="184"/>
  </r>
  <r>
    <x v="185"/>
  </r>
  <r>
    <x v="158"/>
  </r>
  <r>
    <x v="149"/>
  </r>
  <r>
    <x v="186"/>
  </r>
  <r>
    <x v="187"/>
  </r>
  <r>
    <x v="188"/>
  </r>
  <r>
    <x v="189"/>
  </r>
  <r>
    <x v="190"/>
  </r>
  <r>
    <x v="104"/>
  </r>
  <r>
    <x v="191"/>
  </r>
  <r>
    <x v="192"/>
  </r>
  <r>
    <x v="193"/>
  </r>
  <r>
    <x v="194"/>
  </r>
  <r>
    <x v="195"/>
  </r>
  <r>
    <x v="196"/>
  </r>
  <r>
    <x v="187"/>
  </r>
  <r>
    <x v="197"/>
  </r>
  <r>
    <x v="198"/>
  </r>
  <r>
    <x v="199"/>
  </r>
  <r>
    <x v="200"/>
  </r>
  <r>
    <x v="201"/>
  </r>
  <r>
    <x v="192"/>
  </r>
  <r>
    <x v="202"/>
  </r>
  <r>
    <x v="203"/>
  </r>
  <r>
    <x v="204"/>
  </r>
  <r>
    <x v="180"/>
  </r>
  <r>
    <x v="205"/>
  </r>
  <r>
    <x v="206"/>
  </r>
  <r>
    <x v="196"/>
  </r>
  <r>
    <x v="207"/>
  </r>
  <r>
    <x v="208"/>
  </r>
  <r>
    <x v="202"/>
  </r>
  <r>
    <x v="209"/>
  </r>
  <r>
    <x v="210"/>
  </r>
  <r>
    <x v="87"/>
  </r>
  <r>
    <x v="211"/>
  </r>
  <r>
    <x v="212"/>
  </r>
  <r>
    <x v="212"/>
  </r>
  <r>
    <x v="212"/>
  </r>
  <r>
    <x v="212"/>
  </r>
  <r>
    <x v="212"/>
  </r>
  <r>
    <x v="212"/>
  </r>
  <r>
    <x v="212"/>
  </r>
  <r>
    <x v="212"/>
  </r>
  <r>
    <x v="212"/>
  </r>
  <r>
    <x v="212"/>
  </r>
  <r>
    <x v="212"/>
  </r>
  <r>
    <x v="212"/>
  </r>
  <r>
    <x v="212"/>
  </r>
  <r>
    <x v="212"/>
  </r>
  <r>
    <x v="212"/>
  </r>
  <r>
    <x v="212"/>
  </r>
  <r>
    <x v="212"/>
  </r>
  <r>
    <x v="212"/>
  </r>
  <r>
    <x v="212"/>
  </r>
  <r>
    <x v="212"/>
  </r>
  <r>
    <x v="2"/>
  </r>
  <r>
    <x v="2"/>
  </r>
  <r>
    <x v="213"/>
  </r>
  <r>
    <x v="151"/>
  </r>
  <r>
    <x v="214"/>
  </r>
  <r>
    <x v="2"/>
  </r>
  <r>
    <x v="215"/>
  </r>
  <r>
    <x v="216"/>
  </r>
  <r>
    <x v="2"/>
  </r>
  <r>
    <x v="217"/>
  </r>
  <r>
    <x v="67"/>
  </r>
  <r>
    <x v="2"/>
  </r>
  <r>
    <x v="218"/>
  </r>
  <r>
    <x v="218"/>
  </r>
  <r>
    <x v="219"/>
  </r>
  <r>
    <x v="220"/>
  </r>
  <r>
    <x v="221"/>
  </r>
  <r>
    <x v="192"/>
  </r>
  <r>
    <x v="222"/>
  </r>
  <r>
    <x v="2"/>
  </r>
  <r>
    <x v="2"/>
  </r>
  <r>
    <x v="223"/>
  </r>
  <r>
    <x v="224"/>
  </r>
  <r>
    <x v="225"/>
  </r>
  <r>
    <x v="226"/>
  </r>
  <r>
    <x v="227"/>
  </r>
  <r>
    <x v="137"/>
  </r>
  <r>
    <x v="67"/>
  </r>
  <r>
    <x v="67"/>
  </r>
  <r>
    <x v="67"/>
  </r>
  <r>
    <x v="67"/>
  </r>
  <r>
    <x v="2"/>
  </r>
  <r>
    <x v="67"/>
  </r>
  <r>
    <x v="67"/>
  </r>
  <r>
    <x v="67"/>
  </r>
  <r>
    <x v="67"/>
  </r>
  <r>
    <x v="2"/>
  </r>
  <r>
    <x v="67"/>
  </r>
  <r>
    <x v="67"/>
  </r>
  <r>
    <x v="83"/>
  </r>
  <r>
    <x v="83"/>
  </r>
  <r>
    <x v="83"/>
  </r>
  <r>
    <x v="83"/>
  </r>
  <r>
    <x v="83"/>
  </r>
  <r>
    <x v="83"/>
  </r>
  <r>
    <x v="83"/>
  </r>
  <r>
    <x v="83"/>
  </r>
  <r>
    <x v="83"/>
  </r>
  <r>
    <x v="83"/>
  </r>
  <r>
    <x v="83"/>
  </r>
  <r>
    <x v="83"/>
  </r>
  <r>
    <x v="83"/>
  </r>
  <r>
    <x v="83"/>
  </r>
  <r>
    <x v="83"/>
  </r>
  <r>
    <x v="222"/>
  </r>
  <r>
    <x v="25"/>
  </r>
  <r>
    <x v="25"/>
  </r>
  <r>
    <x v="25"/>
  </r>
  <r>
    <x v="25"/>
  </r>
  <r>
    <x v="25"/>
  </r>
  <r>
    <x v="25"/>
  </r>
  <r>
    <x v="228"/>
  </r>
  <r>
    <x v="84"/>
  </r>
  <r>
    <x v="84"/>
  </r>
  <r>
    <x v="84"/>
  </r>
  <r>
    <x v="84"/>
  </r>
  <r>
    <x v="79"/>
  </r>
  <r>
    <x v="79"/>
  </r>
  <r>
    <x v="92"/>
  </r>
  <r>
    <x v="79"/>
  </r>
  <r>
    <x v="229"/>
  </r>
  <r>
    <x v="79"/>
  </r>
  <r>
    <x v="85"/>
  </r>
  <r>
    <x v="79"/>
  </r>
  <r>
    <x v="2"/>
  </r>
  <r>
    <x v="79"/>
  </r>
  <r>
    <x v="2"/>
  </r>
  <r>
    <x v="25"/>
  </r>
  <r>
    <x v="25"/>
  </r>
  <r>
    <x v="25"/>
  </r>
  <r>
    <x v="2"/>
  </r>
  <r>
    <x v="2"/>
  </r>
  <r>
    <x v="2"/>
  </r>
  <r>
    <x v="2"/>
  </r>
  <r>
    <x v="2"/>
  </r>
  <r>
    <x v="2"/>
  </r>
  <r>
    <x v="2"/>
  </r>
  <r>
    <x v="2"/>
  </r>
  <r>
    <x v="2"/>
  </r>
  <r>
    <x v="25"/>
  </r>
  <r>
    <x v="79"/>
  </r>
  <r>
    <x v="79"/>
  </r>
  <r>
    <x v="2"/>
  </r>
  <r>
    <x v="2"/>
  </r>
  <r>
    <x v="2"/>
  </r>
  <r>
    <x v="2"/>
  </r>
  <r>
    <x v="2"/>
  </r>
  <r>
    <x v="2"/>
  </r>
  <r>
    <x v="2"/>
  </r>
  <r>
    <x v="79"/>
  </r>
  <r>
    <x v="92"/>
  </r>
  <r>
    <x v="92"/>
  </r>
  <r>
    <x v="92"/>
  </r>
  <r>
    <x v="92"/>
  </r>
  <r>
    <x v="92"/>
  </r>
  <r>
    <x v="84"/>
  </r>
  <r>
    <x v="84"/>
  </r>
  <r>
    <x v="84"/>
  </r>
  <r>
    <x v="229"/>
  </r>
  <r>
    <x v="230"/>
  </r>
  <r>
    <x v="2"/>
  </r>
  <r>
    <x v="25"/>
  </r>
  <r>
    <x v="25"/>
  </r>
  <r>
    <x v="25"/>
  </r>
  <r>
    <x v="84"/>
  </r>
  <r>
    <x v="90"/>
  </r>
  <r>
    <x v="79"/>
  </r>
  <r>
    <x v="24"/>
  </r>
  <r>
    <x v="2"/>
  </r>
  <r>
    <x v="94"/>
  </r>
  <r>
    <x v="92"/>
  </r>
  <r>
    <x v="2"/>
  </r>
  <r>
    <x v="2"/>
  </r>
  <r>
    <x v="24"/>
  </r>
  <r>
    <x v="79"/>
  </r>
  <r>
    <x v="2"/>
  </r>
  <r>
    <x v="24"/>
  </r>
  <r>
    <x v="84"/>
  </r>
  <r>
    <x v="2"/>
  </r>
  <r>
    <x v="24"/>
  </r>
  <r>
    <x v="82"/>
  </r>
  <r>
    <x v="2"/>
  </r>
  <r>
    <x v="231"/>
  </r>
  <r>
    <x v="231"/>
  </r>
  <r>
    <x v="231"/>
  </r>
  <r>
    <x v="231"/>
  </r>
  <r>
    <x v="231"/>
  </r>
  <r>
    <x v="2"/>
  </r>
  <r>
    <x v="232"/>
  </r>
  <r>
    <x v="233"/>
  </r>
  <r>
    <x v="107"/>
  </r>
  <r>
    <x v="25"/>
  </r>
  <r>
    <x v="25"/>
  </r>
  <r>
    <x v="25"/>
  </r>
  <r>
    <x v="25"/>
  </r>
  <r>
    <x v="25"/>
  </r>
  <r>
    <x v="2"/>
  </r>
  <r>
    <x v="2"/>
  </r>
  <r>
    <x v="90"/>
  </r>
  <r>
    <x v="123"/>
  </r>
  <r>
    <x v="234"/>
  </r>
  <r>
    <x v="235"/>
  </r>
  <r>
    <x v="2"/>
  </r>
  <r>
    <x v="79"/>
  </r>
  <r>
    <x v="2"/>
  </r>
  <r>
    <x v="25"/>
  </r>
  <r>
    <x v="2"/>
  </r>
  <r>
    <x v="236"/>
  </r>
  <r>
    <x v="2"/>
  </r>
  <r>
    <x v="92"/>
  </r>
  <r>
    <x v="84"/>
  </r>
  <r>
    <x v="114"/>
  </r>
  <r>
    <x v="196"/>
  </r>
  <r>
    <x v="25"/>
  </r>
  <r>
    <x v="79"/>
  </r>
  <r>
    <x v="79"/>
  </r>
  <r>
    <x v="84"/>
  </r>
  <r>
    <x v="90"/>
  </r>
  <r>
    <x v="79"/>
  </r>
  <r>
    <x v="94"/>
  </r>
  <r>
    <x v="79"/>
  </r>
  <r>
    <x v="81"/>
  </r>
  <r>
    <x v="79"/>
  </r>
  <r>
    <x v="84"/>
  </r>
  <r>
    <x v="79"/>
  </r>
  <r>
    <x v="84"/>
  </r>
  <r>
    <x v="131"/>
  </r>
  <r>
    <x v="24"/>
  </r>
  <r>
    <x v="79"/>
  </r>
  <r>
    <x v="79"/>
  </r>
  <r>
    <x v="85"/>
  </r>
  <r>
    <x v="2"/>
  </r>
  <r>
    <x v="114"/>
  </r>
  <r>
    <x v="2"/>
  </r>
  <r>
    <x v="2"/>
  </r>
  <r>
    <x v="84"/>
  </r>
  <r>
    <x v="2"/>
  </r>
  <r>
    <x v="2"/>
  </r>
  <r>
    <x v="2"/>
  </r>
  <r>
    <x v="84"/>
  </r>
  <r>
    <x v="85"/>
  </r>
  <r>
    <x v="94"/>
  </r>
  <r>
    <x v="2"/>
  </r>
  <r>
    <x v="84"/>
  </r>
  <r>
    <x v="79"/>
  </r>
  <r>
    <x v="84"/>
  </r>
  <r>
    <x v="79"/>
  </r>
  <r>
    <x v="79"/>
  </r>
  <r>
    <x v="237"/>
  </r>
  <r>
    <x v="238"/>
  </r>
  <r>
    <x v="80"/>
  </r>
  <r>
    <x v="135"/>
  </r>
  <r>
    <x v="135"/>
  </r>
  <r>
    <x v="239"/>
  </r>
  <r>
    <x v="2"/>
  </r>
  <r>
    <x v="2"/>
  </r>
  <r>
    <x v="240"/>
  </r>
  <r>
    <x v="241"/>
  </r>
  <r>
    <x v="241"/>
  </r>
  <r>
    <x v="107"/>
  </r>
  <r>
    <x v="241"/>
  </r>
  <r>
    <x v="24"/>
  </r>
  <r>
    <x v="24"/>
  </r>
  <r>
    <x v="242"/>
  </r>
  <r>
    <x v="243"/>
  </r>
  <r>
    <x v="244"/>
  </r>
  <r>
    <x v="245"/>
  </r>
  <r>
    <x v="246"/>
  </r>
  <r>
    <x v="247"/>
  </r>
  <r>
    <x v="248"/>
  </r>
  <r>
    <x v="249"/>
  </r>
  <r>
    <x v="249"/>
  </r>
  <r>
    <x v="250"/>
  </r>
  <r>
    <x v="251"/>
  </r>
  <r>
    <x v="252"/>
  </r>
  <r>
    <x v="251"/>
  </r>
  <r>
    <x v="253"/>
  </r>
  <r>
    <x v="254"/>
  </r>
  <r>
    <x v="255"/>
  </r>
  <r>
    <x v="256"/>
  </r>
  <r>
    <x v="247"/>
  </r>
  <r>
    <x v="257"/>
  </r>
  <r>
    <x v="258"/>
  </r>
  <r>
    <x v="247"/>
  </r>
  <r>
    <x v="259"/>
  </r>
  <r>
    <x v="260"/>
  </r>
  <r>
    <x v="261"/>
  </r>
  <r>
    <x v="262"/>
  </r>
  <r>
    <x v="263"/>
  </r>
  <r>
    <x v="264"/>
  </r>
  <r>
    <x v="265"/>
  </r>
  <r>
    <x v="266"/>
  </r>
  <r>
    <x v="267"/>
  </r>
  <r>
    <x v="268"/>
  </r>
  <r>
    <x v="269"/>
  </r>
  <r>
    <x v="270"/>
  </r>
  <r>
    <x v="267"/>
  </r>
  <r>
    <x v="271"/>
  </r>
  <r>
    <x v="247"/>
  </r>
  <r>
    <x v="272"/>
  </r>
  <r>
    <x v="267"/>
  </r>
  <r>
    <x v="260"/>
  </r>
  <r>
    <x v="255"/>
  </r>
  <r>
    <x v="273"/>
  </r>
  <r>
    <x v="274"/>
  </r>
  <r>
    <x v="267"/>
  </r>
  <r>
    <x v="275"/>
  </r>
  <r>
    <x v="276"/>
  </r>
  <r>
    <x v="277"/>
  </r>
  <r>
    <x v="278"/>
  </r>
  <r>
    <x v="279"/>
  </r>
  <r>
    <x v="280"/>
  </r>
  <r>
    <x v="281"/>
  </r>
  <r>
    <x v="282"/>
  </r>
  <r>
    <x v="283"/>
  </r>
  <r>
    <x v="283"/>
  </r>
  <r>
    <x v="283"/>
  </r>
  <r>
    <x v="284"/>
  </r>
  <r>
    <x v="285"/>
  </r>
  <r>
    <x v="286"/>
  </r>
  <r>
    <x v="287"/>
  </r>
  <r>
    <x v="288"/>
  </r>
  <r>
    <x v="289"/>
  </r>
  <r>
    <x v="290"/>
  </r>
  <r>
    <x v="291"/>
  </r>
  <r>
    <x v="291"/>
  </r>
  <r>
    <x v="292"/>
  </r>
  <r>
    <x v="293"/>
  </r>
  <r>
    <x v="294"/>
  </r>
  <r>
    <x v="295"/>
  </r>
  <r>
    <x v="296"/>
  </r>
  <r>
    <x v="297"/>
  </r>
  <r>
    <x v="298"/>
  </r>
  <r>
    <x v="299"/>
  </r>
  <r>
    <x v="300"/>
  </r>
  <r>
    <x v="301"/>
  </r>
  <r>
    <x v="302"/>
  </r>
  <r>
    <x v="303"/>
  </r>
  <r>
    <x v="94"/>
  </r>
  <r>
    <x v="100"/>
  </r>
  <r>
    <x v="304"/>
  </r>
  <r>
    <x v="305"/>
  </r>
  <r>
    <x v="306"/>
  </r>
  <r>
    <x v="307"/>
  </r>
  <r>
    <x v="308"/>
  </r>
  <r>
    <x v="309"/>
  </r>
  <r>
    <x v="310"/>
  </r>
  <r>
    <x v="311"/>
  </r>
  <r>
    <x v="312"/>
  </r>
  <r>
    <x v="313"/>
  </r>
  <r>
    <x v="314"/>
  </r>
  <r>
    <x v="315"/>
  </r>
  <r>
    <x v="316"/>
  </r>
  <r>
    <x v="308"/>
  </r>
  <r>
    <x v="295"/>
  </r>
  <r>
    <x v="295"/>
  </r>
  <r>
    <x v="317"/>
  </r>
  <r>
    <x v="318"/>
  </r>
  <r>
    <x v="314"/>
  </r>
  <r>
    <x v="319"/>
  </r>
  <r>
    <x v="295"/>
  </r>
  <r>
    <x v="320"/>
  </r>
  <r>
    <x v="301"/>
  </r>
  <r>
    <x v="321"/>
  </r>
  <r>
    <x v="322"/>
  </r>
  <r>
    <x v="301"/>
  </r>
  <r>
    <x v="323"/>
  </r>
  <r>
    <x v="324"/>
  </r>
  <r>
    <x v="295"/>
  </r>
  <r>
    <x v="308"/>
  </r>
  <r>
    <x v="300"/>
  </r>
  <r>
    <x v="325"/>
  </r>
  <r>
    <x v="326"/>
  </r>
  <r>
    <x v="326"/>
  </r>
  <r>
    <x v="327"/>
  </r>
  <r>
    <x v="316"/>
  </r>
  <r>
    <x v="328"/>
  </r>
  <r>
    <x v="2"/>
  </r>
  <r>
    <x v="301"/>
  </r>
  <r>
    <x v="329"/>
  </r>
  <r>
    <x v="7"/>
  </r>
  <r>
    <x v="330"/>
  </r>
  <r>
    <x v="291"/>
  </r>
  <r>
    <x v="331"/>
  </r>
  <r>
    <x v="332"/>
  </r>
  <r>
    <x v="333"/>
  </r>
  <r>
    <x v="308"/>
  </r>
  <r>
    <x v="334"/>
  </r>
  <r>
    <x v="335"/>
  </r>
  <r>
    <x v="336"/>
  </r>
  <r>
    <x v="337"/>
  </r>
  <r>
    <x v="309"/>
  </r>
  <r>
    <x v="338"/>
  </r>
  <r>
    <x v="38"/>
  </r>
  <r>
    <x v="339"/>
  </r>
  <r>
    <x v="340"/>
  </r>
  <r>
    <x v="38"/>
  </r>
  <r>
    <x v="316"/>
  </r>
  <r>
    <x v="291"/>
  </r>
  <r>
    <x v="341"/>
  </r>
  <r>
    <x v="309"/>
  </r>
  <r>
    <x v="329"/>
  </r>
  <r>
    <x v="38"/>
  </r>
  <r>
    <x v="342"/>
  </r>
  <r>
    <x v="343"/>
  </r>
  <r>
    <x v="344"/>
  </r>
  <r>
    <x v="316"/>
  </r>
  <r>
    <x v="308"/>
  </r>
  <r>
    <x v="345"/>
  </r>
  <r>
    <x v="316"/>
  </r>
  <r>
    <x v="346"/>
  </r>
  <r>
    <x v="347"/>
  </r>
  <r>
    <x v="348"/>
  </r>
  <r>
    <x v="349"/>
  </r>
  <r>
    <x v="301"/>
  </r>
  <r>
    <x v="350"/>
  </r>
  <r>
    <x v="351"/>
  </r>
  <r>
    <x v="280"/>
  </r>
  <r>
    <x v="352"/>
  </r>
  <r>
    <x v="301"/>
  </r>
  <r>
    <x v="353"/>
  </r>
  <r>
    <x v="354"/>
  </r>
  <r>
    <x v="355"/>
  </r>
  <r>
    <x v="356"/>
  </r>
  <r>
    <x v="291"/>
  </r>
  <r>
    <x v="282"/>
  </r>
  <r>
    <x v="298"/>
  </r>
  <r>
    <x v="303"/>
  </r>
  <r>
    <x v="322"/>
  </r>
  <r>
    <x v="291"/>
  </r>
  <r>
    <x v="285"/>
  </r>
  <r>
    <x v="357"/>
  </r>
  <r>
    <x v="358"/>
  </r>
  <r>
    <x v="359"/>
  </r>
  <r>
    <x v="297"/>
  </r>
  <r>
    <x v="331"/>
  </r>
  <r>
    <x v="28"/>
  </r>
  <r>
    <x v="360"/>
  </r>
  <r>
    <x v="295"/>
  </r>
  <r>
    <x v="27"/>
  </r>
  <r>
    <x v="300"/>
  </r>
  <r>
    <x v="295"/>
  </r>
  <r>
    <x v="361"/>
  </r>
  <r>
    <x v="362"/>
  </r>
  <r>
    <x v="7"/>
  </r>
  <r>
    <x v="301"/>
  </r>
  <r>
    <x v="295"/>
  </r>
  <r>
    <x v="363"/>
  </r>
  <r>
    <x v="359"/>
  </r>
  <r>
    <x v="364"/>
  </r>
  <r>
    <x v="291"/>
  </r>
  <r>
    <x v="365"/>
  </r>
  <r>
    <x v="303"/>
  </r>
  <r>
    <x v="366"/>
  </r>
  <r>
    <x v="295"/>
  </r>
  <r>
    <x v="303"/>
  </r>
  <r>
    <x v="294"/>
  </r>
  <r>
    <x v="301"/>
  </r>
  <r>
    <x v="309"/>
  </r>
  <r>
    <x v="285"/>
  </r>
  <r>
    <x v="285"/>
  </r>
  <r>
    <x v="367"/>
  </r>
  <r>
    <x v="368"/>
  </r>
  <r>
    <x v="369"/>
  </r>
  <r>
    <x v="370"/>
  </r>
  <r>
    <x v="328"/>
  </r>
  <r>
    <x v="371"/>
  </r>
  <r>
    <x v="295"/>
  </r>
  <r>
    <x v="307"/>
  </r>
  <r>
    <x v="372"/>
  </r>
  <r>
    <x v="303"/>
  </r>
  <r>
    <x v="301"/>
  </r>
  <r>
    <x v="373"/>
  </r>
  <r>
    <x v="374"/>
  </r>
  <r>
    <x v="316"/>
  </r>
  <r>
    <x v="316"/>
  </r>
  <r>
    <x v="375"/>
  </r>
  <r>
    <x v="16"/>
  </r>
  <r>
    <x v="376"/>
  </r>
  <r>
    <x v="377"/>
  </r>
  <r>
    <x v="378"/>
  </r>
  <r>
    <x v="379"/>
  </r>
  <r>
    <x v="32"/>
  </r>
  <r>
    <x v="380"/>
  </r>
  <r>
    <x v="380"/>
  </r>
  <r>
    <x v="381"/>
  </r>
  <r>
    <x v="2"/>
  </r>
  <r>
    <x v="382"/>
  </r>
  <r>
    <x v="383"/>
  </r>
  <r>
    <x v="295"/>
  </r>
  <r>
    <x v="16"/>
  </r>
  <r>
    <x v="384"/>
  </r>
  <r>
    <x v="385"/>
  </r>
  <r>
    <x v="295"/>
  </r>
  <r>
    <x v="303"/>
  </r>
  <r>
    <x v="359"/>
  </r>
  <r>
    <x v="322"/>
  </r>
  <r>
    <x v="383"/>
  </r>
  <r>
    <x v="386"/>
  </r>
  <r>
    <x v="387"/>
  </r>
  <r>
    <x v="288"/>
  </r>
  <r>
    <x v="388"/>
  </r>
  <r>
    <x v="389"/>
  </r>
  <r>
    <x v="301"/>
  </r>
  <r>
    <x v="291"/>
  </r>
  <r>
    <x v="297"/>
  </r>
  <r>
    <x v="359"/>
  </r>
  <r>
    <x v="291"/>
  </r>
  <r>
    <x v="390"/>
  </r>
  <r>
    <x v="358"/>
  </r>
  <r>
    <x v="358"/>
  </r>
  <r>
    <x v="358"/>
  </r>
  <r>
    <x v="391"/>
  </r>
  <r>
    <x v="392"/>
  </r>
  <r>
    <x v="392"/>
  </r>
  <r>
    <x v="393"/>
  </r>
  <r>
    <x v="393"/>
  </r>
  <r>
    <x v="393"/>
  </r>
  <r>
    <x v="393"/>
  </r>
  <r>
    <x v="393"/>
  </r>
  <r>
    <x v="393"/>
  </r>
  <r>
    <x v="393"/>
  </r>
  <r>
    <x v="394"/>
  </r>
  <r>
    <x v="395"/>
  </r>
  <r>
    <x v="396"/>
  </r>
  <r>
    <x v="397"/>
  </r>
  <r>
    <x v="397"/>
  </r>
  <r>
    <x v="2"/>
  </r>
  <r>
    <x v="398"/>
  </r>
  <r>
    <x v="399"/>
  </r>
  <r>
    <x v="399"/>
  </r>
  <r>
    <x v="399"/>
  </r>
  <r>
    <x v="399"/>
  </r>
  <r>
    <x v="399"/>
  </r>
  <r>
    <x v="399"/>
  </r>
  <r>
    <x v="399"/>
  </r>
  <r>
    <x v="399"/>
  </r>
  <r>
    <x v="399"/>
  </r>
  <r>
    <x v="399"/>
  </r>
  <r>
    <x v="400"/>
  </r>
  <r>
    <x v="25"/>
  </r>
  <r>
    <x v="25"/>
  </r>
  <r>
    <x v="25"/>
  </r>
  <r>
    <x v="25"/>
  </r>
  <r>
    <x v="25"/>
  </r>
  <r>
    <x v="25"/>
  </r>
  <r>
    <x v="25"/>
  </r>
  <r>
    <x v="25"/>
  </r>
  <r>
    <x v="25"/>
  </r>
  <r>
    <x v="25"/>
  </r>
  <r>
    <x v="25"/>
  </r>
  <r>
    <x v="25"/>
  </r>
  <r>
    <x v="25"/>
  </r>
  <r>
    <x v="25"/>
  </r>
  <r>
    <x v="25"/>
  </r>
  <r>
    <x v="25"/>
  </r>
  <r>
    <x v="25"/>
  </r>
  <r>
    <x v="401"/>
  </r>
  <r>
    <x v="401"/>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86"/>
  </r>
  <r>
    <x v="402"/>
  </r>
  <r>
    <x v="402"/>
  </r>
  <r>
    <x v="402"/>
  </r>
  <r>
    <x v="402"/>
  </r>
  <r>
    <x v="402"/>
  </r>
  <r>
    <x v="402"/>
  </r>
  <r>
    <x v="402"/>
  </r>
  <r>
    <x v="402"/>
  </r>
  <r>
    <x v="402"/>
  </r>
  <r>
    <x v="402"/>
  </r>
  <r>
    <x v="402"/>
  </r>
  <r>
    <x v="403"/>
  </r>
  <r>
    <x v="2"/>
  </r>
  <r>
    <x v="393"/>
  </r>
  <r>
    <x v="393"/>
  </r>
  <r>
    <x v="79"/>
  </r>
  <r>
    <x v="79"/>
  </r>
  <r>
    <x v="2"/>
  </r>
  <r>
    <x v="2"/>
  </r>
  <r>
    <x v="2"/>
  </r>
  <r>
    <x v="2"/>
  </r>
  <r>
    <x v="79"/>
  </r>
  <r>
    <x v="157"/>
  </r>
  <r>
    <x v="404"/>
  </r>
  <r>
    <x v="405"/>
  </r>
  <r>
    <x v="2"/>
  </r>
  <r>
    <x v="406"/>
  </r>
  <r>
    <x v="406"/>
  </r>
  <r>
    <x v="86"/>
  </r>
  <r>
    <x v="407"/>
  </r>
  <r>
    <x v="407"/>
  </r>
  <r>
    <x v="81"/>
  </r>
  <r>
    <x v="81"/>
  </r>
  <r>
    <x v="408"/>
  </r>
  <r>
    <x v="409"/>
  </r>
  <r>
    <x v="409"/>
  </r>
  <r>
    <x v="409"/>
  </r>
  <r>
    <x v="409"/>
  </r>
  <r>
    <x v="2"/>
  </r>
  <r>
    <x v="393"/>
  </r>
  <r>
    <x v="100"/>
  </r>
  <r>
    <x v="87"/>
  </r>
  <r>
    <x v="410"/>
  </r>
  <r>
    <x v="126"/>
  </r>
  <r>
    <x v="126"/>
  </r>
  <r>
    <x v="411"/>
  </r>
  <r>
    <x v="412"/>
  </r>
  <r>
    <x v="413"/>
  </r>
  <r>
    <x v="373"/>
  </r>
  <r>
    <x v="414"/>
  </r>
  <r>
    <x v="415"/>
  </r>
  <r>
    <x v="416"/>
  </r>
  <r>
    <x v="409"/>
  </r>
  <r>
    <x v="409"/>
  </r>
  <r>
    <x v="40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3">
  <r>
    <x v="0"/>
  </r>
  <r>
    <x v="0"/>
  </r>
  <r>
    <x v="0"/>
  </r>
  <r>
    <x v="0"/>
  </r>
  <r>
    <x v="0"/>
  </r>
  <r>
    <x v="1"/>
  </r>
  <r>
    <x v="0"/>
  </r>
  <r>
    <x v="0"/>
  </r>
  <r>
    <x v="0"/>
  </r>
  <r>
    <x v="0"/>
  </r>
  <r>
    <x v="0"/>
  </r>
  <r>
    <x v="0"/>
  </r>
  <r>
    <x v="0"/>
  </r>
  <r>
    <x v="2"/>
  </r>
  <r>
    <x v="3"/>
  </r>
  <r>
    <x v="0"/>
  </r>
  <r>
    <x v="3"/>
  </r>
  <r>
    <x v="3"/>
  </r>
  <r>
    <x v="3"/>
  </r>
  <r>
    <x v="3"/>
  </r>
  <r>
    <x v="0"/>
  </r>
  <r>
    <x v="0"/>
  </r>
  <r>
    <x v="0"/>
  </r>
  <r>
    <x v="0"/>
  </r>
  <r>
    <x v="3"/>
  </r>
  <r>
    <x v="0"/>
  </r>
  <r>
    <x v="4"/>
  </r>
  <r>
    <x v="1"/>
  </r>
  <r>
    <x v="5"/>
  </r>
  <r>
    <x v="0"/>
  </r>
  <r>
    <x v="3"/>
  </r>
  <r>
    <x v="0"/>
  </r>
  <r>
    <x v="3"/>
  </r>
  <r>
    <x v="3"/>
  </r>
  <r>
    <x v="6"/>
  </r>
  <r>
    <x v="0"/>
  </r>
  <r>
    <x v="0"/>
  </r>
  <r>
    <x v="0"/>
  </r>
  <r>
    <x v="7"/>
  </r>
  <r>
    <x v="3"/>
  </r>
  <r>
    <x v="8"/>
  </r>
  <r>
    <x v="8"/>
  </r>
  <r>
    <x v="0"/>
  </r>
  <r>
    <x v="0"/>
  </r>
  <r>
    <x v="0"/>
  </r>
  <r>
    <x v="3"/>
  </r>
  <r>
    <x v="3"/>
  </r>
  <r>
    <x v="3"/>
  </r>
  <r>
    <x v="8"/>
  </r>
  <r>
    <x v="9"/>
  </r>
  <r>
    <x v="10"/>
  </r>
  <r>
    <x v="0"/>
  </r>
  <r>
    <x v="11"/>
  </r>
  <r>
    <x v="12"/>
  </r>
  <r>
    <x v="13"/>
  </r>
  <r>
    <x v="14"/>
  </r>
  <r>
    <x v="0"/>
  </r>
  <r>
    <x v="6"/>
  </r>
  <r>
    <x v="15"/>
  </r>
  <r>
    <x v="6"/>
  </r>
  <r>
    <x v="6"/>
  </r>
  <r>
    <x v="6"/>
  </r>
  <r>
    <x v="6"/>
  </r>
  <r>
    <x v="6"/>
  </r>
  <r>
    <x v="6"/>
  </r>
  <r>
    <x v="6"/>
  </r>
  <r>
    <x v="6"/>
  </r>
  <r>
    <x v="16"/>
  </r>
  <r>
    <x v="16"/>
  </r>
  <r>
    <x v="3"/>
  </r>
  <r>
    <x v="17"/>
  </r>
  <r>
    <x v="0"/>
  </r>
  <r>
    <x v="18"/>
  </r>
  <r>
    <x v="0"/>
  </r>
  <r>
    <x v="19"/>
  </r>
  <r>
    <x v="20"/>
  </r>
  <r>
    <x v="0"/>
  </r>
  <r>
    <x v="21"/>
  </r>
  <r>
    <x v="0"/>
  </r>
  <r>
    <x v="19"/>
  </r>
  <r>
    <x v="0"/>
  </r>
  <r>
    <x v="0"/>
  </r>
  <r>
    <x v="0"/>
  </r>
  <r>
    <x v="10"/>
  </r>
  <r>
    <x v="17"/>
  </r>
  <r>
    <x v="22"/>
  </r>
  <r>
    <x v="23"/>
  </r>
  <r>
    <x v="10"/>
  </r>
  <r>
    <x v="24"/>
  </r>
  <r>
    <x v="10"/>
  </r>
  <r>
    <x v="0"/>
  </r>
  <r>
    <x v="25"/>
  </r>
  <r>
    <x v="26"/>
  </r>
  <r>
    <x v="0"/>
  </r>
  <r>
    <x v="27"/>
  </r>
  <r>
    <x v="28"/>
  </r>
  <r>
    <x v="28"/>
  </r>
  <r>
    <x v="0"/>
  </r>
  <r>
    <x v="0"/>
  </r>
  <r>
    <x v="8"/>
  </r>
  <r>
    <x v="8"/>
  </r>
  <r>
    <x v="1"/>
  </r>
  <r>
    <x v="1"/>
  </r>
  <r>
    <x v="1"/>
  </r>
  <r>
    <x v="1"/>
  </r>
  <r>
    <x v="1"/>
  </r>
  <r>
    <x v="1"/>
  </r>
  <r>
    <x v="1"/>
  </r>
  <r>
    <x v="1"/>
  </r>
  <r>
    <x v="1"/>
  </r>
  <r>
    <x v="0"/>
  </r>
  <r>
    <x v="3"/>
  </r>
  <r>
    <x v="0"/>
  </r>
  <r>
    <x v="29"/>
  </r>
  <r>
    <x v="30"/>
  </r>
  <r>
    <x v="30"/>
  </r>
  <r>
    <x v="26"/>
  </r>
  <r>
    <x v="3"/>
  </r>
  <r>
    <x v="3"/>
  </r>
  <r>
    <x v="3"/>
  </r>
  <r>
    <x v="3"/>
  </r>
  <r>
    <x v="0"/>
  </r>
  <r>
    <x v="0"/>
  </r>
  <r>
    <x v="29"/>
  </r>
  <r>
    <x v="3"/>
  </r>
  <r>
    <x v="0"/>
  </r>
  <r>
    <x v="0"/>
  </r>
  <r>
    <x v="0"/>
  </r>
  <r>
    <x v="31"/>
  </r>
  <r>
    <x v="0"/>
  </r>
  <r>
    <x v="0"/>
  </r>
  <r>
    <x v="3"/>
  </r>
  <r>
    <x v="3"/>
  </r>
  <r>
    <x v="1"/>
  </r>
  <r>
    <x v="1"/>
  </r>
  <r>
    <x v="1"/>
  </r>
  <r>
    <x v="8"/>
  </r>
  <r>
    <x v="8"/>
  </r>
  <r>
    <x v="0"/>
  </r>
  <r>
    <x v="0"/>
  </r>
  <r>
    <x v="1"/>
  </r>
  <r>
    <x v="1"/>
  </r>
  <r>
    <x v="1"/>
  </r>
  <r>
    <x v="3"/>
  </r>
  <r>
    <x v="0"/>
  </r>
  <r>
    <x v="0"/>
  </r>
  <r>
    <x v="32"/>
  </r>
  <r>
    <x v="0"/>
  </r>
  <r>
    <x v="18"/>
  </r>
  <r>
    <x v="33"/>
  </r>
  <r>
    <x v="1"/>
  </r>
  <r>
    <x v="3"/>
  </r>
  <r>
    <x v="3"/>
  </r>
  <r>
    <x v="0"/>
  </r>
  <r>
    <x v="3"/>
  </r>
  <r>
    <x v="0"/>
  </r>
  <r>
    <x v="0"/>
  </r>
  <r>
    <x v="0"/>
  </r>
  <r>
    <x v="1"/>
  </r>
  <r>
    <x v="1"/>
  </r>
  <r>
    <x v="1"/>
  </r>
  <r>
    <x v="1"/>
  </r>
  <r>
    <x v="1"/>
  </r>
  <r>
    <x v="34"/>
  </r>
  <r>
    <x v="0"/>
  </r>
  <r>
    <x v="0"/>
  </r>
  <r>
    <x v="0"/>
  </r>
  <r>
    <x v="35"/>
  </r>
  <r>
    <x v="0"/>
  </r>
  <r>
    <x v="0"/>
  </r>
  <r>
    <x v="0"/>
  </r>
  <r>
    <x v="0"/>
  </r>
  <r>
    <x v="1"/>
  </r>
  <r>
    <x v="1"/>
  </r>
  <r>
    <x v="33"/>
  </r>
  <r>
    <x v="0"/>
  </r>
  <r>
    <x v="8"/>
  </r>
  <r>
    <x v="8"/>
  </r>
  <r>
    <x v="3"/>
  </r>
  <r>
    <x v="0"/>
  </r>
  <r>
    <x v="0"/>
  </r>
  <r>
    <x v="0"/>
  </r>
  <r>
    <x v="0"/>
  </r>
  <r>
    <x v="0"/>
  </r>
  <r>
    <x v="1"/>
  </r>
  <r>
    <x v="1"/>
  </r>
  <r>
    <x v="36"/>
  </r>
  <r>
    <x v="3"/>
  </r>
  <r>
    <x v="0"/>
  </r>
  <r>
    <x v="1"/>
  </r>
  <r>
    <x v="13"/>
  </r>
  <r>
    <x v="13"/>
  </r>
  <r>
    <x v="3"/>
  </r>
  <r>
    <x v="1"/>
  </r>
  <r>
    <x v="37"/>
  </r>
  <r>
    <x v="37"/>
  </r>
  <r>
    <x v="37"/>
  </r>
  <r>
    <x v="37"/>
  </r>
  <r>
    <x v="37"/>
  </r>
  <r>
    <x v="37"/>
  </r>
  <r>
    <x v="37"/>
  </r>
  <r>
    <x v="37"/>
  </r>
  <r>
    <x v="37"/>
  </r>
  <r>
    <x v="37"/>
  </r>
  <r>
    <x v="37"/>
  </r>
  <r>
    <x v="37"/>
  </r>
  <r>
    <x v="38"/>
  </r>
  <r>
    <x v="0"/>
  </r>
  <r>
    <x v="39"/>
  </r>
  <r>
    <x v="40"/>
  </r>
  <r>
    <x v="41"/>
  </r>
  <r>
    <x v="42"/>
  </r>
  <r>
    <x v="43"/>
  </r>
  <r>
    <x v="44"/>
  </r>
  <r>
    <x v="45"/>
  </r>
  <r>
    <x v="0"/>
  </r>
  <r>
    <x v="12"/>
  </r>
  <r>
    <x v="12"/>
  </r>
  <r>
    <x v="46"/>
  </r>
  <r>
    <x v="47"/>
  </r>
  <r>
    <x v="32"/>
  </r>
  <r>
    <x v="48"/>
  </r>
  <r>
    <x v="49"/>
  </r>
  <r>
    <x v="50"/>
  </r>
  <r>
    <x v="51"/>
  </r>
  <r>
    <x v="52"/>
  </r>
  <r>
    <x v="53"/>
  </r>
  <r>
    <x v="47"/>
  </r>
  <r>
    <x v="47"/>
  </r>
  <r>
    <x v="12"/>
  </r>
  <r>
    <x v="54"/>
  </r>
  <r>
    <x v="55"/>
  </r>
  <r>
    <x v="55"/>
  </r>
  <r>
    <x v="0"/>
  </r>
  <r>
    <x v="47"/>
  </r>
  <r>
    <x v="12"/>
  </r>
  <r>
    <x v="14"/>
  </r>
  <r>
    <x v="56"/>
  </r>
  <r>
    <x v="12"/>
  </r>
  <r>
    <x v="57"/>
  </r>
  <r>
    <x v="47"/>
  </r>
  <r>
    <x v="57"/>
  </r>
  <r>
    <x v="47"/>
  </r>
  <r>
    <x v="53"/>
  </r>
  <r>
    <x v="0"/>
  </r>
  <r>
    <x v="48"/>
  </r>
  <r>
    <x v="47"/>
  </r>
  <r>
    <x v="58"/>
  </r>
  <r>
    <x v="59"/>
  </r>
  <r>
    <x v="12"/>
  </r>
  <r>
    <x v="12"/>
  </r>
  <r>
    <x v="47"/>
  </r>
  <r>
    <x v="12"/>
  </r>
  <r>
    <x v="47"/>
  </r>
  <r>
    <x v="47"/>
  </r>
  <r>
    <x v="51"/>
  </r>
  <r>
    <x v="60"/>
  </r>
  <r>
    <x v="47"/>
  </r>
  <r>
    <x v="61"/>
  </r>
  <r>
    <x v="0"/>
  </r>
  <r>
    <x v="58"/>
  </r>
  <r>
    <x v="62"/>
  </r>
  <r>
    <x v="48"/>
  </r>
  <r>
    <x v="47"/>
  </r>
  <r>
    <x v="53"/>
  </r>
  <r>
    <x v="63"/>
  </r>
  <r>
    <x v="47"/>
  </r>
  <r>
    <x v="58"/>
  </r>
  <r>
    <x v="47"/>
  </r>
  <r>
    <x v="64"/>
  </r>
  <r>
    <x v="65"/>
  </r>
  <r>
    <x v="12"/>
  </r>
  <r>
    <x v="12"/>
  </r>
  <r>
    <x v="58"/>
  </r>
  <r>
    <x v="11"/>
  </r>
  <r>
    <x v="12"/>
  </r>
  <r>
    <x v="47"/>
  </r>
  <r>
    <x v="66"/>
  </r>
  <r>
    <x v="14"/>
  </r>
  <r>
    <x v="67"/>
  </r>
  <r>
    <x v="14"/>
  </r>
  <r>
    <x v="67"/>
  </r>
  <r>
    <x v="67"/>
  </r>
  <r>
    <x v="67"/>
  </r>
  <r>
    <x v="67"/>
  </r>
  <r>
    <x v="67"/>
  </r>
  <r>
    <x v="68"/>
  </r>
  <r>
    <x v="0"/>
  </r>
  <r>
    <x v="0"/>
  </r>
  <r>
    <x v="12"/>
  </r>
  <r>
    <x v="68"/>
  </r>
  <r>
    <x v="68"/>
  </r>
  <r>
    <x v="69"/>
  </r>
  <r>
    <x v="70"/>
  </r>
  <r>
    <x v="70"/>
  </r>
  <r>
    <x v="71"/>
  </r>
  <r>
    <x v="62"/>
  </r>
  <r>
    <x v="51"/>
  </r>
  <r>
    <x v="51"/>
  </r>
  <r>
    <x v="72"/>
  </r>
  <r>
    <x v="73"/>
  </r>
  <r>
    <x v="0"/>
  </r>
  <r>
    <x v="74"/>
  </r>
  <r>
    <x v="75"/>
  </r>
  <r>
    <x v="0"/>
  </r>
  <r>
    <x v="76"/>
  </r>
  <r>
    <x v="77"/>
  </r>
  <r>
    <x v="12"/>
  </r>
  <r>
    <x v="78"/>
  </r>
  <r>
    <x v="79"/>
  </r>
  <r>
    <x v="12"/>
  </r>
  <r>
    <x v="53"/>
  </r>
  <r>
    <x v="12"/>
  </r>
  <r>
    <x v="62"/>
  </r>
  <r>
    <x v="0"/>
  </r>
  <r>
    <x v="47"/>
  </r>
  <r>
    <x v="80"/>
  </r>
  <r>
    <x v="53"/>
  </r>
  <r>
    <x v="81"/>
  </r>
  <r>
    <x v="0"/>
  </r>
  <r>
    <x v="12"/>
  </r>
  <r>
    <x v="82"/>
  </r>
  <r>
    <x v="83"/>
  </r>
  <r>
    <x v="84"/>
  </r>
  <r>
    <x v="85"/>
  </r>
  <r>
    <x v="86"/>
  </r>
  <r>
    <x v="51"/>
  </r>
  <r>
    <x v="87"/>
  </r>
  <r>
    <x v="88"/>
  </r>
  <r>
    <x v="89"/>
  </r>
  <r>
    <x v="90"/>
  </r>
  <r>
    <x v="12"/>
  </r>
  <r>
    <x v="91"/>
  </r>
  <r>
    <x v="80"/>
  </r>
  <r>
    <x v="47"/>
  </r>
  <r>
    <x v="12"/>
  </r>
  <r>
    <x v="92"/>
  </r>
  <r>
    <x v="93"/>
  </r>
  <r>
    <x v="0"/>
  </r>
  <r>
    <x v="94"/>
  </r>
  <r>
    <x v="95"/>
  </r>
  <r>
    <x v="68"/>
  </r>
  <r>
    <x v="0"/>
  </r>
  <r>
    <x v="96"/>
  </r>
  <r>
    <x v="53"/>
  </r>
  <r>
    <x v="12"/>
  </r>
  <r>
    <x v="1"/>
  </r>
  <r>
    <x v="97"/>
  </r>
  <r>
    <x v="98"/>
  </r>
  <r>
    <x v="12"/>
  </r>
  <r>
    <x v="12"/>
  </r>
  <r>
    <x v="12"/>
  </r>
  <r>
    <x v="99"/>
  </r>
  <r>
    <x v="48"/>
  </r>
  <r>
    <x v="100"/>
  </r>
  <r>
    <x v="101"/>
  </r>
  <r>
    <x v="58"/>
  </r>
  <r>
    <x v="0"/>
  </r>
  <r>
    <x v="68"/>
  </r>
  <r>
    <x v="48"/>
  </r>
  <r>
    <x v="0"/>
  </r>
  <r>
    <x v="0"/>
  </r>
  <r>
    <x v="102"/>
  </r>
  <r>
    <x v="62"/>
  </r>
  <r>
    <x v="0"/>
  </r>
  <r>
    <x v="12"/>
  </r>
  <r>
    <x v="103"/>
  </r>
  <r>
    <x v="104"/>
  </r>
  <r>
    <x v="105"/>
  </r>
  <r>
    <x v="62"/>
  </r>
  <r>
    <x v="106"/>
  </r>
  <r>
    <x v="14"/>
  </r>
  <r>
    <x v="12"/>
  </r>
  <r>
    <x v="47"/>
  </r>
  <r>
    <x v="14"/>
  </r>
  <r>
    <x v="14"/>
  </r>
  <r>
    <x v="64"/>
  </r>
  <r>
    <x v="0"/>
  </r>
  <r>
    <x v="11"/>
  </r>
  <r>
    <x v="53"/>
  </r>
  <r>
    <x v="47"/>
  </r>
  <r>
    <x v="87"/>
  </r>
  <r>
    <x v="0"/>
  </r>
  <r>
    <x v="107"/>
  </r>
  <r>
    <x v="108"/>
  </r>
  <r>
    <x v="109"/>
  </r>
  <r>
    <x v="14"/>
  </r>
  <r>
    <x v="0"/>
  </r>
  <r>
    <x v="0"/>
  </r>
  <r>
    <x v="12"/>
  </r>
  <r>
    <x v="110"/>
  </r>
  <r>
    <x v="111"/>
  </r>
  <r>
    <x v="53"/>
  </r>
  <r>
    <x v="65"/>
  </r>
  <r>
    <x v="58"/>
  </r>
  <r>
    <x v="58"/>
  </r>
  <r>
    <x v="48"/>
  </r>
  <r>
    <x v="48"/>
  </r>
  <r>
    <x v="48"/>
  </r>
  <r>
    <x v="48"/>
  </r>
  <r>
    <x v="48"/>
  </r>
  <r>
    <x v="48"/>
  </r>
  <r>
    <x v="48"/>
  </r>
  <r>
    <x v="48"/>
  </r>
  <r>
    <x v="12"/>
  </r>
  <r>
    <x v="12"/>
  </r>
  <r>
    <x v="60"/>
  </r>
  <r>
    <x v="0"/>
  </r>
  <r>
    <x v="0"/>
  </r>
  <r>
    <x v="112"/>
  </r>
  <r>
    <x v="47"/>
  </r>
  <r>
    <x v="12"/>
  </r>
  <r>
    <x v="12"/>
  </r>
  <r>
    <x v="51"/>
  </r>
  <r>
    <x v="53"/>
  </r>
  <r>
    <x v="60"/>
  </r>
  <r>
    <x v="0"/>
  </r>
  <r>
    <x v="58"/>
  </r>
  <r>
    <x v="58"/>
  </r>
  <r>
    <x v="12"/>
  </r>
  <r>
    <x v="113"/>
  </r>
  <r>
    <x v="58"/>
  </r>
  <r>
    <x v="58"/>
  </r>
  <r>
    <x v="60"/>
  </r>
  <r>
    <x v="62"/>
  </r>
  <r>
    <x v="12"/>
  </r>
  <r>
    <x v="114"/>
  </r>
  <r>
    <x v="0"/>
  </r>
  <r>
    <x v="11"/>
  </r>
  <r>
    <x v="115"/>
  </r>
  <r>
    <x v="14"/>
  </r>
  <r>
    <x v="116"/>
  </r>
  <r>
    <x v="48"/>
  </r>
  <r>
    <x v="51"/>
  </r>
  <r>
    <x v="117"/>
  </r>
  <r>
    <x v="50"/>
  </r>
  <r>
    <x v="0"/>
  </r>
  <r>
    <x v="47"/>
  </r>
  <r>
    <x v="47"/>
  </r>
  <r>
    <x v="47"/>
  </r>
  <r>
    <x v="47"/>
  </r>
  <r>
    <x v="0"/>
  </r>
  <r>
    <x v="47"/>
  </r>
  <r>
    <x v="47"/>
  </r>
  <r>
    <x v="47"/>
  </r>
  <r>
    <x v="47"/>
  </r>
  <r>
    <x v="65"/>
  </r>
  <r>
    <x v="65"/>
  </r>
  <r>
    <x v="65"/>
  </r>
  <r>
    <x v="65"/>
  </r>
  <r>
    <x v="65"/>
  </r>
  <r>
    <x v="65"/>
  </r>
  <r>
    <x v="11"/>
  </r>
  <r>
    <x v="11"/>
  </r>
  <r>
    <x v="11"/>
  </r>
  <r>
    <x v="11"/>
  </r>
  <r>
    <x v="11"/>
  </r>
  <r>
    <x v="11"/>
  </r>
  <r>
    <x v="11"/>
  </r>
  <r>
    <x v="11"/>
  </r>
  <r>
    <x v="11"/>
  </r>
  <r>
    <x v="11"/>
  </r>
  <r>
    <x v="11"/>
  </r>
  <r>
    <x v="11"/>
  </r>
  <r>
    <x v="50"/>
  </r>
  <r>
    <x v="118"/>
  </r>
  <r>
    <x v="118"/>
  </r>
  <r>
    <x v="118"/>
  </r>
  <r>
    <x v="118"/>
  </r>
  <r>
    <x v="118"/>
  </r>
  <r>
    <x v="118"/>
  </r>
  <r>
    <x v="118"/>
  </r>
  <r>
    <x v="118"/>
  </r>
  <r>
    <x v="118"/>
  </r>
  <r>
    <x v="119"/>
  </r>
  <r>
    <x v="119"/>
  </r>
  <r>
    <x v="119"/>
  </r>
  <r>
    <x v="119"/>
  </r>
  <r>
    <x v="119"/>
  </r>
  <r>
    <x v="119"/>
  </r>
  <r>
    <x v="119"/>
  </r>
  <r>
    <x v="119"/>
  </r>
  <r>
    <x v="119"/>
  </r>
  <r>
    <x v="119"/>
  </r>
  <r>
    <x v="119"/>
  </r>
  <r>
    <x v="119"/>
  </r>
  <r>
    <x v="119"/>
  </r>
  <r>
    <x v="119"/>
  </r>
  <r>
    <x v="0"/>
  </r>
  <r>
    <x v="0"/>
  </r>
  <r>
    <x v="0"/>
  </r>
  <r>
    <x v="0"/>
  </r>
  <r>
    <x v="0"/>
  </r>
  <r>
    <x v="0"/>
  </r>
  <r>
    <x v="62"/>
  </r>
  <r>
    <x v="62"/>
  </r>
  <r>
    <x v="62"/>
  </r>
  <r>
    <x v="62"/>
  </r>
  <r>
    <x v="62"/>
  </r>
  <r>
    <x v="62"/>
  </r>
  <r>
    <x v="62"/>
  </r>
  <r>
    <x v="62"/>
  </r>
  <r>
    <x v="62"/>
  </r>
  <r>
    <x v="11"/>
  </r>
  <r>
    <x v="11"/>
  </r>
  <r>
    <x v="11"/>
  </r>
  <r>
    <x v="11"/>
  </r>
  <r>
    <x v="11"/>
  </r>
  <r>
    <x v="11"/>
  </r>
  <r>
    <x v="11"/>
  </r>
  <r>
    <x v="11"/>
  </r>
  <r>
    <x v="11"/>
  </r>
  <r>
    <x v="11"/>
  </r>
  <r>
    <x v="11"/>
  </r>
  <r>
    <x v="11"/>
  </r>
  <r>
    <x v="11"/>
  </r>
  <r>
    <x v="11"/>
  </r>
  <r>
    <x v="11"/>
  </r>
  <r>
    <x v="11"/>
  </r>
  <r>
    <x v="11"/>
  </r>
  <r>
    <x v="11"/>
  </r>
  <r>
    <x v="11"/>
  </r>
  <r>
    <x v="11"/>
  </r>
  <r>
    <x v="11"/>
  </r>
  <r>
    <x v="11"/>
  </r>
  <r>
    <x v="11"/>
  </r>
  <r>
    <x v="0"/>
  </r>
  <r>
    <x v="11"/>
  </r>
  <r>
    <x v="11"/>
  </r>
  <r>
    <x v="11"/>
  </r>
  <r>
    <x v="11"/>
  </r>
  <r>
    <x v="11"/>
  </r>
  <r>
    <x v="11"/>
  </r>
  <r>
    <x v="11"/>
  </r>
  <r>
    <x v="0"/>
  </r>
  <r>
    <x v="0"/>
  </r>
  <r>
    <x v="11"/>
  </r>
  <r>
    <x v="11"/>
  </r>
  <r>
    <x v="11"/>
  </r>
  <r>
    <x v="11"/>
  </r>
  <r>
    <x v="120"/>
  </r>
  <r>
    <x v="121"/>
  </r>
  <r>
    <x v="32"/>
  </r>
  <r>
    <x v="122"/>
  </r>
  <r>
    <x v="0"/>
  </r>
  <r>
    <x v="123"/>
  </r>
  <r>
    <x v="0"/>
  </r>
  <r>
    <x v="0"/>
  </r>
  <r>
    <x v="124"/>
  </r>
  <r>
    <x v="125"/>
  </r>
  <r>
    <x v="126"/>
  </r>
  <r>
    <x v="50"/>
  </r>
  <r>
    <x v="55"/>
  </r>
  <r>
    <x v="127"/>
  </r>
  <r>
    <x v="128"/>
  </r>
  <r>
    <x v="129"/>
  </r>
  <r>
    <x v="130"/>
  </r>
  <r>
    <x v="131"/>
  </r>
  <r>
    <x v="0"/>
  </r>
  <r>
    <x v="132"/>
  </r>
  <r>
    <x v="48"/>
  </r>
  <r>
    <x v="133"/>
  </r>
  <r>
    <x v="134"/>
  </r>
  <r>
    <x v="135"/>
  </r>
  <r>
    <x v="136"/>
  </r>
  <r>
    <x v="0"/>
  </r>
  <r>
    <x v="51"/>
  </r>
  <r>
    <x v="0"/>
  </r>
  <r>
    <x v="3"/>
  </r>
  <r>
    <x v="124"/>
  </r>
  <r>
    <x v="137"/>
  </r>
  <r>
    <x v="138"/>
  </r>
  <r>
    <x v="138"/>
  </r>
  <r>
    <x v="14"/>
  </r>
  <r>
    <x v="139"/>
  </r>
  <r>
    <x v="140"/>
  </r>
  <r>
    <x v="12"/>
  </r>
  <r>
    <x v="141"/>
  </r>
  <r>
    <x v="142"/>
  </r>
  <r>
    <x v="143"/>
  </r>
  <r>
    <x v="10"/>
  </r>
  <r>
    <x v="144"/>
  </r>
  <r>
    <x v="50"/>
  </r>
  <r>
    <x v="50"/>
  </r>
  <r>
    <x v="50"/>
  </r>
  <r>
    <x v="145"/>
  </r>
  <r>
    <x v="145"/>
  </r>
  <r>
    <x v="146"/>
  </r>
  <r>
    <x v="147"/>
  </r>
  <r>
    <x v="148"/>
  </r>
  <r>
    <x v="0"/>
  </r>
  <r>
    <x v="13"/>
  </r>
  <r>
    <x v="13"/>
  </r>
  <r>
    <x v="0"/>
  </r>
  <r>
    <x v="50"/>
  </r>
  <r>
    <x v="50"/>
  </r>
  <r>
    <x v="149"/>
  </r>
  <r>
    <x v="149"/>
  </r>
  <r>
    <x v="48"/>
  </r>
  <r>
    <x v="0"/>
  </r>
  <r>
    <x v="150"/>
  </r>
  <r>
    <x v="151"/>
  </r>
  <r>
    <x v="152"/>
  </r>
  <r>
    <x v="124"/>
  </r>
  <r>
    <x v="116"/>
  </r>
  <r>
    <x v="153"/>
  </r>
  <r>
    <x v="0"/>
  </r>
  <r>
    <x v="154"/>
  </r>
  <r>
    <x v="155"/>
  </r>
  <r>
    <x v="156"/>
  </r>
  <r>
    <x v="157"/>
  </r>
  <r>
    <x v="158"/>
  </r>
  <r>
    <x v="0"/>
  </r>
  <r>
    <x v="159"/>
  </r>
  <r>
    <x v="0"/>
  </r>
  <r>
    <x v="160"/>
  </r>
  <r>
    <x v="0"/>
  </r>
  <r>
    <x v="0"/>
  </r>
  <r>
    <x v="161"/>
  </r>
  <r>
    <x v="162"/>
  </r>
  <r>
    <x v="163"/>
  </r>
  <r>
    <x v="164"/>
  </r>
  <r>
    <x v="165"/>
  </r>
  <r>
    <x v="166"/>
  </r>
  <r>
    <x v="167"/>
  </r>
  <r>
    <x v="167"/>
  </r>
  <r>
    <x v="168"/>
  </r>
  <r>
    <x v="147"/>
  </r>
  <r>
    <x v="169"/>
  </r>
  <r>
    <x v="170"/>
  </r>
  <r>
    <x v="0"/>
  </r>
  <r>
    <x v="171"/>
  </r>
  <r>
    <x v="172"/>
  </r>
  <r>
    <x v="167"/>
  </r>
  <r>
    <x v="173"/>
  </r>
  <r>
    <x v="174"/>
  </r>
  <r>
    <x v="55"/>
  </r>
  <r>
    <x v="175"/>
  </r>
  <r>
    <x v="105"/>
  </r>
  <r>
    <x v="105"/>
  </r>
  <r>
    <x v="105"/>
  </r>
  <r>
    <x v="105"/>
  </r>
  <r>
    <x v="105"/>
  </r>
  <r>
    <x v="105"/>
  </r>
  <r>
    <x v="105"/>
  </r>
  <r>
    <x v="105"/>
  </r>
  <r>
    <x v="105"/>
  </r>
  <r>
    <x v="105"/>
  </r>
  <r>
    <x v="105"/>
  </r>
  <r>
    <x v="105"/>
  </r>
  <r>
    <x v="105"/>
  </r>
  <r>
    <x v="105"/>
  </r>
  <r>
    <x v="105"/>
  </r>
  <r>
    <x v="105"/>
  </r>
  <r>
    <x v="105"/>
  </r>
  <r>
    <x v="105"/>
  </r>
  <r>
    <x v="105"/>
  </r>
  <r>
    <x v="105"/>
  </r>
  <r>
    <x v="0"/>
  </r>
  <r>
    <x v="0"/>
  </r>
  <r>
    <x v="176"/>
  </r>
  <r>
    <x v="118"/>
  </r>
  <r>
    <x v="177"/>
  </r>
  <r>
    <x v="0"/>
  </r>
  <r>
    <x v="178"/>
  </r>
  <r>
    <x v="179"/>
  </r>
  <r>
    <x v="32"/>
  </r>
  <r>
    <x v="180"/>
  </r>
  <r>
    <x v="13"/>
  </r>
  <r>
    <x v="181"/>
  </r>
  <r>
    <x v="182"/>
  </r>
  <r>
    <x v="182"/>
  </r>
  <r>
    <x v="183"/>
  </r>
  <r>
    <x v="184"/>
  </r>
  <r>
    <x v="185"/>
  </r>
  <r>
    <x v="0"/>
  </r>
  <r>
    <x v="186"/>
  </r>
  <r>
    <x v="0"/>
  </r>
  <r>
    <x v="0"/>
  </r>
  <r>
    <x v="187"/>
  </r>
  <r>
    <x v="188"/>
  </r>
  <r>
    <x v="189"/>
  </r>
  <r>
    <x v="190"/>
  </r>
  <r>
    <x v="191"/>
  </r>
  <r>
    <x v="105"/>
  </r>
  <r>
    <x v="13"/>
  </r>
  <r>
    <x v="13"/>
  </r>
  <r>
    <x v="13"/>
  </r>
  <r>
    <x v="13"/>
  </r>
  <r>
    <x v="0"/>
  </r>
  <r>
    <x v="13"/>
  </r>
  <r>
    <x v="13"/>
  </r>
  <r>
    <x v="0"/>
  </r>
  <r>
    <x v="13"/>
  </r>
  <r>
    <x v="0"/>
  </r>
  <r>
    <x v="13"/>
  </r>
  <r>
    <x v="13"/>
  </r>
  <r>
    <x v="50"/>
  </r>
  <r>
    <x v="50"/>
  </r>
  <r>
    <x v="50"/>
  </r>
  <r>
    <x v="50"/>
  </r>
  <r>
    <x v="50"/>
  </r>
  <r>
    <x v="50"/>
  </r>
  <r>
    <x v="50"/>
  </r>
  <r>
    <x v="50"/>
  </r>
  <r>
    <x v="50"/>
  </r>
  <r>
    <x v="50"/>
  </r>
  <r>
    <x v="50"/>
  </r>
  <r>
    <x v="50"/>
  </r>
  <r>
    <x v="50"/>
  </r>
  <r>
    <x v="50"/>
  </r>
  <r>
    <x v="50"/>
  </r>
  <r>
    <x v="186"/>
  </r>
  <r>
    <x v="12"/>
  </r>
  <r>
    <x v="12"/>
  </r>
  <r>
    <x v="12"/>
  </r>
  <r>
    <x v="12"/>
  </r>
  <r>
    <x v="12"/>
  </r>
  <r>
    <x v="12"/>
  </r>
  <r>
    <x v="51"/>
  </r>
  <r>
    <x v="51"/>
  </r>
  <r>
    <x v="51"/>
  </r>
  <r>
    <x v="51"/>
  </r>
  <r>
    <x v="51"/>
  </r>
  <r>
    <x v="47"/>
  </r>
  <r>
    <x v="47"/>
  </r>
  <r>
    <x v="60"/>
  </r>
  <r>
    <x v="47"/>
  </r>
  <r>
    <x v="192"/>
  </r>
  <r>
    <x v="47"/>
  </r>
  <r>
    <x v="53"/>
  </r>
  <r>
    <x v="47"/>
  </r>
  <r>
    <x v="193"/>
  </r>
  <r>
    <x v="47"/>
  </r>
  <r>
    <x v="0"/>
  </r>
  <r>
    <x v="12"/>
  </r>
  <r>
    <x v="12"/>
  </r>
  <r>
    <x v="12"/>
  </r>
  <r>
    <x v="12"/>
  </r>
  <r>
    <x v="12"/>
  </r>
  <r>
    <x v="12"/>
  </r>
  <r>
    <x v="12"/>
  </r>
  <r>
    <x v="12"/>
  </r>
  <r>
    <x v="12"/>
  </r>
  <r>
    <x v="12"/>
  </r>
  <r>
    <x v="12"/>
  </r>
  <r>
    <x v="12"/>
  </r>
  <r>
    <x v="12"/>
  </r>
  <r>
    <x v="47"/>
  </r>
  <r>
    <x v="47"/>
  </r>
  <r>
    <x v="0"/>
  </r>
  <r>
    <x v="0"/>
  </r>
  <r>
    <x v="0"/>
  </r>
  <r>
    <x v="0"/>
  </r>
  <r>
    <x v="0"/>
  </r>
  <r>
    <x v="0"/>
  </r>
  <r>
    <x v="0"/>
  </r>
  <r>
    <x v="47"/>
  </r>
  <r>
    <x v="60"/>
  </r>
  <r>
    <x v="60"/>
  </r>
  <r>
    <x v="60"/>
  </r>
  <r>
    <x v="60"/>
  </r>
  <r>
    <x v="60"/>
  </r>
  <r>
    <x v="51"/>
  </r>
  <r>
    <x v="51"/>
  </r>
  <r>
    <x v="51"/>
  </r>
  <r>
    <x v="192"/>
  </r>
  <r>
    <x v="194"/>
  </r>
  <r>
    <x v="195"/>
  </r>
  <r>
    <x v="12"/>
  </r>
  <r>
    <x v="12"/>
  </r>
  <r>
    <x v="12"/>
  </r>
  <r>
    <x v="51"/>
  </r>
  <r>
    <x v="58"/>
  </r>
  <r>
    <x v="47"/>
  </r>
  <r>
    <x v="11"/>
  </r>
  <r>
    <x v="80"/>
  </r>
  <r>
    <x v="62"/>
  </r>
  <r>
    <x v="60"/>
  </r>
  <r>
    <x v="12"/>
  </r>
  <r>
    <x v="80"/>
  </r>
  <r>
    <x v="11"/>
  </r>
  <r>
    <x v="47"/>
  </r>
  <r>
    <x v="32"/>
  </r>
  <r>
    <x v="11"/>
  </r>
  <r>
    <x v="51"/>
  </r>
  <r>
    <x v="0"/>
  </r>
  <r>
    <x v="11"/>
  </r>
  <r>
    <x v="49"/>
  </r>
  <r>
    <x v="49"/>
  </r>
  <r>
    <x v="196"/>
  </r>
  <r>
    <x v="196"/>
  </r>
  <r>
    <x v="196"/>
  </r>
  <r>
    <x v="196"/>
  </r>
  <r>
    <x v="196"/>
  </r>
  <r>
    <x v="12"/>
  </r>
  <r>
    <x v="197"/>
  </r>
  <r>
    <x v="198"/>
  </r>
  <r>
    <x v="199"/>
  </r>
  <r>
    <x v="12"/>
  </r>
  <r>
    <x v="12"/>
  </r>
  <r>
    <x v="12"/>
  </r>
  <r>
    <x v="12"/>
  </r>
  <r>
    <x v="12"/>
  </r>
  <r>
    <x v="12"/>
  </r>
  <r>
    <x v="0"/>
  </r>
  <r>
    <x v="58"/>
  </r>
  <r>
    <x v="80"/>
  </r>
  <r>
    <x v="148"/>
  </r>
  <r>
    <x v="200"/>
  </r>
  <r>
    <x v="201"/>
  </r>
  <r>
    <x v="47"/>
  </r>
  <r>
    <x v="0"/>
  </r>
  <r>
    <x v="12"/>
  </r>
  <r>
    <x v="202"/>
  </r>
  <r>
    <x v="203"/>
  </r>
  <r>
    <x v="0"/>
  </r>
  <r>
    <x v="60"/>
  </r>
  <r>
    <x v="51"/>
  </r>
  <r>
    <x v="84"/>
  </r>
  <r>
    <x v="0"/>
  </r>
  <r>
    <x v="12"/>
  </r>
  <r>
    <x v="47"/>
  </r>
  <r>
    <x v="47"/>
  </r>
  <r>
    <x v="51"/>
  </r>
  <r>
    <x v="58"/>
  </r>
  <r>
    <x v="47"/>
  </r>
  <r>
    <x v="62"/>
  </r>
  <r>
    <x v="47"/>
  </r>
  <r>
    <x v="48"/>
  </r>
  <r>
    <x v="47"/>
  </r>
  <r>
    <x v="51"/>
  </r>
  <r>
    <x v="47"/>
  </r>
  <r>
    <x v="51"/>
  </r>
  <r>
    <x v="47"/>
  </r>
  <r>
    <x v="11"/>
  </r>
  <r>
    <x v="47"/>
  </r>
  <r>
    <x v="47"/>
  </r>
  <r>
    <x v="53"/>
  </r>
  <r>
    <x v="32"/>
  </r>
  <r>
    <x v="84"/>
  </r>
  <r>
    <x v="0"/>
  </r>
  <r>
    <x v="62"/>
  </r>
  <r>
    <x v="51"/>
  </r>
  <r>
    <x v="12"/>
  </r>
  <r>
    <x v="0"/>
  </r>
  <r>
    <x v="0"/>
  </r>
  <r>
    <x v="51"/>
  </r>
  <r>
    <x v="53"/>
  </r>
  <r>
    <x v="62"/>
  </r>
  <r>
    <x v="0"/>
  </r>
  <r>
    <x v="51"/>
  </r>
  <r>
    <x v="47"/>
  </r>
  <r>
    <x v="51"/>
  </r>
  <r>
    <x v="47"/>
  </r>
  <r>
    <x v="47"/>
  </r>
  <r>
    <x v="204"/>
  </r>
  <r>
    <x v="205"/>
  </r>
  <r>
    <x v="32"/>
  </r>
  <r>
    <x v="102"/>
  </r>
  <r>
    <x v="102"/>
  </r>
  <r>
    <x v="206"/>
  </r>
  <r>
    <x v="207"/>
  </r>
  <r>
    <x v="207"/>
  </r>
  <r>
    <x v="208"/>
  </r>
  <r>
    <x v="209"/>
  </r>
  <r>
    <x v="209"/>
  </r>
  <r>
    <x v="199"/>
  </r>
  <r>
    <x v="209"/>
  </r>
  <r>
    <x v="11"/>
  </r>
  <r>
    <x v="11"/>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210"/>
  </r>
  <r>
    <x v="211"/>
  </r>
  <r>
    <x v="0"/>
  </r>
  <r>
    <x v="0"/>
  </r>
  <r>
    <x v="0"/>
  </r>
  <r>
    <x v="0"/>
  </r>
  <r>
    <x v="0"/>
  </r>
  <r>
    <x v="0"/>
  </r>
  <r>
    <x v="0"/>
  </r>
  <r>
    <x v="0"/>
  </r>
  <r>
    <x v="0"/>
  </r>
  <r>
    <x v="0"/>
  </r>
  <r>
    <x v="0"/>
  </r>
  <r>
    <x v="0"/>
  </r>
  <r>
    <x v="0"/>
  </r>
  <r>
    <x v="0"/>
  </r>
  <r>
    <x v="0"/>
  </r>
  <r>
    <x v="0"/>
  </r>
  <r>
    <x v="0"/>
  </r>
  <r>
    <x v="0"/>
  </r>
  <r>
    <x v="0"/>
  </r>
  <r>
    <x v="0"/>
  </r>
  <r>
    <x v="0"/>
  </r>
  <r>
    <x v="0"/>
  </r>
  <r>
    <x v="0"/>
  </r>
  <r>
    <x v="212"/>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213"/>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214"/>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215"/>
  </r>
  <r>
    <x v="215"/>
  </r>
  <r>
    <x v="216"/>
  </r>
  <r>
    <x v="216"/>
  </r>
  <r>
    <x v="216"/>
  </r>
  <r>
    <x v="216"/>
  </r>
  <r>
    <x v="216"/>
  </r>
  <r>
    <x v="217"/>
  </r>
  <r>
    <x v="217"/>
  </r>
  <r>
    <x v="218"/>
  </r>
  <r>
    <x v="219"/>
  </r>
  <r>
    <x v="220"/>
  </r>
  <r>
    <x v="221"/>
  </r>
  <r>
    <x v="221"/>
  </r>
  <r>
    <x v="0"/>
  </r>
  <r>
    <x v="0"/>
  </r>
  <r>
    <x v="222"/>
  </r>
  <r>
    <x v="222"/>
  </r>
  <r>
    <x v="222"/>
  </r>
  <r>
    <x v="222"/>
  </r>
  <r>
    <x v="222"/>
  </r>
  <r>
    <x v="222"/>
  </r>
  <r>
    <x v="222"/>
  </r>
  <r>
    <x v="222"/>
  </r>
  <r>
    <x v="222"/>
  </r>
  <r>
    <x v="222"/>
  </r>
  <r>
    <x v="0"/>
  </r>
  <r>
    <x v="12"/>
  </r>
  <r>
    <x v="12"/>
  </r>
  <r>
    <x v="12"/>
  </r>
  <r>
    <x v="12"/>
  </r>
  <r>
    <x v="12"/>
  </r>
  <r>
    <x v="12"/>
  </r>
  <r>
    <x v="12"/>
  </r>
  <r>
    <x v="12"/>
  </r>
  <r>
    <x v="12"/>
  </r>
  <r>
    <x v="12"/>
  </r>
  <r>
    <x v="12"/>
  </r>
  <r>
    <x v="12"/>
  </r>
  <r>
    <x v="12"/>
  </r>
  <r>
    <x v="12"/>
  </r>
  <r>
    <x v="12"/>
  </r>
  <r>
    <x v="12"/>
  </r>
  <r>
    <x v="12"/>
  </r>
  <r>
    <x v="0"/>
  </r>
  <r>
    <x v="0"/>
  </r>
  <r>
    <x v="83"/>
  </r>
  <r>
    <x v="83"/>
  </r>
  <r>
    <x v="83"/>
  </r>
  <r>
    <x v="83"/>
  </r>
  <r>
    <x v="83"/>
  </r>
  <r>
    <x v="83"/>
  </r>
  <r>
    <x v="83"/>
  </r>
  <r>
    <x v="83"/>
  </r>
  <r>
    <x v="83"/>
  </r>
  <r>
    <x v="83"/>
  </r>
  <r>
    <x v="83"/>
  </r>
  <r>
    <x v="83"/>
  </r>
  <r>
    <x v="83"/>
  </r>
  <r>
    <x v="83"/>
  </r>
  <r>
    <x v="83"/>
  </r>
  <r>
    <x v="83"/>
  </r>
  <r>
    <x v="83"/>
  </r>
  <r>
    <x v="83"/>
  </r>
  <r>
    <x v="83"/>
  </r>
  <r>
    <x v="83"/>
  </r>
  <r>
    <x v="83"/>
  </r>
  <r>
    <x v="83"/>
  </r>
  <r>
    <x v="83"/>
  </r>
  <r>
    <x v="83"/>
  </r>
  <r>
    <x v="83"/>
  </r>
  <r>
    <x v="83"/>
  </r>
  <r>
    <x v="83"/>
  </r>
  <r>
    <x v="83"/>
  </r>
  <r>
    <x v="83"/>
  </r>
  <r>
    <x v="83"/>
  </r>
  <r>
    <x v="83"/>
  </r>
  <r>
    <x v="223"/>
  </r>
  <r>
    <x v="223"/>
  </r>
  <r>
    <x v="223"/>
  </r>
  <r>
    <x v="223"/>
  </r>
  <r>
    <x v="223"/>
  </r>
  <r>
    <x v="223"/>
  </r>
  <r>
    <x v="223"/>
  </r>
  <r>
    <x v="223"/>
  </r>
  <r>
    <x v="223"/>
  </r>
  <r>
    <x v="223"/>
  </r>
  <r>
    <x v="223"/>
  </r>
  <r>
    <x v="0"/>
  </r>
  <r>
    <x v="0"/>
  </r>
  <r>
    <x v="217"/>
  </r>
  <r>
    <x v="217"/>
  </r>
  <r>
    <x v="224"/>
  </r>
  <r>
    <x v="224"/>
  </r>
  <r>
    <x v="0"/>
  </r>
  <r>
    <x v="0"/>
  </r>
  <r>
    <x v="0"/>
  </r>
  <r>
    <x v="0"/>
  </r>
  <r>
    <x v="224"/>
  </r>
  <r>
    <x v="225"/>
  </r>
  <r>
    <x v="226"/>
  </r>
  <r>
    <x v="0"/>
  </r>
  <r>
    <x v="0"/>
  </r>
  <r>
    <x v="227"/>
  </r>
  <r>
    <x v="227"/>
  </r>
  <r>
    <x v="83"/>
  </r>
  <r>
    <x v="228"/>
  </r>
  <r>
    <x v="228"/>
  </r>
  <r>
    <x v="229"/>
  </r>
  <r>
    <x v="229"/>
  </r>
  <r>
    <x v="230"/>
  </r>
  <r>
    <x v="231"/>
  </r>
  <r>
    <x v="231"/>
  </r>
  <r>
    <x v="231"/>
  </r>
  <r>
    <x v="231"/>
  </r>
  <r>
    <x v="0"/>
  </r>
  <r>
    <x v="0"/>
  </r>
  <r>
    <x v="0"/>
  </r>
  <r>
    <x v="232"/>
  </r>
  <r>
    <x v="233"/>
  </r>
  <r>
    <x v="234"/>
  </r>
  <r>
    <x v="234"/>
  </r>
  <r>
    <x v="0"/>
  </r>
  <r>
    <x v="0"/>
  </r>
  <r>
    <x v="0"/>
  </r>
  <r>
    <x v="0"/>
  </r>
  <r>
    <x v="235"/>
  </r>
  <r>
    <x v="236"/>
  </r>
  <r>
    <x v="237"/>
  </r>
  <r>
    <x v="231"/>
  </r>
  <r>
    <x v="231"/>
  </r>
  <r>
    <x v="23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3">
  <r>
    <x v="0"/>
  </r>
  <r>
    <x v="1"/>
  </r>
  <r>
    <x v="1"/>
  </r>
  <r>
    <x v="2"/>
  </r>
  <r>
    <x v="3"/>
  </r>
  <r>
    <x v="4"/>
  </r>
  <r>
    <x v="5"/>
  </r>
  <r>
    <x v="5"/>
  </r>
  <r>
    <x v="6"/>
  </r>
  <r>
    <x v="7"/>
  </r>
  <r>
    <x v="8"/>
  </r>
  <r>
    <x v="9"/>
  </r>
  <r>
    <x v="9"/>
  </r>
  <r>
    <x v="10"/>
  </r>
  <r>
    <x v="11"/>
  </r>
  <r>
    <x v="9"/>
  </r>
  <r>
    <x v="9"/>
  </r>
  <r>
    <x v="9"/>
  </r>
  <r>
    <x v="1"/>
  </r>
  <r>
    <x v="1"/>
  </r>
  <r>
    <x v="12"/>
  </r>
  <r>
    <x v="13"/>
  </r>
  <r>
    <x v="13"/>
  </r>
  <r>
    <x v="11"/>
  </r>
  <r>
    <x v="14"/>
  </r>
  <r>
    <x v="15"/>
  </r>
  <r>
    <x v="16"/>
  </r>
  <r>
    <x v="16"/>
  </r>
  <r>
    <x v="17"/>
  </r>
  <r>
    <x v="5"/>
  </r>
  <r>
    <x v="13"/>
  </r>
  <r>
    <x v="12"/>
  </r>
  <r>
    <x v="12"/>
  </r>
  <r>
    <x v="12"/>
  </r>
  <r>
    <x v="11"/>
  </r>
  <r>
    <x v="18"/>
  </r>
  <r>
    <x v="11"/>
  </r>
  <r>
    <x v="13"/>
  </r>
  <r>
    <x v="8"/>
  </r>
  <r>
    <x v="14"/>
  </r>
  <r>
    <x v="1"/>
  </r>
  <r>
    <x v="9"/>
  </r>
  <r>
    <x v="1"/>
  </r>
  <r>
    <x v="19"/>
  </r>
  <r>
    <x v="13"/>
  </r>
  <r>
    <x v="9"/>
  </r>
  <r>
    <x v="9"/>
  </r>
  <r>
    <x v="1"/>
  </r>
  <r>
    <x v="9"/>
  </r>
  <r>
    <x v="19"/>
  </r>
  <r>
    <x v="20"/>
  </r>
  <r>
    <x v="19"/>
  </r>
  <r>
    <x v="21"/>
  </r>
  <r>
    <x v="17"/>
  </r>
  <r>
    <x v="22"/>
  </r>
  <r>
    <x v="11"/>
  </r>
  <r>
    <x v="23"/>
  </r>
  <r>
    <x v="24"/>
  </r>
  <r>
    <x v="11"/>
  </r>
  <r>
    <x v="24"/>
  </r>
  <r>
    <x v="20"/>
  </r>
  <r>
    <x v="20"/>
  </r>
  <r>
    <x v="4"/>
  </r>
  <r>
    <x v="4"/>
  </r>
  <r>
    <x v="4"/>
  </r>
  <r>
    <x v="4"/>
  </r>
  <r>
    <x v="4"/>
  </r>
  <r>
    <x v="25"/>
  </r>
  <r>
    <x v="14"/>
  </r>
  <r>
    <x v="9"/>
  </r>
  <r>
    <x v="12"/>
  </r>
  <r>
    <x v="26"/>
  </r>
  <r>
    <x v="27"/>
  </r>
  <r>
    <x v="28"/>
  </r>
  <r>
    <x v="13"/>
  </r>
  <r>
    <x v="29"/>
  </r>
  <r>
    <x v="12"/>
  </r>
  <r>
    <x v="30"/>
  </r>
  <r>
    <x v="2"/>
  </r>
  <r>
    <x v="9"/>
  </r>
  <r>
    <x v="11"/>
  </r>
  <r>
    <x v="1"/>
  </r>
  <r>
    <x v="31"/>
  </r>
  <r>
    <x v="30"/>
  </r>
  <r>
    <x v="12"/>
  </r>
  <r>
    <x v="32"/>
  </r>
  <r>
    <x v="33"/>
  </r>
  <r>
    <x v="34"/>
  </r>
  <r>
    <x v="22"/>
  </r>
  <r>
    <x v="35"/>
  </r>
  <r>
    <x v="36"/>
  </r>
  <r>
    <x v="37"/>
  </r>
  <r>
    <x v="32"/>
  </r>
  <r>
    <x v="22"/>
  </r>
  <r>
    <x v="15"/>
  </r>
  <r>
    <x v="20"/>
  </r>
  <r>
    <x v="20"/>
  </r>
  <r>
    <x v="1"/>
  </r>
  <r>
    <x v="9"/>
  </r>
  <r>
    <x v="1"/>
  </r>
  <r>
    <x v="9"/>
  </r>
  <r>
    <x v="4"/>
  </r>
  <r>
    <x v="4"/>
  </r>
  <r>
    <x v="4"/>
  </r>
  <r>
    <x v="4"/>
  </r>
  <r>
    <x v="4"/>
  </r>
  <r>
    <x v="4"/>
  </r>
  <r>
    <x v="4"/>
  </r>
  <r>
    <x v="4"/>
  </r>
  <r>
    <x v="4"/>
  </r>
  <r>
    <x v="13"/>
  </r>
  <r>
    <x v="9"/>
  </r>
  <r>
    <x v="9"/>
  </r>
  <r>
    <x v="0"/>
  </r>
  <r>
    <x v="38"/>
  </r>
  <r>
    <x v="39"/>
  </r>
  <r>
    <x v="8"/>
  </r>
  <r>
    <x v="20"/>
  </r>
  <r>
    <x v="27"/>
  </r>
  <r>
    <x v="27"/>
  </r>
  <r>
    <x v="9"/>
  </r>
  <r>
    <x v="9"/>
  </r>
  <r>
    <x v="7"/>
  </r>
  <r>
    <x v="5"/>
  </r>
  <r>
    <x v="12"/>
  </r>
  <r>
    <x v="5"/>
  </r>
  <r>
    <x v="1"/>
  </r>
  <r>
    <x v="1"/>
  </r>
  <r>
    <x v="9"/>
  </r>
  <r>
    <x v="14"/>
  </r>
  <r>
    <x v="11"/>
  </r>
  <r>
    <x v="11"/>
  </r>
  <r>
    <x v="11"/>
  </r>
  <r>
    <x v="4"/>
  </r>
  <r>
    <x v="4"/>
  </r>
  <r>
    <x v="4"/>
  </r>
  <r>
    <x v="1"/>
  </r>
  <r>
    <x v="7"/>
  </r>
  <r>
    <x v="15"/>
  </r>
  <r>
    <x v="20"/>
  </r>
  <r>
    <x v="4"/>
  </r>
  <r>
    <x v="4"/>
  </r>
  <r>
    <x v="4"/>
  </r>
  <r>
    <x v="1"/>
  </r>
  <r>
    <x v="9"/>
  </r>
  <r>
    <x v="40"/>
  </r>
  <r>
    <x v="41"/>
  </r>
  <r>
    <x v="42"/>
  </r>
  <r>
    <x v="7"/>
  </r>
  <r>
    <x v="13"/>
  </r>
  <r>
    <x v="4"/>
  </r>
  <r>
    <x v="12"/>
  </r>
  <r>
    <x v="9"/>
  </r>
  <r>
    <x v="1"/>
  </r>
  <r>
    <x v="1"/>
  </r>
  <r>
    <x v="43"/>
  </r>
  <r>
    <x v="6"/>
  </r>
  <r>
    <x v="1"/>
  </r>
  <r>
    <x v="4"/>
  </r>
  <r>
    <x v="4"/>
  </r>
  <r>
    <x v="4"/>
  </r>
  <r>
    <x v="4"/>
  </r>
  <r>
    <x v="4"/>
  </r>
  <r>
    <x v="39"/>
  </r>
  <r>
    <x v="44"/>
  </r>
  <r>
    <x v="44"/>
  </r>
  <r>
    <x v="0"/>
  </r>
  <r>
    <x v="0"/>
  </r>
  <r>
    <x v="45"/>
  </r>
  <r>
    <x v="45"/>
  </r>
  <r>
    <x v="38"/>
  </r>
  <r>
    <x v="8"/>
  </r>
  <r>
    <x v="4"/>
  </r>
  <r>
    <x v="15"/>
  </r>
  <r>
    <x v="13"/>
  </r>
  <r>
    <x v="43"/>
  </r>
  <r>
    <x v="9"/>
  </r>
  <r>
    <x v="9"/>
  </r>
  <r>
    <x v="14"/>
  </r>
  <r>
    <x v="12"/>
  </r>
  <r>
    <x v="13"/>
  </r>
  <r>
    <x v="9"/>
  </r>
  <r>
    <x v="13"/>
  </r>
  <r>
    <x v="9"/>
  </r>
  <r>
    <x v="4"/>
  </r>
  <r>
    <x v="4"/>
  </r>
  <r>
    <x v="9"/>
  </r>
  <r>
    <x v="20"/>
  </r>
  <r>
    <x v="12"/>
  </r>
  <r>
    <x v="4"/>
  </r>
  <r>
    <x v="46"/>
  </r>
  <r>
    <x v="13"/>
  </r>
  <r>
    <x v="12"/>
  </r>
  <r>
    <x v="1"/>
  </r>
  <r>
    <x v="47"/>
  </r>
  <r>
    <x v="47"/>
  </r>
  <r>
    <x v="47"/>
  </r>
  <r>
    <x v="47"/>
  </r>
  <r>
    <x v="47"/>
  </r>
  <r>
    <x v="47"/>
  </r>
  <r>
    <x v="47"/>
  </r>
  <r>
    <x v="47"/>
  </r>
  <r>
    <x v="47"/>
  </r>
  <r>
    <x v="47"/>
  </r>
  <r>
    <x v="47"/>
  </r>
  <r>
    <x v="47"/>
  </r>
  <r>
    <x v="26"/>
  </r>
  <r>
    <x v="15"/>
  </r>
  <r>
    <x v="35"/>
  </r>
  <r>
    <x v="15"/>
  </r>
  <r>
    <x v="39"/>
  </r>
  <r>
    <x v="42"/>
  </r>
  <r>
    <x v="23"/>
  </r>
  <r>
    <x v="48"/>
  </r>
  <r>
    <x v="35"/>
  </r>
  <r>
    <x v="43"/>
  </r>
  <r>
    <x v="49"/>
  </r>
  <r>
    <x v="49"/>
  </r>
  <r>
    <x v="17"/>
  </r>
  <r>
    <x v="50"/>
  </r>
  <r>
    <x v="51"/>
  </r>
  <r>
    <x v="35"/>
  </r>
  <r>
    <x v="12"/>
  </r>
  <r>
    <x v="49"/>
  </r>
  <r>
    <x v="38"/>
  </r>
  <r>
    <x v="33"/>
  </r>
  <r>
    <x v="14"/>
  </r>
  <r>
    <x v="15"/>
  </r>
  <r>
    <x v="31"/>
  </r>
  <r>
    <x v="22"/>
  </r>
  <r>
    <x v="26"/>
  </r>
  <r>
    <x v="12"/>
  </r>
  <r>
    <x v="12"/>
  </r>
  <r>
    <x v="52"/>
  </r>
  <r>
    <x v="12"/>
  </r>
  <r>
    <x v="53"/>
  </r>
  <r>
    <x v="35"/>
  </r>
  <r>
    <x v="19"/>
  </r>
  <r>
    <x v="49"/>
  </r>
  <r>
    <x v="54"/>
  </r>
  <r>
    <x v="54"/>
  </r>
  <r>
    <x v="54"/>
  </r>
  <r>
    <x v="33"/>
  </r>
  <r>
    <x v="35"/>
  </r>
  <r>
    <x v="22"/>
  </r>
  <r>
    <x v="12"/>
  </r>
  <r>
    <x v="22"/>
  </r>
  <r>
    <x v="13"/>
  </r>
  <r>
    <x v="22"/>
  </r>
  <r>
    <x v="49"/>
  </r>
  <r>
    <x v="9"/>
  </r>
  <r>
    <x v="17"/>
  </r>
  <r>
    <x v="49"/>
  </r>
  <r>
    <x v="5"/>
  </r>
  <r>
    <x v="5"/>
  </r>
  <r>
    <x v="31"/>
  </r>
  <r>
    <x v="34"/>
  </r>
  <r>
    <x v="7"/>
  </r>
  <r>
    <x v="26"/>
  </r>
  <r>
    <x v="15"/>
  </r>
  <r>
    <x v="1"/>
  </r>
  <r>
    <x v="21"/>
  </r>
  <r>
    <x v="8"/>
  </r>
  <r>
    <x v="22"/>
  </r>
  <r>
    <x v="22"/>
  </r>
  <r>
    <x v="50"/>
  </r>
  <r>
    <x v="55"/>
  </r>
  <r>
    <x v="26"/>
  </r>
  <r>
    <x v="21"/>
  </r>
  <r>
    <x v="7"/>
  </r>
  <r>
    <x v="14"/>
  </r>
  <r>
    <x v="49"/>
  </r>
  <r>
    <x v="16"/>
  </r>
  <r>
    <x v="8"/>
  </r>
  <r>
    <x v="13"/>
  </r>
  <r>
    <x v="49"/>
  </r>
  <r>
    <x v="12"/>
  </r>
  <r>
    <x v="8"/>
  </r>
  <r>
    <x v="35"/>
  </r>
  <r>
    <x v="35"/>
  </r>
  <r>
    <x v="35"/>
  </r>
  <r>
    <x v="35"/>
  </r>
  <r>
    <x v="35"/>
  </r>
  <r>
    <x v="35"/>
  </r>
  <r>
    <x v="35"/>
  </r>
  <r>
    <x v="35"/>
  </r>
  <r>
    <x v="14"/>
  </r>
  <r>
    <x v="19"/>
  </r>
  <r>
    <x v="15"/>
  </r>
  <r>
    <x v="19"/>
  </r>
  <r>
    <x v="9"/>
  </r>
  <r>
    <x v="12"/>
  </r>
  <r>
    <x v="15"/>
  </r>
  <r>
    <x v="32"/>
  </r>
  <r>
    <x v="23"/>
  </r>
  <r>
    <x v="12"/>
  </r>
  <r>
    <x v="13"/>
  </r>
  <r>
    <x v="43"/>
  </r>
  <r>
    <x v="21"/>
  </r>
  <r>
    <x v="12"/>
  </r>
  <r>
    <x v="35"/>
  </r>
  <r>
    <x v="31"/>
  </r>
  <r>
    <x v="56"/>
  </r>
  <r>
    <x v="14"/>
  </r>
  <r>
    <x v="25"/>
  </r>
  <r>
    <x v="1"/>
  </r>
  <r>
    <x v="22"/>
  </r>
  <r>
    <x v="49"/>
  </r>
  <r>
    <x v="54"/>
  </r>
  <r>
    <x v="53"/>
  </r>
  <r>
    <x v="49"/>
  </r>
  <r>
    <x v="30"/>
  </r>
  <r>
    <x v="49"/>
  </r>
  <r>
    <x v="46"/>
  </r>
  <r>
    <x v="55"/>
  </r>
  <r>
    <x v="30"/>
  </r>
  <r>
    <x v="23"/>
  </r>
  <r>
    <x v="48"/>
  </r>
  <r>
    <x v="12"/>
  </r>
  <r>
    <x v="57"/>
  </r>
  <r>
    <x v="49"/>
  </r>
  <r>
    <x v="54"/>
  </r>
  <r>
    <x v="36"/>
  </r>
  <r>
    <x v="31"/>
  </r>
  <r>
    <x v="13"/>
  </r>
  <r>
    <x v="58"/>
  </r>
  <r>
    <x v="15"/>
  </r>
  <r>
    <x v="15"/>
  </r>
  <r>
    <x v="44"/>
  </r>
  <r>
    <x v="59"/>
  </r>
  <r>
    <x v="37"/>
  </r>
  <r>
    <x v="6"/>
  </r>
  <r>
    <x v="17"/>
  </r>
  <r>
    <x v="20"/>
  </r>
  <r>
    <x v="23"/>
  </r>
  <r>
    <x v="49"/>
  </r>
  <r>
    <x v="39"/>
  </r>
  <r>
    <x v="43"/>
  </r>
  <r>
    <x v="38"/>
  </r>
  <r>
    <x v="9"/>
  </r>
  <r>
    <x v="13"/>
  </r>
  <r>
    <x v="13"/>
  </r>
  <r>
    <x v="11"/>
  </r>
  <r>
    <x v="23"/>
  </r>
  <r>
    <x v="32"/>
  </r>
  <r>
    <x v="9"/>
  </r>
  <r>
    <x v="31"/>
  </r>
  <r>
    <x v="16"/>
  </r>
  <r>
    <x v="30"/>
  </r>
  <r>
    <x v="49"/>
  </r>
  <r>
    <x v="43"/>
  </r>
  <r>
    <x v="49"/>
  </r>
  <r>
    <x v="51"/>
  </r>
  <r>
    <x v="17"/>
  </r>
  <r>
    <x v="50"/>
  </r>
  <r>
    <x v="48"/>
  </r>
  <r>
    <x v="11"/>
  </r>
  <r>
    <x v="23"/>
  </r>
  <r>
    <x v="13"/>
  </r>
  <r>
    <x v="20"/>
  </r>
  <r>
    <x v="25"/>
  </r>
  <r>
    <x v="60"/>
  </r>
  <r>
    <x v="1"/>
  </r>
  <r>
    <x v="46"/>
  </r>
  <r>
    <x v="25"/>
  </r>
  <r>
    <x v="49"/>
  </r>
  <r>
    <x v="54"/>
  </r>
  <r>
    <x v="16"/>
  </r>
  <r>
    <x v="56"/>
  </r>
  <r>
    <x v="56"/>
  </r>
  <r>
    <x v="48"/>
  </r>
  <r>
    <x v="35"/>
  </r>
  <r>
    <x v="49"/>
  </r>
  <r>
    <x v="23"/>
  </r>
  <r>
    <x v="35"/>
  </r>
  <r>
    <x v="35"/>
  </r>
  <r>
    <x v="8"/>
  </r>
  <r>
    <x v="42"/>
  </r>
  <r>
    <x v="46"/>
  </r>
  <r>
    <x v="37"/>
  </r>
  <r>
    <x v="61"/>
  </r>
  <r>
    <x v="6"/>
  </r>
  <r>
    <x v="1"/>
  </r>
  <r>
    <x v="20"/>
  </r>
  <r>
    <x v="49"/>
  </r>
  <r>
    <x v="51"/>
  </r>
  <r>
    <x v="21"/>
  </r>
  <r>
    <x v="62"/>
  </r>
  <r>
    <x v="62"/>
  </r>
  <r>
    <x v="1"/>
  </r>
  <r>
    <x v="15"/>
  </r>
  <r>
    <x v="14"/>
  </r>
  <r>
    <x v="20"/>
  </r>
  <r>
    <x v="7"/>
  </r>
  <r>
    <x v="35"/>
  </r>
  <r>
    <x v="35"/>
  </r>
  <r>
    <x v="63"/>
  </r>
  <r>
    <x v="63"/>
  </r>
  <r>
    <x v="63"/>
  </r>
  <r>
    <x v="63"/>
  </r>
  <r>
    <x v="63"/>
  </r>
  <r>
    <x v="63"/>
  </r>
  <r>
    <x v="63"/>
  </r>
  <r>
    <x v="63"/>
  </r>
  <r>
    <x v="56"/>
  </r>
  <r>
    <x v="25"/>
  </r>
  <r>
    <x v="64"/>
  </r>
  <r>
    <x v="64"/>
  </r>
  <r>
    <x v="4"/>
  </r>
  <r>
    <x v="65"/>
  </r>
  <r>
    <x v="66"/>
  </r>
  <r>
    <x v="11"/>
  </r>
  <r>
    <x v="49"/>
  </r>
  <r>
    <x v="19"/>
  </r>
  <r>
    <x v="2"/>
  </r>
  <r>
    <x v="56"/>
  </r>
  <r>
    <x v="54"/>
  </r>
  <r>
    <x v="50"/>
  </r>
  <r>
    <x v="22"/>
  </r>
  <r>
    <x v="33"/>
  </r>
  <r>
    <x v="26"/>
  </r>
  <r>
    <x v="32"/>
  </r>
  <r>
    <x v="64"/>
  </r>
  <r>
    <x v="56"/>
  </r>
  <r>
    <x v="54"/>
  </r>
  <r>
    <x v="49"/>
  </r>
  <r>
    <x v="43"/>
  </r>
  <r>
    <x v="67"/>
  </r>
  <r>
    <x v="14"/>
  </r>
  <r>
    <x v="34"/>
  </r>
  <r>
    <x v="9"/>
  </r>
  <r>
    <x v="23"/>
  </r>
  <r>
    <x v="68"/>
  </r>
  <r>
    <x v="35"/>
  </r>
  <r>
    <x v="2"/>
  </r>
  <r>
    <x v="13"/>
  </r>
  <r>
    <x v="69"/>
  </r>
  <r>
    <x v="53"/>
  </r>
  <r>
    <x v="70"/>
  </r>
  <r>
    <x v="70"/>
  </r>
  <r>
    <x v="70"/>
  </r>
  <r>
    <x v="53"/>
  </r>
  <r>
    <x v="50"/>
  </r>
  <r>
    <x v="33"/>
  </r>
  <r>
    <x v="50"/>
  </r>
  <r>
    <x v="53"/>
  </r>
  <r>
    <x v="8"/>
  </r>
  <r>
    <x v="42"/>
  </r>
  <r>
    <x v="42"/>
  </r>
  <r>
    <x v="42"/>
  </r>
  <r>
    <x v="19"/>
  </r>
  <r>
    <x v="8"/>
  </r>
  <r>
    <x v="71"/>
  </r>
  <r>
    <x v="71"/>
  </r>
  <r>
    <x v="71"/>
  </r>
  <r>
    <x v="71"/>
  </r>
  <r>
    <x v="71"/>
  </r>
  <r>
    <x v="71"/>
  </r>
  <r>
    <x v="71"/>
  </r>
  <r>
    <x v="71"/>
  </r>
  <r>
    <x v="71"/>
  </r>
  <r>
    <x v="71"/>
  </r>
  <r>
    <x v="71"/>
  </r>
  <r>
    <x v="71"/>
  </r>
  <r>
    <x v="72"/>
  </r>
  <r>
    <x v="9"/>
  </r>
  <r>
    <x v="9"/>
  </r>
  <r>
    <x v="9"/>
  </r>
  <r>
    <x v="9"/>
  </r>
  <r>
    <x v="9"/>
  </r>
  <r>
    <x v="9"/>
  </r>
  <r>
    <x v="9"/>
  </r>
  <r>
    <x v="9"/>
  </r>
  <r>
    <x v="9"/>
  </r>
  <r>
    <x v="73"/>
  </r>
  <r>
    <x v="73"/>
  </r>
  <r>
    <x v="73"/>
  </r>
  <r>
    <x v="73"/>
  </r>
  <r>
    <x v="73"/>
  </r>
  <r>
    <x v="73"/>
  </r>
  <r>
    <x v="73"/>
  </r>
  <r>
    <x v="73"/>
  </r>
  <r>
    <x v="73"/>
  </r>
  <r>
    <x v="73"/>
  </r>
  <r>
    <x v="73"/>
  </r>
  <r>
    <x v="73"/>
  </r>
  <r>
    <x v="73"/>
  </r>
  <r>
    <x v="73"/>
  </r>
  <r>
    <x v="74"/>
  </r>
  <r>
    <x v="74"/>
  </r>
  <r>
    <x v="74"/>
  </r>
  <r>
    <x v="74"/>
  </r>
  <r>
    <x v="74"/>
  </r>
  <r>
    <x v="74"/>
  </r>
  <r>
    <x v="58"/>
  </r>
  <r>
    <x v="58"/>
  </r>
  <r>
    <x v="58"/>
  </r>
  <r>
    <x v="61"/>
  </r>
  <r>
    <x v="61"/>
  </r>
  <r>
    <x v="61"/>
  </r>
  <r>
    <x v="61"/>
  </r>
  <r>
    <x v="61"/>
  </r>
  <r>
    <x v="61"/>
  </r>
  <r>
    <x v="75"/>
  </r>
  <r>
    <x v="75"/>
  </r>
  <r>
    <x v="75"/>
  </r>
  <r>
    <x v="75"/>
  </r>
  <r>
    <x v="68"/>
  </r>
  <r>
    <x v="76"/>
  </r>
  <r>
    <x v="77"/>
  </r>
  <r>
    <x v="77"/>
  </r>
  <r>
    <x v="77"/>
  </r>
  <r>
    <x v="76"/>
  </r>
  <r>
    <x v="78"/>
  </r>
  <r>
    <x v="78"/>
  </r>
  <r>
    <x v="78"/>
  </r>
  <r>
    <x v="78"/>
  </r>
  <r>
    <x v="68"/>
  </r>
  <r>
    <x v="76"/>
  </r>
  <r>
    <x v="79"/>
  </r>
  <r>
    <x v="80"/>
  </r>
  <r>
    <x v="80"/>
  </r>
  <r>
    <x v="80"/>
  </r>
  <r>
    <x v="80"/>
  </r>
  <r>
    <x v="80"/>
  </r>
  <r>
    <x v="79"/>
  </r>
  <r>
    <x v="68"/>
  </r>
  <r>
    <x v="58"/>
  </r>
  <r>
    <x v="58"/>
  </r>
  <r>
    <x v="81"/>
  </r>
  <r>
    <x v="81"/>
  </r>
  <r>
    <x v="82"/>
  </r>
  <r>
    <x v="82"/>
  </r>
  <r>
    <x v="79"/>
  </r>
  <r>
    <x v="83"/>
  </r>
  <r>
    <x v="83"/>
  </r>
  <r>
    <x v="84"/>
  </r>
  <r>
    <x v="84"/>
  </r>
  <r>
    <x v="85"/>
  </r>
  <r>
    <x v="85"/>
  </r>
  <r>
    <x v="86"/>
  </r>
  <r>
    <x v="42"/>
  </r>
  <r>
    <x v="49"/>
  </r>
  <r>
    <x v="15"/>
  </r>
  <r>
    <x v="38"/>
  </r>
  <r>
    <x v="44"/>
  </r>
  <r>
    <x v="8"/>
  </r>
  <r>
    <x v="26"/>
  </r>
  <r>
    <x v="11"/>
  </r>
  <r>
    <x v="7"/>
  </r>
  <r>
    <x v="7"/>
  </r>
  <r>
    <x v="42"/>
  </r>
  <r>
    <x v="38"/>
  </r>
  <r>
    <x v="2"/>
  </r>
  <r>
    <x v="22"/>
  </r>
  <r>
    <x v="13"/>
  </r>
  <r>
    <x v="86"/>
  </r>
  <r>
    <x v="22"/>
  </r>
  <r>
    <x v="1"/>
  </r>
  <r>
    <x v="57"/>
  </r>
  <r>
    <x v="87"/>
  </r>
  <r>
    <x v="42"/>
  </r>
  <r>
    <x v="57"/>
  </r>
  <r>
    <x v="43"/>
  </r>
  <r>
    <x v="34"/>
  </r>
  <r>
    <x v="88"/>
  </r>
  <r>
    <x v="33"/>
  </r>
  <r>
    <x v="19"/>
  </r>
  <r>
    <x v="23"/>
  </r>
  <r>
    <x v="42"/>
  </r>
  <r>
    <x v="9"/>
  </r>
  <r>
    <x v="89"/>
  </r>
  <r>
    <x v="89"/>
  </r>
  <r>
    <x v="20"/>
  </r>
  <r>
    <x v="26"/>
  </r>
  <r>
    <x v="5"/>
  </r>
  <r>
    <x v="49"/>
  </r>
  <r>
    <x v="1"/>
  </r>
  <r>
    <x v="16"/>
  </r>
  <r>
    <x v="49"/>
  </r>
  <r>
    <x v="61"/>
  </r>
  <r>
    <x v="26"/>
  </r>
  <r>
    <x v="19"/>
  </r>
  <r>
    <x v="19"/>
  </r>
  <r>
    <x v="19"/>
  </r>
  <r>
    <x v="46"/>
  </r>
  <r>
    <x v="46"/>
  </r>
  <r>
    <x v="9"/>
  </r>
  <r>
    <x v="1"/>
  </r>
  <r>
    <x v="9"/>
  </r>
  <r>
    <x v="90"/>
  </r>
  <r>
    <x v="54"/>
  </r>
  <r>
    <x v="54"/>
  </r>
  <r>
    <x v="42"/>
  </r>
  <r>
    <x v="9"/>
  </r>
  <r>
    <x v="9"/>
  </r>
  <r>
    <x v="13"/>
  </r>
  <r>
    <x v="13"/>
  </r>
  <r>
    <x v="21"/>
  </r>
  <r>
    <x v="91"/>
  </r>
  <r>
    <x v="15"/>
  </r>
  <r>
    <x v="31"/>
  </r>
  <r>
    <x v="57"/>
  </r>
  <r>
    <x v="34"/>
  </r>
  <r>
    <x v="92"/>
  </r>
  <r>
    <x v="18"/>
  </r>
  <r>
    <x v="86"/>
  </r>
  <r>
    <x v="42"/>
  </r>
  <r>
    <x v="19"/>
  </r>
  <r>
    <x v="66"/>
  </r>
  <r>
    <x v="39"/>
  </r>
  <r>
    <x v="38"/>
  </r>
  <r>
    <x v="60"/>
  </r>
  <r>
    <x v="88"/>
  </r>
  <r>
    <x v="93"/>
  </r>
  <r>
    <x v="38"/>
  </r>
  <r>
    <x v="86"/>
  </r>
  <r>
    <x v="88"/>
  </r>
  <r>
    <x v="88"/>
  </r>
  <r>
    <x v="8"/>
  </r>
  <r>
    <x v="31"/>
  </r>
  <r>
    <x v="86"/>
  </r>
  <r>
    <x v="31"/>
  </r>
  <r>
    <x v="38"/>
  </r>
  <r>
    <x v="86"/>
  </r>
  <r>
    <x v="6"/>
  </r>
  <r>
    <x v="6"/>
  </r>
  <r>
    <x v="5"/>
  </r>
  <r>
    <x v="0"/>
  </r>
  <r>
    <x v="0"/>
  </r>
  <r>
    <x v="88"/>
  </r>
  <r>
    <x v="1"/>
  </r>
  <r>
    <x v="86"/>
  </r>
  <r>
    <x v="44"/>
  </r>
  <r>
    <x v="49"/>
  </r>
  <r>
    <x v="15"/>
  </r>
  <r>
    <x v="13"/>
  </r>
  <r>
    <x v="17"/>
  </r>
  <r>
    <x v="15"/>
  </r>
  <r>
    <x v="15"/>
  </r>
  <r>
    <x v="15"/>
  </r>
  <r>
    <x v="15"/>
  </r>
  <r>
    <x v="15"/>
  </r>
  <r>
    <x v="15"/>
  </r>
  <r>
    <x v="15"/>
  </r>
  <r>
    <x v="15"/>
  </r>
  <r>
    <x v="15"/>
  </r>
  <r>
    <x v="15"/>
  </r>
  <r>
    <x v="15"/>
  </r>
  <r>
    <x v="15"/>
  </r>
  <r>
    <x v="15"/>
  </r>
  <r>
    <x v="15"/>
  </r>
  <r>
    <x v="15"/>
  </r>
  <r>
    <x v="15"/>
  </r>
  <r>
    <x v="15"/>
  </r>
  <r>
    <x v="15"/>
  </r>
  <r>
    <x v="15"/>
  </r>
  <r>
    <x v="15"/>
  </r>
  <r>
    <x v="51"/>
  </r>
  <r>
    <x v="51"/>
  </r>
  <r>
    <x v="38"/>
  </r>
  <r>
    <x v="31"/>
  </r>
  <r>
    <x v="59"/>
  </r>
  <r>
    <x v="93"/>
  </r>
  <r>
    <x v="46"/>
  </r>
  <r>
    <x v="11"/>
  </r>
  <r>
    <x v="94"/>
  </r>
  <r>
    <x v="5"/>
  </r>
  <r>
    <x v="43"/>
  </r>
  <r>
    <x v="95"/>
  </r>
  <r>
    <x v="48"/>
  </r>
  <r>
    <x v="48"/>
  </r>
  <r>
    <x v="23"/>
  </r>
  <r>
    <x v="60"/>
  </r>
  <r>
    <x v="59"/>
  </r>
  <r>
    <x v="60"/>
  </r>
  <r>
    <x v="66"/>
  </r>
  <r>
    <x v="58"/>
  </r>
  <r>
    <x v="19"/>
  </r>
  <r>
    <x v="6"/>
  </r>
  <r>
    <x v="59"/>
  </r>
  <r>
    <x v="8"/>
  </r>
  <r>
    <x v="34"/>
  </r>
  <r>
    <x v="54"/>
  </r>
  <r>
    <x v="8"/>
  </r>
  <r>
    <x v="56"/>
  </r>
  <r>
    <x v="25"/>
  </r>
  <r>
    <x v="56"/>
  </r>
  <r>
    <x v="43"/>
  </r>
  <r>
    <x v="56"/>
  </r>
  <r>
    <x v="25"/>
  </r>
  <r>
    <x v="56"/>
  </r>
  <r>
    <x v="25"/>
  </r>
  <r>
    <x v="25"/>
  </r>
  <r>
    <x v="43"/>
  </r>
  <r>
    <x v="56"/>
  </r>
  <r>
    <x v="56"/>
  </r>
  <r>
    <x v="96"/>
  </r>
  <r>
    <x v="96"/>
  </r>
  <r>
    <x v="96"/>
  </r>
  <r>
    <x v="96"/>
  </r>
  <r>
    <x v="96"/>
  </r>
  <r>
    <x v="96"/>
  </r>
  <r>
    <x v="96"/>
  </r>
  <r>
    <x v="96"/>
  </r>
  <r>
    <x v="96"/>
  </r>
  <r>
    <x v="96"/>
  </r>
  <r>
    <x v="96"/>
  </r>
  <r>
    <x v="96"/>
  </r>
  <r>
    <x v="96"/>
  </r>
  <r>
    <x v="96"/>
  </r>
  <r>
    <x v="96"/>
  </r>
  <r>
    <x v="26"/>
  </r>
  <r>
    <x v="6"/>
  </r>
  <r>
    <x v="49"/>
  </r>
  <r>
    <x v="49"/>
  </r>
  <r>
    <x v="49"/>
  </r>
  <r>
    <x v="49"/>
  </r>
  <r>
    <x v="49"/>
  </r>
  <r>
    <x v="36"/>
  </r>
  <r>
    <x v="34"/>
  </r>
  <r>
    <x v="12"/>
  </r>
  <r>
    <x v="53"/>
  </r>
  <r>
    <x v="13"/>
  </r>
  <r>
    <x v="97"/>
  </r>
  <r>
    <x v="68"/>
  </r>
  <r>
    <x v="29"/>
  </r>
  <r>
    <x v="35"/>
  </r>
  <r>
    <x v="79"/>
  </r>
  <r>
    <x v="98"/>
  </r>
  <r>
    <x v="21"/>
  </r>
  <r>
    <x v="79"/>
  </r>
  <r>
    <x v="13"/>
  </r>
  <r>
    <x v="46"/>
  </r>
  <r>
    <x v="14"/>
  </r>
  <r>
    <x v="9"/>
  </r>
  <r>
    <x v="56"/>
  </r>
  <r>
    <x v="49"/>
  </r>
  <r>
    <x v="99"/>
  </r>
  <r>
    <x v="99"/>
  </r>
  <r>
    <x v="99"/>
  </r>
  <r>
    <x v="99"/>
  </r>
  <r>
    <x v="99"/>
  </r>
  <r>
    <x v="99"/>
  </r>
  <r>
    <x v="99"/>
  </r>
  <r>
    <x v="99"/>
  </r>
  <r>
    <x v="99"/>
  </r>
  <r>
    <x v="22"/>
  </r>
  <r>
    <x v="13"/>
  </r>
  <r>
    <x v="13"/>
  </r>
  <r>
    <x v="42"/>
  </r>
  <r>
    <x v="34"/>
  </r>
  <r>
    <x v="42"/>
  </r>
  <r>
    <x v="34"/>
  </r>
  <r>
    <x v="42"/>
  </r>
  <r>
    <x v="42"/>
  </r>
  <r>
    <x v="42"/>
  </r>
  <r>
    <x v="56"/>
  </r>
  <r>
    <x v="54"/>
  </r>
  <r>
    <x v="54"/>
  </r>
  <r>
    <x v="54"/>
  </r>
  <r>
    <x v="54"/>
  </r>
  <r>
    <x v="54"/>
  </r>
  <r>
    <x v="2"/>
  </r>
  <r>
    <x v="2"/>
  </r>
  <r>
    <x v="2"/>
  </r>
  <r>
    <x v="79"/>
  </r>
  <r>
    <x v="43"/>
  </r>
  <r>
    <x v="11"/>
  </r>
  <r>
    <x v="31"/>
  </r>
  <r>
    <x v="31"/>
  </r>
  <r>
    <x v="26"/>
  </r>
  <r>
    <x v="66"/>
  </r>
  <r>
    <x v="1"/>
  </r>
  <r>
    <x v="50"/>
  </r>
  <r>
    <x v="100"/>
  </r>
  <r>
    <x v="17"/>
  </r>
  <r>
    <x v="26"/>
  </r>
  <r>
    <x v="35"/>
  </r>
  <r>
    <x v="2"/>
  </r>
  <r>
    <x v="1"/>
  </r>
  <r>
    <x v="33"/>
  </r>
  <r>
    <x v="85"/>
  </r>
  <r>
    <x v="101"/>
  </r>
  <r>
    <x v="9"/>
  </r>
  <r>
    <x v="12"/>
  </r>
  <r>
    <x v="7"/>
  </r>
  <r>
    <x v="11"/>
  </r>
  <r>
    <x v="1"/>
  </r>
  <r>
    <x v="46"/>
  </r>
  <r>
    <x v="52"/>
  </r>
  <r>
    <x v="52"/>
  </r>
  <r>
    <x v="52"/>
  </r>
  <r>
    <x v="52"/>
  </r>
  <r>
    <x v="25"/>
  </r>
  <r>
    <x v="49"/>
  </r>
  <r>
    <x v="94"/>
  </r>
  <r>
    <x v="7"/>
  </r>
  <r>
    <x v="26"/>
  </r>
  <r>
    <x v="32"/>
  </r>
  <r>
    <x v="50"/>
  </r>
  <r>
    <x v="34"/>
  </r>
  <r>
    <x v="21"/>
  </r>
  <r>
    <x v="22"/>
  </r>
  <r>
    <x v="56"/>
  </r>
  <r>
    <x v="56"/>
  </r>
  <r>
    <x v="38"/>
  </r>
  <r>
    <x v="48"/>
  </r>
  <r>
    <x v="48"/>
  </r>
  <r>
    <x v="1"/>
  </r>
  <r>
    <x v="79"/>
  </r>
  <r>
    <x v="38"/>
  </r>
  <r>
    <x v="66"/>
  </r>
  <r>
    <x v="53"/>
  </r>
  <r>
    <x v="46"/>
  </r>
  <r>
    <x v="79"/>
  </r>
  <r>
    <x v="21"/>
  </r>
  <r>
    <x v="54"/>
  </r>
  <r>
    <x v="35"/>
  </r>
  <r>
    <x v="19"/>
  </r>
  <r>
    <x v="86"/>
  </r>
  <r>
    <x v="22"/>
  </r>
  <r>
    <x v="8"/>
  </r>
  <r>
    <x v="11"/>
  </r>
  <r>
    <x v="100"/>
  </r>
  <r>
    <x v="20"/>
  </r>
  <r>
    <x v="76"/>
  </r>
  <r>
    <x v="43"/>
  </r>
  <r>
    <x v="50"/>
  </r>
  <r>
    <x v="11"/>
  </r>
  <r>
    <x v="100"/>
  </r>
  <r>
    <x v="53"/>
  </r>
  <r>
    <x v="102"/>
  </r>
  <r>
    <x v="64"/>
  </r>
  <r>
    <x v="22"/>
  </r>
  <r>
    <x v="103"/>
  </r>
  <r>
    <x v="46"/>
  </r>
  <r>
    <x v="66"/>
  </r>
  <r>
    <x v="23"/>
  </r>
  <r>
    <x v="12"/>
  </r>
  <r>
    <x v="12"/>
  </r>
  <r>
    <x v="5"/>
  </r>
  <r>
    <x v="46"/>
  </r>
  <r>
    <x v="34"/>
  </r>
  <r>
    <x v="14"/>
  </r>
  <r>
    <x v="17"/>
  </r>
  <r>
    <x v="14"/>
  </r>
  <r>
    <x v="26"/>
  </r>
  <r>
    <x v="34"/>
  </r>
  <r>
    <x v="48"/>
  </r>
  <r>
    <x v="21"/>
  </r>
  <r>
    <x v="26"/>
  </r>
  <r>
    <x v="29"/>
  </r>
  <r>
    <x v="17"/>
  </r>
  <r>
    <x v="29"/>
  </r>
  <r>
    <x v="53"/>
  </r>
  <r>
    <x v="30"/>
  </r>
  <r>
    <x v="94"/>
  </r>
  <r>
    <x v="21"/>
  </r>
  <r>
    <x v="104"/>
  </r>
  <r>
    <x v="104"/>
  </r>
  <r>
    <x v="21"/>
  </r>
  <r>
    <x v="7"/>
  </r>
  <r>
    <x v="1"/>
  </r>
  <r>
    <x v="33"/>
  </r>
  <r>
    <x v="11"/>
  </r>
  <r>
    <x v="34"/>
  </r>
  <r>
    <x v="34"/>
  </r>
  <r>
    <x v="37"/>
  </r>
  <r>
    <x v="94"/>
  </r>
  <r>
    <x v="68"/>
  </r>
  <r>
    <x v="15"/>
  </r>
  <r>
    <x v="42"/>
  </r>
  <r>
    <x v="9"/>
  </r>
  <r>
    <x v="37"/>
  </r>
  <r>
    <x v="0"/>
  </r>
  <r>
    <x v="33"/>
  </r>
  <r>
    <x v="33"/>
  </r>
  <r>
    <x v="15"/>
  </r>
  <r>
    <x v="15"/>
  </r>
  <r>
    <x v="31"/>
  </r>
  <r>
    <x v="15"/>
  </r>
  <r>
    <x v="43"/>
  </r>
  <r>
    <x v="8"/>
  </r>
  <r>
    <x v="1"/>
  </r>
  <r>
    <x v="38"/>
  </r>
  <r>
    <x v="13"/>
  </r>
  <r>
    <x v="17"/>
  </r>
  <r>
    <x v="93"/>
  </r>
  <r>
    <x v="105"/>
  </r>
  <r>
    <x v="19"/>
  </r>
  <r>
    <x v="34"/>
  </r>
  <r>
    <x v="9"/>
  </r>
  <r>
    <x v="1"/>
  </r>
  <r>
    <x v="106"/>
  </r>
  <r>
    <x v="16"/>
  </r>
  <r>
    <x v="43"/>
  </r>
  <r>
    <x v="6"/>
  </r>
  <r>
    <x v="56"/>
  </r>
  <r>
    <x v="23"/>
  </r>
  <r>
    <x v="43"/>
  </r>
  <r>
    <x v="1"/>
  </r>
  <r>
    <x v="19"/>
  </r>
  <r>
    <x v="1"/>
  </r>
  <r>
    <x v="43"/>
  </r>
  <r>
    <x v="48"/>
  </r>
  <r>
    <x v="6"/>
  </r>
  <r>
    <x v="9"/>
  </r>
  <r>
    <x v="21"/>
  </r>
  <r>
    <x v="5"/>
  </r>
  <r>
    <x v="9"/>
  </r>
  <r>
    <x v="43"/>
  </r>
  <r>
    <x v="50"/>
  </r>
  <r>
    <x v="53"/>
  </r>
  <r>
    <x v="94"/>
  </r>
  <r>
    <x v="46"/>
  </r>
  <r>
    <x v="7"/>
  </r>
  <r>
    <x v="26"/>
  </r>
  <r>
    <x v="79"/>
  </r>
  <r>
    <x v="23"/>
  </r>
  <r>
    <x v="6"/>
  </r>
  <r>
    <x v="50"/>
  </r>
  <r>
    <x v="31"/>
  </r>
  <r>
    <x v="31"/>
  </r>
  <r>
    <x v="31"/>
  </r>
  <r>
    <x v="11"/>
  </r>
  <r>
    <x v="8"/>
  </r>
  <r>
    <x v="1"/>
  </r>
  <r>
    <x v="43"/>
  </r>
  <r>
    <x v="64"/>
  </r>
  <r>
    <x v="48"/>
  </r>
  <r>
    <x v="34"/>
  </r>
  <r>
    <x v="7"/>
  </r>
  <r>
    <x v="9"/>
  </r>
  <r>
    <x v="19"/>
  </r>
  <r>
    <x v="46"/>
  </r>
  <r>
    <x v="25"/>
  </r>
  <r>
    <x v="20"/>
  </r>
  <r>
    <x v="7"/>
  </r>
  <r>
    <x v="6"/>
  </r>
  <r>
    <x v="42"/>
  </r>
  <r>
    <x v="12"/>
  </r>
  <r>
    <x v="17"/>
  </r>
  <r>
    <x v="35"/>
  </r>
  <r>
    <x v="16"/>
  </r>
  <r>
    <x v="38"/>
  </r>
  <r>
    <x v="0"/>
  </r>
  <r>
    <x v="13"/>
  </r>
  <r>
    <x v="59"/>
  </r>
  <r>
    <x v="7"/>
  </r>
  <r>
    <x v="8"/>
  </r>
  <r>
    <x v="14"/>
  </r>
  <r>
    <x v="13"/>
  </r>
  <r>
    <x v="1"/>
  </r>
  <r>
    <x v="54"/>
  </r>
  <r>
    <x v="59"/>
  </r>
  <r>
    <x v="38"/>
  </r>
  <r>
    <x v="86"/>
  </r>
  <r>
    <x v="26"/>
  </r>
  <r>
    <x v="14"/>
  </r>
  <r>
    <x v="107"/>
  </r>
  <r>
    <x v="13"/>
  </r>
  <r>
    <x v="15"/>
  </r>
  <r>
    <x v="15"/>
  </r>
  <r>
    <x v="25"/>
  </r>
  <r>
    <x v="8"/>
  </r>
  <r>
    <x v="94"/>
  </r>
  <r>
    <x v="36"/>
  </r>
  <r>
    <x v="38"/>
  </r>
  <r>
    <x v="6"/>
  </r>
  <r>
    <x v="68"/>
  </r>
  <r>
    <x v="9"/>
  </r>
  <r>
    <x v="25"/>
  </r>
  <r>
    <x v="11"/>
  </r>
  <r>
    <x v="43"/>
  </r>
  <r>
    <x v="94"/>
  </r>
  <r>
    <x v="9"/>
  </r>
  <r>
    <x v="8"/>
  </r>
  <r>
    <x v="19"/>
  </r>
  <r>
    <x v="21"/>
  </r>
  <r>
    <x v="107"/>
  </r>
  <r>
    <x v="107"/>
  </r>
  <r>
    <x v="46"/>
  </r>
  <r>
    <x v="108"/>
  </r>
  <r>
    <x v="11"/>
  </r>
  <r>
    <x v="14"/>
  </r>
  <r>
    <x v="13"/>
  </r>
  <r>
    <x v="14"/>
  </r>
  <r>
    <x v="26"/>
  </r>
  <r>
    <x v="49"/>
  </r>
  <r>
    <x v="30"/>
  </r>
  <r>
    <x v="33"/>
  </r>
  <r>
    <x v="53"/>
  </r>
  <r>
    <x v="49"/>
  </r>
  <r>
    <x v="13"/>
  </r>
  <r>
    <x v="35"/>
  </r>
  <r>
    <x v="1"/>
  </r>
  <r>
    <x v="33"/>
  </r>
  <r>
    <x v="25"/>
  </r>
  <r>
    <x v="2"/>
  </r>
  <r>
    <x v="30"/>
  </r>
  <r>
    <x v="25"/>
  </r>
  <r>
    <x v="68"/>
  </r>
  <r>
    <x v="22"/>
  </r>
  <r>
    <x v="25"/>
  </r>
  <r>
    <x v="33"/>
  </r>
  <r>
    <x v="34"/>
  </r>
  <r>
    <x v="55"/>
  </r>
  <r>
    <x v="109"/>
  </r>
  <r>
    <x v="36"/>
  </r>
  <r>
    <x v="25"/>
  </r>
  <r>
    <x v="64"/>
  </r>
  <r>
    <x v="94"/>
  </r>
  <r>
    <x v="54"/>
  </r>
  <r>
    <x v="66"/>
  </r>
  <r>
    <x v="68"/>
  </r>
  <r>
    <x v="22"/>
  </r>
  <r>
    <x v="36"/>
  </r>
  <r>
    <x v="85"/>
  </r>
  <r>
    <x v="51"/>
  </r>
  <r>
    <x v="56"/>
  </r>
  <r>
    <x v="59"/>
  </r>
  <r>
    <x v="17"/>
  </r>
  <r>
    <x v="36"/>
  </r>
  <r>
    <x v="39"/>
  </r>
  <r>
    <x v="23"/>
  </r>
  <r>
    <x v="9"/>
  </r>
  <r>
    <x v="46"/>
  </r>
  <r>
    <x v="31"/>
  </r>
  <r>
    <x v="20"/>
  </r>
  <r>
    <x v="59"/>
  </r>
  <r>
    <x v="12"/>
  </r>
  <r>
    <x v="9"/>
  </r>
  <r>
    <x v="53"/>
  </r>
  <r>
    <x v="42"/>
  </r>
  <r>
    <x v="32"/>
  </r>
  <r>
    <x v="5"/>
  </r>
  <r>
    <x v="49"/>
  </r>
  <r>
    <x v="106"/>
  </r>
  <r>
    <x v="49"/>
  </r>
  <r>
    <x v="7"/>
  </r>
  <r>
    <x v="0"/>
  </r>
  <r>
    <x v="16"/>
  </r>
  <r>
    <x v="26"/>
  </r>
  <r>
    <x v="0"/>
  </r>
  <r>
    <x v="59"/>
  </r>
  <r>
    <x v="12"/>
  </r>
  <r>
    <x v="20"/>
  </r>
  <r>
    <x v="8"/>
  </r>
  <r>
    <x v="66"/>
  </r>
  <r>
    <x v="93"/>
  </r>
  <r>
    <x v="23"/>
  </r>
  <r>
    <x v="13"/>
  </r>
  <r>
    <x v="43"/>
  </r>
  <r>
    <x v="16"/>
  </r>
  <r>
    <x v="93"/>
  </r>
  <r>
    <x v="17"/>
  </r>
  <r>
    <x v="1"/>
  </r>
  <r>
    <x v="7"/>
  </r>
  <r>
    <x v="17"/>
  </r>
  <r>
    <x v="48"/>
  </r>
  <r>
    <x v="45"/>
  </r>
  <r>
    <x v="43"/>
  </r>
  <r>
    <x v="58"/>
  </r>
  <r>
    <x v="7"/>
  </r>
  <r>
    <x v="48"/>
  </r>
  <r>
    <x v="13"/>
  </r>
  <r>
    <x v="91"/>
  </r>
  <r>
    <x v="57"/>
  </r>
  <r>
    <x v="7"/>
  </r>
  <r>
    <x v="56"/>
  </r>
  <r>
    <x v="9"/>
  </r>
  <r>
    <x v="46"/>
  </r>
  <r>
    <x v="20"/>
  </r>
  <r>
    <x v="44"/>
  </r>
  <r>
    <x v="14"/>
  </r>
  <r>
    <x v="12"/>
  </r>
  <r>
    <x v="21"/>
  </r>
  <r>
    <x v="106"/>
  </r>
  <r>
    <x v="13"/>
  </r>
  <r>
    <x v="19"/>
  </r>
  <r>
    <x v="12"/>
  </r>
  <r>
    <x v="30"/>
  </r>
  <r>
    <x v="55"/>
  </r>
  <r>
    <x v="59"/>
  </r>
  <r>
    <x v="110"/>
  </r>
  <r>
    <x v="49"/>
  </r>
  <r>
    <x v="17"/>
  </r>
  <r>
    <x v="111"/>
  </r>
  <r>
    <x v="57"/>
  </r>
  <r>
    <x v="42"/>
  </r>
  <r>
    <x v="11"/>
  </r>
  <r>
    <x v="11"/>
  </r>
  <r>
    <x v="8"/>
  </r>
  <r>
    <x v="6"/>
  </r>
  <r>
    <x v="6"/>
  </r>
  <r>
    <x v="31"/>
  </r>
  <r>
    <x v="93"/>
  </r>
  <r>
    <x v="25"/>
  </r>
  <r>
    <x v="8"/>
  </r>
  <r>
    <x v="54"/>
  </r>
  <r>
    <x v="112"/>
  </r>
  <r>
    <x v="42"/>
  </r>
  <r>
    <x v="7"/>
  </r>
  <r>
    <x v="17"/>
  </r>
  <r>
    <x v="16"/>
  </r>
  <r>
    <x v="59"/>
  </r>
  <r>
    <x v="1"/>
  </r>
  <r>
    <x v="0"/>
  </r>
  <r>
    <x v="113"/>
  </r>
  <r>
    <x v="21"/>
  </r>
  <r>
    <x v="59"/>
  </r>
  <r>
    <x v="43"/>
  </r>
  <r>
    <x v="19"/>
  </r>
  <r>
    <x v="17"/>
  </r>
  <r>
    <x v="20"/>
  </r>
  <r>
    <x v="9"/>
  </r>
  <r>
    <x v="0"/>
  </r>
  <r>
    <x v="59"/>
  </r>
  <r>
    <x v="30"/>
  </r>
  <r>
    <x v="93"/>
  </r>
  <r>
    <x v="114"/>
  </r>
  <r>
    <x v="114"/>
  </r>
  <r>
    <x v="12"/>
  </r>
  <r>
    <x v="12"/>
  </r>
  <r>
    <x v="12"/>
  </r>
  <r>
    <x v="12"/>
  </r>
  <r>
    <x v="12"/>
  </r>
  <r>
    <x v="12"/>
  </r>
  <r>
    <x v="12"/>
  </r>
  <r>
    <x v="115"/>
  </r>
  <r>
    <x v="5"/>
  </r>
  <r>
    <x v="105"/>
  </r>
  <r>
    <x v="17"/>
  </r>
  <r>
    <x v="17"/>
  </r>
  <r>
    <x v="18"/>
  </r>
  <r>
    <x v="7"/>
  </r>
  <r>
    <x v="49"/>
  </r>
  <r>
    <x v="49"/>
  </r>
  <r>
    <x v="49"/>
  </r>
  <r>
    <x v="49"/>
  </r>
  <r>
    <x v="49"/>
  </r>
  <r>
    <x v="49"/>
  </r>
  <r>
    <x v="49"/>
  </r>
  <r>
    <x v="49"/>
  </r>
  <r>
    <x v="49"/>
  </r>
  <r>
    <x v="49"/>
  </r>
  <r>
    <x v="26"/>
  </r>
  <r>
    <x v="116"/>
  </r>
  <r>
    <x v="116"/>
  </r>
  <r>
    <x v="116"/>
  </r>
  <r>
    <x v="116"/>
  </r>
  <r>
    <x v="116"/>
  </r>
  <r>
    <x v="116"/>
  </r>
  <r>
    <x v="116"/>
  </r>
  <r>
    <x v="116"/>
  </r>
  <r>
    <x v="116"/>
  </r>
  <r>
    <x v="117"/>
  </r>
  <r>
    <x v="117"/>
  </r>
  <r>
    <x v="117"/>
  </r>
  <r>
    <x v="117"/>
  </r>
  <r>
    <x v="117"/>
  </r>
  <r>
    <x v="117"/>
  </r>
  <r>
    <x v="117"/>
  </r>
  <r>
    <x v="117"/>
  </r>
  <r>
    <x v="118"/>
  </r>
  <r>
    <x v="118"/>
  </r>
  <r>
    <x v="119"/>
  </r>
  <r>
    <x v="119"/>
  </r>
  <r>
    <x v="119"/>
  </r>
  <r>
    <x v="119"/>
  </r>
  <r>
    <x v="119"/>
  </r>
  <r>
    <x v="119"/>
  </r>
  <r>
    <x v="119"/>
  </r>
  <r>
    <x v="119"/>
  </r>
  <r>
    <x v="119"/>
  </r>
  <r>
    <x v="119"/>
  </r>
  <r>
    <x v="119"/>
  </r>
  <r>
    <x v="119"/>
  </r>
  <r>
    <x v="119"/>
  </r>
  <r>
    <x v="119"/>
  </r>
  <r>
    <x v="119"/>
  </r>
  <r>
    <x v="119"/>
  </r>
  <r>
    <x v="119"/>
  </r>
  <r>
    <x v="119"/>
  </r>
  <r>
    <x v="119"/>
  </r>
  <r>
    <x v="119"/>
  </r>
  <r>
    <x v="119"/>
  </r>
  <r>
    <x v="119"/>
  </r>
  <r>
    <x v="119"/>
  </r>
  <r>
    <x v="119"/>
  </r>
  <r>
    <x v="119"/>
  </r>
  <r>
    <x v="119"/>
  </r>
  <r>
    <x v="119"/>
  </r>
  <r>
    <x v="119"/>
  </r>
  <r>
    <x v="119"/>
  </r>
  <r>
    <x v="119"/>
  </r>
  <r>
    <x v="119"/>
  </r>
  <r>
    <x v="9"/>
  </r>
  <r>
    <x v="9"/>
  </r>
  <r>
    <x v="9"/>
  </r>
  <r>
    <x v="9"/>
  </r>
  <r>
    <x v="9"/>
  </r>
  <r>
    <x v="9"/>
  </r>
  <r>
    <x v="9"/>
  </r>
  <r>
    <x v="9"/>
  </r>
  <r>
    <x v="9"/>
  </r>
  <r>
    <x v="9"/>
  </r>
  <r>
    <x v="9"/>
  </r>
  <r>
    <x v="49"/>
  </r>
  <r>
    <x v="53"/>
  </r>
  <r>
    <x v="20"/>
  </r>
  <r>
    <x v="20"/>
  </r>
  <r>
    <x v="120"/>
  </r>
  <r>
    <x v="120"/>
  </r>
  <r>
    <x v="18"/>
  </r>
  <r>
    <x v="18"/>
  </r>
  <r>
    <x v="18"/>
  </r>
  <r>
    <x v="18"/>
  </r>
  <r>
    <x v="120"/>
  </r>
  <r>
    <x v="19"/>
  </r>
  <r>
    <x v="121"/>
  </r>
  <r>
    <x v="9"/>
  </r>
  <r>
    <x v="18"/>
  </r>
  <r>
    <x v="98"/>
  </r>
  <r>
    <x v="98"/>
  </r>
  <r>
    <x v="119"/>
  </r>
  <r>
    <x v="122"/>
  </r>
  <r>
    <x v="122"/>
  </r>
  <r>
    <x v="61"/>
  </r>
  <r>
    <x v="61"/>
  </r>
  <r>
    <x v="123"/>
  </r>
  <r>
    <x v="23"/>
  </r>
  <r>
    <x v="23"/>
  </r>
  <r>
    <x v="23"/>
  </r>
  <r>
    <x v="23"/>
  </r>
  <r>
    <x v="31"/>
  </r>
  <r>
    <x v="91"/>
  </r>
  <r>
    <x v="7"/>
  </r>
  <r>
    <x v="124"/>
  </r>
  <r>
    <x v="7"/>
  </r>
  <r>
    <x v="55"/>
  </r>
  <r>
    <x v="55"/>
  </r>
  <r>
    <x v="125"/>
  </r>
  <r>
    <x v="16"/>
  </r>
  <r>
    <x v="126"/>
  </r>
  <r>
    <x v="54"/>
  </r>
  <r>
    <x v="38"/>
  </r>
  <r>
    <x v="26"/>
  </r>
  <r>
    <x v="127"/>
  </r>
  <r>
    <x v="23"/>
  </r>
  <r>
    <x v="23"/>
  </r>
  <r>
    <x v="2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53">
  <r>
    <x v="0"/>
  </r>
  <r>
    <x v="0"/>
  </r>
  <r>
    <x v="0"/>
  </r>
  <r>
    <x v="1"/>
  </r>
  <r>
    <x v="0"/>
  </r>
  <r>
    <x v="0"/>
  </r>
  <r>
    <x v="0"/>
  </r>
  <r>
    <x v="0"/>
  </r>
  <r>
    <x v="0"/>
  </r>
  <r>
    <x v="0"/>
  </r>
  <r>
    <x v="0"/>
  </r>
  <r>
    <x v="0"/>
  </r>
  <r>
    <x v="0"/>
  </r>
  <r>
    <x v="0"/>
  </r>
  <r>
    <x v="0"/>
  </r>
  <r>
    <x v="0"/>
  </r>
  <r>
    <x v="0"/>
  </r>
  <r>
    <x v="0"/>
  </r>
  <r>
    <x v="0"/>
  </r>
  <r>
    <x v="0"/>
  </r>
  <r>
    <x v="0"/>
  </r>
  <r>
    <x v="0"/>
  </r>
  <r>
    <x v="0"/>
  </r>
  <r>
    <x v="0"/>
  </r>
  <r>
    <x v="0"/>
  </r>
  <r>
    <x v="0"/>
  </r>
  <r>
    <x v="1"/>
  </r>
  <r>
    <x v="1"/>
  </r>
  <r>
    <x v="0"/>
  </r>
  <r>
    <x v="1"/>
  </r>
  <r>
    <x v="0"/>
  </r>
  <r>
    <x v="0"/>
  </r>
  <r>
    <x v="1"/>
  </r>
  <r>
    <x v="2"/>
  </r>
  <r>
    <x v="2"/>
  </r>
  <r>
    <x v="0"/>
  </r>
  <r>
    <x v="0"/>
  </r>
  <r>
    <x v="0"/>
  </r>
  <r>
    <x v="0"/>
  </r>
  <r>
    <x v="0"/>
  </r>
  <r>
    <x v="0"/>
  </r>
  <r>
    <x v="0"/>
  </r>
  <r>
    <x v="2"/>
  </r>
  <r>
    <x v="1"/>
  </r>
  <r>
    <x v="0"/>
  </r>
  <r>
    <x v="0"/>
  </r>
  <r>
    <x v="0"/>
  </r>
  <r>
    <x v="0"/>
  </r>
  <r>
    <x v="2"/>
  </r>
  <r>
    <x v="0"/>
  </r>
  <r>
    <x v="0"/>
  </r>
  <r>
    <x v="3"/>
  </r>
  <r>
    <x v="0"/>
  </r>
  <r>
    <x v="1"/>
  </r>
  <r>
    <x v="0"/>
  </r>
  <r>
    <x v="1"/>
  </r>
  <r>
    <x v="1"/>
  </r>
  <r>
    <x v="2"/>
  </r>
  <r>
    <x v="2"/>
  </r>
  <r>
    <x v="2"/>
  </r>
  <r>
    <x v="2"/>
  </r>
  <r>
    <x v="2"/>
  </r>
  <r>
    <x v="2"/>
  </r>
  <r>
    <x v="2"/>
  </r>
  <r>
    <x v="2"/>
  </r>
  <r>
    <x v="2"/>
  </r>
  <r>
    <x v="2"/>
  </r>
  <r>
    <x v="0"/>
  </r>
  <r>
    <x v="2"/>
  </r>
  <r>
    <x v="2"/>
  </r>
  <r>
    <x v="1"/>
  </r>
  <r>
    <x v="0"/>
  </r>
  <r>
    <x v="0"/>
  </r>
  <r>
    <x v="1"/>
  </r>
  <r>
    <x v="2"/>
  </r>
  <r>
    <x v="0"/>
  </r>
  <r>
    <x v="1"/>
  </r>
  <r>
    <x v="0"/>
  </r>
  <r>
    <x v="0"/>
  </r>
  <r>
    <x v="2"/>
  </r>
  <r>
    <x v="0"/>
  </r>
  <r>
    <x v="1"/>
  </r>
  <r>
    <x v="2"/>
  </r>
  <r>
    <x v="0"/>
  </r>
  <r>
    <x v="1"/>
  </r>
  <r>
    <x v="0"/>
  </r>
  <r>
    <x v="0"/>
  </r>
  <r>
    <x v="0"/>
  </r>
  <r>
    <x v="0"/>
  </r>
  <r>
    <x v="0"/>
  </r>
  <r>
    <x v="0"/>
  </r>
  <r>
    <x v="0"/>
  </r>
  <r>
    <x v="0"/>
  </r>
  <r>
    <x v="0"/>
  </r>
  <r>
    <x v="1"/>
  </r>
  <r>
    <x v="0"/>
  </r>
  <r>
    <x v="0"/>
  </r>
  <r>
    <x v="0"/>
  </r>
  <r>
    <x v="0"/>
  </r>
  <r>
    <x v="0"/>
  </r>
  <r>
    <x v="0"/>
  </r>
  <r>
    <x v="0"/>
  </r>
  <r>
    <x v="0"/>
  </r>
  <r>
    <x v="0"/>
  </r>
  <r>
    <x v="0"/>
  </r>
  <r>
    <x v="0"/>
  </r>
  <r>
    <x v="0"/>
  </r>
  <r>
    <x v="0"/>
  </r>
  <r>
    <x v="0"/>
  </r>
  <r>
    <x v="0"/>
  </r>
  <r>
    <x v="1"/>
  </r>
  <r>
    <x v="0"/>
  </r>
  <r>
    <x v="0"/>
  </r>
  <r>
    <x v="0"/>
  </r>
  <r>
    <x v="0"/>
  </r>
  <r>
    <x v="0"/>
  </r>
  <r>
    <x v="0"/>
  </r>
  <r>
    <x v="0"/>
  </r>
  <r>
    <x v="0"/>
  </r>
  <r>
    <x v="0"/>
  </r>
  <r>
    <x v="0"/>
  </r>
  <r>
    <x v="0"/>
  </r>
  <r>
    <x v="0"/>
  </r>
  <r>
    <x v="0"/>
  </r>
  <r>
    <x v="0"/>
  </r>
  <r>
    <x v="0"/>
  </r>
  <r>
    <x v="0"/>
  </r>
  <r>
    <x v="0"/>
  </r>
  <r>
    <x v="0"/>
  </r>
  <r>
    <x v="2"/>
  </r>
  <r>
    <x v="0"/>
  </r>
  <r>
    <x v="2"/>
  </r>
  <r>
    <x v="2"/>
  </r>
  <r>
    <x v="0"/>
  </r>
  <r>
    <x v="0"/>
  </r>
  <r>
    <x v="0"/>
  </r>
  <r>
    <x v="0"/>
  </r>
  <r>
    <x v="0"/>
  </r>
  <r>
    <x v="0"/>
  </r>
  <r>
    <x v="0"/>
  </r>
  <r>
    <x v="0"/>
  </r>
  <r>
    <x v="0"/>
  </r>
  <r>
    <x v="0"/>
  </r>
  <r>
    <x v="0"/>
  </r>
  <r>
    <x v="1"/>
  </r>
  <r>
    <x v="0"/>
  </r>
  <r>
    <x v="0"/>
  </r>
  <r>
    <x v="0"/>
  </r>
  <r>
    <x v="1"/>
  </r>
  <r>
    <x v="0"/>
  </r>
  <r>
    <x v="0"/>
  </r>
  <r>
    <x v="0"/>
  </r>
  <r>
    <x v="0"/>
  </r>
  <r>
    <x v="0"/>
  </r>
  <r>
    <x v="2"/>
  </r>
  <r>
    <x v="0"/>
  </r>
  <r>
    <x v="0"/>
  </r>
  <r>
    <x v="0"/>
  </r>
  <r>
    <x v="0"/>
  </r>
  <r>
    <x v="0"/>
  </r>
  <r>
    <x v="0"/>
  </r>
  <r>
    <x v="0"/>
  </r>
  <r>
    <x v="0"/>
  </r>
  <r>
    <x v="4"/>
  </r>
  <r>
    <x v="1"/>
  </r>
  <r>
    <x v="0"/>
  </r>
  <r>
    <x v="0"/>
  </r>
  <r>
    <x v="5"/>
  </r>
  <r>
    <x v="5"/>
  </r>
  <r>
    <x v="5"/>
  </r>
  <r>
    <x v="5"/>
  </r>
  <r>
    <x v="1"/>
  </r>
  <r>
    <x v="0"/>
  </r>
  <r>
    <x v="0"/>
  </r>
  <r>
    <x v="0"/>
  </r>
  <r>
    <x v="0"/>
  </r>
  <r>
    <x v="0"/>
  </r>
  <r>
    <x v="0"/>
  </r>
  <r>
    <x v="0"/>
  </r>
  <r>
    <x v="0"/>
  </r>
  <r>
    <x v="0"/>
  </r>
  <r>
    <x v="0"/>
  </r>
  <r>
    <x v="0"/>
  </r>
  <r>
    <x v="0"/>
  </r>
  <r>
    <x v="0"/>
  </r>
  <r>
    <x v="0"/>
  </r>
  <r>
    <x v="0"/>
  </r>
  <r>
    <x v="0"/>
  </r>
  <r>
    <x v="0"/>
  </r>
  <r>
    <x v="0"/>
  </r>
  <r>
    <x v="2"/>
  </r>
  <r>
    <x v="2"/>
  </r>
  <r>
    <x v="0"/>
  </r>
  <r>
    <x v="0"/>
  </r>
  <r>
    <x v="0"/>
  </r>
  <r>
    <x v="0"/>
  </r>
  <r>
    <x v="0"/>
  </r>
  <r>
    <x v="0"/>
  </r>
  <r>
    <x v="0"/>
  </r>
  <r>
    <x v="0"/>
  </r>
  <r>
    <x v="0"/>
  </r>
  <r>
    <x v="0"/>
  </r>
  <r>
    <x v="0"/>
  </r>
  <r>
    <x v="0"/>
  </r>
  <r>
    <x v="0"/>
  </r>
  <r>
    <x v="0"/>
  </r>
  <r>
    <x v="5"/>
  </r>
  <r>
    <x v="5"/>
  </r>
  <r>
    <x v="5"/>
  </r>
  <r>
    <x v="5"/>
  </r>
  <r>
    <x v="5"/>
  </r>
  <r>
    <x v="5"/>
  </r>
  <r>
    <x v="0"/>
  </r>
  <r>
    <x v="2"/>
  </r>
  <r>
    <x v="5"/>
  </r>
  <r>
    <x v="5"/>
  </r>
  <r>
    <x v="1"/>
  </r>
  <r>
    <x v="1"/>
  </r>
  <r>
    <x v="5"/>
  </r>
  <r>
    <x v="5"/>
  </r>
  <r>
    <x v="1"/>
  </r>
  <r>
    <x v="2"/>
  </r>
  <r>
    <x v="2"/>
  </r>
  <r>
    <x v="5"/>
  </r>
  <r>
    <x v="5"/>
  </r>
  <r>
    <x v="5"/>
  </r>
  <r>
    <x v="5"/>
  </r>
  <r>
    <x v="1"/>
  </r>
  <r>
    <x v="5"/>
  </r>
  <r>
    <x v="5"/>
  </r>
  <r>
    <x v="5"/>
  </r>
  <r>
    <x v="5"/>
  </r>
  <r>
    <x v="5"/>
  </r>
  <r>
    <x v="5"/>
  </r>
  <r>
    <x v="5"/>
  </r>
  <r>
    <x v="5"/>
  </r>
  <r>
    <x v="5"/>
  </r>
  <r>
    <x v="5"/>
  </r>
  <r>
    <x v="1"/>
  </r>
  <r>
    <x v="1"/>
  </r>
  <r>
    <x v="1"/>
  </r>
  <r>
    <x v="1"/>
  </r>
  <r>
    <x v="5"/>
  </r>
  <r>
    <x v="5"/>
  </r>
  <r>
    <x v="5"/>
  </r>
  <r>
    <x v="5"/>
  </r>
  <r>
    <x v="5"/>
  </r>
  <r>
    <x v="5"/>
  </r>
  <r>
    <x v="5"/>
  </r>
  <r>
    <x v="5"/>
  </r>
  <r>
    <x v="5"/>
  </r>
  <r>
    <x v="5"/>
  </r>
  <r>
    <x v="0"/>
  </r>
  <r>
    <x v="5"/>
  </r>
  <r>
    <x v="0"/>
  </r>
  <r>
    <x v="5"/>
  </r>
  <r>
    <x v="5"/>
  </r>
  <r>
    <x v="5"/>
  </r>
  <r>
    <x v="5"/>
  </r>
  <r>
    <x v="5"/>
  </r>
  <r>
    <x v="1"/>
  </r>
  <r>
    <x v="2"/>
  </r>
  <r>
    <x v="5"/>
  </r>
  <r>
    <x v="5"/>
  </r>
  <r>
    <x v="5"/>
  </r>
  <r>
    <x v="5"/>
  </r>
  <r>
    <x v="5"/>
  </r>
  <r>
    <x v="5"/>
  </r>
  <r>
    <x v="1"/>
  </r>
  <r>
    <x v="5"/>
  </r>
  <r>
    <x v="2"/>
  </r>
  <r>
    <x v="1"/>
  </r>
  <r>
    <x v="1"/>
  </r>
  <r>
    <x v="1"/>
  </r>
  <r>
    <x v="2"/>
  </r>
  <r>
    <x v="1"/>
  </r>
  <r>
    <x v="1"/>
  </r>
  <r>
    <x v="1"/>
  </r>
  <r>
    <x v="0"/>
  </r>
  <r>
    <x v="0"/>
  </r>
  <r>
    <x v="0"/>
  </r>
  <r>
    <x v="0"/>
  </r>
  <r>
    <x v="0"/>
  </r>
  <r>
    <x v="0"/>
  </r>
  <r>
    <x v="0"/>
  </r>
  <r>
    <x v="0"/>
  </r>
  <r>
    <x v="5"/>
  </r>
  <r>
    <x v="5"/>
  </r>
  <r>
    <x v="5"/>
  </r>
  <r>
    <x v="1"/>
  </r>
  <r>
    <x v="5"/>
  </r>
  <r>
    <x v="5"/>
  </r>
  <r>
    <x v="5"/>
  </r>
  <r>
    <x v="1"/>
  </r>
  <r>
    <x v="1"/>
  </r>
  <r>
    <x v="5"/>
  </r>
  <r>
    <x v="5"/>
  </r>
  <r>
    <x v="5"/>
  </r>
  <r>
    <x v="5"/>
  </r>
  <r>
    <x v="5"/>
  </r>
  <r>
    <x v="1"/>
  </r>
  <r>
    <x v="5"/>
  </r>
  <r>
    <x v="1"/>
  </r>
  <r>
    <x v="6"/>
  </r>
  <r>
    <x v="1"/>
  </r>
  <r>
    <x v="5"/>
  </r>
  <r>
    <x v="0"/>
  </r>
  <r>
    <x v="0"/>
  </r>
  <r>
    <x v="5"/>
  </r>
  <r>
    <x v="5"/>
  </r>
  <r>
    <x v="1"/>
  </r>
  <r>
    <x v="1"/>
  </r>
  <r>
    <x v="1"/>
  </r>
  <r>
    <x v="5"/>
  </r>
  <r>
    <x v="5"/>
  </r>
  <r>
    <x v="1"/>
  </r>
  <r>
    <x v="5"/>
  </r>
  <r>
    <x v="5"/>
  </r>
  <r>
    <x v="5"/>
  </r>
  <r>
    <x v="5"/>
  </r>
  <r>
    <x v="0"/>
  </r>
  <r>
    <x v="5"/>
  </r>
  <r>
    <x v="5"/>
  </r>
  <r>
    <x v="5"/>
  </r>
  <r>
    <x v="5"/>
  </r>
  <r>
    <x v="5"/>
  </r>
  <r>
    <x v="5"/>
  </r>
  <r>
    <x v="7"/>
  </r>
  <r>
    <x v="5"/>
  </r>
  <r>
    <x v="2"/>
  </r>
  <r>
    <x v="1"/>
  </r>
  <r>
    <x v="5"/>
  </r>
  <r>
    <x v="5"/>
  </r>
  <r>
    <x v="5"/>
  </r>
  <r>
    <x v="5"/>
  </r>
  <r>
    <x v="1"/>
  </r>
  <r>
    <x v="5"/>
  </r>
  <r>
    <x v="2"/>
  </r>
  <r>
    <x v="1"/>
  </r>
  <r>
    <x v="2"/>
  </r>
  <r>
    <x v="2"/>
  </r>
  <r>
    <x v="0"/>
  </r>
  <r>
    <x v="1"/>
  </r>
  <r>
    <x v="0"/>
  </r>
  <r>
    <x v="5"/>
  </r>
  <r>
    <x v="2"/>
  </r>
  <r>
    <x v="1"/>
  </r>
  <r>
    <x v="5"/>
  </r>
  <r>
    <x v="5"/>
  </r>
  <r>
    <x v="0"/>
  </r>
  <r>
    <x v="5"/>
  </r>
  <r>
    <x v="5"/>
  </r>
  <r>
    <x v="5"/>
  </r>
  <r>
    <x v="5"/>
  </r>
  <r>
    <x v="5"/>
  </r>
  <r>
    <x v="2"/>
  </r>
  <r>
    <x v="5"/>
  </r>
  <r>
    <x v="5"/>
  </r>
  <r>
    <x v="5"/>
  </r>
  <r>
    <x v="1"/>
  </r>
  <r>
    <x v="5"/>
  </r>
  <r>
    <x v="5"/>
  </r>
  <r>
    <x v="2"/>
  </r>
  <r>
    <x v="5"/>
  </r>
  <r>
    <x v="5"/>
  </r>
  <r>
    <x v="5"/>
  </r>
  <r>
    <x v="5"/>
  </r>
  <r>
    <x v="5"/>
  </r>
  <r>
    <x v="5"/>
  </r>
  <r>
    <x v="5"/>
  </r>
  <r>
    <x v="5"/>
  </r>
  <r>
    <x v="0"/>
  </r>
  <r>
    <x v="2"/>
  </r>
  <r>
    <x v="5"/>
  </r>
  <r>
    <x v="0"/>
  </r>
  <r>
    <x v="0"/>
  </r>
  <r>
    <x v="2"/>
  </r>
  <r>
    <x v="5"/>
  </r>
  <r>
    <x v="5"/>
  </r>
  <r>
    <x v="5"/>
  </r>
  <r>
    <x v="5"/>
  </r>
  <r>
    <x v="1"/>
  </r>
  <r>
    <x v="1"/>
  </r>
  <r>
    <x v="5"/>
  </r>
  <r>
    <x v="2"/>
  </r>
  <r>
    <x v="5"/>
  </r>
  <r>
    <x v="5"/>
  </r>
  <r>
    <x v="5"/>
  </r>
  <r>
    <x v="5"/>
  </r>
  <r>
    <x v="5"/>
  </r>
  <r>
    <x v="5"/>
  </r>
  <r>
    <x v="0"/>
  </r>
  <r>
    <x v="5"/>
  </r>
  <r>
    <x v="5"/>
  </r>
  <r>
    <x v="5"/>
  </r>
  <r>
    <x v="5"/>
  </r>
  <r>
    <x v="5"/>
  </r>
  <r>
    <x v="5"/>
  </r>
  <r>
    <x v="5"/>
  </r>
  <r>
    <x v="5"/>
  </r>
  <r>
    <x v="5"/>
  </r>
  <r>
    <x v="5"/>
  </r>
  <r>
    <x v="5"/>
  </r>
  <r>
    <x v="5"/>
  </r>
  <r>
    <x v="5"/>
  </r>
  <r>
    <x v="5"/>
  </r>
  <r>
    <x v="5"/>
  </r>
  <r>
    <x v="5"/>
  </r>
  <r>
    <x v="8"/>
  </r>
  <r>
    <x v="5"/>
  </r>
  <r>
    <x v="1"/>
  </r>
  <r>
    <x v="5"/>
  </r>
  <r>
    <x v="1"/>
  </r>
  <r>
    <x v="5"/>
  </r>
  <r>
    <x v="1"/>
  </r>
  <r>
    <x v="1"/>
  </r>
  <r>
    <x v="5"/>
  </r>
  <r>
    <x v="5"/>
  </r>
  <r>
    <x v="5"/>
  </r>
  <r>
    <x v="5"/>
  </r>
  <r>
    <x v="5"/>
  </r>
  <r>
    <x v="5"/>
  </r>
  <r>
    <x v="5"/>
  </r>
  <r>
    <x v="5"/>
  </r>
  <r>
    <x v="0"/>
  </r>
  <r>
    <x v="5"/>
  </r>
  <r>
    <x v="5"/>
  </r>
  <r>
    <x v="1"/>
  </r>
  <r>
    <x v="5"/>
  </r>
  <r>
    <x v="5"/>
  </r>
  <r>
    <x v="1"/>
  </r>
  <r>
    <x v="5"/>
  </r>
  <r>
    <x v="5"/>
  </r>
  <r>
    <x v="5"/>
  </r>
  <r>
    <x v="5"/>
  </r>
  <r>
    <x v="5"/>
  </r>
  <r>
    <x v="5"/>
  </r>
  <r>
    <x v="5"/>
  </r>
  <r>
    <x v="1"/>
  </r>
  <r>
    <x v="1"/>
  </r>
  <r>
    <x v="1"/>
  </r>
  <r>
    <x v="5"/>
  </r>
  <r>
    <x v="5"/>
  </r>
  <r>
    <x v="5"/>
  </r>
  <r>
    <x v="5"/>
  </r>
  <r>
    <x v="5"/>
  </r>
  <r>
    <x v="5"/>
  </r>
  <r>
    <x v="5"/>
  </r>
  <r>
    <x v="5"/>
  </r>
  <r>
    <x v="5"/>
  </r>
  <r>
    <x v="5"/>
  </r>
  <r>
    <x v="5"/>
  </r>
  <r>
    <x v="2"/>
  </r>
  <r>
    <x v="2"/>
  </r>
  <r>
    <x v="2"/>
  </r>
  <r>
    <x v="2"/>
  </r>
  <r>
    <x v="2"/>
  </r>
  <r>
    <x v="2"/>
  </r>
  <r>
    <x v="2"/>
  </r>
  <r>
    <x v="2"/>
  </r>
  <r>
    <x v="2"/>
  </r>
  <r>
    <x v="2"/>
  </r>
  <r>
    <x v="2"/>
  </r>
  <r>
    <x v="2"/>
  </r>
  <r>
    <x v="1"/>
  </r>
  <r>
    <x v="1"/>
  </r>
  <r>
    <x v="1"/>
  </r>
  <r>
    <x v="1"/>
  </r>
  <r>
    <x v="1"/>
  </r>
  <r>
    <x v="1"/>
  </r>
  <r>
    <x v="1"/>
  </r>
  <r>
    <x v="1"/>
  </r>
  <r>
    <x v="1"/>
  </r>
  <r>
    <x v="1"/>
  </r>
  <r>
    <x v="5"/>
  </r>
  <r>
    <x v="5"/>
  </r>
  <r>
    <x v="5"/>
  </r>
  <r>
    <x v="5"/>
  </r>
  <r>
    <x v="5"/>
  </r>
  <r>
    <x v="5"/>
  </r>
  <r>
    <x v="5"/>
  </r>
  <r>
    <x v="5"/>
  </r>
  <r>
    <x v="5"/>
  </r>
  <r>
    <x v="5"/>
  </r>
  <r>
    <x v="5"/>
  </r>
  <r>
    <x v="5"/>
  </r>
  <r>
    <x v="5"/>
  </r>
  <r>
    <x v="5"/>
  </r>
  <r>
    <x v="2"/>
  </r>
  <r>
    <x v="2"/>
  </r>
  <r>
    <x v="1"/>
  </r>
  <r>
    <x v="1"/>
  </r>
  <r>
    <x v="2"/>
  </r>
  <r>
    <x v="2"/>
  </r>
  <r>
    <x v="0"/>
  </r>
  <r>
    <x v="0"/>
  </r>
  <r>
    <x v="0"/>
  </r>
  <r>
    <x v="0"/>
  </r>
  <r>
    <x v="0"/>
  </r>
  <r>
    <x v="0"/>
  </r>
  <r>
    <x v="0"/>
  </r>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5"/>
  </r>
  <r>
    <x v="5"/>
  </r>
  <r>
    <x v="5"/>
  </r>
  <r>
    <x v="5"/>
  </r>
  <r>
    <x v="5"/>
  </r>
  <r>
    <x v="0"/>
  </r>
  <r>
    <x v="0"/>
  </r>
  <r>
    <x v="5"/>
  </r>
  <r>
    <x v="0"/>
  </r>
  <r>
    <x v="5"/>
  </r>
  <r>
    <x v="2"/>
  </r>
  <r>
    <x v="5"/>
  </r>
  <r>
    <x v="5"/>
  </r>
  <r>
    <x v="0"/>
  </r>
  <r>
    <x v="5"/>
  </r>
  <r>
    <x v="0"/>
  </r>
  <r>
    <x v="5"/>
  </r>
  <r>
    <x v="5"/>
  </r>
  <r>
    <x v="5"/>
  </r>
  <r>
    <x v="5"/>
  </r>
  <r>
    <x v="5"/>
  </r>
  <r>
    <x v="0"/>
  </r>
  <r>
    <x v="0"/>
  </r>
  <r>
    <x v="5"/>
  </r>
  <r>
    <x v="5"/>
  </r>
  <r>
    <x v="0"/>
  </r>
  <r>
    <x v="0"/>
  </r>
  <r>
    <x v="5"/>
  </r>
  <r>
    <x v="0"/>
  </r>
  <r>
    <x v="5"/>
  </r>
  <r>
    <x v="5"/>
  </r>
  <r>
    <x v="5"/>
  </r>
  <r>
    <x v="5"/>
  </r>
  <r>
    <x v="5"/>
  </r>
  <r>
    <x v="5"/>
  </r>
  <r>
    <x v="5"/>
  </r>
  <r>
    <x v="5"/>
  </r>
  <r>
    <x v="0"/>
  </r>
  <r>
    <x v="2"/>
  </r>
  <r>
    <x v="2"/>
  </r>
  <r>
    <x v="5"/>
  </r>
  <r>
    <x v="5"/>
  </r>
  <r>
    <x v="0"/>
  </r>
  <r>
    <x v="0"/>
  </r>
  <r>
    <x v="0"/>
  </r>
  <r>
    <x v="0"/>
  </r>
  <r>
    <x v="0"/>
  </r>
  <r>
    <x v="2"/>
  </r>
  <r>
    <x v="5"/>
  </r>
  <r>
    <x v="0"/>
  </r>
  <r>
    <x v="5"/>
  </r>
  <r>
    <x v="0"/>
  </r>
  <r>
    <x v="0"/>
  </r>
  <r>
    <x v="5"/>
  </r>
  <r>
    <x v="5"/>
  </r>
  <r>
    <x v="1"/>
  </r>
  <r>
    <x v="1"/>
  </r>
  <r>
    <x v="5"/>
  </r>
  <r>
    <x v="5"/>
  </r>
  <r>
    <x v="5"/>
  </r>
  <r>
    <x v="5"/>
  </r>
  <r>
    <x v="5"/>
  </r>
  <r>
    <x v="5"/>
  </r>
  <r>
    <x v="5"/>
  </r>
  <r>
    <x v="0"/>
  </r>
  <r>
    <x v="5"/>
  </r>
  <r>
    <x v="5"/>
  </r>
  <r>
    <x v="5"/>
  </r>
  <r>
    <x v="5"/>
  </r>
  <r>
    <x v="5"/>
  </r>
  <r>
    <x v="0"/>
  </r>
  <r>
    <x v="5"/>
  </r>
  <r>
    <x v="1"/>
  </r>
  <r>
    <x v="5"/>
  </r>
  <r>
    <x v="2"/>
  </r>
  <r>
    <x v="2"/>
  </r>
  <r>
    <x v="5"/>
  </r>
  <r>
    <x v="5"/>
  </r>
  <r>
    <x v="1"/>
  </r>
  <r>
    <x v="2"/>
  </r>
  <r>
    <x v="2"/>
  </r>
  <r>
    <x v="5"/>
  </r>
  <r>
    <x v="5"/>
  </r>
  <r>
    <x v="5"/>
  </r>
  <r>
    <x v="1"/>
  </r>
  <r>
    <x v="2"/>
  </r>
  <r>
    <x v="5"/>
  </r>
  <r>
    <x v="5"/>
  </r>
  <r>
    <x v="2"/>
  </r>
  <r>
    <x v="2"/>
  </r>
  <r>
    <x v="5"/>
  </r>
  <r>
    <x v="1"/>
  </r>
  <r>
    <x v="5"/>
  </r>
  <r>
    <x v="2"/>
  </r>
  <r>
    <x v="5"/>
  </r>
  <r>
    <x v="5"/>
  </r>
  <r>
    <x v="2"/>
  </r>
  <r>
    <x v="1"/>
  </r>
  <r>
    <x v="0"/>
  </r>
  <r>
    <x v="0"/>
  </r>
  <r>
    <x v="0"/>
  </r>
  <r>
    <x v="0"/>
  </r>
  <r>
    <x v="0"/>
  </r>
  <r>
    <x v="0"/>
  </r>
  <r>
    <x v="0"/>
  </r>
  <r>
    <x v="0"/>
  </r>
  <r>
    <x v="0"/>
  </r>
  <r>
    <x v="0"/>
  </r>
  <r>
    <x v="0"/>
  </r>
  <r>
    <x v="0"/>
  </r>
  <r>
    <x v="0"/>
  </r>
  <r>
    <x v="0"/>
  </r>
  <r>
    <x v="0"/>
  </r>
  <r>
    <x v="0"/>
  </r>
  <r>
    <x v="0"/>
  </r>
  <r>
    <x v="0"/>
  </r>
  <r>
    <x v="0"/>
  </r>
  <r>
    <x v="0"/>
  </r>
  <r>
    <x v="1"/>
  </r>
  <r>
    <x v="1"/>
  </r>
  <r>
    <x v="2"/>
  </r>
  <r>
    <x v="5"/>
  </r>
  <r>
    <x v="5"/>
  </r>
  <r>
    <x v="5"/>
  </r>
  <r>
    <x v="5"/>
  </r>
  <r>
    <x v="0"/>
  </r>
  <r>
    <x v="5"/>
  </r>
  <r>
    <x v="5"/>
  </r>
  <r>
    <x v="5"/>
  </r>
  <r>
    <x v="1"/>
  </r>
  <r>
    <x v="5"/>
  </r>
  <r>
    <x v="5"/>
  </r>
  <r>
    <x v="0"/>
  </r>
  <r>
    <x v="5"/>
  </r>
  <r>
    <x v="5"/>
  </r>
  <r>
    <x v="5"/>
  </r>
  <r>
    <x v="5"/>
  </r>
  <r>
    <x v="1"/>
  </r>
  <r>
    <x v="1"/>
  </r>
  <r>
    <x v="9"/>
  </r>
  <r>
    <x v="5"/>
  </r>
  <r>
    <x v="2"/>
  </r>
  <r>
    <x v="1"/>
  </r>
  <r>
    <x v="1"/>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5"/>
  </r>
  <r>
    <x v="0"/>
  </r>
  <r>
    <x v="0"/>
  </r>
  <r>
    <x v="5"/>
  </r>
  <r>
    <x v="5"/>
  </r>
  <r>
    <x v="1"/>
  </r>
  <r>
    <x v="1"/>
  </r>
  <r>
    <x v="5"/>
  </r>
  <r>
    <x v="0"/>
  </r>
  <r>
    <x v="1"/>
  </r>
  <r>
    <x v="5"/>
  </r>
  <r>
    <x v="0"/>
  </r>
  <r>
    <x v="5"/>
  </r>
  <r>
    <x v="5"/>
  </r>
  <r>
    <x v="5"/>
  </r>
  <r>
    <x v="5"/>
  </r>
  <r>
    <x v="5"/>
  </r>
  <r>
    <x v="10"/>
  </r>
  <r>
    <x v="0"/>
  </r>
  <r>
    <x v="0"/>
  </r>
  <r>
    <x v="0"/>
  </r>
  <r>
    <x v="0"/>
  </r>
  <r>
    <x v="0"/>
  </r>
  <r>
    <x v="0"/>
  </r>
  <r>
    <x v="0"/>
  </r>
  <r>
    <x v="0"/>
  </r>
  <r>
    <x v="0"/>
  </r>
  <r>
    <x v="5"/>
  </r>
  <r>
    <x v="1"/>
  </r>
  <r>
    <x v="1"/>
  </r>
  <r>
    <x v="1"/>
  </r>
  <r>
    <x v="1"/>
  </r>
  <r>
    <x v="1"/>
  </r>
  <r>
    <x v="1"/>
  </r>
  <r>
    <x v="1"/>
  </r>
  <r>
    <x v="1"/>
  </r>
  <r>
    <x v="1"/>
  </r>
  <r>
    <x v="5"/>
  </r>
  <r>
    <x v="1"/>
  </r>
  <r>
    <x v="1"/>
  </r>
  <r>
    <x v="1"/>
  </r>
  <r>
    <x v="1"/>
  </r>
  <r>
    <x v="1"/>
  </r>
  <r>
    <x v="1"/>
  </r>
  <r>
    <x v="1"/>
  </r>
  <r>
    <x v="1"/>
  </r>
  <r>
    <x v="0"/>
  </r>
  <r>
    <x v="5"/>
  </r>
  <r>
    <x v="5"/>
  </r>
  <r>
    <x v="1"/>
  </r>
  <r>
    <x v="1"/>
  </r>
  <r>
    <x v="0"/>
  </r>
  <r>
    <x v="0"/>
  </r>
  <r>
    <x v="5"/>
  </r>
  <r>
    <x v="5"/>
  </r>
  <r>
    <x v="1"/>
  </r>
  <r>
    <x v="5"/>
  </r>
  <r>
    <x v="5"/>
  </r>
  <r>
    <x v="5"/>
  </r>
  <r>
    <x v="5"/>
  </r>
  <r>
    <x v="5"/>
  </r>
  <r>
    <x v="5"/>
  </r>
  <r>
    <x v="0"/>
  </r>
  <r>
    <x v="0"/>
  </r>
  <r>
    <x v="5"/>
  </r>
  <r>
    <x v="5"/>
  </r>
  <r>
    <x v="0"/>
  </r>
  <r>
    <x v="5"/>
  </r>
  <r>
    <x v="5"/>
  </r>
  <r>
    <x v="5"/>
  </r>
  <r>
    <x v="5"/>
  </r>
  <r>
    <x v="5"/>
  </r>
  <r>
    <x v="5"/>
  </r>
  <r>
    <x v="5"/>
  </r>
  <r>
    <x v="5"/>
  </r>
  <r>
    <x v="5"/>
  </r>
  <r>
    <x v="0"/>
  </r>
  <r>
    <x v="2"/>
  </r>
  <r>
    <x v="0"/>
  </r>
  <r>
    <x v="0"/>
  </r>
  <r>
    <x v="5"/>
  </r>
  <r>
    <x v="5"/>
  </r>
  <r>
    <x v="5"/>
  </r>
  <r>
    <x v="5"/>
  </r>
  <r>
    <x v="5"/>
  </r>
  <r>
    <x v="5"/>
  </r>
  <r>
    <x v="1"/>
  </r>
  <r>
    <x v="5"/>
  </r>
  <r>
    <x v="5"/>
  </r>
  <r>
    <x v="5"/>
  </r>
  <r>
    <x v="2"/>
  </r>
  <r>
    <x v="1"/>
  </r>
  <r>
    <x v="1"/>
  </r>
  <r>
    <x v="5"/>
  </r>
  <r>
    <x v="0"/>
  </r>
  <r>
    <x v="5"/>
  </r>
  <r>
    <x v="1"/>
  </r>
  <r>
    <x v="5"/>
  </r>
  <r>
    <x v="5"/>
  </r>
  <r>
    <x v="5"/>
  </r>
  <r>
    <x v="0"/>
  </r>
  <r>
    <x v="5"/>
  </r>
  <r>
    <x v="1"/>
  </r>
  <r>
    <x v="1"/>
  </r>
  <r>
    <x v="0"/>
  </r>
  <r>
    <x v="5"/>
  </r>
  <r>
    <x v="5"/>
  </r>
  <r>
    <x v="5"/>
  </r>
  <r>
    <x v="5"/>
  </r>
  <r>
    <x v="1"/>
  </r>
  <r>
    <x v="1"/>
  </r>
  <r>
    <x v="5"/>
  </r>
  <r>
    <x v="0"/>
  </r>
  <r>
    <x v="1"/>
  </r>
  <r>
    <x v="5"/>
  </r>
  <r>
    <x v="0"/>
  </r>
  <r>
    <x v="1"/>
  </r>
  <r>
    <x v="5"/>
  </r>
  <r>
    <x v="5"/>
  </r>
  <r>
    <x v="5"/>
  </r>
  <r>
    <x v="5"/>
  </r>
  <r>
    <x v="1"/>
  </r>
  <r>
    <x v="5"/>
  </r>
  <r>
    <x v="1"/>
  </r>
  <r>
    <x v="5"/>
  </r>
  <r>
    <x v="5"/>
  </r>
  <r>
    <x v="5"/>
  </r>
  <r>
    <x v="1"/>
  </r>
  <r>
    <x v="5"/>
  </r>
  <r>
    <x v="5"/>
  </r>
  <r>
    <x v="5"/>
  </r>
  <r>
    <x v="1"/>
  </r>
  <r>
    <x v="5"/>
  </r>
  <r>
    <x v="5"/>
  </r>
  <r>
    <x v="5"/>
  </r>
  <r>
    <x v="0"/>
  </r>
  <r>
    <x v="5"/>
  </r>
  <r>
    <x v="11"/>
  </r>
  <r>
    <x v="0"/>
  </r>
  <r>
    <x v="1"/>
  </r>
  <r>
    <x v="1"/>
  </r>
  <r>
    <x v="2"/>
  </r>
  <r>
    <x v="5"/>
  </r>
  <r>
    <x v="5"/>
  </r>
  <r>
    <x v="5"/>
  </r>
  <r>
    <x v="5"/>
  </r>
  <r>
    <x v="5"/>
  </r>
  <r>
    <x v="1"/>
  </r>
  <r>
    <x v="0"/>
  </r>
  <r>
    <x v="0"/>
  </r>
  <r>
    <x v="0"/>
  </r>
  <r>
    <x v="1"/>
  </r>
  <r>
    <x v="1"/>
  </r>
  <r>
    <x v="1"/>
  </r>
  <r>
    <x v="1"/>
  </r>
  <r>
    <x v="1"/>
  </r>
  <r>
    <x v="1"/>
  </r>
  <r>
    <x v="1"/>
  </r>
  <r>
    <x v="1"/>
  </r>
  <r>
    <x v="1"/>
  </r>
  <r>
    <x v="1"/>
  </r>
  <r>
    <x v="1"/>
  </r>
  <r>
    <x v="1"/>
  </r>
  <r>
    <x v="1"/>
  </r>
  <r>
    <x v="1"/>
  </r>
  <r>
    <x v="5"/>
  </r>
  <r>
    <x v="1"/>
  </r>
  <r>
    <x v="1"/>
  </r>
  <r>
    <x v="1"/>
  </r>
  <r>
    <x v="12"/>
  </r>
  <r>
    <x v="1"/>
  </r>
  <r>
    <x v="1"/>
  </r>
  <r>
    <x v="1"/>
  </r>
  <r>
    <x v="1"/>
  </r>
  <r>
    <x v="1"/>
  </r>
  <r>
    <x v="0"/>
  </r>
  <r>
    <x v="5"/>
  </r>
  <r>
    <x v="1"/>
  </r>
  <r>
    <x v="1"/>
  </r>
  <r>
    <x v="1"/>
  </r>
  <r>
    <x v="1"/>
  </r>
  <r>
    <x v="1"/>
  </r>
  <r>
    <x v="1"/>
  </r>
  <r>
    <x v="1"/>
  </r>
  <r>
    <x v="1"/>
  </r>
  <r>
    <x v="13"/>
  </r>
  <r>
    <x v="1"/>
  </r>
  <r>
    <x v="1"/>
  </r>
  <r>
    <x v="5"/>
  </r>
  <r>
    <x v="1"/>
  </r>
  <r>
    <x v="1"/>
  </r>
  <r>
    <x v="1"/>
  </r>
  <r>
    <x v="1"/>
  </r>
  <r>
    <x v="1"/>
  </r>
  <r>
    <x v="1"/>
  </r>
  <r>
    <x v="11"/>
  </r>
  <r>
    <x v="1"/>
  </r>
  <r>
    <x v="5"/>
  </r>
  <r>
    <x v="1"/>
  </r>
  <r>
    <x v="1"/>
  </r>
  <r>
    <x v="1"/>
  </r>
  <r>
    <x v="1"/>
  </r>
  <r>
    <x v="11"/>
  </r>
  <r>
    <x v="1"/>
  </r>
  <r>
    <x v="1"/>
  </r>
  <r>
    <x v="1"/>
  </r>
  <r>
    <x v="1"/>
  </r>
  <r>
    <x v="1"/>
  </r>
  <r>
    <x v="5"/>
  </r>
  <r>
    <x v="11"/>
  </r>
  <r>
    <x v="1"/>
  </r>
  <r>
    <x v="0"/>
  </r>
  <r>
    <x v="1"/>
  </r>
  <r>
    <x v="1"/>
  </r>
  <r>
    <x v="1"/>
  </r>
  <r>
    <x v="11"/>
  </r>
  <r>
    <x v="1"/>
  </r>
  <r>
    <x v="1"/>
  </r>
  <r>
    <x v="1"/>
  </r>
  <r>
    <x v="1"/>
  </r>
  <r>
    <x v="1"/>
  </r>
  <r>
    <x v="0"/>
  </r>
  <r>
    <x v="5"/>
  </r>
  <r>
    <x v="1"/>
  </r>
  <r>
    <x v="1"/>
  </r>
  <r>
    <x v="1"/>
  </r>
  <r>
    <x v="5"/>
  </r>
  <r>
    <x v="1"/>
  </r>
  <r>
    <x v="11"/>
  </r>
  <r>
    <x v="1"/>
  </r>
  <r>
    <x v="0"/>
  </r>
  <r>
    <x v="1"/>
  </r>
  <r>
    <x v="1"/>
  </r>
  <r>
    <x v="1"/>
  </r>
  <r>
    <x v="1"/>
  </r>
  <r>
    <x v="1"/>
  </r>
  <r>
    <x v="1"/>
  </r>
  <r>
    <x v="1"/>
  </r>
  <r>
    <x v="1"/>
  </r>
  <r>
    <x v="11"/>
  </r>
  <r>
    <x v="1"/>
  </r>
  <r>
    <x v="0"/>
  </r>
  <r>
    <x v="1"/>
  </r>
  <r>
    <x v="1"/>
  </r>
  <r>
    <x v="11"/>
  </r>
  <r>
    <x v="11"/>
  </r>
  <r>
    <x v="1"/>
  </r>
  <r>
    <x v="1"/>
  </r>
  <r>
    <x v="1"/>
  </r>
  <r>
    <x v="5"/>
  </r>
  <r>
    <x v="1"/>
  </r>
  <r>
    <x v="2"/>
  </r>
  <r>
    <x v="1"/>
  </r>
  <r>
    <x v="1"/>
  </r>
  <r>
    <x v="1"/>
  </r>
  <r>
    <x v="1"/>
  </r>
  <r>
    <x v="1"/>
  </r>
  <r>
    <x v="1"/>
  </r>
  <r>
    <x v="11"/>
  </r>
  <r>
    <x v="1"/>
  </r>
  <r>
    <x v="1"/>
  </r>
  <r>
    <x v="1"/>
  </r>
  <r>
    <x v="1"/>
  </r>
  <r>
    <x v="1"/>
  </r>
  <r>
    <x v="1"/>
  </r>
  <r>
    <x v="1"/>
  </r>
  <r>
    <x v="1"/>
  </r>
  <r>
    <x v="1"/>
  </r>
  <r>
    <x v="1"/>
  </r>
  <r>
    <x v="1"/>
  </r>
  <r>
    <x v="1"/>
  </r>
  <r>
    <x v="1"/>
  </r>
  <r>
    <x v="1"/>
  </r>
  <r>
    <x v="11"/>
  </r>
  <r>
    <x v="1"/>
  </r>
  <r>
    <x v="1"/>
  </r>
  <r>
    <x v="5"/>
  </r>
  <r>
    <x v="1"/>
  </r>
  <r>
    <x v="1"/>
  </r>
  <r>
    <x v="1"/>
  </r>
  <r>
    <x v="1"/>
  </r>
  <r>
    <x v="1"/>
  </r>
  <r>
    <x v="1"/>
  </r>
  <r>
    <x v="3"/>
  </r>
  <r>
    <x v="1"/>
  </r>
  <r>
    <x v="1"/>
  </r>
  <r>
    <x v="1"/>
  </r>
  <r>
    <x v="11"/>
  </r>
  <r>
    <x v="1"/>
  </r>
  <r>
    <x v="1"/>
  </r>
  <r>
    <x v="1"/>
  </r>
  <r>
    <x v="1"/>
  </r>
  <r>
    <x v="1"/>
  </r>
  <r>
    <x v="1"/>
  </r>
  <r>
    <x v="1"/>
  </r>
  <r>
    <x v="1"/>
  </r>
  <r>
    <x v="1"/>
  </r>
  <r>
    <x v="1"/>
  </r>
  <r>
    <x v="1"/>
  </r>
  <r>
    <x v="5"/>
  </r>
  <r>
    <x v="1"/>
  </r>
  <r>
    <x v="1"/>
  </r>
  <r>
    <x v="1"/>
  </r>
  <r>
    <x v="1"/>
  </r>
  <r>
    <x v="1"/>
  </r>
  <r>
    <x v="1"/>
  </r>
  <r>
    <x v="1"/>
  </r>
  <r>
    <x v="1"/>
  </r>
  <r>
    <x v="1"/>
  </r>
  <r>
    <x v="1"/>
  </r>
  <r>
    <x v="5"/>
  </r>
  <r>
    <x v="1"/>
  </r>
  <r>
    <x v="1"/>
  </r>
  <r>
    <x v="1"/>
  </r>
  <r>
    <x v="1"/>
  </r>
  <r>
    <x v="1"/>
  </r>
  <r>
    <x v="1"/>
  </r>
  <r>
    <x v="1"/>
  </r>
  <r>
    <x v="1"/>
  </r>
  <r>
    <x v="1"/>
  </r>
  <r>
    <x v="1"/>
  </r>
  <r>
    <x v="1"/>
  </r>
  <r>
    <x v="11"/>
  </r>
  <r>
    <x v="1"/>
  </r>
  <r>
    <x v="1"/>
  </r>
  <r>
    <x v="5"/>
  </r>
  <r>
    <x v="1"/>
  </r>
  <r>
    <x v="2"/>
  </r>
  <r>
    <x v="1"/>
  </r>
  <r>
    <x v="1"/>
  </r>
  <r>
    <x v="1"/>
  </r>
  <r>
    <x v="1"/>
  </r>
  <r>
    <x v="11"/>
  </r>
  <r>
    <x v="1"/>
  </r>
  <r>
    <x v="1"/>
  </r>
  <r>
    <x v="5"/>
  </r>
  <r>
    <x v="1"/>
  </r>
  <r>
    <x v="1"/>
  </r>
  <r>
    <x v="1"/>
  </r>
  <r>
    <x v="1"/>
  </r>
  <r>
    <x v="1"/>
  </r>
  <r>
    <x v="1"/>
  </r>
  <r>
    <x v="1"/>
  </r>
  <r>
    <x v="1"/>
  </r>
  <r>
    <x v="1"/>
  </r>
  <r>
    <x v="1"/>
  </r>
  <r>
    <x v="1"/>
  </r>
  <r>
    <x v="1"/>
  </r>
  <r>
    <x v="11"/>
  </r>
  <r>
    <x v="1"/>
  </r>
  <r>
    <x v="1"/>
  </r>
  <r>
    <x v="1"/>
  </r>
  <r>
    <x v="1"/>
  </r>
  <r>
    <x v="1"/>
  </r>
  <r>
    <x v="1"/>
  </r>
  <r>
    <x v="1"/>
  </r>
  <r>
    <x v="11"/>
  </r>
  <r>
    <x v="1"/>
  </r>
  <r>
    <x v="1"/>
  </r>
  <r>
    <x v="1"/>
  </r>
  <r>
    <x v="1"/>
  </r>
  <r>
    <x v="1"/>
  </r>
  <r>
    <x v="5"/>
  </r>
  <r>
    <x v="1"/>
  </r>
  <r>
    <x v="1"/>
  </r>
  <r>
    <x v="0"/>
  </r>
  <r>
    <x v="1"/>
  </r>
  <r>
    <x v="0"/>
  </r>
  <r>
    <x v="11"/>
  </r>
  <r>
    <x v="1"/>
  </r>
  <r>
    <x v="0"/>
  </r>
  <r>
    <x v="0"/>
  </r>
  <r>
    <x v="0"/>
  </r>
  <r>
    <x v="1"/>
  </r>
  <r>
    <x v="0"/>
  </r>
  <r>
    <x v="5"/>
  </r>
  <r>
    <x v="1"/>
  </r>
  <r>
    <x v="1"/>
  </r>
  <r>
    <x v="1"/>
  </r>
  <r>
    <x v="1"/>
  </r>
  <r>
    <x v="1"/>
  </r>
  <r>
    <x v="1"/>
  </r>
  <r>
    <x v="1"/>
  </r>
  <r>
    <x v="1"/>
  </r>
  <r>
    <x v="1"/>
  </r>
  <r>
    <x v="1"/>
  </r>
  <r>
    <x v="1"/>
  </r>
  <r>
    <x v="1"/>
  </r>
  <r>
    <x v="1"/>
  </r>
  <r>
    <x v="1"/>
  </r>
  <r>
    <x v="1"/>
  </r>
  <r>
    <x v="1"/>
  </r>
  <r>
    <x v="1"/>
  </r>
  <r>
    <x v="1"/>
  </r>
  <r>
    <x v="1"/>
  </r>
  <r>
    <x v="1"/>
  </r>
  <r>
    <x v="5"/>
  </r>
  <r>
    <x v="1"/>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2"/>
  </r>
  <r>
    <x v="0"/>
  </r>
  <r>
    <x v="1"/>
  </r>
  <r>
    <x v="0"/>
  </r>
  <r>
    <x v="0"/>
  </r>
  <r>
    <x v="0"/>
  </r>
  <r>
    <x v="0"/>
  </r>
  <r>
    <x v="0"/>
  </r>
  <r>
    <x v="0"/>
  </r>
  <r>
    <x v="0"/>
  </r>
  <r>
    <x v="0"/>
  </r>
  <r>
    <x v="0"/>
  </r>
  <r>
    <x v="0"/>
  </r>
  <r>
    <x v="0"/>
  </r>
  <r>
    <x v="0"/>
  </r>
  <r>
    <x v="0"/>
  </r>
  <r>
    <x v="0"/>
  </r>
  <r>
    <x v="2"/>
  </r>
  <r>
    <x v="0"/>
  </r>
  <r>
    <x v="0"/>
  </r>
  <r>
    <x v="0"/>
  </r>
  <r>
    <x v="0"/>
  </r>
  <r>
    <x v="0"/>
  </r>
  <r>
    <x v="0"/>
  </r>
  <r>
    <x v="0"/>
  </r>
  <r>
    <x v="0"/>
  </r>
  <r>
    <x v="0"/>
  </r>
  <r>
    <x v="0"/>
  </r>
  <r>
    <x v="0"/>
  </r>
  <r>
    <x v="0"/>
  </r>
  <r>
    <x v="0"/>
  </r>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42299E4-A5CA-42CC-8001-36D23ED06994}" name="Assign" cacheId="6" applyNumberFormats="0" applyBorderFormats="0" applyFontFormats="0" applyPatternFormats="0" applyAlignmentFormats="0" applyWidthHeightFormats="1" dataCaption="Values" missingCaption="0" updatedVersion="8" minRefreshableVersion="3" colGrandTotals="0" itemPrintTitles="1" createdVersion="8" indent="0" outline="1" outlineData="1" multipleFieldFilters="0" chartFormat="15" rowHeaderCaption="Collection">
  <location ref="A2:B17" firstHeaderRow="1" firstDataRow="1" firstDataCol="1"/>
  <pivotFields count="1">
    <pivotField axis="axisRow" dataField="1" showAll="0" sortType="ascending">
      <items count="17">
        <item x="8"/>
        <item x="3"/>
        <item x="2"/>
        <item x="7"/>
        <item x="1"/>
        <item x="4"/>
        <item x="12"/>
        <item x="6"/>
        <item x="10"/>
        <item x="13"/>
        <item x="11"/>
        <item x="5"/>
        <item x="9"/>
        <item x="0"/>
        <item m="1" x="14"/>
        <item m="1" x="15"/>
        <item t="default"/>
      </items>
      <autoSortScope>
        <pivotArea dataOnly="0" outline="0" fieldPosition="0">
          <references count="1">
            <reference field="4294967294" count="1" selected="0">
              <x v="0"/>
            </reference>
          </references>
        </pivotArea>
      </autoSortScope>
    </pivotField>
  </pivotFields>
  <rowFields count="1">
    <field x="0"/>
  </rowFields>
  <rowItems count="15">
    <i>
      <x v="6"/>
    </i>
    <i>
      <x v="7"/>
    </i>
    <i>
      <x v="5"/>
    </i>
    <i>
      <x/>
    </i>
    <i>
      <x v="3"/>
    </i>
    <i>
      <x v="8"/>
    </i>
    <i>
      <x v="12"/>
    </i>
    <i>
      <x v="9"/>
    </i>
    <i>
      <x v="1"/>
    </i>
    <i>
      <x v="10"/>
    </i>
    <i>
      <x v="2"/>
    </i>
    <i>
      <x v="11"/>
    </i>
    <i>
      <x v="4"/>
    </i>
    <i>
      <x v="13"/>
    </i>
    <i t="grand">
      <x/>
    </i>
  </rowItems>
  <colItems count="1">
    <i/>
  </colItems>
  <dataFields count="1">
    <dataField name="Count" fld="0" subtotal="count" baseField="0" baseItem="0"/>
  </dataFields>
  <formats count="8">
    <format dxfId="40">
      <pivotArea type="all" dataOnly="0" outline="0" fieldPosition="0"/>
    </format>
    <format dxfId="39">
      <pivotArea outline="0" collapsedLevelsAreSubtotals="1" fieldPosition="0"/>
    </format>
    <format dxfId="38">
      <pivotArea field="0" type="button" dataOnly="0" labelOnly="1" outline="0" axis="axisRow" fieldPosition="0"/>
    </format>
    <format dxfId="37">
      <pivotArea dataOnly="0" labelOnly="1" fieldPosition="0">
        <references count="1">
          <reference field="0" count="0"/>
        </references>
      </pivotArea>
    </format>
    <format dxfId="36">
      <pivotArea dataOnly="0" labelOnly="1" grandRow="1" outline="0" fieldPosition="0"/>
    </format>
    <format dxfId="35">
      <pivotArea dataOnly="0" labelOnly="1" outline="0" axis="axisValues" fieldPosition="0"/>
    </format>
    <format dxfId="34">
      <pivotArea field="0" type="button" dataOnly="0" labelOnly="1" outline="0" axis="axisRow" fieldPosition="0"/>
    </format>
    <format dxfId="33">
      <pivotArea dataOnly="0" labelOnly="1" outline="0" axis="axisValues" fieldPosition="0"/>
    </format>
  </formats>
  <chartFormats count="2">
    <chartFormat chart="11"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3FE759-D21F-453B-916A-E499CEE99916}" name="SeriesN" cacheId="2" applyNumberFormats="0" applyBorderFormats="0" applyFontFormats="0" applyPatternFormats="0" applyAlignmentFormats="0" applyWidthHeightFormats="1" dataCaption="Values" missingCaption="0" updatedVersion="8" minRefreshableVersion="3" colGrandTotals="0" itemPrintTitles="1" createdVersion="8" indent="0" outline="1" outlineData="1" multipleFieldFilters="0" chartFormat="5">
  <location ref="P2:Q149" firstHeaderRow="1" firstDataRow="1" firstDataCol="1"/>
  <pivotFields count="1">
    <pivotField axis="axisRow" dataField="1" showAll="0" sortType="ascending">
      <items count="148">
        <item x="68"/>
        <item x="75"/>
        <item x="106"/>
        <item h="1" x="0"/>
        <item x="89"/>
        <item x="4"/>
        <item x="16"/>
        <item x="116"/>
        <item x="10"/>
        <item x="2"/>
        <item x="9"/>
        <item x="77"/>
        <item x="73"/>
        <item x="131"/>
        <item x="11"/>
        <item x="45"/>
        <item x="32"/>
        <item x="74"/>
        <item x="36"/>
        <item x="112"/>
        <item x="132"/>
        <item x="123"/>
        <item x="145"/>
        <item x="28"/>
        <item x="143"/>
        <item x="124"/>
        <item x="13"/>
        <item x="15"/>
        <item x="128"/>
        <item x="29"/>
        <item x="146"/>
        <item x="14"/>
        <item x="25"/>
        <item x="111"/>
        <item x="129"/>
        <item x="72"/>
        <item x="83"/>
        <item x="80"/>
        <item x="125"/>
        <item x="87"/>
        <item x="99"/>
        <item x="46"/>
        <item x="94"/>
        <item x="135"/>
        <item x="8"/>
        <item x="66"/>
        <item x="144"/>
        <item x="139"/>
        <item x="82"/>
        <item x="39"/>
        <item x="59"/>
        <item x="88"/>
        <item x="98"/>
        <item x="76"/>
        <item x="5"/>
        <item x="47"/>
        <item x="12"/>
        <item x="81"/>
        <item x="107"/>
        <item x="113"/>
        <item x="134"/>
        <item x="115"/>
        <item x="114"/>
        <item x="117"/>
        <item x="141"/>
        <item x="21"/>
        <item x="27"/>
        <item x="43"/>
        <item x="69"/>
        <item x="93"/>
        <item x="22"/>
        <item x="136"/>
        <item x="26"/>
        <item x="67"/>
        <item x="91"/>
        <item x="92"/>
        <item x="34"/>
        <item x="127"/>
        <item x="57"/>
        <item x="24"/>
        <item x="19"/>
        <item x="105"/>
        <item x="48"/>
        <item x="7"/>
        <item x="61"/>
        <item x="62"/>
        <item x="54"/>
        <item x="100"/>
        <item x="130"/>
        <item x="37"/>
        <item x="71"/>
        <item x="51"/>
        <item x="53"/>
        <item x="102"/>
        <item x="3"/>
        <item x="138"/>
        <item x="55"/>
        <item x="137"/>
        <item x="126"/>
        <item x="17"/>
        <item x="84"/>
        <item x="56"/>
        <item x="64"/>
        <item x="142"/>
        <item x="121"/>
        <item x="120"/>
        <item x="140"/>
        <item x="20"/>
        <item x="58"/>
        <item x="103"/>
        <item x="6"/>
        <item x="133"/>
        <item x="96"/>
        <item x="79"/>
        <item x="108"/>
        <item x="49"/>
        <item x="35"/>
        <item x="52"/>
        <item x="104"/>
        <item x="33"/>
        <item x="63"/>
        <item x="78"/>
        <item x="97"/>
        <item x="50"/>
        <item x="65"/>
        <item x="70"/>
        <item x="85"/>
        <item x="60"/>
        <item x="101"/>
        <item x="118"/>
        <item x="95"/>
        <item x="86"/>
        <item x="23"/>
        <item x="30"/>
        <item x="44"/>
        <item x="31"/>
        <item x="109"/>
        <item x="110"/>
        <item x="40"/>
        <item x="38"/>
        <item x="122"/>
        <item x="18"/>
        <item x="119"/>
        <item x="90"/>
        <item x="41"/>
        <item x="42"/>
        <item x="1"/>
        <item t="default"/>
      </items>
      <autoSortScope>
        <pivotArea dataOnly="0" outline="0" fieldPosition="0">
          <references count="1">
            <reference field="4294967294" count="1" selected="0">
              <x v="0"/>
            </reference>
          </references>
        </pivotArea>
      </autoSortScope>
    </pivotField>
  </pivotFields>
  <rowFields count="1">
    <field x="0"/>
  </rowFields>
  <rowItems count="147">
    <i>
      <x v="146"/>
    </i>
    <i>
      <x v="68"/>
    </i>
    <i>
      <x v="69"/>
    </i>
    <i>
      <x v="4"/>
    </i>
    <i>
      <x v="71"/>
    </i>
    <i>
      <x v="6"/>
    </i>
    <i>
      <x v="72"/>
    </i>
    <i>
      <x v="8"/>
    </i>
    <i>
      <x/>
    </i>
    <i>
      <x v="11"/>
    </i>
    <i>
      <x v="74"/>
    </i>
    <i>
      <x v="13"/>
    </i>
    <i>
      <x v="75"/>
    </i>
    <i>
      <x v="15"/>
    </i>
    <i>
      <x v="77"/>
    </i>
    <i>
      <x v="10"/>
    </i>
    <i>
      <x v="145"/>
    </i>
    <i>
      <x v="12"/>
    </i>
    <i>
      <x v="20"/>
    </i>
    <i>
      <x v="14"/>
    </i>
    <i>
      <x v="22"/>
    </i>
    <i>
      <x v="16"/>
    </i>
    <i>
      <x v="24"/>
    </i>
    <i>
      <x v="18"/>
    </i>
    <i>
      <x v="27"/>
    </i>
    <i>
      <x v="79"/>
    </i>
    <i>
      <x v="29"/>
    </i>
    <i>
      <x v="81"/>
    </i>
    <i>
      <x v="31"/>
    </i>
    <i>
      <x v="86"/>
    </i>
    <i>
      <x v="34"/>
    </i>
    <i>
      <x v="87"/>
    </i>
    <i>
      <x v="37"/>
    </i>
    <i>
      <x v="88"/>
    </i>
    <i>
      <x v="39"/>
    </i>
    <i>
      <x v="89"/>
    </i>
    <i>
      <x v="41"/>
    </i>
    <i>
      <x v="93"/>
    </i>
    <i>
      <x v="43"/>
    </i>
    <i>
      <x v="94"/>
    </i>
    <i>
      <x v="45"/>
    </i>
    <i>
      <x v="95"/>
    </i>
    <i>
      <x v="47"/>
    </i>
    <i>
      <x v="97"/>
    </i>
    <i>
      <x v="49"/>
    </i>
    <i>
      <x v="98"/>
    </i>
    <i>
      <x v="52"/>
    </i>
    <i>
      <x v="99"/>
    </i>
    <i>
      <x v="55"/>
    </i>
    <i>
      <x v="100"/>
    </i>
    <i>
      <x v="58"/>
    </i>
    <i>
      <x v="101"/>
    </i>
    <i>
      <x v="60"/>
    </i>
    <i>
      <x v="102"/>
    </i>
    <i>
      <x v="62"/>
    </i>
    <i>
      <x v="103"/>
    </i>
    <i>
      <x v="66"/>
    </i>
    <i>
      <x v="104"/>
    </i>
    <i>
      <x v="1"/>
    </i>
    <i>
      <x v="105"/>
    </i>
    <i>
      <x v="7"/>
    </i>
    <i>
      <x v="106"/>
    </i>
    <i>
      <x v="21"/>
    </i>
    <i>
      <x v="107"/>
    </i>
    <i>
      <x v="25"/>
    </i>
    <i>
      <x v="109"/>
    </i>
    <i>
      <x v="30"/>
    </i>
    <i>
      <x v="110"/>
    </i>
    <i>
      <x v="36"/>
    </i>
    <i>
      <x v="111"/>
    </i>
    <i>
      <x v="40"/>
    </i>
    <i>
      <x v="112"/>
    </i>
    <i>
      <x v="44"/>
    </i>
    <i>
      <x v="113"/>
    </i>
    <i>
      <x v="48"/>
    </i>
    <i>
      <x v="116"/>
    </i>
    <i>
      <x v="53"/>
    </i>
    <i>
      <x v="117"/>
    </i>
    <i>
      <x v="59"/>
    </i>
    <i>
      <x v="119"/>
    </i>
    <i>
      <x v="63"/>
    </i>
    <i>
      <x v="120"/>
    </i>
    <i>
      <x v="5"/>
    </i>
    <i>
      <x v="121"/>
    </i>
    <i>
      <x v="23"/>
    </i>
    <i>
      <x v="122"/>
    </i>
    <i>
      <x v="32"/>
    </i>
    <i>
      <x v="123"/>
    </i>
    <i>
      <x v="42"/>
    </i>
    <i>
      <x v="124"/>
    </i>
    <i>
      <x v="51"/>
    </i>
    <i>
      <x v="126"/>
    </i>
    <i>
      <x v="61"/>
    </i>
    <i>
      <x v="130"/>
    </i>
    <i>
      <x v="19"/>
    </i>
    <i>
      <x v="131"/>
    </i>
    <i>
      <x v="38"/>
    </i>
    <i>
      <x v="134"/>
    </i>
    <i>
      <x v="57"/>
    </i>
    <i>
      <x v="135"/>
    </i>
    <i>
      <x v="28"/>
    </i>
    <i>
      <x v="137"/>
    </i>
    <i>
      <x v="67"/>
    </i>
    <i>
      <x v="142"/>
    </i>
    <i>
      <x v="46"/>
    </i>
    <i>
      <x v="143"/>
    </i>
    <i>
      <x v="17"/>
    </i>
    <i>
      <x v="91"/>
    </i>
    <i>
      <x v="92"/>
    </i>
    <i>
      <x v="114"/>
    </i>
    <i>
      <x v="35"/>
    </i>
    <i>
      <x v="83"/>
    </i>
    <i>
      <x v="139"/>
    </i>
    <i>
      <x v="125"/>
    </i>
    <i>
      <x v="64"/>
    </i>
    <i>
      <x v="90"/>
    </i>
    <i>
      <x v="82"/>
    </i>
    <i>
      <x v="128"/>
    </i>
    <i>
      <x v="96"/>
    </i>
    <i>
      <x v="73"/>
    </i>
    <i>
      <x v="132"/>
    </i>
    <i>
      <x v="70"/>
    </i>
    <i>
      <x v="80"/>
    </i>
    <i>
      <x v="56"/>
    </i>
    <i>
      <x v="115"/>
    </i>
    <i>
      <x v="144"/>
    </i>
    <i>
      <x v="129"/>
    </i>
    <i>
      <x v="141"/>
    </i>
    <i>
      <x v="2"/>
    </i>
    <i>
      <x v="138"/>
    </i>
    <i>
      <x v="108"/>
    </i>
    <i>
      <x v="78"/>
    </i>
    <i>
      <x v="127"/>
    </i>
    <i>
      <x v="33"/>
    </i>
    <i>
      <x v="140"/>
    </i>
    <i>
      <x v="9"/>
    </i>
    <i>
      <x v="54"/>
    </i>
    <i>
      <x v="50"/>
    </i>
    <i>
      <x v="65"/>
    </i>
    <i>
      <x v="136"/>
    </i>
    <i>
      <x v="118"/>
    </i>
    <i>
      <x v="26"/>
    </i>
    <i>
      <x v="84"/>
    </i>
    <i>
      <x v="133"/>
    </i>
    <i>
      <x v="76"/>
    </i>
    <i>
      <x v="85"/>
    </i>
    <i t="grand">
      <x/>
    </i>
  </rowItems>
  <colItems count="1">
    <i/>
  </colItems>
  <dataFields count="1">
    <dataField name="Count" fld="0" subtotal="count" baseField="0" baseItem="0"/>
  </dataFields>
  <formats count="4">
    <format dxfId="20">
      <pivotArea field="0" type="button" dataOnly="0" labelOnly="1" outline="0" axis="axisRow" fieldPosition="0"/>
    </format>
    <format dxfId="19">
      <pivotArea dataOnly="0" labelOnly="1" outline="0" axis="axisValues" fieldPosition="0"/>
    </format>
    <format dxfId="18">
      <pivotArea field="0" type="button" dataOnly="0" labelOnly="1" outline="0" axis="axisRow" fieldPosition="0"/>
    </format>
    <format dxfId="1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6F03CC-B920-41E9-B4D8-6302AE5C7B52}" name="SeriesRE"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eries R/E">
  <location ref="A2:B238" firstHeaderRow="1" firstDataRow="1" firstDataCol="1"/>
  <pivotFields count="1">
    <pivotField axis="axisRow" dataField="1" showAll="0" sortType="ascending">
      <items count="237">
        <item x="117"/>
        <item x="186"/>
        <item x="207"/>
        <item x="227"/>
        <item x="208"/>
        <item x="171"/>
        <item x="180"/>
        <item x="5"/>
        <item x="16"/>
        <item x="18"/>
        <item x="35"/>
        <item x="155"/>
        <item x="190"/>
        <item x="210"/>
        <item x="2"/>
        <item x="221"/>
        <item x="232"/>
        <item x="132"/>
        <item x="193"/>
        <item x="83"/>
        <item x="41"/>
        <item x="93"/>
        <item x="84"/>
        <item x="86"/>
        <item x="37"/>
        <item x="197"/>
        <item x="85"/>
        <item x="81"/>
        <item x="149"/>
        <item x="128"/>
        <item x="68"/>
        <item x="139"/>
        <item x="127"/>
        <item x="145"/>
        <item x="40"/>
        <item x="216"/>
        <item x="167"/>
        <item x="176"/>
        <item x="160"/>
        <item x="162"/>
        <item x="163"/>
        <item x="196"/>
        <item x="4"/>
        <item x="24"/>
        <item x="205"/>
        <item x="96"/>
        <item x="199"/>
        <item x="21"/>
        <item x="220"/>
        <item x="92"/>
        <item x="44"/>
        <item x="23"/>
        <item x="43"/>
        <item x="10"/>
        <item x="26"/>
        <item x="67"/>
        <item x="124"/>
        <item x="70"/>
        <item x="120"/>
        <item x="179"/>
        <item x="200"/>
        <item x="134"/>
        <item x="206"/>
        <item x="168"/>
        <item x="230"/>
        <item x="172"/>
        <item x="152"/>
        <item x="156"/>
        <item x="235"/>
        <item x="61"/>
        <item x="36"/>
        <item x="116"/>
        <item x="113"/>
        <item x="154"/>
        <item x="95"/>
        <item x="122"/>
        <item x="129"/>
        <item x="130"/>
        <item x="133"/>
        <item x="131"/>
        <item x="183"/>
        <item x="111"/>
        <item x="107"/>
        <item x="64"/>
        <item x="105"/>
        <item x="46"/>
        <item x="62"/>
        <item x="38"/>
        <item x="147"/>
        <item x="150"/>
        <item x="151"/>
        <item x="135"/>
        <item x="47"/>
        <item x="182"/>
        <item x="54"/>
        <item x="56"/>
        <item x="13"/>
        <item x="125"/>
        <item x="126"/>
        <item x="138"/>
        <item x="60"/>
        <item x="33"/>
        <item x="42"/>
        <item x="20"/>
        <item x="112"/>
        <item x="104"/>
        <item x="87"/>
        <item x="103"/>
        <item x="181"/>
        <item x="215"/>
        <item x="82"/>
        <item x="119"/>
        <item x="27"/>
        <item x="141"/>
        <item x="32"/>
        <item x="195"/>
        <item x="213"/>
        <item x="97"/>
        <item x="45"/>
        <item x="11"/>
        <item x="228"/>
        <item x="212"/>
        <item x="161"/>
        <item x="51"/>
        <item x="158"/>
        <item x="76"/>
        <item x="28"/>
        <item h="1" x="0"/>
        <item x="94"/>
        <item x="1"/>
        <item x="226"/>
        <item x="71"/>
        <item x="69"/>
        <item x="14"/>
        <item x="17"/>
        <item x="73"/>
        <item x="72"/>
        <item x="79"/>
        <item x="146"/>
        <item x="66"/>
        <item x="121"/>
        <item x="118"/>
        <item x="8"/>
        <item x="25"/>
        <item x="174"/>
        <item x="233"/>
        <item x="142"/>
        <item x="90"/>
        <item x="65"/>
        <item x="165"/>
        <item x="201"/>
        <item x="185"/>
        <item x="106"/>
        <item x="192"/>
        <item x="140"/>
        <item x="211"/>
        <item x="12"/>
        <item x="164"/>
        <item x="218"/>
        <item x="178"/>
        <item x="169"/>
        <item x="19"/>
        <item x="223"/>
        <item x="53"/>
        <item x="153"/>
        <item x="88"/>
        <item x="49"/>
        <item x="144"/>
        <item x="58"/>
        <item x="29"/>
        <item x="234"/>
        <item x="59"/>
        <item x="229"/>
        <item x="114"/>
        <item x="80"/>
        <item x="148"/>
        <item x="50"/>
        <item x="75"/>
        <item x="39"/>
        <item x="34"/>
        <item x="143"/>
        <item x="48"/>
        <item x="63"/>
        <item x="15"/>
        <item x="74"/>
        <item x="57"/>
        <item x="175"/>
        <item x="166"/>
        <item x="9"/>
        <item x="52"/>
        <item x="222"/>
        <item x="217"/>
        <item x="209"/>
        <item x="224"/>
        <item x="214"/>
        <item x="91"/>
        <item x="55"/>
        <item x="78"/>
        <item x="115"/>
        <item x="77"/>
        <item x="188"/>
        <item x="189"/>
        <item x="187"/>
        <item x="225"/>
        <item x="231"/>
        <item x="198"/>
        <item x="194"/>
        <item x="191"/>
        <item x="202"/>
        <item x="177"/>
        <item x="204"/>
        <item x="170"/>
        <item x="159"/>
        <item x="203"/>
        <item x="184"/>
        <item x="110"/>
        <item x="173"/>
        <item x="22"/>
        <item x="219"/>
        <item x="109"/>
        <item x="108"/>
        <item x="7"/>
        <item x="123"/>
        <item x="100"/>
        <item x="102"/>
        <item x="30"/>
        <item x="137"/>
        <item x="157"/>
        <item x="136"/>
        <item x="98"/>
        <item x="101"/>
        <item x="89"/>
        <item x="99"/>
        <item x="31"/>
        <item x="6"/>
        <item x="3"/>
        <item t="default"/>
      </items>
      <autoSortScope>
        <pivotArea dataOnly="0" outline="0" fieldPosition="0">
          <references count="1">
            <reference field="4294967294" count="1" selected="0">
              <x v="0"/>
            </reference>
          </references>
        </pivotArea>
      </autoSortScope>
    </pivotField>
  </pivotFields>
  <rowFields count="1">
    <field x="0"/>
  </rowFields>
  <rowItems count="236">
    <i>
      <x v="235"/>
    </i>
    <i>
      <x v="117"/>
    </i>
    <i>
      <x v="118"/>
    </i>
    <i>
      <x v="2"/>
    </i>
    <i>
      <x v="119"/>
    </i>
    <i>
      <x v="4"/>
    </i>
    <i>
      <x v="120"/>
    </i>
    <i>
      <x v="6"/>
    </i>
    <i>
      <x v="121"/>
    </i>
    <i>
      <x v="8"/>
    </i>
    <i>
      <x v="122"/>
    </i>
    <i>
      <x v="10"/>
    </i>
    <i>
      <x v="123"/>
    </i>
    <i>
      <x v="12"/>
    </i>
    <i>
      <x v="124"/>
    </i>
    <i>
      <x v="14"/>
    </i>
    <i>
      <x v="128"/>
    </i>
    <i>
      <x v="17"/>
    </i>
    <i>
      <x v="130"/>
    </i>
    <i>
      <x v="18"/>
    </i>
    <i>
      <x v="133"/>
    </i>
    <i>
      <x v="21"/>
    </i>
    <i>
      <x v="134"/>
    </i>
    <i>
      <x v="25"/>
    </i>
    <i>
      <x v="136"/>
    </i>
    <i>
      <x v="27"/>
    </i>
    <i>
      <x v="138"/>
    </i>
    <i>
      <x v="29"/>
    </i>
    <i>
      <x v="140"/>
    </i>
    <i>
      <x v="31"/>
    </i>
    <i>
      <x v="141"/>
    </i>
    <i>
      <x v="34"/>
    </i>
    <i>
      <x v="142"/>
    </i>
    <i>
      <x v="36"/>
    </i>
    <i>
      <x v="144"/>
    </i>
    <i>
      <x v="39"/>
    </i>
    <i>
      <x v="145"/>
    </i>
    <i>
      <x v="41"/>
    </i>
    <i>
      <x v="146"/>
    </i>
    <i>
      <x v="43"/>
    </i>
    <i>
      <x v="147"/>
    </i>
    <i>
      <x v="45"/>
    </i>
    <i>
      <x v="148"/>
    </i>
    <i>
      <x v="48"/>
    </i>
    <i>
      <x v="149"/>
    </i>
    <i>
      <x v="50"/>
    </i>
    <i>
      <x v="151"/>
    </i>
    <i>
      <x v="52"/>
    </i>
    <i>
      <x v="152"/>
    </i>
    <i>
      <x v="60"/>
    </i>
    <i>
      <x v="153"/>
    </i>
    <i>
      <x v="63"/>
    </i>
    <i>
      <x v="154"/>
    </i>
    <i>
      <x v="65"/>
    </i>
    <i>
      <x v="155"/>
    </i>
    <i>
      <x v="68"/>
    </i>
    <i>
      <x v="156"/>
    </i>
    <i>
      <x v="71"/>
    </i>
    <i>
      <x v="158"/>
    </i>
    <i>
      <x v="73"/>
    </i>
    <i>
      <x v="159"/>
    </i>
    <i>
      <x v="77"/>
    </i>
    <i>
      <x v="160"/>
    </i>
    <i>
      <x v="79"/>
    </i>
    <i>
      <x v="161"/>
    </i>
    <i>
      <x v="81"/>
    </i>
    <i>
      <x v="162"/>
    </i>
    <i>
      <x v="83"/>
    </i>
    <i>
      <x v="163"/>
    </i>
    <i>
      <x v="86"/>
    </i>
    <i>
      <x v="164"/>
    </i>
    <i>
      <x v="89"/>
    </i>
    <i>
      <x v="166"/>
    </i>
    <i>
      <x v="91"/>
    </i>
    <i>
      <x v="167"/>
    </i>
    <i>
      <x v="93"/>
    </i>
    <i>
      <x v="168"/>
    </i>
    <i>
      <x v="100"/>
    </i>
    <i>
      <x v="169"/>
    </i>
    <i>
      <x v="103"/>
    </i>
    <i>
      <x v="170"/>
    </i>
    <i>
      <x v="105"/>
    </i>
    <i>
      <x v="171"/>
    </i>
    <i>
      <x v="108"/>
    </i>
    <i>
      <x v="172"/>
    </i>
    <i>
      <x v="110"/>
    </i>
    <i>
      <x v="173"/>
    </i>
    <i>
      <x v="113"/>
    </i>
    <i>
      <x v="174"/>
    </i>
    <i>
      <x v="115"/>
    </i>
    <i>
      <x v="175"/>
    </i>
    <i>
      <x/>
    </i>
    <i>
      <x v="178"/>
    </i>
    <i>
      <x v="5"/>
    </i>
    <i>
      <x v="180"/>
    </i>
    <i>
      <x v="11"/>
    </i>
    <i>
      <x v="181"/>
    </i>
    <i>
      <x v="15"/>
    </i>
    <i>
      <x v="182"/>
    </i>
    <i>
      <x v="126"/>
    </i>
    <i>
      <x v="183"/>
    </i>
    <i>
      <x v="234"/>
    </i>
    <i>
      <x v="184"/>
    </i>
    <i>
      <x v="23"/>
    </i>
    <i>
      <x v="186"/>
    </i>
    <i>
      <x v="28"/>
    </i>
    <i>
      <x v="187"/>
    </i>
    <i>
      <x v="33"/>
    </i>
    <i>
      <x v="188"/>
    </i>
    <i>
      <x v="37"/>
    </i>
    <i>
      <x v="189"/>
    </i>
    <i>
      <x v="42"/>
    </i>
    <i>
      <x v="190"/>
    </i>
    <i>
      <x v="46"/>
    </i>
    <i>
      <x v="191"/>
    </i>
    <i>
      <x v="51"/>
    </i>
    <i>
      <x v="192"/>
    </i>
    <i>
      <x v="62"/>
    </i>
    <i>
      <x v="193"/>
    </i>
    <i>
      <x v="66"/>
    </i>
    <i>
      <x v="194"/>
    </i>
    <i>
      <x v="72"/>
    </i>
    <i>
      <x v="196"/>
    </i>
    <i>
      <x v="78"/>
    </i>
    <i>
      <x v="198"/>
    </i>
    <i>
      <x v="82"/>
    </i>
    <i>
      <x v="200"/>
    </i>
    <i>
      <x v="88"/>
    </i>
    <i>
      <x v="201"/>
    </i>
    <i>
      <x v="92"/>
    </i>
    <i>
      <x v="202"/>
    </i>
    <i>
      <x v="102"/>
    </i>
    <i>
      <x v="203"/>
    </i>
    <i>
      <x v="107"/>
    </i>
    <i>
      <x v="204"/>
    </i>
    <i>
      <x v="111"/>
    </i>
    <i>
      <x v="205"/>
    </i>
    <i>
      <x v="116"/>
    </i>
    <i>
      <x v="206"/>
    </i>
    <i>
      <x v="9"/>
    </i>
    <i>
      <x v="207"/>
    </i>
    <i>
      <x v="16"/>
    </i>
    <i>
      <x v="209"/>
    </i>
    <i>
      <x v="20"/>
    </i>
    <i>
      <x v="210"/>
    </i>
    <i>
      <x v="30"/>
    </i>
    <i>
      <x v="212"/>
    </i>
    <i>
      <x v="40"/>
    </i>
    <i>
      <x v="213"/>
    </i>
    <i>
      <x v="49"/>
    </i>
    <i>
      <x v="214"/>
    </i>
    <i>
      <x v="64"/>
    </i>
    <i>
      <x v="215"/>
    </i>
    <i>
      <x v="74"/>
    </i>
    <i>
      <x v="216"/>
    </i>
    <i>
      <x v="84"/>
    </i>
    <i>
      <x v="217"/>
    </i>
    <i>
      <x v="96"/>
    </i>
    <i>
      <x v="218"/>
    </i>
    <i>
      <x v="109"/>
    </i>
    <i>
      <x v="219"/>
    </i>
    <i>
      <x v="3"/>
    </i>
    <i>
      <x v="220"/>
    </i>
    <i>
      <x v="1"/>
    </i>
    <i>
      <x v="222"/>
    </i>
    <i>
      <x v="35"/>
    </i>
    <i>
      <x v="223"/>
    </i>
    <i>
      <x v="57"/>
    </i>
    <i>
      <x v="224"/>
    </i>
    <i>
      <x v="80"/>
    </i>
    <i>
      <x v="225"/>
    </i>
    <i>
      <x v="104"/>
    </i>
    <i>
      <x v="226"/>
    </i>
    <i>
      <x v="13"/>
    </i>
    <i>
      <x v="227"/>
    </i>
    <i>
      <x v="44"/>
    </i>
    <i>
      <x v="228"/>
    </i>
    <i>
      <x v="90"/>
    </i>
    <i>
      <x v="229"/>
    </i>
    <i>
      <x v="26"/>
    </i>
    <i>
      <x v="230"/>
    </i>
    <i>
      <x v="114"/>
    </i>
    <i>
      <x v="232"/>
    </i>
    <i>
      <x v="69"/>
    </i>
    <i>
      <x v="233"/>
    </i>
    <i>
      <x v="129"/>
    </i>
    <i>
      <x v="38"/>
    </i>
    <i>
      <x v="56"/>
    </i>
    <i>
      <x v="47"/>
    </i>
    <i>
      <x v="19"/>
    </i>
    <i>
      <x v="135"/>
    </i>
    <i>
      <x v="150"/>
    </i>
    <i>
      <x v="94"/>
    </i>
    <i>
      <x v="76"/>
    </i>
    <i>
      <x v="139"/>
    </i>
    <i>
      <x v="132"/>
    </i>
    <i>
      <x v="165"/>
    </i>
    <i>
      <x v="59"/>
    </i>
    <i>
      <x v="195"/>
    </i>
    <i>
      <x v="208"/>
    </i>
    <i>
      <x v="98"/>
    </i>
    <i>
      <x v="22"/>
    </i>
    <i>
      <x v="67"/>
    </i>
    <i>
      <x v="131"/>
    </i>
    <i>
      <x v="231"/>
    </i>
    <i>
      <x v="106"/>
    </i>
    <i>
      <x v="143"/>
    </i>
    <i>
      <x v="157"/>
    </i>
    <i>
      <x v="87"/>
    </i>
    <i>
      <x v="221"/>
    </i>
    <i>
      <x v="55"/>
    </i>
    <i>
      <x v="179"/>
    </i>
    <i>
      <x v="54"/>
    </i>
    <i>
      <x v="24"/>
    </i>
    <i>
      <x v="211"/>
    </i>
    <i>
      <x v="185"/>
    </i>
    <i>
      <x v="61"/>
    </i>
    <i>
      <x v="101"/>
    </i>
    <i>
      <x v="125"/>
    </i>
    <i>
      <x v="95"/>
    </i>
    <i>
      <x v="75"/>
    </i>
    <i>
      <x v="177"/>
    </i>
    <i>
      <x v="32"/>
    </i>
    <i>
      <x v="7"/>
    </i>
    <i>
      <x v="99"/>
    </i>
    <i>
      <x v="53"/>
    </i>
    <i>
      <x v="199"/>
    </i>
    <i>
      <x v="97"/>
    </i>
    <i>
      <x v="197"/>
    </i>
    <i>
      <x v="70"/>
    </i>
    <i>
      <x v="58"/>
    </i>
    <i>
      <x v="112"/>
    </i>
    <i>
      <x v="85"/>
    </i>
    <i>
      <x v="176"/>
    </i>
    <i>
      <x v="137"/>
    </i>
    <i t="grand">
      <x/>
    </i>
  </rowItems>
  <colItems count="1">
    <i/>
  </colItems>
  <dataFields count="1">
    <dataField name="Count" fld="0" subtotal="count" baseField="0" baseItem="0"/>
  </dataFields>
  <formats count="12">
    <format dxfId="32">
      <pivotArea type="all" dataOnly="0" outline="0" fieldPosition="0"/>
    </format>
    <format dxfId="31">
      <pivotArea outline="0" collapsedLevelsAreSubtotals="1" fieldPosition="0"/>
    </format>
    <format dxfId="30">
      <pivotArea dataOnly="0" labelOnly="1" fieldPosition="0">
        <references count="1">
          <reference field="0" count="50">
            <x v="0"/>
            <x v="5"/>
            <x v="6"/>
            <x v="7"/>
            <x v="8"/>
            <x v="9"/>
            <x v="10"/>
            <x v="11"/>
            <x v="12"/>
            <x v="13"/>
            <x v="14"/>
            <x v="15"/>
            <x v="16"/>
            <x v="17"/>
            <x v="18"/>
            <x v="19"/>
            <x v="20"/>
            <x v="21"/>
            <x v="22"/>
            <x v="23"/>
            <x v="24"/>
            <x v="25"/>
            <x v="26"/>
            <x v="27"/>
            <x v="28"/>
            <x v="29"/>
            <x v="30"/>
            <x v="31"/>
            <x v="32"/>
            <x v="33"/>
            <x v="34"/>
            <x v="35"/>
            <x v="36"/>
            <x v="37"/>
            <x v="38"/>
            <x v="39"/>
            <x v="40"/>
            <x v="41"/>
            <x v="42"/>
            <x v="43"/>
            <x v="44"/>
            <x v="45"/>
            <x v="46"/>
            <x v="47"/>
            <x v="48"/>
            <x v="49"/>
            <x v="50"/>
            <x v="51"/>
            <x v="52"/>
            <x v="53"/>
          </reference>
        </references>
      </pivotArea>
    </format>
    <format dxfId="29">
      <pivotArea dataOnly="0" labelOnly="1" fieldPosition="0">
        <references count="1">
          <reference field="0" count="50">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x v="101"/>
            <x v="102"/>
            <x v="103"/>
          </reference>
        </references>
      </pivotArea>
    </format>
    <format dxfId="28">
      <pivotArea dataOnly="0" labelOnly="1" fieldPosition="0">
        <references count="1">
          <reference field="0" count="50">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x v="151"/>
            <x v="152"/>
            <x v="153"/>
          </reference>
        </references>
      </pivotArea>
    </format>
    <format dxfId="27">
      <pivotArea dataOnly="0" labelOnly="1" fieldPosition="0">
        <references count="1">
          <reference field="0" count="50">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x v="201"/>
            <x v="202"/>
            <x v="203"/>
          </reference>
        </references>
      </pivotArea>
    </format>
    <format dxfId="26">
      <pivotArea dataOnly="0" labelOnly="1" fieldPosition="0">
        <references count="1">
          <reference field="0" count="32">
            <x v="204"/>
            <x v="205"/>
            <x v="206"/>
            <x v="207"/>
            <x v="208"/>
            <x v="209"/>
            <x v="210"/>
            <x v="211"/>
            <x v="212"/>
            <x v="213"/>
            <x v="214"/>
            <x v="215"/>
            <x v="216"/>
            <x v="217"/>
            <x v="218"/>
            <x v="219"/>
            <x v="220"/>
            <x v="221"/>
            <x v="222"/>
            <x v="223"/>
            <x v="224"/>
            <x v="225"/>
            <x v="226"/>
            <x v="227"/>
            <x v="228"/>
            <x v="229"/>
            <x v="230"/>
            <x v="231"/>
            <x v="232"/>
            <x v="233"/>
            <x v="234"/>
            <x v="235"/>
          </reference>
        </references>
      </pivotArea>
    </format>
    <format dxfId="25">
      <pivotArea dataOnly="0" labelOnly="1" grandRow="1" outline="0" fieldPosition="0"/>
    </format>
    <format dxfId="24">
      <pivotArea field="0" type="button" dataOnly="0" labelOnly="1" outline="0" axis="axisRow" fieldPosition="0"/>
    </format>
    <format dxfId="23">
      <pivotArea dataOnly="0" labelOnly="1" outline="0" axis="axisValues" fieldPosition="0"/>
    </format>
    <format dxfId="22">
      <pivotArea field="0" type="button" dataOnly="0" labelOnly="1" outline="0" axis="axisRow" fieldPosition="0"/>
    </format>
    <format dxfId="2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6AF0B64-1A7C-4BD5-895E-F440784F2411}" name="PubN"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rowHeaderCaption="Publisher N">
  <location ref="N2:O240" firstHeaderRow="1" firstDataRow="1" firstDataCol="1"/>
  <pivotFields count="1">
    <pivotField axis="axisRow" dataField="1" showAll="0" sortType="ascending">
      <items count="239">
        <item x="191"/>
        <item x="236"/>
        <item x="228"/>
        <item x="221"/>
        <item x="231"/>
        <item x="230"/>
        <item x="234"/>
        <item x="5"/>
        <item x="159"/>
        <item x="27"/>
        <item x="137"/>
        <item x="207"/>
        <item h="1" x="0"/>
        <item x="46"/>
        <item x="35"/>
        <item x="105"/>
        <item x="17"/>
        <item x="155"/>
        <item x="8"/>
        <item x="215"/>
        <item x="206"/>
        <item x="125"/>
        <item x="9"/>
        <item x="75"/>
        <item x="18"/>
        <item x="7"/>
        <item x="223"/>
        <item x="77"/>
        <item x="59"/>
        <item x="113"/>
        <item x="126"/>
        <item x="148"/>
        <item x="100"/>
        <item x="153"/>
        <item x="133"/>
        <item x="203"/>
        <item x="136"/>
        <item x="10"/>
        <item x="129"/>
        <item x="106"/>
        <item x="186"/>
        <item x="60"/>
        <item x="131"/>
        <item x="184"/>
        <item x="166"/>
        <item x="185"/>
        <item x="146"/>
        <item x="200"/>
        <item x="135"/>
        <item x="164"/>
        <item x="21"/>
        <item x="144"/>
        <item x="91"/>
        <item x="179"/>
        <item x="96"/>
        <item x="145"/>
        <item x="178"/>
        <item x="174"/>
        <item x="84"/>
        <item x="63"/>
        <item x="3"/>
        <item x="36"/>
        <item x="118"/>
        <item x="101"/>
        <item x="38"/>
        <item x="111"/>
        <item x="112"/>
        <item x="163"/>
        <item x="16"/>
        <item x="90"/>
        <item x="140"/>
        <item x="85"/>
        <item x="219"/>
        <item x="2"/>
        <item x="97"/>
        <item x="181"/>
        <item x="141"/>
        <item x="217"/>
        <item x="216"/>
        <item x="222"/>
        <item x="119"/>
        <item x="40"/>
        <item x="42"/>
        <item x="120"/>
        <item x="150"/>
        <item x="67"/>
        <item x="14"/>
        <item x="130"/>
        <item x="26"/>
        <item x="76"/>
        <item x="39"/>
        <item x="176"/>
        <item x="172"/>
        <item x="92"/>
        <item x="54"/>
        <item x="13"/>
        <item x="83"/>
        <item x="225"/>
        <item x="65"/>
        <item x="143"/>
        <item x="29"/>
        <item x="28"/>
        <item x="50"/>
        <item x="11"/>
        <item x="44"/>
        <item x="165"/>
        <item x="102"/>
        <item x="195"/>
        <item x="73"/>
        <item x="66"/>
        <item x="34"/>
        <item x="154"/>
        <item x="80"/>
        <item x="99"/>
        <item x="157"/>
        <item x="117"/>
        <item x="24"/>
        <item x="204"/>
        <item x="132"/>
        <item x="194"/>
        <item x="190"/>
        <item x="127"/>
        <item x="52"/>
        <item x="53"/>
        <item x="81"/>
        <item x="31"/>
        <item x="89"/>
        <item x="226"/>
        <item x="87"/>
        <item x="47"/>
        <item x="224"/>
        <item x="171"/>
        <item x="74"/>
        <item x="72"/>
        <item x="49"/>
        <item x="209"/>
        <item x="218"/>
        <item x="71"/>
        <item x="79"/>
        <item x="201"/>
        <item x="114"/>
        <item x="170"/>
        <item x="167"/>
        <item x="78"/>
        <item x="199"/>
        <item x="45"/>
        <item x="116"/>
        <item x="198"/>
        <item x="32"/>
        <item x="70"/>
        <item x="93"/>
        <item x="197"/>
        <item x="57"/>
        <item x="214"/>
        <item x="213"/>
        <item x="212"/>
        <item x="211"/>
        <item x="210"/>
        <item x="156"/>
        <item x="20"/>
        <item x="19"/>
        <item x="4"/>
        <item x="189"/>
        <item x="43"/>
        <item x="124"/>
        <item x="205"/>
        <item x="187"/>
        <item x="48"/>
        <item x="229"/>
        <item x="69"/>
        <item x="175"/>
        <item x="147"/>
        <item x="86"/>
        <item x="149"/>
        <item x="41"/>
        <item x="173"/>
        <item x="64"/>
        <item x="82"/>
        <item x="107"/>
        <item x="30"/>
        <item x="108"/>
        <item x="227"/>
        <item x="139"/>
        <item x="196"/>
        <item x="152"/>
        <item x="103"/>
        <item x="25"/>
        <item x="192"/>
        <item x="33"/>
        <item x="193"/>
        <item x="68"/>
        <item x="161"/>
        <item x="128"/>
        <item x="169"/>
        <item x="180"/>
        <item x="37"/>
        <item x="109"/>
        <item x="237"/>
        <item x="232"/>
        <item x="220"/>
        <item x="182"/>
        <item x="58"/>
        <item x="115"/>
        <item x="233"/>
        <item x="162"/>
        <item x="158"/>
        <item x="183"/>
        <item x="55"/>
        <item x="122"/>
        <item x="98"/>
        <item x="15"/>
        <item x="6"/>
        <item x="61"/>
        <item x="51"/>
        <item x="12"/>
        <item x="121"/>
        <item x="160"/>
        <item x="138"/>
        <item x="23"/>
        <item x="123"/>
        <item x="235"/>
        <item x="56"/>
        <item x="202"/>
        <item x="22"/>
        <item x="208"/>
        <item x="134"/>
        <item x="188"/>
        <item x="62"/>
        <item x="104"/>
        <item x="94"/>
        <item x="95"/>
        <item x="110"/>
        <item x="177"/>
        <item x="88"/>
        <item x="151"/>
        <item x="168"/>
        <item x="142"/>
        <item x="1"/>
        <item t="default"/>
      </items>
      <autoSortScope>
        <pivotArea dataOnly="0" outline="0" fieldPosition="0">
          <references count="1">
            <reference field="4294967294" count="1" selected="0">
              <x v="0"/>
            </reference>
          </references>
        </pivotArea>
      </autoSortScope>
    </pivotField>
  </pivotFields>
  <rowFields count="1">
    <field x="0"/>
  </rowFields>
  <rowItems count="238">
    <i>
      <x v="237"/>
    </i>
    <i>
      <x v="119"/>
    </i>
    <i>
      <x v="120"/>
    </i>
    <i>
      <x/>
    </i>
    <i>
      <x v="121"/>
    </i>
    <i>
      <x v="5"/>
    </i>
    <i>
      <x v="122"/>
    </i>
    <i>
      <x v="8"/>
    </i>
    <i>
      <x v="124"/>
    </i>
    <i>
      <x v="10"/>
    </i>
    <i>
      <x v="125"/>
    </i>
    <i>
      <x v="14"/>
    </i>
    <i>
      <x v="126"/>
    </i>
    <i>
      <x v="20"/>
    </i>
    <i>
      <x v="127"/>
    </i>
    <i>
      <x v="22"/>
    </i>
    <i>
      <x v="131"/>
    </i>
    <i>
      <x v="25"/>
    </i>
    <i>
      <x v="132"/>
    </i>
    <i>
      <x v="28"/>
    </i>
    <i>
      <x v="133"/>
    </i>
    <i>
      <x v="30"/>
    </i>
    <i>
      <x v="136"/>
    </i>
    <i>
      <x v="33"/>
    </i>
    <i>
      <x v="137"/>
    </i>
    <i>
      <x v="35"/>
    </i>
    <i>
      <x v="138"/>
    </i>
    <i>
      <x v="38"/>
    </i>
    <i>
      <x v="139"/>
    </i>
    <i>
      <x v="42"/>
    </i>
    <i>
      <x v="140"/>
    </i>
    <i>
      <x v="44"/>
    </i>
    <i>
      <x v="141"/>
    </i>
    <i>
      <x v="46"/>
    </i>
    <i>
      <x v="143"/>
    </i>
    <i>
      <x v="48"/>
    </i>
    <i>
      <x v="145"/>
    </i>
    <i>
      <x v="50"/>
    </i>
    <i>
      <x v="147"/>
    </i>
    <i>
      <x v="52"/>
    </i>
    <i>
      <x v="150"/>
    </i>
    <i>
      <x v="54"/>
    </i>
    <i>
      <x v="151"/>
    </i>
    <i>
      <x v="57"/>
    </i>
    <i>
      <x v="153"/>
    </i>
    <i>
      <x v="61"/>
    </i>
    <i>
      <x v="154"/>
    </i>
    <i>
      <x v="64"/>
    </i>
    <i>
      <x v="155"/>
    </i>
    <i>
      <x v="66"/>
    </i>
    <i>
      <x v="156"/>
    </i>
    <i>
      <x v="69"/>
    </i>
    <i>
      <x v="157"/>
    </i>
    <i>
      <x v="71"/>
    </i>
    <i>
      <x v="158"/>
    </i>
    <i>
      <x v="73"/>
    </i>
    <i>
      <x v="159"/>
    </i>
    <i>
      <x v="75"/>
    </i>
    <i>
      <x v="161"/>
    </i>
    <i>
      <x v="81"/>
    </i>
    <i>
      <x v="162"/>
    </i>
    <i>
      <x v="83"/>
    </i>
    <i>
      <x v="163"/>
    </i>
    <i>
      <x v="87"/>
    </i>
    <i>
      <x v="165"/>
    </i>
    <i>
      <x v="90"/>
    </i>
    <i>
      <x v="166"/>
    </i>
    <i>
      <x v="92"/>
    </i>
    <i>
      <x v="169"/>
    </i>
    <i>
      <x v="94"/>
    </i>
    <i>
      <x v="170"/>
    </i>
    <i>
      <x v="99"/>
    </i>
    <i>
      <x v="172"/>
    </i>
    <i>
      <x v="105"/>
    </i>
    <i>
      <x v="174"/>
    </i>
    <i>
      <x v="108"/>
    </i>
    <i>
      <x v="175"/>
    </i>
    <i>
      <x v="110"/>
    </i>
    <i>
      <x v="177"/>
    </i>
    <i>
      <x v="113"/>
    </i>
    <i>
      <x v="178"/>
    </i>
    <i>
      <x v="115"/>
    </i>
    <i>
      <x v="180"/>
    </i>
    <i>
      <x v="117"/>
    </i>
    <i>
      <x v="182"/>
    </i>
    <i>
      <x v="1"/>
    </i>
    <i>
      <x v="184"/>
    </i>
    <i>
      <x v="9"/>
    </i>
    <i>
      <x v="185"/>
    </i>
    <i>
      <x v="17"/>
    </i>
    <i>
      <x v="186"/>
    </i>
    <i>
      <x v="23"/>
    </i>
    <i>
      <x v="189"/>
    </i>
    <i>
      <x v="29"/>
    </i>
    <i>
      <x v="191"/>
    </i>
    <i>
      <x v="34"/>
    </i>
    <i>
      <x v="192"/>
    </i>
    <i>
      <x v="39"/>
    </i>
    <i>
      <x v="193"/>
    </i>
    <i>
      <x v="45"/>
    </i>
    <i>
      <x v="194"/>
    </i>
    <i>
      <x v="49"/>
    </i>
    <i>
      <x v="196"/>
    </i>
    <i>
      <x v="53"/>
    </i>
    <i>
      <x v="197"/>
    </i>
    <i>
      <x v="59"/>
    </i>
    <i>
      <x v="198"/>
    </i>
    <i>
      <x v="65"/>
    </i>
    <i>
      <x v="199"/>
    </i>
    <i>
      <x v="70"/>
    </i>
    <i>
      <x v="202"/>
    </i>
    <i>
      <x v="74"/>
    </i>
    <i>
      <x v="203"/>
    </i>
    <i>
      <x v="82"/>
    </i>
    <i>
      <x v="204"/>
    </i>
    <i>
      <x v="89"/>
    </i>
    <i>
      <x v="205"/>
    </i>
    <i>
      <x v="93"/>
    </i>
    <i>
      <x v="206"/>
    </i>
    <i>
      <x v="104"/>
    </i>
    <i>
      <x v="208"/>
    </i>
    <i>
      <x v="109"/>
    </i>
    <i>
      <x v="209"/>
    </i>
    <i>
      <x v="114"/>
    </i>
    <i>
      <x v="210"/>
    </i>
    <i>
      <x v="118"/>
    </i>
    <i>
      <x v="212"/>
    </i>
    <i>
      <x v="13"/>
    </i>
    <i>
      <x v="215"/>
    </i>
    <i>
      <x v="27"/>
    </i>
    <i>
      <x v="216"/>
    </i>
    <i>
      <x v="36"/>
    </i>
    <i>
      <x v="218"/>
    </i>
    <i>
      <x v="47"/>
    </i>
    <i>
      <x v="219"/>
    </i>
    <i>
      <x v="56"/>
    </i>
    <i>
      <x v="220"/>
    </i>
    <i>
      <x v="67"/>
    </i>
    <i>
      <x v="221"/>
    </i>
    <i>
      <x v="76"/>
    </i>
    <i>
      <x v="222"/>
    </i>
    <i>
      <x v="91"/>
    </i>
    <i>
      <x v="223"/>
    </i>
    <i>
      <x v="107"/>
    </i>
    <i>
      <x v="224"/>
    </i>
    <i>
      <x v="116"/>
    </i>
    <i>
      <x v="225"/>
    </i>
    <i>
      <x v="21"/>
    </i>
    <i>
      <x v="226"/>
    </i>
    <i>
      <x v="43"/>
    </i>
    <i>
      <x v="228"/>
    </i>
    <i>
      <x v="63"/>
    </i>
    <i>
      <x v="229"/>
    </i>
    <i>
      <x v="84"/>
    </i>
    <i>
      <x v="230"/>
    </i>
    <i>
      <x v="111"/>
    </i>
    <i>
      <x v="231"/>
    </i>
    <i>
      <x v="32"/>
    </i>
    <i>
      <x v="232"/>
    </i>
    <i>
      <x v="72"/>
    </i>
    <i>
      <x v="233"/>
    </i>
    <i>
      <x v="7"/>
    </i>
    <i>
      <x v="234"/>
    </i>
    <i>
      <x v="97"/>
    </i>
    <i>
      <x v="235"/>
    </i>
    <i>
      <x v="51"/>
    </i>
    <i>
      <x v="236"/>
    </i>
    <i>
      <x v="2"/>
    </i>
    <i>
      <x v="40"/>
    </i>
    <i>
      <x v="200"/>
    </i>
    <i>
      <x v="168"/>
    </i>
    <i>
      <x v="3"/>
    </i>
    <i>
      <x v="19"/>
    </i>
    <i>
      <x v="31"/>
    </i>
    <i>
      <x v="171"/>
    </i>
    <i>
      <x v="176"/>
    </i>
    <i>
      <x v="173"/>
    </i>
    <i>
      <x v="179"/>
    </i>
    <i>
      <x v="100"/>
    </i>
    <i>
      <x v="181"/>
    </i>
    <i>
      <x v="101"/>
    </i>
    <i>
      <x v="128"/>
    </i>
    <i>
      <x v="144"/>
    </i>
    <i>
      <x v="188"/>
    </i>
    <i>
      <x v="146"/>
    </i>
    <i>
      <x v="16"/>
    </i>
    <i>
      <x v="149"/>
    </i>
    <i>
      <x v="24"/>
    </i>
    <i>
      <x v="217"/>
    </i>
    <i>
      <x v="187"/>
    </i>
    <i>
      <x v="55"/>
    </i>
    <i>
      <x v="88"/>
    </i>
    <i>
      <x v="152"/>
    </i>
    <i>
      <x v="68"/>
    </i>
    <i>
      <x v="6"/>
    </i>
    <i>
      <x v="11"/>
    </i>
    <i>
      <x v="160"/>
    </i>
    <i>
      <x v="164"/>
    </i>
    <i>
      <x v="106"/>
    </i>
    <i>
      <x v="130"/>
    </i>
    <i>
      <x v="135"/>
    </i>
    <i>
      <x v="142"/>
    </i>
    <i>
      <x v="134"/>
    </i>
    <i>
      <x v="58"/>
    </i>
    <i>
      <x v="207"/>
    </i>
    <i>
      <x v="77"/>
    </i>
    <i>
      <x v="190"/>
    </i>
    <i>
      <x v="78"/>
    </i>
    <i>
      <x v="183"/>
    </i>
    <i>
      <x v="112"/>
    </i>
    <i>
      <x v="37"/>
    </i>
    <i>
      <x v="85"/>
    </i>
    <i>
      <x v="4"/>
    </i>
    <i>
      <x v="148"/>
    </i>
    <i>
      <x v="98"/>
    </i>
    <i>
      <x v="18"/>
    </i>
    <i>
      <x v="62"/>
    </i>
    <i>
      <x v="211"/>
    </i>
    <i>
      <x v="86"/>
    </i>
    <i>
      <x v="79"/>
    </i>
    <i>
      <x v="26"/>
    </i>
    <i>
      <x v="123"/>
    </i>
    <i>
      <x v="195"/>
    </i>
    <i>
      <x v="41"/>
    </i>
    <i>
      <x v="201"/>
    </i>
    <i>
      <x v="80"/>
    </i>
    <i>
      <x v="95"/>
    </i>
    <i>
      <x v="167"/>
    </i>
    <i>
      <x v="227"/>
    </i>
    <i>
      <x v="15"/>
    </i>
    <i>
      <x v="102"/>
    </i>
    <i>
      <x v="213"/>
    </i>
    <i>
      <x v="60"/>
    </i>
    <i>
      <x v="96"/>
    </i>
    <i>
      <x v="129"/>
    </i>
    <i>
      <x v="103"/>
    </i>
    <i>
      <x v="214"/>
    </i>
    <i t="grand">
      <x/>
    </i>
  </rowItems>
  <colItems count="1">
    <i/>
  </colItems>
  <dataFields count="1">
    <dataField name="Count" fld="0" subtotal="count" baseField="0" baseItem="0"/>
  </dataFields>
  <formats count="4">
    <format dxfId="12">
      <pivotArea field="0" type="button" dataOnly="0" labelOnly="1" outline="0" axis="axisRow" fieldPosition="0"/>
    </format>
    <format dxfId="11">
      <pivotArea dataOnly="0" labelOnly="1" outline="0" axis="axisValues" fieldPosition="0"/>
    </format>
    <format dxfId="10">
      <pivotArea dataOnly="0" labelOnly="1" outline="0" axis="axisValues" fieldPosition="0"/>
    </format>
    <format dxfId="9">
      <pivotArea field="0" type="button" dataOnly="0" labelOnly="1" outline="0" axis="axisRow"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47F318C-6BF9-4D61-AB3F-36A765A200EF}" name="PubRE" cacheId="3" applyNumberFormats="0" applyBorderFormats="0" applyFontFormats="0" applyPatternFormats="0" applyAlignmentFormats="0" applyWidthHeightFormats="1" dataCaption="Values" missingCaption="0" updatedVersion="8" minRefreshableVersion="3" itemPrintTitles="1" createdVersion="8" indent="0" outline="1" outlineData="1" multipleFieldFilters="0" chartFormat="3" rowHeaderCaption="Publisher RE">
  <location ref="A2:B419" firstHeaderRow="1" firstDataRow="1" firstDataCol="1"/>
  <pivotFields count="1">
    <pivotField axis="axisRow" dataField="1" showAll="0" sortType="ascending">
      <items count="418">
        <item x="117"/>
        <item x="415"/>
        <item x="227"/>
        <item x="407"/>
        <item x="342"/>
        <item x="228"/>
        <item x="397"/>
        <item x="262"/>
        <item x="381"/>
        <item x="403"/>
        <item x="63"/>
        <item x="390"/>
        <item x="251"/>
        <item x="331"/>
        <item x="382"/>
        <item x="19"/>
        <item x="29"/>
        <item x="15"/>
        <item x="18"/>
        <item x="392"/>
        <item x="80"/>
        <item x="366"/>
        <item x="412"/>
        <item x="189"/>
        <item x="369"/>
        <item x="323"/>
        <item x="324"/>
        <item x="199"/>
        <item x="144"/>
        <item x="351"/>
        <item x="385"/>
        <item x="267"/>
        <item x="139"/>
        <item x="9"/>
        <item x="10"/>
        <item x="66"/>
        <item x="85"/>
        <item x="408"/>
        <item x="164"/>
        <item x="42"/>
        <item x="230"/>
        <item x="65"/>
        <item x="344"/>
        <item x="341"/>
        <item x="242"/>
        <item x="272"/>
        <item x="249"/>
        <item x="300"/>
        <item x="343"/>
        <item x="345"/>
        <item x="338"/>
        <item x="155"/>
        <item x="90"/>
        <item x="179"/>
        <item x="206"/>
        <item x="92"/>
        <item x="56"/>
        <item x="329"/>
        <item x="307"/>
        <item x="295"/>
        <item x="387"/>
        <item x="298"/>
        <item x="354"/>
        <item x="163"/>
        <item x="45"/>
        <item x="416"/>
        <item x="218"/>
        <item x="148"/>
        <item x="55"/>
        <item x="353"/>
        <item x="60"/>
        <item x="54"/>
        <item x="11"/>
        <item x="337"/>
        <item x="386"/>
        <item x="380"/>
        <item x="395"/>
        <item x="68"/>
        <item x="278"/>
        <item x="71"/>
        <item x="358"/>
        <item x="239"/>
        <item x="377"/>
        <item x="14"/>
        <item x="315"/>
        <item x="384"/>
        <item x="347"/>
        <item x="287"/>
        <item x="101"/>
        <item x="93"/>
        <item x="100"/>
        <item x="37"/>
        <item x="124"/>
        <item x="67"/>
        <item x="26"/>
        <item x="86"/>
        <item x="405"/>
        <item x="290"/>
        <item x="214"/>
        <item x="339"/>
        <item x="182"/>
        <item x="409"/>
        <item x="314"/>
        <item x="152"/>
        <item x="399"/>
        <item x="180"/>
        <item x="231"/>
        <item x="154"/>
        <item x="121"/>
        <item x="20"/>
        <item x="318"/>
        <item x="383"/>
        <item x="1"/>
        <item x="141"/>
        <item x="172"/>
        <item x="140"/>
        <item x="47"/>
        <item x="406"/>
        <item x="355"/>
        <item x="135"/>
        <item x="367"/>
        <item x="50"/>
        <item x="30"/>
        <item x="365"/>
        <item x="211"/>
        <item x="269"/>
        <item x="260"/>
        <item x="250"/>
        <item x="374"/>
        <item x="12"/>
        <item x="193"/>
        <item x="361"/>
        <item x="378"/>
        <item x="263"/>
        <item x="253"/>
        <item x="258"/>
        <item x="24"/>
        <item x="51"/>
        <item x="33"/>
        <item x="7"/>
        <item x="170"/>
        <item x="401"/>
        <item x="122"/>
        <item x="216"/>
        <item x="200"/>
        <item x="219"/>
        <item x="319"/>
        <item x="201"/>
        <item x="134"/>
        <item x="69"/>
        <item x="84"/>
        <item x="175"/>
        <item x="40"/>
        <item x="410"/>
        <item x="224"/>
        <item x="142"/>
        <item x="370"/>
        <item x="81"/>
        <item x="104"/>
        <item x="185"/>
        <item x="44"/>
        <item x="43"/>
        <item x="171"/>
        <item x="240"/>
        <item x="372"/>
        <item x="103"/>
        <item x="114"/>
        <item x="25"/>
        <item x="143"/>
        <item x="305"/>
        <item x="39"/>
        <item x="38"/>
        <item x="95"/>
        <item x="174"/>
        <item x="393"/>
        <item x="129"/>
        <item x="53"/>
        <item x="41"/>
        <item x="391"/>
        <item x="75"/>
        <item x="396"/>
        <item x="150"/>
        <item x="220"/>
        <item x="398"/>
        <item x="177"/>
        <item x="243"/>
        <item x="204"/>
        <item x="205"/>
        <item x="198"/>
        <item x="168"/>
        <item x="191"/>
        <item x="187"/>
        <item x="334"/>
        <item x="336"/>
        <item x="326"/>
        <item x="310"/>
        <item x="277"/>
        <item x="259"/>
        <item x="268"/>
        <item x="368"/>
        <item x="356"/>
        <item x="346"/>
        <item x="413"/>
        <item x="299"/>
        <item x="223"/>
        <item x="235"/>
        <item x="6"/>
        <item x="5"/>
        <item x="146"/>
        <item x="113"/>
        <item x="362"/>
        <item x="57"/>
        <item x="125"/>
        <item x="132"/>
        <item x="296"/>
        <item h="1" x="2"/>
        <item x="283"/>
        <item x="166"/>
        <item x="8"/>
        <item x="183"/>
        <item x="350"/>
        <item x="252"/>
        <item x="316"/>
        <item x="376"/>
        <item x="245"/>
        <item x="244"/>
        <item x="247"/>
        <item x="275"/>
        <item x="279"/>
        <item x="266"/>
        <item x="246"/>
        <item x="264"/>
        <item x="256"/>
        <item x="281"/>
        <item x="280"/>
        <item x="394"/>
        <item x="241"/>
        <item x="82"/>
        <item x="105"/>
        <item x="102"/>
        <item x="215"/>
        <item x="379"/>
        <item x="238"/>
        <item x="145"/>
        <item x="195"/>
        <item x="328"/>
        <item x="188"/>
        <item x="159"/>
        <item x="158"/>
        <item x="293"/>
        <item x="111"/>
        <item x="119"/>
        <item x="108"/>
        <item x="28"/>
        <item x="330"/>
        <item x="389"/>
        <item x="160"/>
        <item x="311"/>
        <item x="304"/>
        <item x="309"/>
        <item x="317"/>
        <item x="302"/>
        <item x="78"/>
        <item x="58"/>
        <item x="234"/>
        <item x="181"/>
        <item x="301"/>
        <item x="273"/>
        <item x="271"/>
        <item x="265"/>
        <item x="3"/>
        <item x="327"/>
        <item x="196"/>
        <item x="151"/>
        <item x="360"/>
        <item x="77"/>
        <item x="289"/>
        <item x="128"/>
        <item x="178"/>
        <item x="59"/>
        <item x="89"/>
        <item x="169"/>
        <item x="217"/>
        <item x="72"/>
        <item x="184"/>
        <item x="285"/>
        <item x="294"/>
        <item x="248"/>
        <item x="21"/>
        <item x="106"/>
        <item x="98"/>
        <item x="236"/>
        <item x="167"/>
        <item x="22"/>
        <item x="340"/>
        <item x="284"/>
        <item x="126"/>
        <item x="127"/>
        <item x="136"/>
        <item x="222"/>
        <item x="138"/>
        <item x="46"/>
        <item x="48"/>
        <item x="176"/>
        <item x="402"/>
        <item x="52"/>
        <item x="229"/>
        <item x="209"/>
        <item x="202"/>
        <item x="203"/>
        <item x="87"/>
        <item x="165"/>
        <item x="131"/>
        <item x="115"/>
        <item x="116"/>
        <item x="112"/>
        <item x="404"/>
        <item x="97"/>
        <item x="79"/>
        <item x="64"/>
        <item x="49"/>
        <item x="120"/>
        <item x="118"/>
        <item x="83"/>
        <item x="321"/>
        <item x="162"/>
        <item x="94"/>
        <item x="261"/>
        <item x="173"/>
        <item x="133"/>
        <item x="147"/>
        <item x="325"/>
        <item x="130"/>
        <item x="411"/>
        <item x="332"/>
        <item x="303"/>
        <item x="255"/>
        <item x="274"/>
        <item x="335"/>
        <item x="17"/>
        <item x="96"/>
        <item x="70"/>
        <item x="99"/>
        <item x="27"/>
        <item x="88"/>
        <item x="157"/>
        <item x="348"/>
        <item x="137"/>
        <item x="0"/>
        <item x="31"/>
        <item x="213"/>
        <item x="208"/>
        <item x="212"/>
        <item x="91"/>
        <item x="123"/>
        <item x="388"/>
        <item x="13"/>
        <item x="225"/>
        <item x="232"/>
        <item x="254"/>
        <item x="276"/>
        <item x="190"/>
        <item x="35"/>
        <item x="34"/>
        <item x="363"/>
        <item x="74"/>
        <item x="333"/>
        <item x="320"/>
        <item x="32"/>
        <item x="23"/>
        <item x="61"/>
        <item x="291"/>
        <item x="282"/>
        <item x="359"/>
        <item x="297"/>
        <item x="357"/>
        <item x="292"/>
        <item x="371"/>
        <item x="400"/>
        <item x="322"/>
        <item x="375"/>
        <item x="286"/>
        <item x="308"/>
        <item x="312"/>
        <item x="313"/>
        <item x="62"/>
        <item x="110"/>
        <item x="257"/>
        <item x="270"/>
        <item x="373"/>
        <item x="237"/>
        <item x="161"/>
        <item x="226"/>
        <item x="364"/>
        <item x="288"/>
        <item x="352"/>
        <item x="36"/>
        <item x="153"/>
        <item x="207"/>
        <item x="197"/>
        <item x="194"/>
        <item x="16"/>
        <item x="349"/>
        <item x="306"/>
        <item x="156"/>
        <item x="414"/>
        <item x="107"/>
        <item x="76"/>
        <item x="186"/>
        <item x="233"/>
        <item x="149"/>
        <item x="109"/>
        <item x="192"/>
        <item x="221"/>
        <item x="73"/>
        <item x="210"/>
        <item x="4"/>
        <item t="default"/>
      </items>
      <autoSortScope>
        <pivotArea dataOnly="0" outline="0" fieldPosition="0">
          <references count="1">
            <reference field="4294967294" count="1" selected="0">
              <x v="0"/>
            </reference>
          </references>
        </pivotArea>
      </autoSortScope>
    </pivotField>
  </pivotFields>
  <rowFields count="1">
    <field x="0"/>
  </rowFields>
  <rowItems count="417">
    <i>
      <x v="416"/>
    </i>
    <i>
      <x v="209"/>
    </i>
    <i>
      <x v="210"/>
    </i>
    <i>
      <x v="211"/>
    </i>
    <i>
      <x v="208"/>
    </i>
    <i>
      <x v="1"/>
    </i>
    <i>
      <x v="5"/>
    </i>
    <i>
      <x v="2"/>
    </i>
    <i>
      <x v="8"/>
    </i>
    <i>
      <x v="4"/>
    </i>
    <i>
      <x v="10"/>
    </i>
    <i>
      <x v="212"/>
    </i>
    <i>
      <x v="14"/>
    </i>
    <i>
      <x v="213"/>
    </i>
    <i>
      <x v="16"/>
    </i>
    <i>
      <x v="214"/>
    </i>
    <i>
      <x v="22"/>
    </i>
    <i>
      <x v="217"/>
    </i>
    <i>
      <x v="24"/>
    </i>
    <i>
      <x v="218"/>
    </i>
    <i>
      <x v="26"/>
    </i>
    <i>
      <x v="219"/>
    </i>
    <i>
      <x v="28"/>
    </i>
    <i>
      <x v="220"/>
    </i>
    <i>
      <x v="30"/>
    </i>
    <i>
      <x v="221"/>
    </i>
    <i>
      <x v="35"/>
    </i>
    <i>
      <x v="223"/>
    </i>
    <i>
      <x v="38"/>
    </i>
    <i>
      <x v="224"/>
    </i>
    <i>
      <x v="40"/>
    </i>
    <i>
      <x v="225"/>
    </i>
    <i>
      <x v="42"/>
    </i>
    <i>
      <x v="227"/>
    </i>
    <i>
      <x v="44"/>
    </i>
    <i>
      <x v="228"/>
    </i>
    <i>
      <x v="48"/>
    </i>
    <i>
      <x v="229"/>
    </i>
    <i>
      <x v="50"/>
    </i>
    <i>
      <x v="230"/>
    </i>
    <i>
      <x v="54"/>
    </i>
    <i>
      <x v="231"/>
    </i>
    <i>
      <x v="62"/>
    </i>
    <i>
      <x v="232"/>
    </i>
    <i>
      <x v="64"/>
    </i>
    <i>
      <x v="233"/>
    </i>
    <i>
      <x v="67"/>
    </i>
    <i>
      <x v="235"/>
    </i>
    <i>
      <x v="69"/>
    </i>
    <i>
      <x v="238"/>
    </i>
    <i>
      <x v="71"/>
    </i>
    <i>
      <x v="239"/>
    </i>
    <i>
      <x v="73"/>
    </i>
    <i>
      <x v="240"/>
    </i>
    <i>
      <x v="76"/>
    </i>
    <i>
      <x v="241"/>
    </i>
    <i>
      <x v="79"/>
    </i>
    <i>
      <x v="242"/>
    </i>
    <i>
      <x v="82"/>
    </i>
    <i>
      <x v="243"/>
    </i>
    <i>
      <x v="84"/>
    </i>
    <i>
      <x v="244"/>
    </i>
    <i>
      <x v="86"/>
    </i>
    <i>
      <x v="246"/>
    </i>
    <i>
      <x v="88"/>
    </i>
    <i>
      <x v="247"/>
    </i>
    <i>
      <x v="91"/>
    </i>
    <i>
      <x v="249"/>
    </i>
    <i>
      <x v="94"/>
    </i>
    <i>
      <x v="250"/>
    </i>
    <i>
      <x v="97"/>
    </i>
    <i>
      <x v="251"/>
    </i>
    <i>
      <x v="99"/>
    </i>
    <i>
      <x v="252"/>
    </i>
    <i>
      <x v="108"/>
    </i>
    <i>
      <x v="254"/>
    </i>
    <i>
      <x v="110"/>
    </i>
    <i>
      <x v="255"/>
    </i>
    <i>
      <x v="114"/>
    </i>
    <i>
      <x v="256"/>
    </i>
    <i>
      <x v="118"/>
    </i>
    <i>
      <x v="257"/>
    </i>
    <i>
      <x v="121"/>
    </i>
    <i>
      <x v="258"/>
    </i>
    <i>
      <x v="124"/>
    </i>
    <i>
      <x v="260"/>
    </i>
    <i>
      <x v="127"/>
    </i>
    <i>
      <x v="261"/>
    </i>
    <i>
      <x v="129"/>
    </i>
    <i>
      <x v="262"/>
    </i>
    <i>
      <x v="131"/>
    </i>
    <i>
      <x v="263"/>
    </i>
    <i>
      <x v="133"/>
    </i>
    <i>
      <x v="264"/>
    </i>
    <i>
      <x v="135"/>
    </i>
    <i>
      <x v="265"/>
    </i>
    <i>
      <x v="140"/>
    </i>
    <i>
      <x v="267"/>
    </i>
    <i>
      <x v="143"/>
    </i>
    <i>
      <x v="268"/>
    </i>
    <i>
      <x v="145"/>
    </i>
    <i>
      <x v="269"/>
    </i>
    <i>
      <x v="147"/>
    </i>
    <i>
      <x v="270"/>
    </i>
    <i>
      <x v="149"/>
    </i>
    <i>
      <x v="271"/>
    </i>
    <i>
      <x v="152"/>
    </i>
    <i>
      <x v="274"/>
    </i>
    <i>
      <x v="154"/>
    </i>
    <i>
      <x v="275"/>
    </i>
    <i>
      <x v="156"/>
    </i>
    <i>
      <x v="276"/>
    </i>
    <i>
      <x v="160"/>
    </i>
    <i>
      <x v="277"/>
    </i>
    <i>
      <x v="163"/>
    </i>
    <i>
      <x v="279"/>
    </i>
    <i>
      <x v="165"/>
    </i>
    <i>
      <x v="280"/>
    </i>
    <i>
      <x v="169"/>
    </i>
    <i>
      <x v="281"/>
    </i>
    <i>
      <x v="172"/>
    </i>
    <i>
      <x v="282"/>
    </i>
    <i>
      <x v="175"/>
    </i>
    <i>
      <x v="283"/>
    </i>
    <i>
      <x v="177"/>
    </i>
    <i>
      <x v="284"/>
    </i>
    <i>
      <x v="179"/>
    </i>
    <i>
      <x v="287"/>
    </i>
    <i>
      <x v="181"/>
    </i>
    <i>
      <x v="288"/>
    </i>
    <i>
      <x v="183"/>
    </i>
    <i>
      <x v="289"/>
    </i>
    <i>
      <x v="185"/>
    </i>
    <i>
      <x v="290"/>
    </i>
    <i>
      <x v="187"/>
    </i>
    <i>
      <x v="291"/>
    </i>
    <i>
      <x v="189"/>
    </i>
    <i>
      <x v="292"/>
    </i>
    <i>
      <x v="192"/>
    </i>
    <i>
      <x v="294"/>
    </i>
    <i>
      <x v="195"/>
    </i>
    <i>
      <x v="295"/>
    </i>
    <i>
      <x v="197"/>
    </i>
    <i>
      <x v="297"/>
    </i>
    <i>
      <x v="199"/>
    </i>
    <i>
      <x v="298"/>
    </i>
    <i>
      <x v="201"/>
    </i>
    <i>
      <x v="300"/>
    </i>
    <i>
      <x v="203"/>
    </i>
    <i>
      <x v="302"/>
    </i>
    <i>
      <x v="205"/>
    </i>
    <i>
      <x v="303"/>
    </i>
    <i>
      <x/>
    </i>
    <i>
      <x v="307"/>
    </i>
    <i>
      <x v="7"/>
    </i>
    <i>
      <x v="309"/>
    </i>
    <i>
      <x v="11"/>
    </i>
    <i>
      <x v="311"/>
    </i>
    <i>
      <x v="21"/>
    </i>
    <i>
      <x v="313"/>
    </i>
    <i>
      <x v="25"/>
    </i>
    <i>
      <x v="314"/>
    </i>
    <i>
      <x v="29"/>
    </i>
    <i>
      <x v="315"/>
    </i>
    <i>
      <x v="37"/>
    </i>
    <i>
      <x v="316"/>
    </i>
    <i>
      <x v="41"/>
    </i>
    <i>
      <x v="319"/>
    </i>
    <i>
      <x v="45"/>
    </i>
    <i>
      <x v="320"/>
    </i>
    <i>
      <x v="53"/>
    </i>
    <i>
      <x v="321"/>
    </i>
    <i>
      <x v="63"/>
    </i>
    <i>
      <x v="324"/>
    </i>
    <i>
      <x v="68"/>
    </i>
    <i>
      <x v="325"/>
    </i>
    <i>
      <x v="72"/>
    </i>
    <i>
      <x v="327"/>
    </i>
    <i>
      <x v="78"/>
    </i>
    <i>
      <x v="328"/>
    </i>
    <i>
      <x v="83"/>
    </i>
    <i>
      <x v="329"/>
    </i>
    <i>
      <x v="87"/>
    </i>
    <i>
      <x v="330"/>
    </i>
    <i>
      <x v="92"/>
    </i>
    <i>
      <x v="331"/>
    </i>
    <i>
      <x v="98"/>
    </i>
    <i>
      <x v="332"/>
    </i>
    <i>
      <x v="109"/>
    </i>
    <i>
      <x v="333"/>
    </i>
    <i>
      <x v="115"/>
    </i>
    <i>
      <x v="334"/>
    </i>
    <i>
      <x v="123"/>
    </i>
    <i>
      <x v="337"/>
    </i>
    <i>
      <x v="128"/>
    </i>
    <i>
      <x v="338"/>
    </i>
    <i>
      <x v="132"/>
    </i>
    <i>
      <x v="339"/>
    </i>
    <i>
      <x v="137"/>
    </i>
    <i>
      <x v="341"/>
    </i>
    <i>
      <x v="144"/>
    </i>
    <i>
      <x v="346"/>
    </i>
    <i>
      <x v="148"/>
    </i>
    <i>
      <x v="348"/>
    </i>
    <i>
      <x v="153"/>
    </i>
    <i>
      <x v="350"/>
    </i>
    <i>
      <x v="159"/>
    </i>
    <i>
      <x v="351"/>
    </i>
    <i>
      <x v="164"/>
    </i>
    <i>
      <x v="353"/>
    </i>
    <i>
      <x v="170"/>
    </i>
    <i>
      <x v="355"/>
    </i>
    <i>
      <x v="176"/>
    </i>
    <i>
      <x v="356"/>
    </i>
    <i>
      <x v="180"/>
    </i>
    <i>
      <x v="357"/>
    </i>
    <i>
      <x v="184"/>
    </i>
    <i>
      <x v="358"/>
    </i>
    <i>
      <x v="188"/>
    </i>
    <i>
      <x v="359"/>
    </i>
    <i>
      <x v="193"/>
    </i>
    <i>
      <x v="360"/>
    </i>
    <i>
      <x v="198"/>
    </i>
    <i>
      <x v="361"/>
    </i>
    <i>
      <x v="202"/>
    </i>
    <i>
      <x v="362"/>
    </i>
    <i>
      <x v="206"/>
    </i>
    <i>
      <x v="364"/>
    </i>
    <i>
      <x v="9"/>
    </i>
    <i>
      <x v="365"/>
    </i>
    <i>
      <x v="23"/>
    </i>
    <i>
      <x v="366"/>
    </i>
    <i>
      <x v="32"/>
    </i>
    <i>
      <x v="367"/>
    </i>
    <i>
      <x v="43"/>
    </i>
    <i>
      <x v="369"/>
    </i>
    <i>
      <x v="60"/>
    </i>
    <i>
      <x v="370"/>
    </i>
    <i>
      <x v="70"/>
    </i>
    <i>
      <x v="375"/>
    </i>
    <i>
      <x v="81"/>
    </i>
    <i>
      <x v="376"/>
    </i>
    <i>
      <x v="89"/>
    </i>
    <i>
      <x v="377"/>
    </i>
    <i>
      <x v="107"/>
    </i>
    <i>
      <x v="378"/>
    </i>
    <i>
      <x v="120"/>
    </i>
    <i>
      <x v="380"/>
    </i>
    <i>
      <x v="130"/>
    </i>
    <i>
      <x v="381"/>
    </i>
    <i>
      <x v="142"/>
    </i>
    <i>
      <x v="383"/>
    </i>
    <i>
      <x v="151"/>
    </i>
    <i>
      <x v="384"/>
    </i>
    <i>
      <x v="161"/>
    </i>
    <i>
      <x v="385"/>
    </i>
    <i>
      <x v="173"/>
    </i>
    <i>
      <x v="386"/>
    </i>
    <i>
      <x v="182"/>
    </i>
    <i>
      <x v="387"/>
    </i>
    <i>
      <x v="190"/>
    </i>
    <i>
      <x v="388"/>
    </i>
    <i>
      <x v="200"/>
    </i>
    <i>
      <x v="390"/>
    </i>
    <i>
      <x v="415"/>
    </i>
    <i>
      <x v="391"/>
    </i>
    <i>
      <x v="27"/>
    </i>
    <i>
      <x v="392"/>
    </i>
    <i>
      <x v="49"/>
    </i>
    <i>
      <x v="393"/>
    </i>
    <i>
      <x v="74"/>
    </i>
    <i>
      <x v="395"/>
    </i>
    <i>
      <x v="96"/>
    </i>
    <i>
      <x v="396"/>
    </i>
    <i>
      <x v="125"/>
    </i>
    <i>
      <x v="397"/>
    </i>
    <i>
      <x v="146"/>
    </i>
    <i>
      <x v="398"/>
    </i>
    <i>
      <x v="168"/>
    </i>
    <i>
      <x v="399"/>
    </i>
    <i>
      <x v="186"/>
    </i>
    <i>
      <x v="400"/>
    </i>
    <i>
      <x v="204"/>
    </i>
    <i>
      <x v="402"/>
    </i>
    <i>
      <x v="39"/>
    </i>
    <i>
      <x v="403"/>
    </i>
    <i>
      <x v="85"/>
    </i>
    <i>
      <x v="404"/>
    </i>
    <i>
      <x v="134"/>
    </i>
    <i>
      <x v="405"/>
    </i>
    <i>
      <x v="178"/>
    </i>
    <i>
      <x v="407"/>
    </i>
    <i>
      <x v="15"/>
    </i>
    <i>
      <x v="408"/>
    </i>
    <i>
      <x v="113"/>
    </i>
    <i>
      <x v="409"/>
    </i>
    <i>
      <x v="196"/>
    </i>
    <i>
      <x v="411"/>
    </i>
    <i>
      <x v="155"/>
    </i>
    <i>
      <x v="413"/>
    </i>
    <i>
      <x v="65"/>
    </i>
    <i>
      <x v="414"/>
    </i>
    <i>
      <x v="3"/>
    </i>
    <i>
      <x v="191"/>
    </i>
    <i>
      <x v="286"/>
    </i>
    <i>
      <x v="58"/>
    </i>
    <i>
      <x v="51"/>
    </i>
    <i>
      <x v="162"/>
    </i>
    <i>
      <x v="122"/>
    </i>
    <i>
      <x v="194"/>
    </i>
    <i>
      <x v="66"/>
    </i>
    <i>
      <x v="111"/>
    </i>
    <i>
      <x v="347"/>
    </i>
    <i>
      <x v="389"/>
    </i>
    <i>
      <x v="126"/>
    </i>
    <i>
      <x v="112"/>
    </i>
    <i>
      <x v="363"/>
    </i>
    <i>
      <x v="322"/>
    </i>
    <i>
      <x v="102"/>
    </i>
    <i>
      <x v="61"/>
    </i>
    <i>
      <x v="105"/>
    </i>
    <i>
      <x v="394"/>
    </i>
    <i>
      <x v="372"/>
    </i>
    <i>
      <x v="138"/>
    </i>
    <i>
      <x v="308"/>
    </i>
    <i>
      <x v="234"/>
    </i>
    <i>
      <x v="57"/>
    </i>
    <i>
      <x v="12"/>
    </i>
    <i>
      <x v="349"/>
    </i>
    <i>
      <x v="237"/>
    </i>
    <i>
      <x v="354"/>
    </i>
    <i>
      <x v="278"/>
    </i>
    <i>
      <x v="46"/>
    </i>
    <i>
      <x v="141"/>
    </i>
    <i>
      <x v="299"/>
    </i>
    <i>
      <x v="336"/>
    </i>
    <i>
      <x v="305"/>
    </i>
    <i>
      <x v="75"/>
    </i>
    <i>
      <x v="56"/>
    </i>
    <i>
      <x v="116"/>
    </i>
    <i>
      <x v="245"/>
    </i>
    <i>
      <x v="117"/>
    </i>
    <i>
      <x v="100"/>
    </i>
    <i>
      <x v="340"/>
    </i>
    <i>
      <x v="306"/>
    </i>
    <i>
      <x v="410"/>
    </i>
    <i>
      <x v="6"/>
    </i>
    <i>
      <x v="13"/>
    </i>
    <i>
      <x v="312"/>
    </i>
    <i>
      <x v="345"/>
    </i>
    <i>
      <x v="368"/>
    </i>
    <i>
      <x v="19"/>
    </i>
    <i>
      <x v="47"/>
    </i>
    <i>
      <x v="272"/>
    </i>
    <i>
      <x v="253"/>
    </i>
    <i>
      <x v="301"/>
    </i>
    <i>
      <x v="158"/>
    </i>
    <i>
      <x v="379"/>
    </i>
    <i>
      <x v="216"/>
    </i>
    <i>
      <x v="412"/>
    </i>
    <i>
      <x v="166"/>
    </i>
    <i>
      <x v="236"/>
    </i>
    <i>
      <x v="248"/>
    </i>
    <i>
      <x v="296"/>
    </i>
    <i>
      <x v="406"/>
    </i>
    <i>
      <x v="374"/>
    </i>
    <i>
      <x v="207"/>
    </i>
    <i>
      <x v="344"/>
    </i>
    <i>
      <x v="343"/>
    </i>
    <i>
      <x v="31"/>
    </i>
    <i>
      <x v="285"/>
    </i>
    <i>
      <x v="226"/>
    </i>
    <i>
      <x v="171"/>
    </i>
    <i>
      <x v="259"/>
    </i>
    <i>
      <x v="373"/>
    </i>
    <i>
      <x v="80"/>
    </i>
    <i>
      <x v="119"/>
    </i>
    <i>
      <x v="401"/>
    </i>
    <i>
      <x v="34"/>
    </i>
    <i>
      <x v="382"/>
    </i>
    <i>
      <x v="310"/>
    </i>
    <i>
      <x v="106"/>
    </i>
    <i>
      <x v="20"/>
    </i>
    <i>
      <x v="342"/>
    </i>
    <i>
      <x v="293"/>
    </i>
    <i>
      <x v="90"/>
    </i>
    <i>
      <x v="335"/>
    </i>
    <i>
      <x v="101"/>
    </i>
    <i>
      <x v="222"/>
    </i>
    <i>
      <x v="317"/>
    </i>
    <i>
      <x v="371"/>
    </i>
    <i>
      <x v="18"/>
    </i>
    <i>
      <x v="17"/>
    </i>
    <i>
      <x v="104"/>
    </i>
    <i>
      <x v="174"/>
    </i>
    <i>
      <x v="266"/>
    </i>
    <i>
      <x v="273"/>
    </i>
    <i>
      <x v="304"/>
    </i>
    <i>
      <x v="326"/>
    </i>
    <i>
      <x v="59"/>
    </i>
    <i>
      <x v="77"/>
    </i>
    <i>
      <x v="52"/>
    </i>
    <i>
      <x v="36"/>
    </i>
    <i>
      <x v="55"/>
    </i>
    <i>
      <x v="103"/>
    </i>
    <i>
      <x v="93"/>
    </i>
    <i>
      <x v="139"/>
    </i>
    <i>
      <x v="323"/>
    </i>
    <i>
      <x v="352"/>
    </i>
    <i>
      <x v="157"/>
    </i>
    <i>
      <x v="150"/>
    </i>
    <i>
      <x v="33"/>
    </i>
    <i>
      <x v="95"/>
    </i>
    <i>
      <x v="318"/>
    </i>
    <i>
      <x v="136"/>
    </i>
    <i>
      <x v="167"/>
    </i>
    <i t="grand">
      <x/>
    </i>
  </rowItems>
  <colItems count="1">
    <i/>
  </colItems>
  <dataFields count="1">
    <dataField name="Count" fld="0" subtotal="count" baseField="0" baseItem="0"/>
  </dataFields>
  <formats count="4">
    <format dxfId="16">
      <pivotArea field="0" type="button" dataOnly="0" labelOnly="1" outline="0" axis="axisRow" fieldPosition="0"/>
    </format>
    <format dxfId="15">
      <pivotArea dataOnly="0" labelOnly="1" outline="0" axis="axisValues" fieldPosition="0"/>
    </format>
    <format dxfId="14">
      <pivotArea field="0" type="button" dataOnly="0" labelOnly="1" outline="0" axis="axisRow" fieldPosition="0"/>
    </format>
    <format dxfId="1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FB20A09-E338-42EB-88F2-D87A705CB4CE}" name="Date" cacheId="5" applyNumberFormats="0" applyBorderFormats="0" applyFontFormats="0" applyPatternFormats="0" applyAlignmentFormats="0" applyWidthHeightFormats="1" dataCaption="Values" missingCaption="0" updatedVersion="8" minRefreshableVersion="3" rowGrandTotals="0" colGrandTotals="0" itemPrintTitles="1" createdVersion="8" indent="0" outline="1" outlineData="1" multipleFieldFilters="0" chartFormat="2" rowHeaderCaption="Date">
  <location ref="A2:B129" firstHeaderRow="1" firstDataRow="1" firstDataCol="1"/>
  <pivotFields count="1">
    <pivotField name="Pub Date (R/E)" axis="axisRow" dataField="1" showAll="0" sortType="ascending">
      <items count="129">
        <item x="116"/>
        <item x="47"/>
        <item x="120"/>
        <item x="105"/>
        <item x="123"/>
        <item x="103"/>
        <item x="89"/>
        <item x="108"/>
        <item x="127"/>
        <item x="121"/>
        <item x="98"/>
        <item x="102"/>
        <item x="97"/>
        <item x="41"/>
        <item x="100"/>
        <item x="107"/>
        <item x="29"/>
        <item x="94"/>
        <item x="113"/>
        <item x="55"/>
        <item x="119"/>
        <item x="76"/>
        <item x="75"/>
        <item x="126"/>
        <item x="68"/>
        <item x="78"/>
        <item x="85"/>
        <item x="81"/>
        <item x="77"/>
        <item x="80"/>
        <item x="70"/>
        <item x="79"/>
        <item x="84"/>
        <item x="82"/>
        <item x="83"/>
        <item x="58"/>
        <item x="61"/>
        <item x="67"/>
        <item x="36"/>
        <item x="124"/>
        <item x="37"/>
        <item x="32"/>
        <item x="109"/>
        <item x="117"/>
        <item x="64"/>
        <item x="66"/>
        <item x="50"/>
        <item x="53"/>
        <item x="63"/>
        <item x="33"/>
        <item x="92"/>
        <item x="2"/>
        <item x="69"/>
        <item x="30"/>
        <item x="54"/>
        <item x="35"/>
        <item x="34"/>
        <item x="71"/>
        <item x="87"/>
        <item x="21"/>
        <item x="104"/>
        <item x="26"/>
        <item x="28"/>
        <item x="62"/>
        <item x="22"/>
        <item x="65"/>
        <item x="43"/>
        <item x="99"/>
        <item x="56"/>
        <item x="96"/>
        <item x="25"/>
        <item x="46"/>
        <item x="52"/>
        <item x="122"/>
        <item x="23"/>
        <item x="17"/>
        <item x="3"/>
        <item x="48"/>
        <item x="14"/>
        <item x="72"/>
        <item x="11"/>
        <item x="24"/>
        <item x="110"/>
        <item x="20"/>
        <item x="27"/>
        <item x="10"/>
        <item x="115"/>
        <item x="12"/>
        <item x="114"/>
        <item x="13"/>
        <item x="40"/>
        <item x="9"/>
        <item x="1"/>
        <item x="101"/>
        <item x="7"/>
        <item x="5"/>
        <item x="8"/>
        <item x="42"/>
        <item x="90"/>
        <item x="19"/>
        <item x="125"/>
        <item x="15"/>
        <item x="73"/>
        <item x="6"/>
        <item x="49"/>
        <item x="74"/>
        <item x="16"/>
        <item x="31"/>
        <item x="0"/>
        <item x="118"/>
        <item x="59"/>
        <item x="38"/>
        <item x="112"/>
        <item x="39"/>
        <item x="51"/>
        <item x="44"/>
        <item x="57"/>
        <item x="45"/>
        <item x="86"/>
        <item x="88"/>
        <item x="111"/>
        <item x="93"/>
        <item x="60"/>
        <item x="91"/>
        <item x="95"/>
        <item x="106"/>
        <item h="1" x="18"/>
        <item x="4"/>
        <item t="default"/>
      </items>
    </pivotField>
  </pivotFields>
  <rowFields count="1">
    <field x="0"/>
  </rowFields>
  <rowItems count="12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7"/>
    </i>
  </rowItems>
  <colItems count="1">
    <i/>
  </colItems>
  <dataFields count="1">
    <dataField name="Count" fld="0" subtotal="count" baseField="0" baseItem="0"/>
  </dataFields>
  <formats count="9">
    <format dxfId="8">
      <pivotArea type="all" dataOnly="0" outline="0" fieldPosition="0"/>
    </format>
    <format dxfId="7">
      <pivotArea outline="0" collapsedLevelsAreSubtotals="1" fieldPosition="0"/>
    </format>
    <format dxfId="6">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
      <pivotArea dataOnly="0" labelOnly="1"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
      <pivotArea dataOnly="0" labelOnly="1" fieldPosition="0">
        <references count="1">
          <reference field="0" count="28">
            <x v="100"/>
            <x v="101"/>
            <x v="102"/>
            <x v="103"/>
            <x v="104"/>
            <x v="105"/>
            <x v="106"/>
            <x v="107"/>
            <x v="108"/>
            <x v="109"/>
            <x v="110"/>
            <x v="111"/>
            <x v="112"/>
            <x v="113"/>
            <x v="114"/>
            <x v="115"/>
            <x v="116"/>
            <x v="117"/>
            <x v="118"/>
            <x v="119"/>
            <x v="120"/>
            <x v="121"/>
            <x v="122"/>
            <x v="123"/>
            <x v="124"/>
            <x v="125"/>
            <x v="126"/>
            <x v="127"/>
          </reference>
        </references>
      </pivotArea>
    </format>
    <format dxfId="3">
      <pivotArea field="0" type="button" dataOnly="0" labelOnly="1" outline="0" axis="axisRow" fieldPosition="0"/>
    </format>
    <format dxfId="2">
      <pivotArea dataOnly="0" labelOnly="1" outline="0" axis="axisValues" fieldPosition="0"/>
    </format>
    <format dxfId="1">
      <pivotArea field="0" type="button" dataOnly="0" labelOnly="1" outline="0" axis="axisRow"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extLst>
        <x:ext xmlns:xlrvr="http://schemas.microsoft.com/office/spreadsheetml/2020/richvaluerefresh" uri="{6D21E516-79A1-49C6-A8DF-7D825B72F6C7}">
          <xlrvr:refreshIntervals>
            <xlrvr:refreshInterval resourceIdInt="268435456" interval="-1"/>
          </xlrvr:refreshIntervals>
        </x:ext>
      </extLst>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8">
  <rv s="0">
    <v>en-US</v>
    <v>av554c</v>
    <v>268435456</v>
    <v>1</v>
    <v>Powered by Refinitiv</v>
    <v>0</v>
    <v>CNY/USD</v>
    <v>2</v>
    <v>3</v>
    <v>Finance</v>
    <v>4</v>
    <v>0.1426</v>
    <v>0.13600000000000001</v>
    <v>-1.01E-4</v>
    <v>-7.2599999999999997E-4</v>
    <v>USD</v>
    <v>CNY</v>
    <v>0.13919999999999999</v>
    <v>Currency Pair</v>
    <v>45819.635428240741</v>
    <v>0.13900000000000001</v>
    <v>Chinese Renminbi/US Dollar FX Cross Rate</v>
    <v>0.13919999999999999</v>
    <v>0.1391</v>
    <v>0.13900000000000001</v>
    <v>CNYUSD</v>
    <v>CNY/USD</v>
  </rv>
  <rv s="1">
    <v>0</v>
  </rv>
  <rv s="0">
    <v>en-US</v>
    <v>ave8h7</v>
    <v>268435456</v>
    <v>1</v>
    <v>Powered by Refinitiv</v>
    <v>0</v>
    <v>JPY/USD</v>
    <v>2</v>
    <v>3</v>
    <v>Finance</v>
    <v>4</v>
    <v>7.1640000000000002E-3</v>
    <v>6.1710000000000003E-3</v>
    <v>1.5E-5</v>
    <v>2.173E-3</v>
    <v>USD</v>
    <v>JPY</v>
    <v>6.9290000000000003E-3</v>
    <v>Currency Pair</v>
    <v>45819.807812500003</v>
    <v>6.875E-3</v>
    <v>Japanese Yen/US Dollar FX Cross Rate</v>
    <v>6.9020000000000001E-3</v>
    <v>6.9020000000000001E-3</v>
    <v>6.9170000000000004E-3</v>
    <v>JPYUSD</v>
    <v>JPY/USD</v>
  </rv>
  <rv s="1">
    <v>2</v>
  </rv>
  <rv s="0">
    <v>en-US</v>
    <v>avffww</v>
    <v>268435456</v>
    <v>1</v>
    <v>Powered by Refinitiv</v>
    <v>0</v>
    <v>KRW/USD</v>
    <v>2</v>
    <v>3</v>
    <v>Finance</v>
    <v>4</v>
    <v>7.674E-4</v>
    <v>6.7139999999999995E-4</v>
    <v>-2.4700000000000001E-6</v>
    <v>-3.3750000000000004E-3</v>
    <v>USD</v>
    <v>KRW</v>
    <v>7.3410000000000001E-4</v>
    <v>Currency Pair</v>
    <v>45819.80777777778</v>
    <v>7.27E-4</v>
    <v>Korean Won/US Dollar FX Cross Rate</v>
    <v>7.3180000000000001E-4</v>
    <v>7.3180000000000001E-4</v>
    <v>7.293E-4</v>
    <v>KRWUSD</v>
    <v>KRW/USD</v>
  </rv>
  <rv s="1">
    <v>4</v>
  </rv>
  <rv s="2">
    <v>13</v>
    <v>3</v>
  </rv>
  <rv s="3">
    <v>13</v>
    <v>1</v>
  </rv>
</rvData>
</file>

<file path=xl/richData/rdrichvaluestructure.xml><?xml version="1.0" encoding="utf-8"?>
<rvStructures xmlns="http://schemas.microsoft.com/office/spreadsheetml/2017/richdata" count="4">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s t="_error">
    <k n="errorType" t="i"/>
    <k n="subType" t="i"/>
  </s>
  <s t="_error">
    <k n="errorType" t="i"/>
    <k n="propagated" t="b"/>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14" formatCode="0.00%"/>
    </x:dxf>
    <x:dxf>
      <x:numFmt numFmtId="27" formatCode="m/d/yyyy\ h:mm"/>
    </x:dxf>
    <x:dxf>
      <x:numFmt numFmtId="2" formatCode="0.00"/>
    </x:dxf>
    <x:dxf>
      <x:numFmt numFmtId="0" formatCode="General"/>
    </x:dxf>
  </dxfs>
  <richProperties>
    <rPr n="NumberFormat" t="s"/>
    <rPr n="IsTitleField" t="b"/>
  </richProperties>
  <richStyles>
    <rSty dxfid="3">
      <rpv i="0">_([$$-en-US]* #,##0.00_);_([$$-en-US]* (#,##0.00);_([$$-en-US]* "-"??_);_(@_)</rpv>
    </rSty>
    <rSty>
      <rpv i="1">1</rpv>
    </rSty>
    <rSty dxfid="0"/>
    <rSty dxfid="1"/>
    <rSty dxfid="2">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E65F65-5377-4A7E-B217-D704A8BCB5C9}" name="Items" displayName="Items" ref="A6:AL20" totalsRowShown="0" headerRowDxfId="118" dataDxfId="117" totalsRowDxfId="115" tableBorderDxfId="116">
  <sortState xmlns:xlrd2="http://schemas.microsoft.com/office/spreadsheetml/2017/richdata2" ref="A7:AL719">
    <sortCondition ref="A6:A719"/>
  </sortState>
  <tableColumns count="38">
    <tableColumn id="1" xr3:uid="{9614FE12-DDE3-4658-BB5C-3790FDA4CA1E}" name="Key" dataDxfId="114" totalsRowDxfId="113"/>
    <tableColumn id="3" xr3:uid="{F5F7EA66-F652-44FD-846B-2AC9004B44E8}" name="b" dataDxfId="112" totalsRowDxfId="111"/>
    <tableColumn id="4" xr3:uid="{7ED5634A-7499-4F90-B398-991E9087845A}" name="c" dataDxfId="110" totalsRowDxfId="109"/>
    <tableColumn id="5" xr3:uid="{05390AD2-16F4-4059-9EC1-9DB8BABA9589}" name="d" dataDxfId="108" totalsRowDxfId="107"/>
    <tableColumn id="6" xr3:uid="{B88028C5-3589-42A9-B6E1-C17CA88ABF54}" name="e" dataDxfId="106" totalsRowDxfId="105"/>
    <tableColumn id="2" xr3:uid="{7472E7A9-48A1-451C-ACC6-FE4F4ADB634B}" name="f" dataDxfId="104"/>
    <tableColumn id="7" xr3:uid="{B0A58398-4734-453B-AB74-9798875B58D3}" name="Note" dataDxfId="103" totalsRowDxfId="102"/>
    <tableColumn id="8" xr3:uid="{91621521-2753-4CB8-990A-9F6A0A95136D}" name="URL for Price Check" dataDxfId="101" totalsRowDxfId="100" dataCellStyle="Hyperlink"/>
    <tableColumn id="9" xr3:uid="{1FA1C650-423E-4F2D-B066-A715EF81E5CD}" name="Collection" dataDxfId="99" totalsRowDxfId="98"/>
    <tableColumn id="29" xr3:uid="{1C1DDA57-C323-4045-B17B-6E210E55A46C}" name="Volume" dataDxfId="97" totalsRowDxfId="96"/>
    <tableColumn id="37" xr3:uid="{0D275AE0-EB59-4221-9A50-16FA2D311587}" name="上中下" dataDxfId="95" totalsRowDxfId="94"/>
    <tableColumn id="36" xr3:uid="{BD716038-9B67-4468-82AB-85959294AC9A}" name="Issue" dataDxfId="93" totalsRowDxfId="92" dataCellStyle="Normal"/>
    <tableColumn id="32" xr3:uid="{F7939973-496D-4DCB-9E9E-D6FF1192276C}" name="Total_x000a_Vols" dataDxfId="91" totalsRowDxfId="90" dataCellStyle="Normal"/>
    <tableColumn id="11" xr3:uid="{D3C50C1B-01FD-4E1B-9610-2D31E6B75826}" name="Dupe ISBN Check" dataDxfId="89" totalsRowDxfId="88" dataCellStyle="Hyperlink"/>
    <tableColumn id="12" xr3:uid="{F2B2B7FE-B2B5-4214-AD49-D341F32A2B94}" name="Dupe_x000a_Title_x000a_Check" dataDxfId="87" totalsRowDxfId="86" dataCellStyle="Hyperlink"/>
    <tableColumn id="13" xr3:uid="{429BD2EA-38F2-407B-BBE9-79AA93DB2C44}" name="Dupe Check in FS" dataDxfId="85" totalsRowDxfId="84" dataCellStyle="Hyperlink"/>
    <tableColumn id="39" xr3:uid="{C8E96D9D-7888-4648-B871-180A645DE408}" name="Other Libraries with Item" dataDxfId="83" totalsRowDxfId="82"/>
    <tableColumn id="14" xr3:uid="{D156B14D-92D9-45A3-887E-78A53D0E8B30}" name="ISBN13#" dataDxfId="81"/>
    <tableColumn id="15" xr3:uid="{DA840261-3E3F-4844-A880-B31B08AF53BE}" name="ISBN10#/_x000a_ISSN#" dataDxfId="80"/>
    <tableColumn id="16" xr3:uid="{332EEF99-E176-4E36-BEEC-6E80DDAD02AA}" name="OCLC#" dataDxfId="79"/>
    <tableColumn id="26" xr3:uid="{221EB7AB-15B6-400D-AE8E-9C7CB640C9DE}" name="Langauge" dataDxfId="78"/>
    <tableColumn id="10" xr3:uid="{53DB3937-2DFC-43E2-9FA0-212E69917B9C}" name="Translated Title (Unofficial)" dataDxfId="77"/>
    <tableColumn id="17" xr3:uid="{6FB0E9B4-7739-40E9-AABE-2A708B24127C}" name="Title (R/E)" dataDxfId="76" totalsRowDxfId="75"/>
    <tableColumn id="18" xr3:uid="{3EDCF2D5-B97D-42B7-84BB-BADE92DD2203}" name="Title (N)" dataDxfId="74" totalsRowDxfId="73"/>
    <tableColumn id="24" xr3:uid="{C9090E37-8A5A-4A19-99CE-804DDB463BBE}" name="Pub Date (R/E)" dataDxfId="72" totalsRowDxfId="71"/>
    <tableColumn id="33" xr3:uid="{587AA795-5405-4AE0-9D8F-0C91B2CD058B}" name="Pub Date (N)" dataDxfId="70" totalsRowDxfId="69"/>
    <tableColumn id="19" xr3:uid="{400A357F-1C85-4210-8A49-19592F5C22B5}" name="Creator (R/E)" dataDxfId="68" totalsRowDxfId="67"/>
    <tableColumn id="20" xr3:uid="{10CB944A-D42B-4B46-8D6D-D28637C62523}" name="Creator (N)" dataDxfId="66" totalsRowDxfId="65"/>
    <tableColumn id="21" xr3:uid="{5C689999-31A1-4D67-A8DC-669DDDBA1742}" name="Series (R/E)" dataDxfId="64" totalsRowDxfId="63"/>
    <tableColumn id="31" xr3:uid="{CA1B767F-0962-48E4-BEE1-B15EC26D1715}" name="Series (N)" dataDxfId="62" totalsRowDxfId="61"/>
    <tableColumn id="22" xr3:uid="{B3232837-6A18-499E-B869-5C97A3D21E44}" name="Publisher (R/E)" dataDxfId="60" totalsRowDxfId="59"/>
    <tableColumn id="23" xr3:uid="{E7827A9D-AC91-42A0-9B12-1EEA44B48B82}" name="Publisher (N)" dataDxfId="58" totalsRowDxfId="57"/>
    <tableColumn id="35" xr3:uid="{C115858A-FCA3-45BF-8DE7-0E2D38C1E430}" name="Edition (RE)" dataDxfId="56" totalsRowDxfId="55"/>
    <tableColumn id="34" xr3:uid="{A800B91E-C5CB-46CB-B9CA-5DB0D3DC8C8C}" name="Edition (N)" dataDxfId="54" totalsRowDxfId="53"/>
    <tableColumn id="30" xr3:uid="{D7F9A062-636E-443B-A156-587E13FAE709}" name="Subject Headings" dataDxfId="52" totalsRowDxfId="51"/>
    <tableColumn id="25" xr3:uid="{19D048D7-856B-4C41-BA3A-2BE33B8FAB4E}" name="Your Currency" dataDxfId="50"/>
    <tableColumn id="27" xr3:uid="{218AF755-0E38-4632-9A45-F957B7AA6311}" name="Currency" dataDxfId="49" totalsRowDxfId="48"/>
    <tableColumn id="28" xr3:uid="{CDE12DEF-5D2B-4591-9886-0DC02F0598BF}" name="Local Currency" dataDxfId="47" totalsRowDxfId="46"/>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CDDC7C1-EF88-41E3-BEAA-C99467B293F7}" name="Convert" displayName="Convert" ref="AN6:AP9" totalsRowShown="0" headerRowDxfId="45" dataDxfId="44">
  <autoFilter ref="AN6:AP9" xr:uid="{ACDDC7C1-EF88-41E3-BEAA-C99467B293F7}"/>
  <tableColumns count="3">
    <tableColumn id="3" xr3:uid="{44E70E39-F2EA-4661-9E54-FFF638A1E776}" name="Code" dataDxfId="43"/>
    <tableColumn id="1" xr3:uid="{B0A73247-FD96-46C3-9CE6-225138BB9504}" name="Conversion" dataDxfId="42"/>
    <tableColumn id="2" xr3:uid="{C218EA6A-4428-4837-9E41-F780DF818C19}" name="Exchange Rate" dataDxfId="41">
      <calculatedColumnFormula array="1">_FV(AO7,"Price",TRUE)</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3.xml"/><Relationship Id="rId7" Type="http://schemas.openxmlformats.org/officeDocument/2006/relationships/ctrlProp" Target="../ctrlProps/ctrlProp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vmlDrawing" Target="../drawings/vmlDrawing3.vml"/><Relationship Id="rId9"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4.xml"/><Relationship Id="rId7" Type="http://schemas.openxmlformats.org/officeDocument/2006/relationships/ctrlProp" Target="../ctrlProps/ctrlProp14.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vmlDrawing" Target="../drawings/vmlDrawing4.vml"/><Relationship Id="rId9"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ivotTable" Target="../pivotTables/pivotTable6.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hyperlink" Target="https://experts.colorado.edu/display/fisid_152869" TargetMode="External"/><Relationship Id="rId7" Type="http://schemas.openxmlformats.org/officeDocument/2006/relationships/drawing" Target="../drawings/drawing6.xml"/><Relationship Id="rId2" Type="http://schemas.openxmlformats.org/officeDocument/2006/relationships/hyperlink" Target="mailto:adam.lisbon@colorado.edu" TargetMode="External"/><Relationship Id="rId1" Type="http://schemas.openxmlformats.org/officeDocument/2006/relationships/hyperlink" Target="https://creativecommons.org/licenses/by-nc/4.0/" TargetMode="External"/><Relationship Id="rId6" Type="http://schemas.openxmlformats.org/officeDocument/2006/relationships/printerSettings" Target="../printerSettings/printerSettings6.bin"/><Relationship Id="rId5" Type="http://schemas.openxmlformats.org/officeDocument/2006/relationships/hyperlink" Target="https://github.com/ahlisbon/CJKmaterialProcessing" TargetMode="External"/><Relationship Id="rId4" Type="http://schemas.openxmlformats.org/officeDocument/2006/relationships/hyperlink" Target="https://www.linkedin.com/in/adam-lisbon-90a7b31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24AE2-E503-4F77-89AA-40CB8D53A080}">
  <sheetPr codeName="Items">
    <tabColor rgb="FF7030A0"/>
    <pageSetUpPr autoPageBreaks="0"/>
  </sheetPr>
  <dimension ref="A1:AR1266"/>
  <sheetViews>
    <sheetView tabSelected="1" topLeftCell="X1" zoomScaleNormal="100" workbookViewId="0">
      <pane ySplit="6" topLeftCell="A7" activePane="bottomLeft" state="frozen"/>
      <selection pane="bottomLeft" activeCell="AK7" sqref="AK7"/>
    </sheetView>
  </sheetViews>
  <sheetFormatPr defaultColWidth="9.140625" defaultRowHeight="17.100000000000001" customHeight="1" x14ac:dyDescent="0.25"/>
  <cols>
    <col min="1" max="1" width="7.7109375" style="199" customWidth="1"/>
    <col min="2" max="2" width="2.7109375" style="63" customWidth="1"/>
    <col min="3" max="6" width="2.7109375" style="48" customWidth="1"/>
    <col min="7" max="7" width="20.7109375" style="64" customWidth="1"/>
    <col min="8" max="8" width="7.7109375" style="184" customWidth="1"/>
    <col min="9" max="9" width="8.7109375" style="26" customWidth="1"/>
    <col min="10" max="10" width="7.7109375" style="28" customWidth="1"/>
    <col min="11" max="11" width="4.7109375" style="24" customWidth="1"/>
    <col min="12" max="12" width="4.7109375" style="117" customWidth="1"/>
    <col min="13" max="13" width="7.7109375" style="117" customWidth="1"/>
    <col min="14" max="14" width="7.7109375" style="185" customWidth="1"/>
    <col min="15" max="15" width="7.7109375" style="192" customWidth="1"/>
    <col min="16" max="16" width="7.7109375" style="189" customWidth="1"/>
    <col min="17" max="17" width="7.7109375" style="114" customWidth="1"/>
    <col min="18" max="18" width="16.7109375" style="25" customWidth="1"/>
    <col min="19" max="19" width="14.7109375" style="24" customWidth="1"/>
    <col min="20" max="20" width="14.7109375" style="74" customWidth="1"/>
    <col min="21" max="21" width="10.7109375" style="21" customWidth="1"/>
    <col min="22" max="22" width="15.7109375" style="26" customWidth="1"/>
    <col min="23" max="23" width="15.7109375" style="100" customWidth="1"/>
    <col min="24" max="24" width="15.7109375" style="26" customWidth="1"/>
    <col min="25" max="25" width="11.7109375" style="24" customWidth="1"/>
    <col min="26" max="26" width="11.7109375" style="97" customWidth="1"/>
    <col min="27" max="27" width="15.7109375" style="26" customWidth="1"/>
    <col min="28" max="32" width="15.7109375" style="93" customWidth="1"/>
    <col min="33" max="34" width="15.7109375" style="115" customWidth="1"/>
    <col min="35" max="35" width="15.7109375" style="93" customWidth="1"/>
    <col min="36" max="36" width="12.7109375" style="118" customWidth="1"/>
    <col min="37" max="37" width="5.7109375" style="24" customWidth="1"/>
    <col min="38" max="38" width="10.7109375" style="119" customWidth="1"/>
    <col min="39" max="39" width="3.7109375" style="96" customWidth="1"/>
    <col min="40" max="40" width="6.7109375" style="24" customWidth="1"/>
    <col min="41" max="41" width="12.7109375" style="112" customWidth="1"/>
    <col min="42" max="42" width="12.7109375" style="96" customWidth="1"/>
    <col min="43" max="43" width="3.7109375" style="95" customWidth="1"/>
    <col min="44" max="44" width="14.28515625" style="89" customWidth="1"/>
    <col min="45" max="48" width="12.7109375" style="1" customWidth="1"/>
    <col min="49" max="16384" width="9.140625" style="1"/>
  </cols>
  <sheetData>
    <row r="1" spans="1:44" s="26" customFormat="1" ht="20.100000000000001" customHeight="1" x14ac:dyDescent="0.25">
      <c r="A1" s="49" t="s">
        <v>1326</v>
      </c>
      <c r="B1" s="49"/>
      <c r="C1" s="49"/>
      <c r="D1" s="49"/>
      <c r="E1" s="49"/>
      <c r="F1" s="49"/>
      <c r="G1" s="49"/>
      <c r="H1" s="53"/>
      <c r="I1" s="59" t="s">
        <v>0</v>
      </c>
      <c r="J1" s="49"/>
      <c r="K1" s="49"/>
      <c r="L1" s="53"/>
      <c r="M1" s="53"/>
      <c r="N1" s="53"/>
      <c r="O1" s="53"/>
      <c r="P1" s="53"/>
      <c r="Q1" s="49"/>
      <c r="R1" s="49"/>
      <c r="S1" s="217" t="s">
        <v>1243</v>
      </c>
      <c r="T1" s="49"/>
      <c r="U1" s="49"/>
      <c r="V1" s="49"/>
      <c r="W1" s="49"/>
      <c r="X1" s="49"/>
      <c r="Y1" s="49"/>
      <c r="Z1" s="49"/>
      <c r="AA1" s="49"/>
      <c r="AB1" s="49"/>
      <c r="AC1" s="49"/>
      <c r="AD1" s="49"/>
      <c r="AE1" s="49"/>
      <c r="AF1" s="49"/>
      <c r="AG1" s="49"/>
      <c r="AH1" s="49"/>
      <c r="AI1" s="49"/>
      <c r="AJ1" s="214" t="s">
        <v>1</v>
      </c>
      <c r="AK1" s="215"/>
      <c r="AL1" s="216"/>
      <c r="AM1" s="46"/>
      <c r="AN1" s="93"/>
      <c r="AO1" s="48"/>
      <c r="AP1" s="48"/>
      <c r="AQ1" s="48"/>
      <c r="AR1" s="48"/>
    </row>
    <row r="2" spans="1:44" s="26" customFormat="1" ht="20.100000000000001" customHeight="1" x14ac:dyDescent="0.25">
      <c r="A2" s="181"/>
      <c r="B2" s="51"/>
      <c r="C2" s="51"/>
      <c r="D2" s="51"/>
      <c r="E2" s="51"/>
      <c r="F2" s="51"/>
      <c r="G2" s="51"/>
      <c r="H2" s="54"/>
      <c r="I2" s="60" t="s">
        <v>0</v>
      </c>
      <c r="J2" s="50"/>
      <c r="K2" s="50"/>
      <c r="L2" s="121"/>
      <c r="M2" s="54"/>
      <c r="N2" s="54"/>
      <c r="O2" s="54"/>
      <c r="P2" s="54"/>
      <c r="Q2" s="51"/>
      <c r="R2" s="50"/>
      <c r="S2" s="218"/>
      <c r="T2" s="50"/>
      <c r="U2" s="51"/>
      <c r="V2" s="51"/>
      <c r="W2" s="50"/>
      <c r="X2" s="50"/>
      <c r="Y2" s="50"/>
      <c r="Z2" s="50"/>
      <c r="AA2" s="51"/>
      <c r="AB2" s="50"/>
      <c r="AC2" s="50"/>
      <c r="AD2" s="50"/>
      <c r="AE2" s="50"/>
      <c r="AF2" s="50"/>
      <c r="AG2" s="50"/>
      <c r="AH2" s="50"/>
      <c r="AI2" s="50"/>
      <c r="AJ2" s="176">
        <f>SUM(AJ7:AJ20)</f>
        <v>0</v>
      </c>
      <c r="AK2" s="116"/>
      <c r="AL2" s="120"/>
      <c r="AM2" s="46"/>
      <c r="AN2" s="93"/>
      <c r="AO2" s="48"/>
      <c r="AP2" s="48"/>
      <c r="AQ2" s="48"/>
      <c r="AR2" s="48"/>
    </row>
    <row r="3" spans="1:44" s="26" customFormat="1" ht="20.100000000000001" customHeight="1" x14ac:dyDescent="0.25">
      <c r="A3" s="168" t="s">
        <v>2</v>
      </c>
      <c r="B3" s="168"/>
      <c r="C3" s="168"/>
      <c r="D3" s="168"/>
      <c r="E3" s="168"/>
      <c r="F3" s="168"/>
      <c r="G3" s="168"/>
      <c r="H3" s="126"/>
      <c r="I3" s="61" t="s">
        <v>0</v>
      </c>
      <c r="J3" s="167" t="s">
        <v>3</v>
      </c>
      <c r="K3" s="168"/>
      <c r="L3" s="168"/>
      <c r="M3" s="127"/>
      <c r="N3" s="129" t="s">
        <v>4</v>
      </c>
      <c r="O3" s="128"/>
      <c r="P3" s="128"/>
      <c r="Q3" s="169"/>
      <c r="R3" s="43" t="s">
        <v>5</v>
      </c>
      <c r="S3" s="43"/>
      <c r="T3" s="43"/>
      <c r="U3" s="167" t="s">
        <v>6</v>
      </c>
      <c r="V3" s="168"/>
      <c r="W3" s="98" t="s">
        <v>7</v>
      </c>
      <c r="X3" s="168"/>
      <c r="Y3" s="168"/>
      <c r="Z3" s="168"/>
      <c r="AA3" s="168"/>
      <c r="AB3" s="168"/>
      <c r="AC3" s="168"/>
      <c r="AD3" s="168"/>
      <c r="AE3" s="168"/>
      <c r="AF3" s="168"/>
      <c r="AG3" s="168"/>
      <c r="AH3" s="168"/>
      <c r="AI3" s="168"/>
      <c r="AJ3" s="167" t="s">
        <v>8</v>
      </c>
      <c r="AK3" s="168"/>
      <c r="AL3" s="45"/>
      <c r="AM3" s="46"/>
      <c r="AN3" s="208" t="s">
        <v>9</v>
      </c>
      <c r="AO3" s="209"/>
      <c r="AP3" s="210"/>
      <c r="AQ3" s="48"/>
      <c r="AR3" s="140" t="s">
        <v>10</v>
      </c>
    </row>
    <row r="4" spans="1:44" s="24" customFormat="1" ht="14.1" customHeight="1" x14ac:dyDescent="0.25">
      <c r="A4" s="56" t="s">
        <v>11</v>
      </c>
      <c r="B4" s="56" t="s">
        <v>12</v>
      </c>
      <c r="C4" s="56" t="s">
        <v>13</v>
      </c>
      <c r="D4" s="56" t="s">
        <v>14</v>
      </c>
      <c r="E4" s="56" t="s">
        <v>15</v>
      </c>
      <c r="F4" s="56" t="s">
        <v>16</v>
      </c>
      <c r="G4" s="122" t="s">
        <v>17</v>
      </c>
      <c r="H4" s="122">
        <v>8</v>
      </c>
      <c r="I4" s="122">
        <v>9</v>
      </c>
      <c r="J4" s="123" t="s">
        <v>18</v>
      </c>
      <c r="K4" s="122" t="s">
        <v>19</v>
      </c>
      <c r="L4" s="124" t="s">
        <v>20</v>
      </c>
      <c r="M4" s="125" t="s">
        <v>21</v>
      </c>
      <c r="N4" s="122" t="s">
        <v>22</v>
      </c>
      <c r="O4" s="122" t="s">
        <v>23</v>
      </c>
      <c r="P4" s="122" t="s">
        <v>24</v>
      </c>
      <c r="Q4" s="105" t="s">
        <v>25</v>
      </c>
      <c r="R4" s="57" t="s">
        <v>26</v>
      </c>
      <c r="S4" s="56" t="s">
        <v>27</v>
      </c>
      <c r="T4" s="56" t="s">
        <v>28</v>
      </c>
      <c r="U4" s="57" t="s">
        <v>29</v>
      </c>
      <c r="V4" s="56" t="s">
        <v>30</v>
      </c>
      <c r="W4" s="94" t="s">
        <v>31</v>
      </c>
      <c r="X4" s="56" t="s">
        <v>32</v>
      </c>
      <c r="Y4" s="56" t="s">
        <v>33</v>
      </c>
      <c r="Z4" s="56" t="s">
        <v>34</v>
      </c>
      <c r="AA4" s="56" t="s">
        <v>35</v>
      </c>
      <c r="AB4" s="56" t="s">
        <v>36</v>
      </c>
      <c r="AC4" s="56" t="s">
        <v>37</v>
      </c>
      <c r="AD4" s="56" t="s">
        <v>38</v>
      </c>
      <c r="AE4" s="56" t="s">
        <v>39</v>
      </c>
      <c r="AF4" s="56" t="s">
        <v>40</v>
      </c>
      <c r="AG4" s="56" t="s">
        <v>41</v>
      </c>
      <c r="AH4" s="56" t="s">
        <v>42</v>
      </c>
      <c r="AI4" s="56" t="s">
        <v>43</v>
      </c>
      <c r="AJ4" s="57" t="s">
        <v>44</v>
      </c>
      <c r="AK4" s="56" t="s">
        <v>45</v>
      </c>
      <c r="AL4" s="62" t="s">
        <v>46</v>
      </c>
      <c r="AM4" s="47"/>
      <c r="AN4" s="211" t="s">
        <v>47</v>
      </c>
      <c r="AO4" s="212"/>
      <c r="AP4" s="213"/>
      <c r="AQ4" s="135"/>
      <c r="AR4" s="141"/>
    </row>
    <row r="5" spans="1:44" s="24" customFormat="1" ht="14.1" customHeight="1" x14ac:dyDescent="0.25">
      <c r="A5" s="56" t="s">
        <v>48</v>
      </c>
      <c r="B5" s="56" t="s">
        <v>49</v>
      </c>
      <c r="C5" s="56" t="s">
        <v>49</v>
      </c>
      <c r="D5" s="56" t="s">
        <v>49</v>
      </c>
      <c r="E5" s="56" t="s">
        <v>49</v>
      </c>
      <c r="F5" s="56" t="s">
        <v>49</v>
      </c>
      <c r="G5" s="122" t="s">
        <v>50</v>
      </c>
      <c r="H5" s="122" t="s">
        <v>51</v>
      </c>
      <c r="I5" s="122" t="s">
        <v>50</v>
      </c>
      <c r="J5" s="123" t="s">
        <v>51</v>
      </c>
      <c r="K5" s="122" t="s">
        <v>49</v>
      </c>
      <c r="L5" s="124" t="s">
        <v>49</v>
      </c>
      <c r="M5" s="125" t="s">
        <v>51</v>
      </c>
      <c r="N5" s="122" t="s">
        <v>51</v>
      </c>
      <c r="O5" s="122" t="s">
        <v>51</v>
      </c>
      <c r="P5" s="122" t="s">
        <v>51</v>
      </c>
      <c r="Q5" s="105" t="s">
        <v>51</v>
      </c>
      <c r="R5" s="57" t="s">
        <v>51</v>
      </c>
      <c r="S5" s="56" t="s">
        <v>51</v>
      </c>
      <c r="T5" s="56" t="s">
        <v>51</v>
      </c>
      <c r="U5" s="57" t="s">
        <v>51</v>
      </c>
      <c r="V5" s="56" t="s">
        <v>51</v>
      </c>
      <c r="W5" s="94" t="s">
        <v>52</v>
      </c>
      <c r="X5" s="56" t="s">
        <v>51</v>
      </c>
      <c r="Y5" s="56" t="s">
        <v>51</v>
      </c>
      <c r="Z5" s="56" t="s">
        <v>51</v>
      </c>
      <c r="AA5" s="56" t="s">
        <v>51</v>
      </c>
      <c r="AB5" s="56" t="s">
        <v>51</v>
      </c>
      <c r="AC5" s="56" t="s">
        <v>51</v>
      </c>
      <c r="AD5" s="56" t="s">
        <v>51</v>
      </c>
      <c r="AE5" s="56" t="s">
        <v>51</v>
      </c>
      <c r="AF5" s="56" t="s">
        <v>51</v>
      </c>
      <c r="AG5" s="56" t="s">
        <v>51</v>
      </c>
      <c r="AH5" s="56" t="s">
        <v>51</v>
      </c>
      <c r="AI5" s="56" t="s">
        <v>51</v>
      </c>
      <c r="AJ5" s="57" t="s">
        <v>53</v>
      </c>
      <c r="AK5" s="56" t="s">
        <v>53</v>
      </c>
      <c r="AL5" s="62" t="s">
        <v>51</v>
      </c>
      <c r="AM5" s="47"/>
      <c r="AN5" s="211"/>
      <c r="AO5" s="212"/>
      <c r="AP5" s="213"/>
      <c r="AR5" s="141"/>
    </row>
    <row r="6" spans="1:44" s="148" customFormat="1" ht="39.950000000000003" customHeight="1" x14ac:dyDescent="0.25">
      <c r="A6" s="42" t="s">
        <v>54</v>
      </c>
      <c r="B6" s="22" t="s">
        <v>55</v>
      </c>
      <c r="C6" s="39" t="s">
        <v>56</v>
      </c>
      <c r="D6" s="22" t="s">
        <v>57</v>
      </c>
      <c r="E6" s="39" t="s">
        <v>58</v>
      </c>
      <c r="F6" s="22" t="s">
        <v>59</v>
      </c>
      <c r="G6" s="39" t="s">
        <v>60</v>
      </c>
      <c r="H6" s="130" t="s">
        <v>61</v>
      </c>
      <c r="I6" s="39" t="s">
        <v>62</v>
      </c>
      <c r="J6" s="55" t="s">
        <v>63</v>
      </c>
      <c r="K6" s="39" t="s">
        <v>64</v>
      </c>
      <c r="L6" s="22" t="s">
        <v>65</v>
      </c>
      <c r="M6" s="42" t="s">
        <v>66</v>
      </c>
      <c r="N6" s="130" t="s">
        <v>67</v>
      </c>
      <c r="O6" s="131" t="s">
        <v>68</v>
      </c>
      <c r="P6" s="130" t="s">
        <v>69</v>
      </c>
      <c r="Q6" s="106" t="s">
        <v>70</v>
      </c>
      <c r="R6" s="55" t="s">
        <v>1244</v>
      </c>
      <c r="S6" s="41" t="s">
        <v>71</v>
      </c>
      <c r="T6" s="3" t="s">
        <v>72</v>
      </c>
      <c r="U6" s="40" t="s">
        <v>73</v>
      </c>
      <c r="V6" s="22" t="s">
        <v>74</v>
      </c>
      <c r="W6" s="101" t="s">
        <v>75</v>
      </c>
      <c r="X6" s="22" t="s">
        <v>76</v>
      </c>
      <c r="Y6" s="101" t="s">
        <v>1325</v>
      </c>
      <c r="Z6" s="150" t="s">
        <v>77</v>
      </c>
      <c r="AA6" s="39" t="s">
        <v>78</v>
      </c>
      <c r="AB6" s="22" t="s">
        <v>79</v>
      </c>
      <c r="AC6" s="101" t="s">
        <v>80</v>
      </c>
      <c r="AD6" s="150" t="s">
        <v>81</v>
      </c>
      <c r="AE6" s="39" t="s">
        <v>82</v>
      </c>
      <c r="AF6" s="22" t="s">
        <v>83</v>
      </c>
      <c r="AG6" s="101" t="s">
        <v>84</v>
      </c>
      <c r="AH6" s="150" t="s">
        <v>85</v>
      </c>
      <c r="AI6" s="39" t="s">
        <v>86</v>
      </c>
      <c r="AJ6" s="103" t="s">
        <v>87</v>
      </c>
      <c r="AK6" s="102" t="s">
        <v>88</v>
      </c>
      <c r="AL6" s="104" t="s">
        <v>89</v>
      </c>
      <c r="AM6" s="144"/>
      <c r="AN6" s="145" t="s">
        <v>90</v>
      </c>
      <c r="AO6" s="146" t="s">
        <v>91</v>
      </c>
      <c r="AP6" s="147" t="s">
        <v>92</v>
      </c>
      <c r="AR6" s="149" t="s">
        <v>87</v>
      </c>
    </row>
    <row r="7" spans="1:44" ht="17.100000000000001" customHeight="1" x14ac:dyDescent="0.25">
      <c r="A7" s="196"/>
      <c r="H7" s="58"/>
      <c r="L7" s="24"/>
      <c r="M7" s="24"/>
      <c r="N7" s="91"/>
      <c r="O7" s="189"/>
      <c r="Q7" s="113"/>
      <c r="S7" s="44"/>
      <c r="T7" s="200"/>
      <c r="W7" s="99"/>
      <c r="X7" s="23"/>
      <c r="Y7" s="44"/>
      <c r="Z7" s="151"/>
      <c r="AA7" s="23"/>
      <c r="AB7" s="88"/>
      <c r="AC7" s="88"/>
      <c r="AD7" s="88"/>
      <c r="AE7" s="88"/>
      <c r="AF7" s="88"/>
      <c r="AG7" s="64"/>
      <c r="AH7" s="64"/>
      <c r="AI7" s="88"/>
      <c r="AJ7" s="134"/>
      <c r="AK7" s="193"/>
      <c r="AL7" s="72"/>
      <c r="AM7" s="92"/>
      <c r="AN7" s="136" t="s">
        <v>98</v>
      </c>
      <c r="AO7" s="132" t="e" vm="1">
        <v>#VALUE!</v>
      </c>
      <c r="AP7" s="133" cm="1">
        <f t="array" aca="1" ref="AP7" ca="1">_FV(AO7,"Price",TRUE)</f>
        <v>0.13900000000000001</v>
      </c>
      <c r="AQ7" s="1"/>
      <c r="AR7" s="138" t="s">
        <v>99</v>
      </c>
    </row>
    <row r="8" spans="1:44" ht="17.100000000000001" customHeight="1" x14ac:dyDescent="0.25">
      <c r="A8" s="196"/>
      <c r="H8" s="58"/>
      <c r="L8" s="24"/>
      <c r="M8" s="24"/>
      <c r="N8" s="91"/>
      <c r="O8" s="189"/>
      <c r="Q8" s="113"/>
      <c r="S8" s="44"/>
      <c r="T8" s="200"/>
      <c r="W8" s="99"/>
      <c r="X8" s="23"/>
      <c r="Y8" s="44"/>
      <c r="Z8" s="151"/>
      <c r="AA8" s="23"/>
      <c r="AB8" s="88"/>
      <c r="AC8" s="88"/>
      <c r="AD8" s="88"/>
      <c r="AE8" s="88"/>
      <c r="AF8" s="88"/>
      <c r="AG8" s="64"/>
      <c r="AH8" s="64"/>
      <c r="AI8" s="88"/>
      <c r="AJ8" s="134"/>
      <c r="AK8" s="193"/>
      <c r="AL8" s="72"/>
      <c r="AM8" s="92"/>
      <c r="AN8" s="136" t="s">
        <v>103</v>
      </c>
      <c r="AO8" s="132" t="e" vm="2">
        <v>#VALUE!</v>
      </c>
      <c r="AP8" s="133" cm="1">
        <f t="array" aca="1" ref="AP8" ca="1">_FV(AO8,"Price",TRUE)</f>
        <v>6.9170000000000004E-3</v>
      </c>
      <c r="AQ8" s="1"/>
      <c r="AR8" s="1"/>
    </row>
    <row r="9" spans="1:44" ht="17.100000000000001" customHeight="1" x14ac:dyDescent="0.25">
      <c r="A9" s="196"/>
      <c r="H9" s="58"/>
      <c r="L9" s="24"/>
      <c r="M9" s="24"/>
      <c r="N9" s="91"/>
      <c r="O9" s="189"/>
      <c r="Q9" s="113"/>
      <c r="S9" s="44"/>
      <c r="T9" s="200"/>
      <c r="W9" s="99"/>
      <c r="X9" s="23"/>
      <c r="Y9" s="44"/>
      <c r="Z9" s="151"/>
      <c r="AA9" s="23"/>
      <c r="AB9" s="88"/>
      <c r="AC9" s="88"/>
      <c r="AD9" s="88"/>
      <c r="AE9" s="88"/>
      <c r="AF9" s="88"/>
      <c r="AG9" s="64"/>
      <c r="AH9" s="64"/>
      <c r="AI9" s="88"/>
      <c r="AJ9" s="134"/>
      <c r="AK9" s="193"/>
      <c r="AL9" s="72"/>
      <c r="AM9" s="92"/>
      <c r="AN9" s="136" t="s">
        <v>104</v>
      </c>
      <c r="AO9" s="132" t="e" vm="3">
        <v>#VALUE!</v>
      </c>
      <c r="AP9" s="133" cm="1">
        <f t="array" aca="1" ref="AP9" ca="1">_FV(AO9,"Price",TRUE)</f>
        <v>7.293E-4</v>
      </c>
      <c r="AQ9" s="1"/>
      <c r="AR9" s="1"/>
    </row>
    <row r="10" spans="1:44" ht="17.100000000000001" customHeight="1" x14ac:dyDescent="0.25">
      <c r="A10" s="196"/>
      <c r="H10" s="58"/>
      <c r="L10" s="24"/>
      <c r="M10" s="24"/>
      <c r="N10" s="91"/>
      <c r="O10" s="189"/>
      <c r="Q10" s="113"/>
      <c r="S10" s="44"/>
      <c r="T10" s="200"/>
      <c r="W10" s="99"/>
      <c r="X10" s="23"/>
      <c r="Y10" s="44"/>
      <c r="Z10" s="151"/>
      <c r="AA10" s="23"/>
      <c r="AB10" s="88"/>
      <c r="AC10" s="88"/>
      <c r="AD10" s="88"/>
      <c r="AE10" s="88"/>
      <c r="AF10" s="88"/>
      <c r="AG10" s="64"/>
      <c r="AH10" s="64"/>
      <c r="AI10" s="88"/>
      <c r="AJ10" s="134"/>
      <c r="AK10" s="193"/>
      <c r="AL10" s="72"/>
      <c r="AM10" s="92"/>
      <c r="AN10" s="139"/>
      <c r="AO10" s="132"/>
      <c r="AP10" s="132"/>
      <c r="AQ10" s="1"/>
      <c r="AR10" s="1"/>
    </row>
    <row r="11" spans="1:44" ht="17.100000000000001" customHeight="1" x14ac:dyDescent="0.25">
      <c r="A11" s="196"/>
      <c r="H11" s="58"/>
      <c r="L11" s="24"/>
      <c r="M11" s="24"/>
      <c r="N11" s="91"/>
      <c r="O11" s="189"/>
      <c r="Q11" s="113"/>
      <c r="S11" s="44"/>
      <c r="T11" s="200"/>
      <c r="W11" s="99"/>
      <c r="X11" s="23"/>
      <c r="Y11" s="44"/>
      <c r="Z11" s="151"/>
      <c r="AA11" s="23"/>
      <c r="AB11" s="88"/>
      <c r="AC11" s="88"/>
      <c r="AD11" s="88"/>
      <c r="AE11" s="88"/>
      <c r="AF11" s="88"/>
      <c r="AG11" s="64"/>
      <c r="AH11" s="64"/>
      <c r="AI11" s="88"/>
      <c r="AJ11" s="134"/>
      <c r="AK11" s="193"/>
      <c r="AL11" s="72"/>
      <c r="AM11" s="92"/>
      <c r="AN11" s="137"/>
      <c r="AO11" s="27"/>
      <c r="AP11" s="27"/>
      <c r="AQ11" s="1"/>
      <c r="AR11" s="1"/>
    </row>
    <row r="12" spans="1:44" ht="17.100000000000001" customHeight="1" x14ac:dyDescent="0.25">
      <c r="A12" s="196"/>
      <c r="H12" s="58"/>
      <c r="L12" s="24"/>
      <c r="M12" s="24"/>
      <c r="N12" s="91"/>
      <c r="O12" s="189"/>
      <c r="Q12" s="113"/>
      <c r="S12" s="44"/>
      <c r="T12" s="200"/>
      <c r="W12" s="99"/>
      <c r="X12" s="23"/>
      <c r="Y12" s="44"/>
      <c r="Z12" s="151"/>
      <c r="AA12" s="23"/>
      <c r="AB12" s="88"/>
      <c r="AC12" s="88"/>
      <c r="AD12" s="64"/>
      <c r="AE12" s="88"/>
      <c r="AF12" s="88"/>
      <c r="AG12" s="88"/>
      <c r="AH12" s="88"/>
      <c r="AI12" s="88"/>
      <c r="AJ12" s="134"/>
      <c r="AK12" s="193"/>
      <c r="AL12" s="72"/>
      <c r="AM12" s="92"/>
      <c r="AN12" s="137"/>
      <c r="AO12" s="27"/>
      <c r="AP12" s="27"/>
      <c r="AQ12" s="1"/>
      <c r="AR12" s="1"/>
    </row>
    <row r="13" spans="1:44" ht="17.100000000000001" customHeight="1" x14ac:dyDescent="0.25">
      <c r="A13" s="196"/>
      <c r="H13" s="58"/>
      <c r="L13" s="24"/>
      <c r="M13" s="24"/>
      <c r="N13" s="91"/>
      <c r="O13" s="189"/>
      <c r="Q13" s="113"/>
      <c r="S13" s="44"/>
      <c r="T13" s="200"/>
      <c r="W13" s="99"/>
      <c r="X13" s="23"/>
      <c r="Y13" s="44"/>
      <c r="Z13" s="151"/>
      <c r="AA13" s="23"/>
      <c r="AB13" s="88"/>
      <c r="AC13" s="88"/>
      <c r="AD13" s="88"/>
      <c r="AE13" s="88"/>
      <c r="AF13" s="88"/>
      <c r="AG13" s="64"/>
      <c r="AH13" s="64"/>
      <c r="AI13" s="88"/>
      <c r="AJ13" s="134"/>
      <c r="AK13" s="193"/>
      <c r="AL13" s="72"/>
      <c r="AM13" s="92"/>
      <c r="AN13" s="137"/>
      <c r="AO13" s="27"/>
      <c r="AP13" s="27"/>
      <c r="AQ13" s="1"/>
      <c r="AR13" s="1"/>
    </row>
    <row r="14" spans="1:44" ht="17.100000000000001" customHeight="1" x14ac:dyDescent="0.25">
      <c r="A14" s="196"/>
      <c r="H14" s="58"/>
      <c r="L14" s="24"/>
      <c r="M14" s="24"/>
      <c r="N14" s="91"/>
      <c r="O14" s="189"/>
      <c r="Q14" s="113"/>
      <c r="S14" s="44"/>
      <c r="T14" s="200"/>
      <c r="W14" s="99"/>
      <c r="X14" s="23"/>
      <c r="Y14" s="44"/>
      <c r="Z14" s="151"/>
      <c r="AA14" s="23"/>
      <c r="AB14" s="88"/>
      <c r="AC14" s="88"/>
      <c r="AD14" s="88"/>
      <c r="AE14" s="88"/>
      <c r="AF14" s="88"/>
      <c r="AG14" s="64"/>
      <c r="AH14" s="64"/>
      <c r="AI14" s="88"/>
      <c r="AJ14" s="134"/>
      <c r="AK14" s="193"/>
      <c r="AL14" s="72"/>
      <c r="AM14" s="92"/>
      <c r="AN14" s="137"/>
      <c r="AO14" s="27"/>
      <c r="AP14" s="27"/>
      <c r="AQ14" s="1"/>
      <c r="AR14" s="1"/>
    </row>
    <row r="15" spans="1:44" ht="17.100000000000001" customHeight="1" x14ac:dyDescent="0.25">
      <c r="A15" s="196"/>
      <c r="H15" s="58"/>
      <c r="L15" s="24"/>
      <c r="M15" s="24"/>
      <c r="N15" s="91"/>
      <c r="O15" s="189"/>
      <c r="Q15" s="113"/>
      <c r="S15" s="44"/>
      <c r="T15" s="200"/>
      <c r="W15" s="99"/>
      <c r="X15" s="23"/>
      <c r="Y15" s="44"/>
      <c r="Z15" s="151"/>
      <c r="AA15" s="23"/>
      <c r="AB15" s="88"/>
      <c r="AC15" s="88"/>
      <c r="AD15" s="88"/>
      <c r="AE15" s="88"/>
      <c r="AF15" s="88"/>
      <c r="AG15" s="64"/>
      <c r="AH15" s="64"/>
      <c r="AI15" s="88"/>
      <c r="AJ15" s="134"/>
      <c r="AK15" s="193"/>
      <c r="AL15" s="72"/>
      <c r="AM15" s="92"/>
      <c r="AN15" s="137"/>
      <c r="AO15" s="27"/>
      <c r="AP15" s="27"/>
      <c r="AQ15" s="1"/>
      <c r="AR15" s="1"/>
    </row>
    <row r="16" spans="1:44" ht="17.100000000000001" customHeight="1" x14ac:dyDescent="0.25">
      <c r="A16" s="196"/>
      <c r="H16" s="58"/>
      <c r="L16" s="24"/>
      <c r="M16" s="24"/>
      <c r="N16" s="91"/>
      <c r="O16" s="189"/>
      <c r="Q16" s="113"/>
      <c r="S16" s="44"/>
      <c r="T16" s="200"/>
      <c r="W16" s="99"/>
      <c r="X16" s="23"/>
      <c r="Y16" s="44"/>
      <c r="Z16" s="151"/>
      <c r="AA16" s="23"/>
      <c r="AB16" s="88"/>
      <c r="AC16" s="88"/>
      <c r="AD16" s="88"/>
      <c r="AE16" s="88"/>
      <c r="AF16" s="88"/>
      <c r="AG16" s="64"/>
      <c r="AH16" s="64"/>
      <c r="AI16" s="88"/>
      <c r="AJ16" s="134"/>
      <c r="AK16" s="193"/>
      <c r="AL16" s="72"/>
      <c r="AM16" s="92"/>
      <c r="AN16" s="137"/>
      <c r="AO16" s="27"/>
      <c r="AP16" s="27"/>
      <c r="AQ16" s="1"/>
      <c r="AR16" s="1"/>
    </row>
    <row r="17" spans="1:38" ht="17.100000000000001" customHeight="1" x14ac:dyDescent="0.25">
      <c r="A17" s="196"/>
      <c r="H17" s="58"/>
      <c r="L17" s="24"/>
      <c r="M17" s="24"/>
      <c r="N17" s="91"/>
      <c r="O17" s="189"/>
      <c r="Q17" s="113"/>
      <c r="S17" s="44"/>
      <c r="T17" s="200"/>
      <c r="W17" s="99"/>
      <c r="X17" s="23"/>
      <c r="Y17" s="44"/>
      <c r="Z17" s="151"/>
      <c r="AA17" s="23"/>
      <c r="AB17" s="88"/>
      <c r="AC17" s="88"/>
      <c r="AD17" s="88"/>
      <c r="AE17" s="88"/>
      <c r="AF17" s="88"/>
      <c r="AG17" s="64"/>
      <c r="AH17" s="64"/>
      <c r="AI17" s="88"/>
      <c r="AJ17" s="134"/>
      <c r="AK17" s="193"/>
      <c r="AL17" s="72"/>
    </row>
    <row r="18" spans="1:38" ht="17.100000000000001" customHeight="1" x14ac:dyDescent="0.25">
      <c r="A18" s="196"/>
      <c r="H18" s="58"/>
      <c r="L18" s="24"/>
      <c r="M18" s="24"/>
      <c r="N18" s="91"/>
      <c r="O18" s="189"/>
      <c r="Q18" s="113"/>
      <c r="S18" s="44"/>
      <c r="T18" s="200"/>
      <c r="W18" s="99"/>
      <c r="X18" s="23"/>
      <c r="Y18" s="44"/>
      <c r="Z18" s="151"/>
      <c r="AA18" s="23"/>
      <c r="AB18" s="88"/>
      <c r="AC18" s="88"/>
      <c r="AD18" s="88"/>
      <c r="AE18" s="88"/>
      <c r="AF18" s="88"/>
      <c r="AG18" s="64"/>
      <c r="AH18" s="64"/>
      <c r="AI18" s="88"/>
      <c r="AJ18" s="134"/>
      <c r="AK18" s="193"/>
      <c r="AL18" s="72"/>
    </row>
    <row r="19" spans="1:38" ht="17.100000000000001" customHeight="1" x14ac:dyDescent="0.25">
      <c r="A19" s="196"/>
      <c r="H19" s="58"/>
      <c r="L19" s="24"/>
      <c r="M19" s="24"/>
      <c r="N19" s="91"/>
      <c r="O19" s="189"/>
      <c r="Q19" s="113"/>
      <c r="S19" s="44"/>
      <c r="T19" s="200"/>
      <c r="W19" s="99"/>
      <c r="X19" s="23"/>
      <c r="Y19" s="44"/>
      <c r="Z19" s="151"/>
      <c r="AA19" s="23"/>
      <c r="AB19" s="88"/>
      <c r="AC19" s="88"/>
      <c r="AD19" s="88"/>
      <c r="AE19" s="88"/>
      <c r="AF19" s="88"/>
      <c r="AG19" s="64"/>
      <c r="AH19" s="64"/>
      <c r="AI19" s="88"/>
      <c r="AJ19" s="134"/>
      <c r="AK19" s="193"/>
      <c r="AL19" s="72"/>
    </row>
    <row r="20" spans="1:38" ht="17.100000000000001" customHeight="1" x14ac:dyDescent="0.25">
      <c r="A20" s="196"/>
      <c r="H20" s="58"/>
      <c r="L20" s="24"/>
      <c r="M20" s="24"/>
      <c r="N20" s="91"/>
      <c r="O20" s="189"/>
      <c r="Q20" s="113"/>
      <c r="S20" s="44"/>
      <c r="T20" s="200"/>
      <c r="W20" s="99"/>
      <c r="X20" s="23"/>
      <c r="Y20" s="44"/>
      <c r="Z20" s="151"/>
      <c r="AA20" s="23"/>
      <c r="AB20" s="88"/>
      <c r="AC20" s="88"/>
      <c r="AD20" s="88"/>
      <c r="AE20" s="88"/>
      <c r="AF20" s="88"/>
      <c r="AG20" s="64"/>
      <c r="AH20" s="64"/>
      <c r="AI20" s="88"/>
      <c r="AJ20" s="134"/>
      <c r="AK20" s="193"/>
      <c r="AL20" s="72"/>
    </row>
    <row r="21" spans="1:38" ht="17.100000000000001" customHeight="1" x14ac:dyDescent="0.25">
      <c r="A21" s="197"/>
      <c r="G21" s="88"/>
      <c r="H21" s="182"/>
      <c r="L21" s="24"/>
      <c r="M21" s="24"/>
      <c r="O21" s="189"/>
      <c r="P21" s="204"/>
      <c r="Q21" s="142"/>
      <c r="T21" s="201"/>
      <c r="Z21" s="151"/>
      <c r="AB21" s="64"/>
      <c r="AC21" s="64"/>
      <c r="AD21" s="64"/>
      <c r="AE21" s="64"/>
      <c r="AF21" s="64"/>
      <c r="AG21" s="64"/>
      <c r="AH21" s="64"/>
      <c r="AI21" s="143"/>
      <c r="AJ21" s="134"/>
      <c r="AK21" s="193"/>
      <c r="AL21" s="90"/>
    </row>
    <row r="22" spans="1:38" ht="17.100000000000001" customHeight="1" x14ac:dyDescent="0.25">
      <c r="A22" s="197"/>
      <c r="G22" s="88"/>
      <c r="H22" s="182"/>
      <c r="L22" s="24"/>
      <c r="M22" s="24"/>
      <c r="O22" s="189"/>
      <c r="P22" s="204"/>
      <c r="Q22" s="142"/>
      <c r="T22" s="201"/>
      <c r="Z22" s="151"/>
      <c r="AB22" s="64"/>
      <c r="AC22" s="64"/>
      <c r="AD22" s="64"/>
      <c r="AE22" s="64"/>
      <c r="AF22" s="64"/>
      <c r="AG22" s="64"/>
      <c r="AH22" s="64"/>
      <c r="AI22" s="143"/>
      <c r="AJ22" s="134"/>
      <c r="AK22" s="194"/>
      <c r="AL22" s="90"/>
    </row>
    <row r="23" spans="1:38" ht="17.100000000000001" customHeight="1" x14ac:dyDescent="0.25">
      <c r="A23" s="197"/>
      <c r="G23" s="88"/>
      <c r="H23" s="182"/>
      <c r="L23" s="24"/>
      <c r="M23" s="24"/>
      <c r="O23" s="189"/>
      <c r="P23" s="204"/>
      <c r="Q23" s="142"/>
      <c r="T23" s="201"/>
      <c r="Z23" s="151"/>
      <c r="AB23" s="64"/>
      <c r="AC23" s="64"/>
      <c r="AD23" s="64"/>
      <c r="AE23" s="64"/>
      <c r="AF23" s="64"/>
      <c r="AG23" s="64"/>
      <c r="AH23" s="64"/>
      <c r="AI23" s="143"/>
      <c r="AJ23" s="134"/>
      <c r="AK23" s="194"/>
      <c r="AL23" s="90"/>
    </row>
    <row r="24" spans="1:38" ht="17.100000000000001" customHeight="1" x14ac:dyDescent="0.25">
      <c r="A24" s="197"/>
      <c r="G24" s="88"/>
      <c r="H24" s="182"/>
      <c r="L24" s="24"/>
      <c r="M24" s="24"/>
      <c r="O24" s="189"/>
      <c r="P24" s="204"/>
      <c r="Q24" s="142"/>
      <c r="T24" s="201"/>
      <c r="Z24" s="151"/>
      <c r="AB24" s="64"/>
      <c r="AC24" s="64"/>
      <c r="AD24" s="64"/>
      <c r="AE24" s="64"/>
      <c r="AF24" s="64"/>
      <c r="AG24" s="64"/>
      <c r="AH24" s="64"/>
      <c r="AI24" s="143"/>
      <c r="AJ24" s="134"/>
      <c r="AK24" s="194"/>
      <c r="AL24" s="90"/>
    </row>
    <row r="25" spans="1:38" ht="17.100000000000001" customHeight="1" x14ac:dyDescent="0.25">
      <c r="A25" s="197"/>
      <c r="G25" s="88"/>
      <c r="H25" s="182"/>
      <c r="L25" s="24"/>
      <c r="M25" s="24"/>
      <c r="O25" s="189"/>
      <c r="P25" s="204"/>
      <c r="Q25" s="142"/>
      <c r="T25" s="201"/>
      <c r="Z25" s="151"/>
      <c r="AB25" s="64"/>
      <c r="AC25" s="64"/>
      <c r="AD25" s="64"/>
      <c r="AE25" s="64"/>
      <c r="AF25" s="64"/>
      <c r="AG25" s="64"/>
      <c r="AH25" s="64"/>
      <c r="AI25" s="143"/>
      <c r="AJ25" s="134"/>
      <c r="AK25" s="194"/>
      <c r="AL25" s="90"/>
    </row>
    <row r="26" spans="1:38" ht="17.100000000000001" customHeight="1" x14ac:dyDescent="0.25">
      <c r="A26" s="197"/>
      <c r="G26" s="88"/>
      <c r="H26" s="182"/>
      <c r="L26" s="24"/>
      <c r="M26" s="24"/>
      <c r="O26" s="189"/>
      <c r="P26" s="204"/>
      <c r="Q26" s="142"/>
      <c r="T26" s="201"/>
      <c r="Z26" s="151"/>
      <c r="AB26" s="64"/>
      <c r="AC26" s="64"/>
      <c r="AD26" s="64"/>
      <c r="AE26" s="64"/>
      <c r="AF26" s="64"/>
      <c r="AG26" s="64"/>
      <c r="AH26" s="64"/>
      <c r="AI26" s="143"/>
      <c r="AJ26" s="134"/>
      <c r="AK26" s="194"/>
      <c r="AL26" s="90"/>
    </row>
    <row r="27" spans="1:38" ht="17.100000000000001" customHeight="1" x14ac:dyDescent="0.25">
      <c r="A27" s="197"/>
      <c r="G27" s="88"/>
      <c r="H27" s="182"/>
      <c r="L27" s="24"/>
      <c r="M27" s="24"/>
      <c r="O27" s="189"/>
      <c r="P27" s="204"/>
      <c r="Q27" s="142"/>
      <c r="T27" s="201"/>
      <c r="Z27" s="151"/>
      <c r="AB27" s="64"/>
      <c r="AC27" s="64"/>
      <c r="AD27" s="64"/>
      <c r="AE27" s="64"/>
      <c r="AF27" s="64"/>
      <c r="AG27" s="64"/>
      <c r="AH27" s="64"/>
      <c r="AI27" s="143"/>
      <c r="AJ27" s="134"/>
      <c r="AK27" s="194"/>
      <c r="AL27" s="90"/>
    </row>
    <row r="28" spans="1:38" ht="17.100000000000001" customHeight="1" x14ac:dyDescent="0.25">
      <c r="A28" s="197"/>
      <c r="G28" s="88"/>
      <c r="H28" s="182"/>
      <c r="L28" s="24"/>
      <c r="M28" s="24"/>
      <c r="O28" s="189"/>
      <c r="P28" s="204"/>
      <c r="Q28" s="142"/>
      <c r="T28" s="201"/>
      <c r="Z28" s="151"/>
      <c r="AB28" s="64"/>
      <c r="AC28" s="64"/>
      <c r="AD28" s="64"/>
      <c r="AE28" s="64"/>
      <c r="AF28" s="64"/>
      <c r="AG28" s="64"/>
      <c r="AH28" s="64"/>
      <c r="AI28" s="143"/>
      <c r="AJ28" s="134"/>
      <c r="AK28" s="194"/>
      <c r="AL28" s="90"/>
    </row>
    <row r="29" spans="1:38" ht="17.100000000000001" customHeight="1" x14ac:dyDescent="0.25">
      <c r="A29" s="196"/>
      <c r="G29" s="88"/>
      <c r="H29" s="182"/>
      <c r="L29" s="24"/>
      <c r="M29" s="24"/>
      <c r="O29" s="189"/>
      <c r="Z29" s="151"/>
      <c r="AB29" s="64"/>
      <c r="AC29" s="64"/>
      <c r="AD29" s="64"/>
      <c r="AE29" s="64"/>
      <c r="AF29" s="64"/>
      <c r="AG29" s="64"/>
      <c r="AH29" s="64"/>
      <c r="AI29" s="64"/>
      <c r="AJ29" s="134"/>
      <c r="AK29" s="194"/>
      <c r="AL29" s="71"/>
    </row>
    <row r="30" spans="1:38" ht="17.100000000000001" customHeight="1" x14ac:dyDescent="0.25">
      <c r="A30" s="197"/>
      <c r="G30" s="88"/>
      <c r="H30" s="182"/>
      <c r="L30" s="24"/>
      <c r="M30" s="24"/>
      <c r="O30" s="189"/>
      <c r="P30" s="204"/>
      <c r="Q30" s="142"/>
      <c r="T30" s="201"/>
      <c r="Z30" s="151"/>
      <c r="AB30" s="64"/>
      <c r="AC30" s="64"/>
      <c r="AD30" s="64"/>
      <c r="AE30" s="64"/>
      <c r="AF30" s="64"/>
      <c r="AG30" s="64"/>
      <c r="AH30" s="64"/>
      <c r="AI30" s="143"/>
      <c r="AJ30" s="134"/>
      <c r="AK30" s="194"/>
      <c r="AL30" s="90"/>
    </row>
    <row r="31" spans="1:38" ht="17.100000000000001" customHeight="1" x14ac:dyDescent="0.25">
      <c r="A31" s="197"/>
      <c r="G31" s="88"/>
      <c r="H31" s="182"/>
      <c r="L31" s="24"/>
      <c r="M31" s="24"/>
      <c r="O31" s="189"/>
      <c r="P31" s="204"/>
      <c r="Q31" s="142"/>
      <c r="T31" s="201"/>
      <c r="Z31" s="151"/>
      <c r="AB31" s="64"/>
      <c r="AC31" s="64"/>
      <c r="AD31" s="64"/>
      <c r="AE31" s="64"/>
      <c r="AF31" s="64"/>
      <c r="AG31" s="64"/>
      <c r="AH31" s="64"/>
      <c r="AI31" s="143"/>
      <c r="AJ31" s="134"/>
      <c r="AK31" s="194"/>
      <c r="AL31" s="90"/>
    </row>
    <row r="32" spans="1:38" ht="17.100000000000001" customHeight="1" x14ac:dyDescent="0.25">
      <c r="A32" s="197"/>
      <c r="G32" s="88"/>
      <c r="H32" s="182"/>
      <c r="L32" s="24"/>
      <c r="M32" s="24"/>
      <c r="O32" s="189"/>
      <c r="P32" s="204"/>
      <c r="Q32" s="142"/>
      <c r="T32" s="201"/>
      <c r="Z32" s="151"/>
      <c r="AB32" s="64"/>
      <c r="AC32" s="64"/>
      <c r="AD32" s="64"/>
      <c r="AE32" s="64"/>
      <c r="AF32" s="64"/>
      <c r="AG32" s="64"/>
      <c r="AH32" s="64"/>
      <c r="AI32" s="143"/>
      <c r="AJ32" s="134"/>
      <c r="AK32" s="194"/>
      <c r="AL32" s="90"/>
    </row>
    <row r="33" spans="1:38" ht="17.100000000000001" customHeight="1" x14ac:dyDescent="0.25">
      <c r="A33" s="197"/>
      <c r="G33" s="88"/>
      <c r="H33" s="182"/>
      <c r="L33" s="24"/>
      <c r="M33" s="24"/>
      <c r="O33" s="189"/>
      <c r="P33" s="204"/>
      <c r="Q33" s="142"/>
      <c r="T33" s="201"/>
      <c r="Z33" s="151"/>
      <c r="AB33" s="64"/>
      <c r="AC33" s="64"/>
      <c r="AD33" s="64"/>
      <c r="AE33" s="64"/>
      <c r="AF33" s="64"/>
      <c r="AG33" s="64"/>
      <c r="AH33" s="64"/>
      <c r="AI33" s="143"/>
      <c r="AJ33" s="134"/>
      <c r="AK33" s="194"/>
      <c r="AL33" s="90"/>
    </row>
    <row r="34" spans="1:38" ht="17.100000000000001" customHeight="1" x14ac:dyDescent="0.25">
      <c r="A34" s="197"/>
      <c r="G34" s="88"/>
      <c r="H34" s="182"/>
      <c r="L34" s="24"/>
      <c r="M34" s="24"/>
      <c r="O34" s="189"/>
      <c r="P34" s="204"/>
      <c r="Q34" s="142"/>
      <c r="T34" s="201"/>
      <c r="Z34" s="151"/>
      <c r="AB34" s="64"/>
      <c r="AC34" s="64"/>
      <c r="AD34" s="64"/>
      <c r="AE34" s="64"/>
      <c r="AF34" s="88"/>
      <c r="AG34" s="88"/>
      <c r="AH34" s="88"/>
      <c r="AI34" s="88"/>
      <c r="AJ34" s="134"/>
      <c r="AK34" s="194"/>
      <c r="AL34" s="90"/>
    </row>
    <row r="35" spans="1:38" ht="17.100000000000001" customHeight="1" x14ac:dyDescent="0.25">
      <c r="A35" s="197"/>
      <c r="G35" s="88"/>
      <c r="H35" s="182"/>
      <c r="L35" s="24"/>
      <c r="M35" s="24"/>
      <c r="O35" s="189"/>
      <c r="P35" s="204"/>
      <c r="Q35" s="142"/>
      <c r="T35" s="201"/>
      <c r="Z35" s="151"/>
      <c r="AB35" s="64"/>
      <c r="AC35" s="64"/>
      <c r="AD35" s="64"/>
      <c r="AE35" s="64"/>
      <c r="AF35" s="64"/>
      <c r="AG35" s="64"/>
      <c r="AH35" s="64"/>
      <c r="AI35" s="143"/>
      <c r="AJ35" s="134"/>
      <c r="AK35" s="194"/>
      <c r="AL35" s="90"/>
    </row>
    <row r="36" spans="1:38" ht="17.100000000000001" customHeight="1" x14ac:dyDescent="0.25">
      <c r="A36" s="197"/>
      <c r="G36" s="88"/>
      <c r="H36" s="182"/>
      <c r="L36" s="24"/>
      <c r="M36" s="24"/>
      <c r="O36" s="189"/>
      <c r="P36" s="204"/>
      <c r="Q36" s="142"/>
      <c r="T36" s="201"/>
      <c r="Z36" s="151"/>
      <c r="AB36" s="64"/>
      <c r="AC36" s="64"/>
      <c r="AD36" s="64"/>
      <c r="AE36" s="64"/>
      <c r="AF36" s="64"/>
      <c r="AG36" s="64"/>
      <c r="AH36" s="64"/>
      <c r="AI36" s="143"/>
      <c r="AJ36" s="134"/>
      <c r="AK36" s="194"/>
      <c r="AL36" s="90"/>
    </row>
    <row r="37" spans="1:38" ht="17.100000000000001" customHeight="1" x14ac:dyDescent="0.25">
      <c r="A37" s="197"/>
      <c r="G37" s="88"/>
      <c r="H37" s="182"/>
      <c r="L37" s="24"/>
      <c r="M37" s="24"/>
      <c r="O37" s="189"/>
      <c r="P37" s="204"/>
      <c r="Q37" s="142"/>
      <c r="T37" s="201"/>
      <c r="Z37" s="151"/>
      <c r="AB37" s="64"/>
      <c r="AC37" s="64"/>
      <c r="AD37" s="64"/>
      <c r="AE37" s="64"/>
      <c r="AF37" s="64"/>
      <c r="AG37" s="64"/>
      <c r="AH37" s="64"/>
      <c r="AI37" s="143"/>
      <c r="AJ37" s="134"/>
      <c r="AK37" s="194"/>
      <c r="AL37" s="90"/>
    </row>
    <row r="38" spans="1:38" ht="17.100000000000001" customHeight="1" x14ac:dyDescent="0.25">
      <c r="A38" s="197"/>
      <c r="G38" s="88"/>
      <c r="H38" s="182"/>
      <c r="L38" s="24"/>
      <c r="M38" s="24"/>
      <c r="O38" s="189"/>
      <c r="P38" s="204"/>
      <c r="Q38" s="142"/>
      <c r="T38" s="201"/>
      <c r="Z38" s="151"/>
      <c r="AB38" s="64"/>
      <c r="AC38" s="64"/>
      <c r="AD38" s="64"/>
      <c r="AE38" s="64"/>
      <c r="AF38" s="64"/>
      <c r="AG38" s="64"/>
      <c r="AH38" s="64"/>
      <c r="AI38" s="143"/>
      <c r="AJ38" s="134"/>
      <c r="AK38" s="194"/>
      <c r="AL38" s="90"/>
    </row>
    <row r="39" spans="1:38" ht="17.100000000000001" customHeight="1" x14ac:dyDescent="0.25">
      <c r="A39" s="197"/>
      <c r="G39" s="88"/>
      <c r="H39" s="182"/>
      <c r="L39" s="24"/>
      <c r="M39" s="24"/>
      <c r="O39" s="189"/>
      <c r="P39" s="204"/>
      <c r="Q39" s="142"/>
      <c r="T39" s="201"/>
      <c r="Z39" s="151"/>
      <c r="AB39" s="64"/>
      <c r="AC39" s="64"/>
      <c r="AD39" s="64"/>
      <c r="AE39" s="64"/>
      <c r="AF39" s="64"/>
      <c r="AG39" s="64"/>
      <c r="AH39" s="64"/>
      <c r="AI39" s="143"/>
      <c r="AJ39" s="134"/>
      <c r="AK39" s="194"/>
      <c r="AL39" s="90"/>
    </row>
    <row r="40" spans="1:38" ht="17.100000000000001" customHeight="1" x14ac:dyDescent="0.25">
      <c r="A40" s="197"/>
      <c r="G40" s="88"/>
      <c r="H40" s="182"/>
      <c r="L40" s="24"/>
      <c r="M40" s="24"/>
      <c r="O40" s="189"/>
      <c r="P40" s="204"/>
      <c r="Q40" s="142"/>
      <c r="T40" s="201"/>
      <c r="Z40" s="151"/>
      <c r="AB40" s="64"/>
      <c r="AC40" s="64"/>
      <c r="AD40" s="64"/>
      <c r="AE40" s="64"/>
      <c r="AF40" s="64"/>
      <c r="AG40" s="64"/>
      <c r="AH40" s="64"/>
      <c r="AI40" s="143"/>
      <c r="AJ40" s="134"/>
      <c r="AK40" s="194"/>
      <c r="AL40" s="90"/>
    </row>
    <row r="41" spans="1:38" ht="17.100000000000001" customHeight="1" x14ac:dyDescent="0.25">
      <c r="A41" s="197"/>
      <c r="G41" s="88"/>
      <c r="H41" s="182"/>
      <c r="L41" s="24"/>
      <c r="M41" s="24"/>
      <c r="O41" s="189"/>
      <c r="P41" s="204"/>
      <c r="Q41" s="142"/>
      <c r="T41" s="201"/>
      <c r="Z41" s="151"/>
      <c r="AB41" s="64"/>
      <c r="AC41" s="64"/>
      <c r="AD41" s="64"/>
      <c r="AE41" s="64"/>
      <c r="AF41" s="64"/>
      <c r="AG41" s="64"/>
      <c r="AH41" s="64"/>
      <c r="AI41" s="143"/>
      <c r="AJ41" s="134"/>
      <c r="AK41" s="194"/>
      <c r="AL41" s="90"/>
    </row>
    <row r="42" spans="1:38" ht="17.100000000000001" customHeight="1" x14ac:dyDescent="0.25">
      <c r="A42" s="197"/>
      <c r="G42" s="88"/>
      <c r="H42" s="182"/>
      <c r="L42" s="24"/>
      <c r="M42" s="24"/>
      <c r="O42" s="189"/>
      <c r="P42" s="204"/>
      <c r="Q42" s="142"/>
      <c r="T42" s="201"/>
      <c r="Z42" s="151"/>
      <c r="AB42" s="64"/>
      <c r="AC42" s="64"/>
      <c r="AD42" s="64"/>
      <c r="AE42" s="64"/>
      <c r="AF42" s="64"/>
      <c r="AG42" s="64"/>
      <c r="AH42" s="64"/>
      <c r="AI42" s="143"/>
      <c r="AJ42" s="134"/>
      <c r="AK42" s="194"/>
      <c r="AL42" s="90"/>
    </row>
    <row r="43" spans="1:38" ht="17.100000000000001" customHeight="1" x14ac:dyDescent="0.25">
      <c r="A43" s="197"/>
      <c r="G43" s="88"/>
      <c r="H43" s="182"/>
      <c r="L43" s="24"/>
      <c r="M43" s="24"/>
      <c r="O43" s="189"/>
      <c r="P43" s="204"/>
      <c r="Q43" s="142"/>
      <c r="T43" s="201"/>
      <c r="Z43" s="151"/>
      <c r="AB43" s="64"/>
      <c r="AC43" s="64"/>
      <c r="AD43" s="64"/>
      <c r="AE43" s="64"/>
      <c r="AF43" s="64"/>
      <c r="AG43" s="64"/>
      <c r="AH43" s="64"/>
      <c r="AI43" s="143"/>
      <c r="AJ43" s="134"/>
      <c r="AK43" s="194"/>
      <c r="AL43" s="90"/>
    </row>
    <row r="44" spans="1:38" ht="17.100000000000001" customHeight="1" x14ac:dyDescent="0.25">
      <c r="A44" s="197"/>
      <c r="G44" s="88"/>
      <c r="H44" s="182"/>
      <c r="L44" s="24"/>
      <c r="M44" s="24"/>
      <c r="O44" s="189"/>
      <c r="P44" s="204"/>
      <c r="Q44" s="142"/>
      <c r="T44" s="201"/>
      <c r="Z44" s="151"/>
      <c r="AB44" s="64"/>
      <c r="AC44" s="64"/>
      <c r="AD44" s="64"/>
      <c r="AE44" s="64"/>
      <c r="AF44" s="64"/>
      <c r="AG44" s="64"/>
      <c r="AH44" s="64"/>
      <c r="AI44" s="143"/>
      <c r="AJ44" s="134"/>
      <c r="AK44" s="194"/>
      <c r="AL44" s="90"/>
    </row>
    <row r="45" spans="1:38" ht="17.100000000000001" customHeight="1" x14ac:dyDescent="0.25">
      <c r="A45" s="197"/>
      <c r="G45" s="88"/>
      <c r="H45" s="182"/>
      <c r="L45" s="24"/>
      <c r="M45" s="24"/>
      <c r="O45" s="189"/>
      <c r="P45" s="204"/>
      <c r="Q45" s="142"/>
      <c r="T45" s="201"/>
      <c r="Z45" s="151"/>
      <c r="AB45" s="64"/>
      <c r="AC45" s="64"/>
      <c r="AD45" s="64"/>
      <c r="AE45" s="64"/>
      <c r="AF45" s="64"/>
      <c r="AG45" s="64"/>
      <c r="AH45" s="64"/>
      <c r="AI45" s="143"/>
      <c r="AJ45" s="134"/>
      <c r="AK45" s="194"/>
      <c r="AL45" s="90"/>
    </row>
    <row r="46" spans="1:38" ht="17.100000000000001" customHeight="1" x14ac:dyDescent="0.25">
      <c r="A46" s="197"/>
      <c r="G46" s="88"/>
      <c r="H46" s="182"/>
      <c r="L46" s="24"/>
      <c r="M46" s="24"/>
      <c r="N46" s="186"/>
      <c r="O46" s="190"/>
      <c r="P46" s="204"/>
      <c r="Q46" s="142"/>
      <c r="T46" s="201"/>
      <c r="Z46" s="151"/>
      <c r="AB46" s="64"/>
      <c r="AC46" s="64"/>
      <c r="AD46" s="64"/>
      <c r="AE46" s="64"/>
      <c r="AF46" s="64"/>
      <c r="AG46" s="64"/>
      <c r="AH46" s="64"/>
      <c r="AI46" s="143"/>
      <c r="AJ46" s="134"/>
      <c r="AK46" s="194"/>
      <c r="AL46" s="90"/>
    </row>
    <row r="47" spans="1:38" ht="17.100000000000001" customHeight="1" x14ac:dyDescent="0.25">
      <c r="A47" s="197"/>
      <c r="G47" s="88"/>
      <c r="H47" s="182"/>
      <c r="L47" s="24"/>
      <c r="M47" s="24"/>
      <c r="N47" s="186"/>
      <c r="O47" s="190"/>
      <c r="P47" s="204"/>
      <c r="Q47" s="142"/>
      <c r="T47" s="201"/>
      <c r="Z47" s="151"/>
      <c r="AB47" s="64"/>
      <c r="AC47" s="64"/>
      <c r="AD47" s="64"/>
      <c r="AE47" s="64"/>
      <c r="AF47" s="64"/>
      <c r="AG47" s="64"/>
      <c r="AH47" s="64"/>
      <c r="AI47" s="143"/>
      <c r="AJ47" s="134"/>
      <c r="AK47" s="194"/>
      <c r="AL47" s="90"/>
    </row>
    <row r="48" spans="1:38" ht="17.100000000000001" customHeight="1" x14ac:dyDescent="0.25">
      <c r="A48" s="197"/>
      <c r="G48" s="88"/>
      <c r="H48" s="182"/>
      <c r="L48" s="24"/>
      <c r="M48" s="24"/>
      <c r="N48" s="186"/>
      <c r="O48" s="190"/>
      <c r="P48" s="204"/>
      <c r="Q48" s="142"/>
      <c r="T48" s="201"/>
      <c r="Z48" s="151"/>
      <c r="AB48" s="64"/>
      <c r="AC48" s="64"/>
      <c r="AD48" s="64"/>
      <c r="AE48" s="64"/>
      <c r="AF48" s="64"/>
      <c r="AG48" s="64"/>
      <c r="AH48" s="64"/>
      <c r="AI48" s="143"/>
      <c r="AJ48" s="134"/>
      <c r="AK48" s="194"/>
      <c r="AL48" s="90"/>
    </row>
    <row r="49" spans="1:38" ht="17.100000000000001" customHeight="1" x14ac:dyDescent="0.25">
      <c r="A49" s="197"/>
      <c r="G49" s="88"/>
      <c r="H49" s="182"/>
      <c r="L49" s="24"/>
      <c r="M49" s="24"/>
      <c r="N49" s="186"/>
      <c r="O49" s="190"/>
      <c r="P49" s="204"/>
      <c r="Q49" s="142"/>
      <c r="T49" s="201"/>
      <c r="Z49" s="151"/>
      <c r="AB49" s="64"/>
      <c r="AC49" s="64"/>
      <c r="AD49" s="64"/>
      <c r="AE49" s="64"/>
      <c r="AF49" s="64"/>
      <c r="AG49" s="64"/>
      <c r="AH49" s="64"/>
      <c r="AI49" s="143"/>
      <c r="AJ49" s="134"/>
      <c r="AK49" s="194"/>
      <c r="AL49" s="90"/>
    </row>
    <row r="50" spans="1:38" ht="17.100000000000001" customHeight="1" x14ac:dyDescent="0.25">
      <c r="A50" s="197"/>
      <c r="G50" s="88"/>
      <c r="H50" s="182"/>
      <c r="L50" s="24"/>
      <c r="M50" s="24"/>
      <c r="N50" s="186"/>
      <c r="O50" s="190"/>
      <c r="P50" s="204"/>
      <c r="Q50" s="142"/>
      <c r="T50" s="201"/>
      <c r="Z50" s="151"/>
      <c r="AB50" s="64"/>
      <c r="AC50" s="64"/>
      <c r="AD50" s="64"/>
      <c r="AE50" s="64"/>
      <c r="AF50" s="64"/>
      <c r="AG50" s="64"/>
      <c r="AH50" s="64"/>
      <c r="AI50" s="143"/>
      <c r="AJ50" s="134"/>
      <c r="AK50" s="194"/>
      <c r="AL50" s="90"/>
    </row>
    <row r="51" spans="1:38" ht="17.100000000000001" customHeight="1" x14ac:dyDescent="0.25">
      <c r="A51" s="197"/>
      <c r="G51" s="88"/>
      <c r="H51" s="182"/>
      <c r="L51" s="24"/>
      <c r="M51" s="24"/>
      <c r="N51" s="186"/>
      <c r="O51" s="190"/>
      <c r="P51" s="204"/>
      <c r="Q51" s="142"/>
      <c r="T51" s="201"/>
      <c r="Z51" s="151"/>
      <c r="AB51" s="64"/>
      <c r="AC51" s="64"/>
      <c r="AD51" s="64"/>
      <c r="AE51" s="64"/>
      <c r="AF51" s="64"/>
      <c r="AG51" s="64"/>
      <c r="AH51" s="64"/>
      <c r="AI51" s="143"/>
      <c r="AJ51" s="134"/>
      <c r="AK51" s="194"/>
      <c r="AL51" s="90"/>
    </row>
    <row r="52" spans="1:38" ht="17.100000000000001" customHeight="1" x14ac:dyDescent="0.25">
      <c r="A52" s="197"/>
      <c r="G52" s="88"/>
      <c r="H52" s="182"/>
      <c r="L52" s="24"/>
      <c r="M52" s="24"/>
      <c r="N52" s="186"/>
      <c r="O52" s="190"/>
      <c r="P52" s="204"/>
      <c r="Q52" s="142"/>
      <c r="T52" s="201"/>
      <c r="Z52" s="151"/>
      <c r="AB52" s="64"/>
      <c r="AC52" s="64"/>
      <c r="AD52" s="64"/>
      <c r="AE52" s="64"/>
      <c r="AF52" s="64"/>
      <c r="AG52" s="64"/>
      <c r="AH52" s="64"/>
      <c r="AI52" s="143"/>
      <c r="AJ52" s="134"/>
      <c r="AK52" s="194"/>
      <c r="AL52" s="90"/>
    </row>
    <row r="53" spans="1:38" ht="17.100000000000001" customHeight="1" x14ac:dyDescent="0.25">
      <c r="A53" s="197"/>
      <c r="G53" s="88"/>
      <c r="H53" s="182"/>
      <c r="L53" s="24"/>
      <c r="M53" s="24"/>
      <c r="N53" s="186"/>
      <c r="O53" s="190"/>
      <c r="P53" s="204"/>
      <c r="Q53" s="142"/>
      <c r="T53" s="201"/>
      <c r="Z53" s="151"/>
      <c r="AB53" s="64"/>
      <c r="AC53" s="64"/>
      <c r="AD53" s="64"/>
      <c r="AE53" s="64"/>
      <c r="AF53" s="64"/>
      <c r="AG53" s="64"/>
      <c r="AH53" s="64"/>
      <c r="AI53" s="143"/>
      <c r="AJ53" s="134"/>
      <c r="AK53" s="194"/>
      <c r="AL53" s="90"/>
    </row>
    <row r="54" spans="1:38" ht="17.100000000000001" customHeight="1" thickBot="1" x14ac:dyDescent="0.3">
      <c r="A54" s="197"/>
      <c r="G54" s="88"/>
      <c r="H54" s="182"/>
      <c r="L54" s="24"/>
      <c r="M54" s="24"/>
      <c r="N54" s="186"/>
      <c r="O54" s="190"/>
      <c r="P54" s="204"/>
      <c r="Q54" s="142"/>
      <c r="T54" s="201"/>
      <c r="Z54" s="151"/>
      <c r="AB54" s="64"/>
      <c r="AC54" s="64"/>
      <c r="AD54" s="64"/>
      <c r="AE54" s="64"/>
      <c r="AF54" s="64"/>
      <c r="AG54" s="64"/>
      <c r="AH54" s="64"/>
      <c r="AI54" s="143"/>
      <c r="AJ54" s="134"/>
      <c r="AK54" s="194"/>
      <c r="AL54" s="90"/>
    </row>
    <row r="55" spans="1:38" ht="17.100000000000001" customHeight="1" x14ac:dyDescent="0.25">
      <c r="A55" s="198"/>
      <c r="B55" s="153"/>
      <c r="C55" s="154"/>
      <c r="D55" s="154"/>
      <c r="E55" s="154"/>
      <c r="F55" s="154"/>
      <c r="G55" s="155"/>
      <c r="H55" s="182"/>
      <c r="I55" s="156"/>
      <c r="J55" s="157"/>
      <c r="K55" s="158"/>
      <c r="L55" s="158"/>
      <c r="M55" s="158"/>
      <c r="N55" s="187"/>
      <c r="O55" s="191"/>
      <c r="P55" s="205"/>
      <c r="Q55" s="159"/>
      <c r="R55" s="160"/>
      <c r="S55" s="158"/>
      <c r="T55" s="202"/>
      <c r="U55" s="161"/>
      <c r="V55" s="156"/>
      <c r="W55" s="162"/>
      <c r="X55" s="156"/>
      <c r="Y55" s="158"/>
      <c r="Z55" s="163"/>
      <c r="AA55" s="156"/>
      <c r="AB55" s="164"/>
      <c r="AC55" s="164"/>
      <c r="AD55" s="164"/>
      <c r="AE55" s="164"/>
      <c r="AF55" s="164"/>
      <c r="AG55" s="164"/>
      <c r="AH55" s="164"/>
      <c r="AI55" s="165"/>
      <c r="AJ55" s="134"/>
      <c r="AK55" s="195"/>
      <c r="AL55" s="166"/>
    </row>
    <row r="56" spans="1:38" ht="17.100000000000001" customHeight="1" x14ac:dyDescent="0.25">
      <c r="A56" s="197"/>
      <c r="G56" s="88"/>
      <c r="H56" s="182"/>
      <c r="L56" s="24"/>
      <c r="M56" s="24"/>
      <c r="N56" s="186"/>
      <c r="O56" s="190"/>
      <c r="P56" s="204"/>
      <c r="Q56" s="142"/>
      <c r="T56" s="201"/>
      <c r="Z56" s="151"/>
      <c r="AB56" s="64"/>
      <c r="AC56" s="64"/>
      <c r="AD56" s="64"/>
      <c r="AE56" s="64"/>
      <c r="AF56" s="64"/>
      <c r="AG56" s="64"/>
      <c r="AH56" s="64"/>
      <c r="AI56" s="143"/>
      <c r="AJ56" s="134"/>
      <c r="AK56" s="194"/>
      <c r="AL56" s="90"/>
    </row>
    <row r="57" spans="1:38" ht="17.100000000000001" customHeight="1" x14ac:dyDescent="0.25">
      <c r="A57" s="197"/>
      <c r="G57" s="88"/>
      <c r="H57" s="182"/>
      <c r="L57" s="24"/>
      <c r="M57" s="24"/>
      <c r="N57" s="186"/>
      <c r="O57" s="190"/>
      <c r="P57" s="204"/>
      <c r="Q57" s="142"/>
      <c r="T57" s="201"/>
      <c r="Z57" s="151"/>
      <c r="AB57" s="64"/>
      <c r="AC57" s="64"/>
      <c r="AD57" s="64"/>
      <c r="AE57" s="64"/>
      <c r="AF57" s="64"/>
      <c r="AG57" s="64"/>
      <c r="AH57" s="64"/>
      <c r="AI57" s="143"/>
      <c r="AJ57" s="134"/>
      <c r="AK57" s="194"/>
      <c r="AL57" s="90"/>
    </row>
    <row r="58" spans="1:38" ht="17.100000000000001" customHeight="1" x14ac:dyDescent="0.25">
      <c r="A58" s="197"/>
      <c r="G58" s="88"/>
      <c r="H58" s="182"/>
      <c r="L58" s="24"/>
      <c r="M58" s="24"/>
      <c r="N58" s="186"/>
      <c r="O58" s="190"/>
      <c r="P58" s="204"/>
      <c r="Q58" s="142"/>
      <c r="T58" s="201"/>
      <c r="Z58" s="151"/>
      <c r="AB58" s="64"/>
      <c r="AC58" s="64"/>
      <c r="AD58" s="64"/>
      <c r="AE58" s="64"/>
      <c r="AF58" s="64"/>
      <c r="AG58" s="64"/>
      <c r="AH58" s="64"/>
      <c r="AI58" s="143"/>
      <c r="AJ58" s="134"/>
      <c r="AK58" s="194"/>
      <c r="AL58" s="90"/>
    </row>
    <row r="59" spans="1:38" ht="17.100000000000001" customHeight="1" x14ac:dyDescent="0.25">
      <c r="A59" s="197"/>
      <c r="G59" s="88"/>
      <c r="H59" s="182"/>
      <c r="L59" s="24"/>
      <c r="M59" s="24"/>
      <c r="N59" s="186"/>
      <c r="O59" s="190"/>
      <c r="P59" s="204"/>
      <c r="Q59" s="142"/>
      <c r="T59" s="201"/>
      <c r="Z59" s="151"/>
      <c r="AB59" s="64"/>
      <c r="AC59" s="64"/>
      <c r="AD59" s="64"/>
      <c r="AE59" s="64"/>
      <c r="AF59" s="64"/>
      <c r="AG59" s="64"/>
      <c r="AH59" s="64"/>
      <c r="AI59" s="143"/>
      <c r="AJ59" s="134"/>
      <c r="AK59" s="194"/>
      <c r="AL59" s="90"/>
    </row>
    <row r="60" spans="1:38" ht="17.100000000000001" customHeight="1" x14ac:dyDescent="0.25">
      <c r="A60" s="197"/>
      <c r="G60" s="88"/>
      <c r="H60" s="182"/>
      <c r="L60" s="24"/>
      <c r="M60" s="24"/>
      <c r="N60" s="186"/>
      <c r="O60" s="190"/>
      <c r="P60" s="204"/>
      <c r="Q60" s="142"/>
      <c r="T60" s="201"/>
      <c r="Z60" s="151"/>
      <c r="AB60" s="64"/>
      <c r="AC60" s="64"/>
      <c r="AD60" s="64"/>
      <c r="AE60" s="64"/>
      <c r="AF60" s="64"/>
      <c r="AG60" s="64"/>
      <c r="AH60" s="64"/>
      <c r="AI60" s="143"/>
      <c r="AJ60" s="134"/>
      <c r="AK60" s="194"/>
      <c r="AL60" s="90"/>
    </row>
    <row r="61" spans="1:38" ht="17.100000000000001" customHeight="1" x14ac:dyDescent="0.25">
      <c r="A61" s="197"/>
      <c r="G61" s="88"/>
      <c r="H61" s="182"/>
      <c r="L61" s="24"/>
      <c r="M61" s="24"/>
      <c r="N61" s="186"/>
      <c r="O61" s="190"/>
      <c r="P61" s="204"/>
      <c r="Q61" s="142"/>
      <c r="T61" s="201"/>
      <c r="Z61" s="151"/>
      <c r="AB61" s="64"/>
      <c r="AC61" s="64"/>
      <c r="AD61" s="64"/>
      <c r="AE61" s="64"/>
      <c r="AF61" s="64"/>
      <c r="AG61" s="64"/>
      <c r="AH61" s="64"/>
      <c r="AI61" s="143"/>
      <c r="AJ61" s="134"/>
      <c r="AK61" s="194"/>
      <c r="AL61" s="90"/>
    </row>
    <row r="62" spans="1:38" ht="17.100000000000001" customHeight="1" x14ac:dyDescent="0.25">
      <c r="A62" s="197"/>
      <c r="G62" s="88"/>
      <c r="H62" s="182"/>
      <c r="L62" s="24"/>
      <c r="M62" s="24"/>
      <c r="N62" s="186"/>
      <c r="O62" s="190"/>
      <c r="P62" s="204"/>
      <c r="Q62" s="142"/>
      <c r="T62" s="201"/>
      <c r="Z62" s="151"/>
      <c r="AB62" s="64"/>
      <c r="AC62" s="64"/>
      <c r="AD62" s="64"/>
      <c r="AE62" s="64"/>
      <c r="AF62" s="64"/>
      <c r="AG62" s="64"/>
      <c r="AH62" s="64"/>
      <c r="AI62" s="143"/>
      <c r="AJ62" s="134"/>
      <c r="AK62" s="194"/>
      <c r="AL62" s="90"/>
    </row>
    <row r="63" spans="1:38" ht="17.100000000000001" customHeight="1" x14ac:dyDescent="0.25">
      <c r="A63" s="197"/>
      <c r="G63" s="88"/>
      <c r="H63" s="182"/>
      <c r="L63" s="24"/>
      <c r="M63" s="24"/>
      <c r="N63" s="186"/>
      <c r="O63" s="190"/>
      <c r="P63" s="204"/>
      <c r="Q63" s="142"/>
      <c r="T63" s="201"/>
      <c r="Z63" s="151"/>
      <c r="AB63" s="64"/>
      <c r="AC63" s="64"/>
      <c r="AD63" s="64"/>
      <c r="AE63" s="64"/>
      <c r="AF63" s="64"/>
      <c r="AG63" s="64"/>
      <c r="AH63" s="64"/>
      <c r="AI63" s="143"/>
      <c r="AJ63" s="134"/>
      <c r="AK63" s="194"/>
      <c r="AL63" s="90"/>
    </row>
    <row r="64" spans="1:38" ht="17.100000000000001" customHeight="1" x14ac:dyDescent="0.25">
      <c r="A64" s="197"/>
      <c r="G64" s="88"/>
      <c r="H64" s="182"/>
      <c r="L64" s="24"/>
      <c r="M64" s="24"/>
      <c r="N64" s="186"/>
      <c r="O64" s="190"/>
      <c r="P64" s="204"/>
      <c r="Q64" s="142"/>
      <c r="T64" s="201"/>
      <c r="Z64" s="151"/>
      <c r="AB64" s="64"/>
      <c r="AC64" s="64"/>
      <c r="AD64" s="64"/>
      <c r="AE64" s="64"/>
      <c r="AF64" s="64"/>
      <c r="AG64" s="64"/>
      <c r="AH64" s="64"/>
      <c r="AI64" s="143"/>
      <c r="AJ64" s="134"/>
      <c r="AK64" s="194"/>
      <c r="AL64" s="90"/>
    </row>
    <row r="65" spans="1:38" ht="17.100000000000001" customHeight="1" x14ac:dyDescent="0.25">
      <c r="A65" s="197"/>
      <c r="G65" s="88"/>
      <c r="H65" s="182"/>
      <c r="L65" s="24"/>
      <c r="M65" s="24"/>
      <c r="N65" s="186"/>
      <c r="O65" s="190"/>
      <c r="P65" s="204"/>
      <c r="Q65" s="142"/>
      <c r="T65" s="201"/>
      <c r="Z65" s="151"/>
      <c r="AB65" s="64"/>
      <c r="AC65" s="64"/>
      <c r="AD65" s="64"/>
      <c r="AE65" s="64"/>
      <c r="AF65" s="64"/>
      <c r="AG65" s="64"/>
      <c r="AH65" s="64"/>
      <c r="AI65" s="143"/>
      <c r="AJ65" s="134"/>
      <c r="AK65" s="194"/>
      <c r="AL65" s="90"/>
    </row>
    <row r="66" spans="1:38" ht="17.100000000000001" customHeight="1" x14ac:dyDescent="0.25">
      <c r="A66" s="197"/>
      <c r="G66" s="88"/>
      <c r="H66" s="182"/>
      <c r="L66" s="24"/>
      <c r="M66" s="24"/>
      <c r="N66" s="186"/>
      <c r="O66" s="190"/>
      <c r="P66" s="204"/>
      <c r="Q66" s="142"/>
      <c r="T66" s="201"/>
      <c r="Z66" s="151"/>
      <c r="AB66" s="64"/>
      <c r="AC66" s="64"/>
      <c r="AD66" s="64"/>
      <c r="AE66" s="64"/>
      <c r="AF66" s="64"/>
      <c r="AG66" s="64"/>
      <c r="AH66" s="64"/>
      <c r="AI66" s="143"/>
      <c r="AJ66" s="134"/>
      <c r="AK66" s="194"/>
      <c r="AL66" s="90"/>
    </row>
    <row r="67" spans="1:38" ht="17.100000000000001" customHeight="1" x14ac:dyDescent="0.25">
      <c r="A67" s="197"/>
      <c r="G67" s="88"/>
      <c r="H67" s="182"/>
      <c r="L67" s="24"/>
      <c r="M67" s="24"/>
      <c r="N67" s="186"/>
      <c r="O67" s="190"/>
      <c r="P67" s="204"/>
      <c r="Q67" s="142"/>
      <c r="T67" s="201"/>
      <c r="Z67" s="151"/>
      <c r="AB67" s="64"/>
      <c r="AC67" s="64"/>
      <c r="AD67" s="64"/>
      <c r="AE67" s="64"/>
      <c r="AF67" s="64"/>
      <c r="AG67" s="64"/>
      <c r="AH67" s="64"/>
      <c r="AI67" s="143"/>
      <c r="AJ67" s="134"/>
      <c r="AK67" s="194"/>
      <c r="AL67" s="90"/>
    </row>
    <row r="68" spans="1:38" ht="17.100000000000001" customHeight="1" x14ac:dyDescent="0.25">
      <c r="A68" s="197"/>
      <c r="G68" s="88"/>
      <c r="H68" s="182"/>
      <c r="L68" s="24"/>
      <c r="M68" s="24"/>
      <c r="N68" s="186"/>
      <c r="O68" s="190"/>
      <c r="P68" s="204"/>
      <c r="Q68" s="142"/>
      <c r="T68" s="201"/>
      <c r="Z68" s="151"/>
      <c r="AB68" s="64"/>
      <c r="AC68" s="64"/>
      <c r="AD68" s="64"/>
      <c r="AE68" s="64"/>
      <c r="AF68" s="64"/>
      <c r="AG68" s="64"/>
      <c r="AH68" s="64"/>
      <c r="AI68" s="143"/>
      <c r="AJ68" s="134"/>
      <c r="AK68" s="194"/>
      <c r="AL68" s="90"/>
    </row>
    <row r="69" spans="1:38" ht="17.100000000000001" customHeight="1" x14ac:dyDescent="0.25">
      <c r="A69" s="197"/>
      <c r="G69" s="88"/>
      <c r="H69" s="182"/>
      <c r="L69" s="24"/>
      <c r="M69" s="24"/>
      <c r="N69" s="186"/>
      <c r="O69" s="190"/>
      <c r="P69" s="204"/>
      <c r="Q69" s="142"/>
      <c r="T69" s="201"/>
      <c r="Z69" s="151"/>
      <c r="AB69" s="64"/>
      <c r="AC69" s="64"/>
      <c r="AD69" s="64"/>
      <c r="AE69" s="64"/>
      <c r="AF69" s="64"/>
      <c r="AG69" s="64"/>
      <c r="AH69" s="64"/>
      <c r="AI69" s="143"/>
      <c r="AJ69" s="134"/>
      <c r="AK69" s="194"/>
      <c r="AL69" s="90"/>
    </row>
    <row r="70" spans="1:38" ht="17.100000000000001" customHeight="1" x14ac:dyDescent="0.25">
      <c r="A70" s="197"/>
      <c r="G70" s="88"/>
      <c r="H70" s="182"/>
      <c r="L70" s="24"/>
      <c r="M70" s="24"/>
      <c r="N70" s="186"/>
      <c r="O70" s="190"/>
      <c r="P70" s="204"/>
      <c r="Q70" s="142"/>
      <c r="T70" s="201"/>
      <c r="Z70" s="151"/>
      <c r="AB70" s="64"/>
      <c r="AC70" s="64"/>
      <c r="AD70" s="64"/>
      <c r="AE70" s="64"/>
      <c r="AF70" s="64"/>
      <c r="AG70" s="64"/>
      <c r="AH70" s="64"/>
      <c r="AI70" s="143"/>
      <c r="AJ70" s="134"/>
      <c r="AK70" s="194"/>
      <c r="AL70" s="90"/>
    </row>
    <row r="71" spans="1:38" ht="17.100000000000001" customHeight="1" x14ac:dyDescent="0.25">
      <c r="A71" s="197"/>
      <c r="G71" s="88"/>
      <c r="H71" s="182"/>
      <c r="L71" s="24"/>
      <c r="M71" s="24"/>
      <c r="N71" s="186"/>
      <c r="O71" s="190"/>
      <c r="P71" s="204"/>
      <c r="Q71" s="142"/>
      <c r="T71" s="201"/>
      <c r="Z71" s="151"/>
      <c r="AB71" s="64"/>
      <c r="AC71" s="64"/>
      <c r="AD71" s="64"/>
      <c r="AE71" s="64"/>
      <c r="AF71" s="64"/>
      <c r="AG71" s="64"/>
      <c r="AH71" s="64"/>
      <c r="AI71" s="143"/>
      <c r="AJ71" s="134"/>
      <c r="AK71" s="194"/>
      <c r="AL71" s="90"/>
    </row>
    <row r="72" spans="1:38" ht="17.100000000000001" customHeight="1" x14ac:dyDescent="0.25">
      <c r="A72" s="197"/>
      <c r="G72" s="88"/>
      <c r="H72" s="182"/>
      <c r="L72" s="24"/>
      <c r="M72" s="24"/>
      <c r="N72" s="186"/>
      <c r="O72" s="190"/>
      <c r="P72" s="204"/>
      <c r="Q72" s="142"/>
      <c r="T72" s="201"/>
      <c r="Z72" s="151"/>
      <c r="AB72" s="64"/>
      <c r="AC72" s="64"/>
      <c r="AD72" s="64"/>
      <c r="AE72" s="64"/>
      <c r="AF72" s="64"/>
      <c r="AG72" s="64"/>
      <c r="AH72" s="64"/>
      <c r="AI72" s="143"/>
      <c r="AJ72" s="134"/>
      <c r="AK72" s="194"/>
      <c r="AL72" s="90"/>
    </row>
    <row r="73" spans="1:38" ht="17.100000000000001" customHeight="1" x14ac:dyDescent="0.25">
      <c r="A73" s="197"/>
      <c r="G73" s="88"/>
      <c r="H73" s="182"/>
      <c r="L73" s="24"/>
      <c r="M73" s="24"/>
      <c r="N73" s="186"/>
      <c r="O73" s="190"/>
      <c r="P73" s="204"/>
      <c r="Q73" s="142"/>
      <c r="T73" s="201"/>
      <c r="Z73" s="151"/>
      <c r="AB73" s="64"/>
      <c r="AC73" s="64"/>
      <c r="AD73" s="64"/>
      <c r="AE73" s="64"/>
      <c r="AF73" s="64"/>
      <c r="AG73" s="64"/>
      <c r="AH73" s="64"/>
      <c r="AI73" s="143"/>
      <c r="AJ73" s="134"/>
      <c r="AK73" s="194"/>
      <c r="AL73" s="90"/>
    </row>
    <row r="74" spans="1:38" ht="17.100000000000001" customHeight="1" x14ac:dyDescent="0.25">
      <c r="A74" s="197"/>
      <c r="G74" s="88"/>
      <c r="H74" s="182"/>
      <c r="L74" s="24"/>
      <c r="M74" s="24"/>
      <c r="N74" s="186"/>
      <c r="O74" s="190"/>
      <c r="P74" s="204"/>
      <c r="Q74" s="142"/>
      <c r="T74" s="201"/>
      <c r="Z74" s="151"/>
      <c r="AB74" s="64"/>
      <c r="AC74" s="64"/>
      <c r="AD74" s="64"/>
      <c r="AE74" s="64"/>
      <c r="AF74" s="64"/>
      <c r="AG74" s="64"/>
      <c r="AH74" s="64"/>
      <c r="AI74" s="143"/>
      <c r="AJ74" s="134"/>
      <c r="AK74" s="194"/>
      <c r="AL74" s="90"/>
    </row>
    <row r="75" spans="1:38" ht="17.100000000000001" customHeight="1" x14ac:dyDescent="0.25">
      <c r="A75" s="197"/>
      <c r="G75" s="88"/>
      <c r="H75" s="182"/>
      <c r="L75" s="24"/>
      <c r="M75" s="24"/>
      <c r="N75" s="186"/>
      <c r="O75" s="190"/>
      <c r="P75" s="204"/>
      <c r="Q75" s="142"/>
      <c r="T75" s="201"/>
      <c r="Z75" s="151"/>
      <c r="AB75" s="64"/>
      <c r="AC75" s="64"/>
      <c r="AD75" s="64"/>
      <c r="AE75" s="64"/>
      <c r="AF75" s="64"/>
      <c r="AG75" s="64"/>
      <c r="AH75" s="64"/>
      <c r="AI75" s="143"/>
      <c r="AJ75" s="134"/>
      <c r="AK75" s="194"/>
      <c r="AL75" s="90"/>
    </row>
    <row r="76" spans="1:38" ht="17.100000000000001" customHeight="1" x14ac:dyDescent="0.25">
      <c r="A76" s="197"/>
      <c r="G76" s="88"/>
      <c r="H76" s="182"/>
      <c r="L76" s="24"/>
      <c r="M76" s="24"/>
      <c r="N76" s="186"/>
      <c r="O76" s="190"/>
      <c r="P76" s="204"/>
      <c r="Q76" s="142"/>
      <c r="T76" s="201"/>
      <c r="Z76" s="151"/>
      <c r="AB76" s="64"/>
      <c r="AC76" s="64"/>
      <c r="AD76" s="64"/>
      <c r="AE76" s="64"/>
      <c r="AF76" s="64"/>
      <c r="AG76" s="64"/>
      <c r="AH76" s="64"/>
      <c r="AI76" s="143"/>
      <c r="AJ76" s="134"/>
      <c r="AK76" s="194"/>
      <c r="AL76" s="90"/>
    </row>
    <row r="77" spans="1:38" ht="17.100000000000001" customHeight="1" x14ac:dyDescent="0.25">
      <c r="A77" s="197"/>
      <c r="G77" s="88"/>
      <c r="H77" s="182"/>
      <c r="L77" s="24"/>
      <c r="M77" s="24"/>
      <c r="N77" s="186"/>
      <c r="O77" s="190"/>
      <c r="P77" s="204"/>
      <c r="Q77" s="142"/>
      <c r="T77" s="201"/>
      <c r="Z77" s="151"/>
      <c r="AB77" s="64"/>
      <c r="AC77" s="64"/>
      <c r="AD77" s="64"/>
      <c r="AE77" s="64"/>
      <c r="AF77" s="64"/>
      <c r="AG77" s="64"/>
      <c r="AH77" s="64"/>
      <c r="AI77" s="143"/>
      <c r="AJ77" s="134"/>
      <c r="AK77" s="194"/>
      <c r="AL77" s="90"/>
    </row>
    <row r="78" spans="1:38" ht="17.100000000000001" customHeight="1" x14ac:dyDescent="0.25">
      <c r="A78" s="197"/>
      <c r="G78" s="88"/>
      <c r="H78" s="182"/>
      <c r="L78" s="24"/>
      <c r="M78" s="24"/>
      <c r="N78" s="186"/>
      <c r="O78" s="190"/>
      <c r="P78" s="204"/>
      <c r="Q78" s="142"/>
      <c r="T78" s="201"/>
      <c r="Z78" s="151"/>
      <c r="AB78" s="64"/>
      <c r="AC78" s="64"/>
      <c r="AD78" s="64"/>
      <c r="AE78" s="64"/>
      <c r="AF78" s="64"/>
      <c r="AG78" s="64"/>
      <c r="AH78" s="64"/>
      <c r="AI78" s="143"/>
      <c r="AJ78" s="134"/>
      <c r="AK78" s="194"/>
      <c r="AL78" s="90"/>
    </row>
    <row r="79" spans="1:38" ht="17.100000000000001" customHeight="1" x14ac:dyDescent="0.25">
      <c r="A79" s="197"/>
      <c r="G79" s="88"/>
      <c r="H79" s="182"/>
      <c r="L79" s="24"/>
      <c r="M79" s="24"/>
      <c r="N79" s="186"/>
      <c r="O79" s="190"/>
      <c r="P79" s="204"/>
      <c r="Q79" s="142"/>
      <c r="T79" s="201"/>
      <c r="Z79" s="151"/>
      <c r="AB79" s="64"/>
      <c r="AC79" s="64"/>
      <c r="AD79" s="64"/>
      <c r="AE79" s="64"/>
      <c r="AF79" s="64"/>
      <c r="AG79" s="64"/>
      <c r="AH79" s="64"/>
      <c r="AI79" s="143"/>
      <c r="AJ79" s="134"/>
      <c r="AK79" s="194"/>
      <c r="AL79" s="90"/>
    </row>
    <row r="80" spans="1:38" ht="17.100000000000001" customHeight="1" x14ac:dyDescent="0.25">
      <c r="A80" s="197"/>
      <c r="G80" s="88"/>
      <c r="H80" s="182"/>
      <c r="L80" s="24"/>
      <c r="M80" s="24"/>
      <c r="N80" s="186"/>
      <c r="O80" s="190"/>
      <c r="P80" s="204"/>
      <c r="Q80" s="142"/>
      <c r="T80" s="201"/>
      <c r="Z80" s="151"/>
      <c r="AB80" s="64"/>
      <c r="AC80" s="64"/>
      <c r="AD80" s="64"/>
      <c r="AE80" s="64"/>
      <c r="AF80" s="64"/>
      <c r="AG80" s="64"/>
      <c r="AH80" s="64"/>
      <c r="AI80" s="143"/>
      <c r="AJ80" s="134"/>
      <c r="AK80" s="194"/>
      <c r="AL80" s="90"/>
    </row>
    <row r="81" spans="1:38" ht="17.100000000000001" customHeight="1" x14ac:dyDescent="0.25">
      <c r="A81" s="197"/>
      <c r="G81" s="88"/>
      <c r="H81" s="182"/>
      <c r="L81" s="24"/>
      <c r="M81" s="24"/>
      <c r="N81" s="186"/>
      <c r="O81" s="190"/>
      <c r="P81" s="204"/>
      <c r="Q81" s="142"/>
      <c r="T81" s="201"/>
      <c r="Z81" s="151"/>
      <c r="AB81" s="64"/>
      <c r="AC81" s="64"/>
      <c r="AD81" s="64"/>
      <c r="AE81" s="64"/>
      <c r="AF81" s="64"/>
      <c r="AG81" s="64"/>
      <c r="AH81" s="64"/>
      <c r="AI81" s="143"/>
      <c r="AJ81" s="134"/>
      <c r="AK81" s="194"/>
      <c r="AL81" s="90"/>
    </row>
    <row r="82" spans="1:38" ht="17.100000000000001" customHeight="1" x14ac:dyDescent="0.25">
      <c r="A82" s="197"/>
      <c r="G82" s="88"/>
      <c r="H82" s="182"/>
      <c r="L82" s="24"/>
      <c r="M82" s="24"/>
      <c r="N82" s="186"/>
      <c r="O82" s="190"/>
      <c r="P82" s="204"/>
      <c r="Q82" s="142"/>
      <c r="T82" s="201"/>
      <c r="Z82" s="151"/>
      <c r="AB82" s="64"/>
      <c r="AC82" s="64"/>
      <c r="AD82" s="64"/>
      <c r="AE82" s="64"/>
      <c r="AF82" s="64"/>
      <c r="AG82" s="64"/>
      <c r="AH82" s="64"/>
      <c r="AI82" s="143"/>
      <c r="AJ82" s="134"/>
      <c r="AK82" s="194"/>
      <c r="AL82" s="90"/>
    </row>
    <row r="83" spans="1:38" ht="17.100000000000001" customHeight="1" x14ac:dyDescent="0.25">
      <c r="A83" s="197"/>
      <c r="G83" s="88"/>
      <c r="H83" s="182"/>
      <c r="L83" s="24"/>
      <c r="M83" s="24"/>
      <c r="N83" s="186"/>
      <c r="O83" s="190"/>
      <c r="P83" s="204"/>
      <c r="Q83" s="142"/>
      <c r="T83" s="201"/>
      <c r="Z83" s="151"/>
      <c r="AB83" s="64"/>
      <c r="AC83" s="64"/>
      <c r="AD83" s="64"/>
      <c r="AE83" s="64"/>
      <c r="AF83" s="64"/>
      <c r="AG83" s="64"/>
      <c r="AH83" s="64"/>
      <c r="AI83" s="143"/>
      <c r="AJ83" s="134"/>
      <c r="AK83" s="194"/>
      <c r="AL83" s="90"/>
    </row>
    <row r="84" spans="1:38" ht="17.100000000000001" customHeight="1" x14ac:dyDescent="0.25">
      <c r="A84" s="197"/>
      <c r="G84" s="88"/>
      <c r="H84" s="182"/>
      <c r="L84" s="24"/>
      <c r="M84" s="24"/>
      <c r="N84" s="186"/>
      <c r="O84" s="190"/>
      <c r="P84" s="204"/>
      <c r="Q84" s="142"/>
      <c r="T84" s="201"/>
      <c r="Z84" s="151"/>
      <c r="AB84" s="64"/>
      <c r="AC84" s="64"/>
      <c r="AD84" s="64"/>
      <c r="AE84" s="64"/>
      <c r="AF84" s="64"/>
      <c r="AG84" s="64"/>
      <c r="AH84" s="64"/>
      <c r="AI84" s="143"/>
      <c r="AJ84" s="134"/>
      <c r="AK84" s="194"/>
      <c r="AL84" s="90"/>
    </row>
    <row r="85" spans="1:38" ht="17.100000000000001" customHeight="1" x14ac:dyDescent="0.25">
      <c r="A85" s="197"/>
      <c r="G85" s="88"/>
      <c r="H85" s="182"/>
      <c r="L85" s="24"/>
      <c r="M85" s="24"/>
      <c r="N85" s="186"/>
      <c r="O85" s="190"/>
      <c r="P85" s="204"/>
      <c r="Q85" s="142"/>
      <c r="T85" s="201"/>
      <c r="Z85" s="151"/>
      <c r="AB85" s="64"/>
      <c r="AC85" s="64"/>
      <c r="AD85" s="64"/>
      <c r="AE85" s="64"/>
      <c r="AF85" s="64"/>
      <c r="AG85" s="64"/>
      <c r="AH85" s="64"/>
      <c r="AI85" s="143"/>
      <c r="AJ85" s="134"/>
      <c r="AK85" s="194"/>
      <c r="AL85" s="90"/>
    </row>
    <row r="86" spans="1:38" ht="17.100000000000001" customHeight="1" x14ac:dyDescent="0.25">
      <c r="A86" s="197"/>
      <c r="G86" s="88"/>
      <c r="H86" s="182"/>
      <c r="L86" s="24"/>
      <c r="M86" s="24"/>
      <c r="N86" s="186"/>
      <c r="O86" s="190"/>
      <c r="P86" s="204"/>
      <c r="Q86" s="142"/>
      <c r="T86" s="201"/>
      <c r="Z86" s="151"/>
      <c r="AB86" s="64"/>
      <c r="AC86" s="64"/>
      <c r="AD86" s="64"/>
      <c r="AE86" s="64"/>
      <c r="AF86" s="64"/>
      <c r="AG86" s="64"/>
      <c r="AH86" s="64"/>
      <c r="AI86" s="143"/>
      <c r="AJ86" s="134"/>
      <c r="AK86" s="194"/>
      <c r="AL86" s="90"/>
    </row>
    <row r="87" spans="1:38" ht="17.100000000000001" customHeight="1" thickBot="1" x14ac:dyDescent="0.3">
      <c r="A87" s="197"/>
      <c r="G87" s="88"/>
      <c r="H87" s="182"/>
      <c r="L87" s="24"/>
      <c r="M87" s="24"/>
      <c r="N87" s="186"/>
      <c r="O87" s="190"/>
      <c r="P87" s="204"/>
      <c r="Q87" s="142"/>
      <c r="T87" s="201"/>
      <c r="Z87" s="151"/>
      <c r="AB87" s="64"/>
      <c r="AC87" s="64"/>
      <c r="AD87" s="64"/>
      <c r="AE87" s="64"/>
      <c r="AF87" s="64"/>
      <c r="AG87" s="64"/>
      <c r="AH87" s="64"/>
      <c r="AI87" s="143"/>
      <c r="AJ87" s="134"/>
      <c r="AK87" s="194"/>
      <c r="AL87" s="90"/>
    </row>
    <row r="88" spans="1:38" ht="17.100000000000001" customHeight="1" x14ac:dyDescent="0.25">
      <c r="A88" s="198"/>
      <c r="B88" s="153"/>
      <c r="C88" s="154"/>
      <c r="D88" s="154"/>
      <c r="E88" s="154"/>
      <c r="F88" s="154"/>
      <c r="G88" s="155"/>
      <c r="H88" s="183"/>
      <c r="I88" s="156"/>
      <c r="J88" s="157"/>
      <c r="K88" s="158"/>
      <c r="L88" s="158"/>
      <c r="M88" s="158"/>
      <c r="N88" s="187"/>
      <c r="O88" s="191"/>
      <c r="P88" s="205"/>
      <c r="Q88" s="159"/>
      <c r="R88" s="160"/>
      <c r="S88" s="158"/>
      <c r="T88" s="202"/>
      <c r="U88" s="161"/>
      <c r="V88" s="156"/>
      <c r="W88" s="162"/>
      <c r="X88" s="156"/>
      <c r="Y88" s="158"/>
      <c r="Z88" s="163"/>
      <c r="AA88" s="156"/>
      <c r="AB88" s="164"/>
      <c r="AC88" s="164"/>
      <c r="AD88" s="164"/>
      <c r="AE88" s="164"/>
      <c r="AF88" s="164"/>
      <c r="AG88" s="164"/>
      <c r="AH88" s="164"/>
      <c r="AI88" s="165"/>
      <c r="AJ88" s="134"/>
      <c r="AK88" s="195"/>
      <c r="AL88" s="166"/>
    </row>
    <row r="89" spans="1:38" ht="17.100000000000001" customHeight="1" x14ac:dyDescent="0.25">
      <c r="A89" s="197"/>
      <c r="G89" s="88"/>
      <c r="H89" s="182"/>
      <c r="L89" s="24"/>
      <c r="M89" s="24"/>
      <c r="N89" s="186"/>
      <c r="O89" s="190"/>
      <c r="P89" s="204"/>
      <c r="Q89" s="142"/>
      <c r="T89" s="201"/>
      <c r="Z89" s="151"/>
      <c r="AB89" s="64"/>
      <c r="AC89" s="64"/>
      <c r="AD89" s="64"/>
      <c r="AE89" s="64"/>
      <c r="AF89" s="64"/>
      <c r="AG89" s="64"/>
      <c r="AH89" s="64"/>
      <c r="AI89" s="143"/>
      <c r="AJ89" s="134"/>
      <c r="AK89" s="194"/>
      <c r="AL89" s="90"/>
    </row>
    <row r="90" spans="1:38" ht="17.100000000000001" customHeight="1" x14ac:dyDescent="0.25">
      <c r="A90" s="197"/>
      <c r="G90" s="88"/>
      <c r="H90" s="182"/>
      <c r="L90" s="24"/>
      <c r="M90" s="24"/>
      <c r="N90" s="186"/>
      <c r="O90" s="190"/>
      <c r="P90" s="204"/>
      <c r="Q90" s="142"/>
      <c r="T90" s="201"/>
      <c r="Z90" s="151"/>
      <c r="AB90" s="64"/>
      <c r="AC90" s="64"/>
      <c r="AD90" s="64"/>
      <c r="AE90" s="64"/>
      <c r="AF90" s="64"/>
      <c r="AG90" s="64"/>
      <c r="AH90" s="64"/>
      <c r="AI90" s="143"/>
      <c r="AJ90" s="134"/>
      <c r="AK90" s="194"/>
      <c r="AL90" s="90"/>
    </row>
    <row r="91" spans="1:38" ht="17.100000000000001" customHeight="1" x14ac:dyDescent="0.25">
      <c r="A91" s="197"/>
      <c r="G91" s="88"/>
      <c r="H91" s="182"/>
      <c r="L91" s="24"/>
      <c r="M91" s="24"/>
      <c r="N91" s="186"/>
      <c r="O91" s="190"/>
      <c r="P91" s="204"/>
      <c r="Q91" s="142"/>
      <c r="T91" s="201"/>
      <c r="Z91" s="151"/>
      <c r="AB91" s="64"/>
      <c r="AC91" s="64"/>
      <c r="AD91" s="64"/>
      <c r="AE91" s="64"/>
      <c r="AF91" s="64"/>
      <c r="AG91" s="64"/>
      <c r="AH91" s="64"/>
      <c r="AI91" s="143"/>
      <c r="AJ91" s="134"/>
      <c r="AK91" s="194"/>
      <c r="AL91" s="90"/>
    </row>
    <row r="92" spans="1:38" ht="17.100000000000001" customHeight="1" x14ac:dyDescent="0.25">
      <c r="A92" s="197"/>
      <c r="G92" s="88"/>
      <c r="H92" s="182"/>
      <c r="L92" s="24"/>
      <c r="M92" s="24"/>
      <c r="N92" s="186"/>
      <c r="O92" s="190"/>
      <c r="P92" s="204"/>
      <c r="Q92" s="142"/>
      <c r="T92" s="201"/>
      <c r="Z92" s="151"/>
      <c r="AB92" s="64"/>
      <c r="AC92" s="64"/>
      <c r="AD92" s="64"/>
      <c r="AE92" s="64"/>
      <c r="AF92" s="64"/>
      <c r="AG92" s="64"/>
      <c r="AH92" s="64"/>
      <c r="AI92" s="143"/>
      <c r="AJ92" s="134"/>
      <c r="AK92" s="194"/>
      <c r="AL92" s="90"/>
    </row>
    <row r="93" spans="1:38" ht="17.100000000000001" customHeight="1" x14ac:dyDescent="0.25">
      <c r="A93" s="197"/>
      <c r="G93" s="88"/>
      <c r="H93" s="182"/>
      <c r="L93" s="24"/>
      <c r="M93" s="24"/>
      <c r="N93" s="186"/>
      <c r="O93" s="190"/>
      <c r="P93" s="204"/>
      <c r="Q93" s="142"/>
      <c r="T93" s="201"/>
      <c r="Z93" s="151"/>
      <c r="AB93" s="64"/>
      <c r="AC93" s="64"/>
      <c r="AD93" s="64"/>
      <c r="AE93" s="64"/>
      <c r="AF93" s="64"/>
      <c r="AG93" s="64"/>
      <c r="AH93" s="64"/>
      <c r="AI93" s="143"/>
      <c r="AJ93" s="134"/>
      <c r="AK93" s="194"/>
      <c r="AL93" s="90"/>
    </row>
    <row r="94" spans="1:38" ht="17.100000000000001" customHeight="1" x14ac:dyDescent="0.25">
      <c r="A94" s="197"/>
      <c r="G94" s="88"/>
      <c r="H94" s="182"/>
      <c r="L94" s="24"/>
      <c r="M94" s="24"/>
      <c r="N94" s="186"/>
      <c r="O94" s="190"/>
      <c r="P94" s="204"/>
      <c r="Q94" s="142"/>
      <c r="T94" s="201"/>
      <c r="Z94" s="151"/>
      <c r="AB94" s="64"/>
      <c r="AC94" s="64"/>
      <c r="AD94" s="64"/>
      <c r="AE94" s="64"/>
      <c r="AF94" s="64"/>
      <c r="AG94" s="64"/>
      <c r="AH94" s="64"/>
      <c r="AI94" s="143"/>
      <c r="AJ94" s="134"/>
      <c r="AK94" s="194"/>
      <c r="AL94" s="90"/>
    </row>
    <row r="95" spans="1:38" ht="17.100000000000001" customHeight="1" x14ac:dyDescent="0.25">
      <c r="A95" s="197"/>
      <c r="G95" s="88"/>
      <c r="H95" s="182"/>
      <c r="L95" s="24"/>
      <c r="M95" s="24"/>
      <c r="N95" s="186"/>
      <c r="O95" s="190"/>
      <c r="P95" s="204"/>
      <c r="Q95" s="142"/>
      <c r="T95" s="201"/>
      <c r="Z95" s="151"/>
      <c r="AB95" s="64"/>
      <c r="AC95" s="64"/>
      <c r="AD95" s="64"/>
      <c r="AE95" s="64"/>
      <c r="AF95" s="64"/>
      <c r="AG95" s="64"/>
      <c r="AH95" s="64"/>
      <c r="AI95" s="143"/>
      <c r="AJ95" s="134"/>
      <c r="AK95" s="194"/>
      <c r="AL95" s="90"/>
    </row>
    <row r="96" spans="1:38" ht="17.100000000000001" customHeight="1" x14ac:dyDescent="0.25">
      <c r="A96" s="197"/>
      <c r="G96" s="88"/>
      <c r="H96" s="182"/>
      <c r="L96" s="24"/>
      <c r="M96" s="24"/>
      <c r="N96" s="186"/>
      <c r="O96" s="190"/>
      <c r="P96" s="204"/>
      <c r="Q96" s="142"/>
      <c r="T96" s="201"/>
      <c r="Z96" s="151"/>
      <c r="AB96" s="64"/>
      <c r="AC96" s="64"/>
      <c r="AD96" s="64"/>
      <c r="AE96" s="64"/>
      <c r="AF96" s="64"/>
      <c r="AG96" s="64"/>
      <c r="AH96" s="64"/>
      <c r="AI96" s="143"/>
      <c r="AJ96" s="134"/>
      <c r="AK96" s="194"/>
      <c r="AL96" s="90"/>
    </row>
    <row r="97" spans="1:38" ht="17.100000000000001" customHeight="1" thickBot="1" x14ac:dyDescent="0.3">
      <c r="A97" s="197"/>
      <c r="G97" s="88"/>
      <c r="H97" s="182"/>
      <c r="L97" s="24"/>
      <c r="M97" s="24"/>
      <c r="N97" s="186"/>
      <c r="O97" s="190"/>
      <c r="P97" s="204"/>
      <c r="Q97" s="142"/>
      <c r="T97" s="201"/>
      <c r="Z97" s="151"/>
      <c r="AB97" s="64"/>
      <c r="AC97" s="64"/>
      <c r="AD97" s="64"/>
      <c r="AE97" s="64"/>
      <c r="AF97" s="64"/>
      <c r="AG97" s="64"/>
      <c r="AH97" s="64"/>
      <c r="AI97" s="143"/>
      <c r="AJ97" s="134"/>
      <c r="AK97" s="194"/>
      <c r="AL97" s="90"/>
    </row>
    <row r="98" spans="1:38" ht="17.100000000000001" customHeight="1" x14ac:dyDescent="0.25">
      <c r="A98" s="198"/>
      <c r="B98" s="153"/>
      <c r="C98" s="154"/>
      <c r="D98" s="154"/>
      <c r="E98" s="154"/>
      <c r="F98" s="154"/>
      <c r="G98" s="155"/>
      <c r="H98" s="183"/>
      <c r="I98" s="156"/>
      <c r="J98" s="157"/>
      <c r="K98" s="158"/>
      <c r="L98" s="158"/>
      <c r="M98" s="158"/>
      <c r="N98" s="187"/>
      <c r="O98" s="191"/>
      <c r="P98" s="205"/>
      <c r="Q98" s="159"/>
      <c r="R98" s="160"/>
      <c r="S98" s="158"/>
      <c r="T98" s="202"/>
      <c r="U98" s="161"/>
      <c r="V98" s="156"/>
      <c r="W98" s="162"/>
      <c r="X98" s="156"/>
      <c r="Y98" s="158"/>
      <c r="Z98" s="163"/>
      <c r="AA98" s="156"/>
      <c r="AB98" s="164"/>
      <c r="AC98" s="164"/>
      <c r="AD98" s="164"/>
      <c r="AE98" s="164"/>
      <c r="AF98" s="164"/>
      <c r="AG98" s="164"/>
      <c r="AH98" s="164"/>
      <c r="AI98" s="165"/>
      <c r="AJ98" s="134"/>
      <c r="AK98" s="195"/>
      <c r="AL98" s="166"/>
    </row>
    <row r="99" spans="1:38" ht="17.100000000000001" customHeight="1" x14ac:dyDescent="0.25">
      <c r="A99" s="197"/>
      <c r="G99" s="88"/>
      <c r="H99" s="182"/>
      <c r="L99" s="24"/>
      <c r="M99" s="24"/>
      <c r="N99" s="186"/>
      <c r="O99" s="190"/>
      <c r="P99" s="204"/>
      <c r="Q99" s="142"/>
      <c r="T99" s="201"/>
      <c r="Z99" s="151"/>
      <c r="AB99" s="64"/>
      <c r="AC99" s="64"/>
      <c r="AD99" s="64"/>
      <c r="AE99" s="64"/>
      <c r="AF99" s="64"/>
      <c r="AG99" s="64"/>
      <c r="AH99" s="64"/>
      <c r="AI99" s="143"/>
      <c r="AJ99" s="134"/>
      <c r="AK99" s="194"/>
      <c r="AL99" s="90"/>
    </row>
    <row r="100" spans="1:38" ht="17.100000000000001" customHeight="1" x14ac:dyDescent="0.25">
      <c r="A100" s="197"/>
      <c r="G100" s="88"/>
      <c r="H100" s="182"/>
      <c r="L100" s="24"/>
      <c r="M100" s="24"/>
      <c r="N100" s="186"/>
      <c r="O100" s="190"/>
      <c r="P100" s="204"/>
      <c r="Q100" s="142"/>
      <c r="T100" s="201"/>
      <c r="Z100" s="151"/>
      <c r="AB100" s="64"/>
      <c r="AC100" s="64"/>
      <c r="AD100" s="64"/>
      <c r="AE100" s="64"/>
      <c r="AF100" s="64"/>
      <c r="AG100" s="64"/>
      <c r="AH100" s="64"/>
      <c r="AI100" s="143"/>
      <c r="AJ100" s="134"/>
      <c r="AK100" s="194"/>
      <c r="AL100" s="90"/>
    </row>
    <row r="101" spans="1:38" ht="17.100000000000001" customHeight="1" x14ac:dyDescent="0.25">
      <c r="A101" s="197"/>
      <c r="G101" s="88"/>
      <c r="H101" s="182"/>
      <c r="L101" s="24"/>
      <c r="M101" s="24"/>
      <c r="N101" s="186"/>
      <c r="O101" s="190"/>
      <c r="P101" s="204"/>
      <c r="Q101" s="142"/>
      <c r="T101" s="201"/>
      <c r="Z101" s="151"/>
      <c r="AB101" s="64"/>
      <c r="AC101" s="64"/>
      <c r="AD101" s="64"/>
      <c r="AE101" s="64"/>
      <c r="AF101" s="64"/>
      <c r="AG101" s="64"/>
      <c r="AH101" s="64"/>
      <c r="AI101" s="143"/>
      <c r="AJ101" s="134"/>
      <c r="AK101" s="194"/>
      <c r="AL101" s="90"/>
    </row>
    <row r="102" spans="1:38" ht="17.100000000000001" customHeight="1" x14ac:dyDescent="0.25">
      <c r="A102" s="197"/>
      <c r="G102" s="88"/>
      <c r="H102" s="182"/>
      <c r="L102" s="24"/>
      <c r="M102" s="24"/>
      <c r="N102" s="186"/>
      <c r="O102" s="190"/>
      <c r="P102" s="204"/>
      <c r="Q102" s="142"/>
      <c r="T102" s="201"/>
      <c r="Z102" s="151"/>
      <c r="AB102" s="64"/>
      <c r="AC102" s="64"/>
      <c r="AD102" s="64"/>
      <c r="AE102" s="64"/>
      <c r="AF102" s="64"/>
      <c r="AG102" s="64"/>
      <c r="AH102" s="64"/>
      <c r="AI102" s="143"/>
      <c r="AJ102" s="134"/>
      <c r="AK102" s="194"/>
      <c r="AL102" s="90"/>
    </row>
    <row r="103" spans="1:38" ht="17.100000000000001" customHeight="1" x14ac:dyDescent="0.25">
      <c r="A103" s="197"/>
      <c r="G103" s="88"/>
      <c r="H103" s="182"/>
      <c r="L103" s="24"/>
      <c r="M103" s="24"/>
      <c r="N103" s="186"/>
      <c r="O103" s="190"/>
      <c r="P103" s="204"/>
      <c r="Q103" s="142"/>
      <c r="T103" s="201"/>
      <c r="Z103" s="151"/>
      <c r="AB103" s="64"/>
      <c r="AC103" s="64"/>
      <c r="AD103" s="64"/>
      <c r="AE103" s="64"/>
      <c r="AF103" s="64"/>
      <c r="AG103" s="64"/>
      <c r="AH103" s="64"/>
      <c r="AI103" s="143"/>
      <c r="AJ103" s="134"/>
      <c r="AK103" s="194"/>
      <c r="AL103" s="90"/>
    </row>
    <row r="104" spans="1:38" ht="17.100000000000001" customHeight="1" x14ac:dyDescent="0.25">
      <c r="A104" s="197"/>
      <c r="G104" s="88"/>
      <c r="H104" s="182"/>
      <c r="L104" s="24"/>
      <c r="M104" s="24"/>
      <c r="N104" s="186"/>
      <c r="O104" s="190"/>
      <c r="P104" s="204"/>
      <c r="Q104" s="142"/>
      <c r="T104" s="201"/>
      <c r="Z104" s="151"/>
      <c r="AB104" s="64"/>
      <c r="AC104" s="64"/>
      <c r="AD104" s="64"/>
      <c r="AE104" s="64"/>
      <c r="AF104" s="64"/>
      <c r="AG104" s="64"/>
      <c r="AH104" s="64"/>
      <c r="AI104" s="143"/>
      <c r="AJ104" s="134"/>
      <c r="AK104" s="194"/>
      <c r="AL104" s="90"/>
    </row>
    <row r="105" spans="1:38" ht="17.100000000000001" customHeight="1" x14ac:dyDescent="0.25">
      <c r="A105" s="197"/>
      <c r="G105" s="88"/>
      <c r="H105" s="182"/>
      <c r="L105" s="24"/>
      <c r="M105" s="24"/>
      <c r="N105" s="186"/>
      <c r="O105" s="190"/>
      <c r="P105" s="204"/>
      <c r="Q105" s="142"/>
      <c r="T105" s="201"/>
      <c r="Z105" s="151"/>
      <c r="AB105" s="64"/>
      <c r="AC105" s="64"/>
      <c r="AD105" s="64"/>
      <c r="AE105" s="64"/>
      <c r="AF105" s="64"/>
      <c r="AG105" s="64"/>
      <c r="AH105" s="64"/>
      <c r="AI105" s="143"/>
      <c r="AJ105" s="134"/>
      <c r="AK105" s="194"/>
      <c r="AL105" s="90"/>
    </row>
    <row r="106" spans="1:38" ht="17.100000000000001" customHeight="1" x14ac:dyDescent="0.25">
      <c r="A106" s="197"/>
      <c r="G106" s="88"/>
      <c r="H106" s="182"/>
      <c r="L106" s="24"/>
      <c r="M106" s="24"/>
      <c r="N106" s="186"/>
      <c r="O106" s="190"/>
      <c r="P106" s="204"/>
      <c r="Q106" s="142"/>
      <c r="T106" s="201"/>
      <c r="Z106" s="151"/>
      <c r="AB106" s="64"/>
      <c r="AC106" s="64"/>
      <c r="AD106" s="64"/>
      <c r="AE106" s="64"/>
      <c r="AF106" s="64"/>
      <c r="AG106" s="64"/>
      <c r="AH106" s="64"/>
      <c r="AI106" s="143"/>
      <c r="AJ106" s="134"/>
      <c r="AK106" s="194"/>
      <c r="AL106" s="90"/>
    </row>
    <row r="107" spans="1:38" ht="17.100000000000001" customHeight="1" x14ac:dyDescent="0.25">
      <c r="A107" s="197"/>
      <c r="G107" s="88"/>
      <c r="H107" s="182"/>
      <c r="L107" s="24"/>
      <c r="M107" s="24"/>
      <c r="N107" s="186"/>
      <c r="O107" s="190"/>
      <c r="P107" s="204"/>
      <c r="Q107" s="142"/>
      <c r="T107" s="201"/>
      <c r="Z107" s="151"/>
      <c r="AB107" s="64"/>
      <c r="AC107" s="64"/>
      <c r="AD107" s="64"/>
      <c r="AE107" s="64"/>
      <c r="AF107" s="64"/>
      <c r="AG107" s="64"/>
      <c r="AH107" s="64"/>
      <c r="AI107" s="143"/>
      <c r="AJ107" s="134"/>
      <c r="AK107" s="194"/>
      <c r="AL107" s="90"/>
    </row>
    <row r="108" spans="1:38" ht="17.100000000000001" customHeight="1" x14ac:dyDescent="0.25">
      <c r="A108" s="197"/>
      <c r="G108" s="88"/>
      <c r="H108" s="182"/>
      <c r="L108" s="24"/>
      <c r="M108" s="24"/>
      <c r="N108" s="186"/>
      <c r="O108" s="190"/>
      <c r="P108" s="204"/>
      <c r="Q108" s="142"/>
      <c r="T108" s="201"/>
      <c r="Z108" s="151"/>
      <c r="AB108" s="64"/>
      <c r="AC108" s="64"/>
      <c r="AD108" s="64"/>
      <c r="AE108" s="64"/>
      <c r="AF108" s="88"/>
      <c r="AG108" s="88"/>
      <c r="AH108" s="88"/>
      <c r="AI108" s="88"/>
      <c r="AJ108" s="134"/>
      <c r="AK108" s="194"/>
      <c r="AL108" s="90"/>
    </row>
    <row r="109" spans="1:38" ht="17.100000000000001" customHeight="1" x14ac:dyDescent="0.25">
      <c r="A109" s="197"/>
      <c r="G109" s="88"/>
      <c r="H109" s="182"/>
      <c r="L109" s="24"/>
      <c r="M109" s="24"/>
      <c r="N109" s="186"/>
      <c r="O109" s="190"/>
      <c r="P109" s="204"/>
      <c r="Q109" s="142"/>
      <c r="T109" s="201"/>
      <c r="Z109" s="151"/>
      <c r="AB109" s="64"/>
      <c r="AC109" s="64"/>
      <c r="AD109" s="64"/>
      <c r="AE109" s="64"/>
      <c r="AF109" s="88"/>
      <c r="AG109" s="88"/>
      <c r="AH109" s="88"/>
      <c r="AI109" s="88"/>
      <c r="AJ109" s="134"/>
      <c r="AK109" s="194"/>
      <c r="AL109" s="90"/>
    </row>
    <row r="110" spans="1:38" ht="17.100000000000001" customHeight="1" x14ac:dyDescent="0.25">
      <c r="A110" s="197"/>
      <c r="G110" s="88"/>
      <c r="H110" s="182"/>
      <c r="L110" s="24"/>
      <c r="M110" s="24"/>
      <c r="N110" s="186"/>
      <c r="O110" s="190"/>
      <c r="P110" s="204"/>
      <c r="Q110" s="142"/>
      <c r="T110" s="201"/>
      <c r="Z110" s="151"/>
      <c r="AB110" s="64"/>
      <c r="AC110" s="64"/>
      <c r="AD110" s="64"/>
      <c r="AE110" s="64"/>
      <c r="AF110" s="88"/>
      <c r="AG110" s="88"/>
      <c r="AH110" s="88"/>
      <c r="AI110" s="88"/>
      <c r="AJ110" s="134"/>
      <c r="AK110" s="194"/>
      <c r="AL110" s="90"/>
    </row>
    <row r="111" spans="1:38" ht="17.100000000000001" customHeight="1" x14ac:dyDescent="0.25">
      <c r="A111" s="197"/>
      <c r="G111" s="88"/>
      <c r="H111" s="182"/>
      <c r="L111" s="24"/>
      <c r="M111" s="24"/>
      <c r="N111" s="186"/>
      <c r="O111" s="190"/>
      <c r="P111" s="204"/>
      <c r="Q111" s="142"/>
      <c r="T111" s="201"/>
      <c r="Z111" s="151"/>
      <c r="AB111" s="64"/>
      <c r="AC111" s="64"/>
      <c r="AD111" s="64"/>
      <c r="AE111" s="64"/>
      <c r="AF111" s="88"/>
      <c r="AG111" s="88"/>
      <c r="AH111" s="88"/>
      <c r="AI111" s="88"/>
      <c r="AJ111" s="134"/>
      <c r="AK111" s="194"/>
      <c r="AL111" s="90"/>
    </row>
    <row r="112" spans="1:38" ht="17.100000000000001" customHeight="1" x14ac:dyDescent="0.25">
      <c r="A112" s="197"/>
      <c r="G112" s="88"/>
      <c r="H112" s="182"/>
      <c r="L112" s="24"/>
      <c r="M112" s="24"/>
      <c r="N112" s="186"/>
      <c r="O112" s="190"/>
      <c r="P112" s="204"/>
      <c r="Q112" s="142"/>
      <c r="T112" s="201"/>
      <c r="Z112" s="151"/>
      <c r="AB112" s="64"/>
      <c r="AC112" s="64"/>
      <c r="AD112" s="64"/>
      <c r="AE112" s="64"/>
      <c r="AF112" s="88"/>
      <c r="AG112" s="88"/>
      <c r="AH112" s="88"/>
      <c r="AI112" s="88"/>
      <c r="AJ112" s="134"/>
      <c r="AK112" s="194"/>
      <c r="AL112" s="90"/>
    </row>
    <row r="113" spans="1:38" ht="17.100000000000001" customHeight="1" x14ac:dyDescent="0.25">
      <c r="A113" s="197"/>
      <c r="G113" s="88"/>
      <c r="H113" s="182"/>
      <c r="L113" s="24"/>
      <c r="M113" s="24"/>
      <c r="N113" s="186"/>
      <c r="O113" s="190"/>
      <c r="P113" s="204"/>
      <c r="Q113" s="142"/>
      <c r="T113" s="201"/>
      <c r="Z113" s="151"/>
      <c r="AB113" s="64"/>
      <c r="AC113" s="64"/>
      <c r="AD113" s="64"/>
      <c r="AE113" s="64"/>
      <c r="AF113" s="88"/>
      <c r="AG113" s="88"/>
      <c r="AH113" s="88"/>
      <c r="AI113" s="88"/>
      <c r="AJ113" s="134"/>
      <c r="AK113" s="194"/>
      <c r="AL113" s="90"/>
    </row>
    <row r="114" spans="1:38" ht="17.100000000000001" customHeight="1" x14ac:dyDescent="0.25">
      <c r="A114" s="197"/>
      <c r="G114" s="88"/>
      <c r="H114" s="182"/>
      <c r="L114" s="24"/>
      <c r="M114" s="24"/>
      <c r="N114" s="186"/>
      <c r="O114" s="190"/>
      <c r="P114" s="204"/>
      <c r="Q114" s="142"/>
      <c r="T114" s="201"/>
      <c r="Z114" s="151"/>
      <c r="AB114" s="64"/>
      <c r="AC114" s="64"/>
      <c r="AD114" s="64"/>
      <c r="AE114" s="64"/>
      <c r="AF114" s="88"/>
      <c r="AG114" s="88"/>
      <c r="AH114" s="88"/>
      <c r="AI114" s="88"/>
      <c r="AJ114" s="134"/>
      <c r="AK114" s="194"/>
      <c r="AL114" s="90"/>
    </row>
    <row r="115" spans="1:38" ht="17.100000000000001" customHeight="1" x14ac:dyDescent="0.25">
      <c r="A115" s="197"/>
      <c r="G115" s="88"/>
      <c r="H115" s="182"/>
      <c r="L115" s="24"/>
      <c r="M115" s="24"/>
      <c r="N115" s="186"/>
      <c r="O115" s="190"/>
      <c r="P115" s="204"/>
      <c r="Q115" s="142"/>
      <c r="T115" s="201"/>
      <c r="Z115" s="151"/>
      <c r="AB115" s="64"/>
      <c r="AC115" s="64"/>
      <c r="AD115" s="64"/>
      <c r="AE115" s="64"/>
      <c r="AF115" s="88"/>
      <c r="AG115" s="88"/>
      <c r="AH115" s="88"/>
      <c r="AI115" s="88"/>
      <c r="AJ115" s="134"/>
      <c r="AK115" s="194"/>
      <c r="AL115" s="90"/>
    </row>
    <row r="116" spans="1:38" ht="17.100000000000001" customHeight="1" x14ac:dyDescent="0.25">
      <c r="A116" s="197"/>
      <c r="G116" s="88"/>
      <c r="H116" s="182"/>
      <c r="L116" s="24"/>
      <c r="M116" s="24"/>
      <c r="N116" s="186"/>
      <c r="O116" s="190"/>
      <c r="P116" s="204"/>
      <c r="Q116" s="142"/>
      <c r="T116" s="201"/>
      <c r="Z116" s="151"/>
      <c r="AB116" s="64"/>
      <c r="AC116" s="64"/>
      <c r="AD116" s="64"/>
      <c r="AE116" s="64"/>
      <c r="AF116" s="88"/>
      <c r="AG116" s="88"/>
      <c r="AH116" s="88"/>
      <c r="AI116" s="88"/>
      <c r="AJ116" s="134"/>
      <c r="AK116" s="194"/>
      <c r="AL116" s="90"/>
    </row>
    <row r="117" spans="1:38" ht="17.100000000000001" customHeight="1" x14ac:dyDescent="0.25">
      <c r="A117" s="197"/>
      <c r="G117" s="88"/>
      <c r="H117" s="182"/>
      <c r="L117" s="24"/>
      <c r="M117" s="24"/>
      <c r="N117" s="186"/>
      <c r="O117" s="190"/>
      <c r="P117" s="204"/>
      <c r="Q117" s="142"/>
      <c r="T117" s="201"/>
      <c r="Z117" s="151"/>
      <c r="AB117" s="64"/>
      <c r="AC117" s="64"/>
      <c r="AD117" s="64"/>
      <c r="AE117" s="64"/>
      <c r="AF117" s="64"/>
      <c r="AG117" s="64"/>
      <c r="AH117" s="64"/>
      <c r="AI117" s="143"/>
      <c r="AJ117" s="134"/>
      <c r="AK117" s="194"/>
      <c r="AL117" s="90"/>
    </row>
    <row r="118" spans="1:38" ht="17.100000000000001" customHeight="1" x14ac:dyDescent="0.25">
      <c r="A118" s="197"/>
      <c r="G118" s="88"/>
      <c r="H118" s="182"/>
      <c r="L118" s="24"/>
      <c r="M118" s="24"/>
      <c r="N118" s="186"/>
      <c r="O118" s="190"/>
      <c r="P118" s="204"/>
      <c r="Q118" s="142"/>
      <c r="T118" s="201"/>
      <c r="Z118" s="151"/>
      <c r="AB118" s="64"/>
      <c r="AC118" s="64"/>
      <c r="AD118" s="64"/>
      <c r="AE118" s="64"/>
      <c r="AF118" s="64"/>
      <c r="AG118" s="64"/>
      <c r="AH118" s="64"/>
      <c r="AI118" s="143"/>
      <c r="AJ118" s="134"/>
      <c r="AK118" s="194"/>
      <c r="AL118" s="90"/>
    </row>
    <row r="119" spans="1:38" ht="17.100000000000001" customHeight="1" x14ac:dyDescent="0.25">
      <c r="A119" s="197"/>
      <c r="G119" s="88"/>
      <c r="H119" s="182"/>
      <c r="L119" s="24"/>
      <c r="M119" s="24"/>
      <c r="N119" s="186"/>
      <c r="O119" s="190"/>
      <c r="P119" s="204"/>
      <c r="Q119" s="142"/>
      <c r="T119" s="201"/>
      <c r="Z119" s="151"/>
      <c r="AB119" s="64"/>
      <c r="AC119" s="64"/>
      <c r="AD119" s="64"/>
      <c r="AE119" s="64"/>
      <c r="AF119" s="64"/>
      <c r="AG119" s="64"/>
      <c r="AH119" s="64"/>
      <c r="AI119" s="143"/>
      <c r="AJ119" s="134"/>
      <c r="AK119" s="194"/>
      <c r="AL119" s="90"/>
    </row>
    <row r="120" spans="1:38" ht="17.100000000000001" customHeight="1" x14ac:dyDescent="0.25">
      <c r="A120" s="197"/>
      <c r="G120" s="88"/>
      <c r="H120" s="182"/>
      <c r="L120" s="24"/>
      <c r="M120" s="24"/>
      <c r="N120" s="186"/>
      <c r="O120" s="190"/>
      <c r="P120" s="204"/>
      <c r="Q120" s="142"/>
      <c r="T120" s="201"/>
      <c r="Z120" s="151"/>
      <c r="AB120" s="64"/>
      <c r="AC120" s="64"/>
      <c r="AD120" s="64"/>
      <c r="AE120" s="64"/>
      <c r="AF120" s="64"/>
      <c r="AG120" s="64"/>
      <c r="AH120" s="64"/>
      <c r="AI120" s="143"/>
      <c r="AJ120" s="134"/>
      <c r="AK120" s="194"/>
      <c r="AL120" s="90"/>
    </row>
    <row r="121" spans="1:38" ht="17.100000000000001" customHeight="1" x14ac:dyDescent="0.25">
      <c r="A121" s="197"/>
      <c r="G121" s="88"/>
      <c r="H121" s="182"/>
      <c r="L121" s="24"/>
      <c r="M121" s="24"/>
      <c r="N121" s="186"/>
      <c r="O121" s="190"/>
      <c r="P121" s="204"/>
      <c r="Q121" s="142"/>
      <c r="T121" s="201"/>
      <c r="Z121" s="151"/>
      <c r="AB121" s="64"/>
      <c r="AC121" s="64"/>
      <c r="AD121" s="64"/>
      <c r="AE121" s="64"/>
      <c r="AF121" s="64"/>
      <c r="AG121" s="64"/>
      <c r="AH121" s="64"/>
      <c r="AI121" s="143"/>
      <c r="AJ121" s="134"/>
      <c r="AK121" s="194"/>
      <c r="AL121" s="90"/>
    </row>
    <row r="122" spans="1:38" ht="17.100000000000001" customHeight="1" x14ac:dyDescent="0.25">
      <c r="A122" s="197"/>
      <c r="G122" s="88"/>
      <c r="H122" s="182"/>
      <c r="L122" s="24"/>
      <c r="M122" s="24"/>
      <c r="N122" s="186"/>
      <c r="O122" s="190"/>
      <c r="P122" s="204"/>
      <c r="Q122" s="142"/>
      <c r="T122" s="201"/>
      <c r="Z122" s="151"/>
      <c r="AB122" s="64"/>
      <c r="AC122" s="64"/>
      <c r="AD122" s="64"/>
      <c r="AE122" s="64"/>
      <c r="AF122" s="64"/>
      <c r="AG122" s="64"/>
      <c r="AH122" s="64"/>
      <c r="AI122" s="143"/>
      <c r="AJ122" s="134"/>
      <c r="AK122" s="194"/>
      <c r="AL122" s="90"/>
    </row>
    <row r="123" spans="1:38" ht="17.100000000000001" customHeight="1" x14ac:dyDescent="0.25">
      <c r="A123" s="197"/>
      <c r="G123" s="88"/>
      <c r="H123" s="182"/>
      <c r="L123" s="24"/>
      <c r="M123" s="24"/>
      <c r="N123" s="186"/>
      <c r="O123" s="190"/>
      <c r="P123" s="204"/>
      <c r="Q123" s="142"/>
      <c r="T123" s="201"/>
      <c r="Z123" s="151"/>
      <c r="AB123" s="64"/>
      <c r="AC123" s="64"/>
      <c r="AD123" s="64"/>
      <c r="AE123" s="64"/>
      <c r="AF123" s="64"/>
      <c r="AG123" s="64"/>
      <c r="AH123" s="64"/>
      <c r="AI123" s="143"/>
      <c r="AJ123" s="134"/>
      <c r="AK123" s="194"/>
      <c r="AL123" s="90"/>
    </row>
    <row r="124" spans="1:38" ht="17.100000000000001" customHeight="1" x14ac:dyDescent="0.25">
      <c r="A124" s="197"/>
      <c r="G124" s="88"/>
      <c r="H124" s="182"/>
      <c r="L124" s="24"/>
      <c r="M124" s="24"/>
      <c r="N124" s="186"/>
      <c r="O124" s="190"/>
      <c r="P124" s="204"/>
      <c r="Q124" s="142"/>
      <c r="T124" s="201"/>
      <c r="Z124" s="151"/>
      <c r="AB124" s="64"/>
      <c r="AC124" s="64"/>
      <c r="AD124" s="64"/>
      <c r="AE124" s="64"/>
      <c r="AF124" s="64"/>
      <c r="AG124" s="64"/>
      <c r="AH124" s="64"/>
      <c r="AI124" s="143"/>
      <c r="AJ124" s="134"/>
      <c r="AK124" s="194"/>
      <c r="AL124" s="90"/>
    </row>
    <row r="125" spans="1:38" ht="17.100000000000001" customHeight="1" x14ac:dyDescent="0.25">
      <c r="A125" s="197"/>
      <c r="G125" s="88"/>
      <c r="H125" s="182"/>
      <c r="L125" s="24"/>
      <c r="M125" s="24"/>
      <c r="N125" s="186"/>
      <c r="O125" s="190"/>
      <c r="P125" s="204"/>
      <c r="Q125" s="142"/>
      <c r="T125" s="201"/>
      <c r="Z125" s="151"/>
      <c r="AB125" s="64"/>
      <c r="AC125" s="64"/>
      <c r="AD125" s="64"/>
      <c r="AE125" s="64"/>
      <c r="AF125" s="64"/>
      <c r="AG125" s="64"/>
      <c r="AH125" s="64"/>
      <c r="AI125" s="143"/>
      <c r="AJ125" s="134"/>
      <c r="AK125" s="194"/>
      <c r="AL125" s="90"/>
    </row>
    <row r="126" spans="1:38" ht="17.100000000000001" customHeight="1" x14ac:dyDescent="0.25">
      <c r="A126" s="197"/>
      <c r="G126" s="88"/>
      <c r="H126" s="182"/>
      <c r="L126" s="24"/>
      <c r="M126" s="24"/>
      <c r="N126" s="186"/>
      <c r="O126" s="190"/>
      <c r="P126" s="204"/>
      <c r="Q126" s="142"/>
      <c r="T126" s="201"/>
      <c r="Z126" s="151"/>
      <c r="AB126" s="64"/>
      <c r="AC126" s="64"/>
      <c r="AD126" s="64"/>
      <c r="AE126" s="64"/>
      <c r="AF126" s="64"/>
      <c r="AG126" s="64"/>
      <c r="AH126" s="64"/>
      <c r="AI126" s="143"/>
      <c r="AJ126" s="134"/>
      <c r="AK126" s="194"/>
      <c r="AL126" s="90"/>
    </row>
    <row r="127" spans="1:38" ht="17.100000000000001" customHeight="1" x14ac:dyDescent="0.25">
      <c r="A127" s="197"/>
      <c r="G127" s="88"/>
      <c r="H127" s="182"/>
      <c r="L127" s="24"/>
      <c r="M127" s="24"/>
      <c r="N127" s="186"/>
      <c r="O127" s="190"/>
      <c r="P127" s="204"/>
      <c r="Q127" s="142"/>
      <c r="T127" s="201"/>
      <c r="Z127" s="151"/>
      <c r="AB127" s="64"/>
      <c r="AC127" s="64"/>
      <c r="AD127" s="64"/>
      <c r="AE127" s="64"/>
      <c r="AF127" s="64"/>
      <c r="AG127" s="64"/>
      <c r="AH127" s="64"/>
      <c r="AI127" s="143"/>
      <c r="AJ127" s="134"/>
      <c r="AK127" s="194"/>
      <c r="AL127" s="90"/>
    </row>
    <row r="128" spans="1:38" ht="17.100000000000001" customHeight="1" x14ac:dyDescent="0.25">
      <c r="A128" s="197"/>
      <c r="G128" s="88"/>
      <c r="H128" s="182"/>
      <c r="L128" s="24"/>
      <c r="M128" s="24"/>
      <c r="N128" s="186"/>
      <c r="O128" s="190"/>
      <c r="P128" s="204"/>
      <c r="Q128" s="142"/>
      <c r="T128" s="201"/>
      <c r="Z128" s="151"/>
      <c r="AB128" s="64"/>
      <c r="AC128" s="64"/>
      <c r="AD128" s="64"/>
      <c r="AE128" s="64"/>
      <c r="AF128" s="64"/>
      <c r="AG128" s="64"/>
      <c r="AH128" s="64"/>
      <c r="AI128" s="143"/>
      <c r="AJ128" s="134"/>
      <c r="AK128" s="194"/>
      <c r="AL128" s="90"/>
    </row>
    <row r="129" spans="1:38" ht="17.100000000000001" customHeight="1" x14ac:dyDescent="0.25">
      <c r="A129" s="197"/>
      <c r="G129" s="88"/>
      <c r="H129" s="182"/>
      <c r="L129" s="24"/>
      <c r="M129" s="24"/>
      <c r="N129" s="186"/>
      <c r="O129" s="190"/>
      <c r="P129" s="204"/>
      <c r="Q129" s="142"/>
      <c r="T129" s="201"/>
      <c r="Z129" s="151"/>
      <c r="AB129" s="64"/>
      <c r="AC129" s="64"/>
      <c r="AD129" s="64"/>
      <c r="AE129" s="64"/>
      <c r="AF129" s="64"/>
      <c r="AG129" s="64"/>
      <c r="AH129" s="64"/>
      <c r="AI129" s="143"/>
      <c r="AJ129" s="134"/>
      <c r="AK129" s="194"/>
      <c r="AL129" s="90"/>
    </row>
    <row r="130" spans="1:38" ht="17.100000000000001" customHeight="1" x14ac:dyDescent="0.25">
      <c r="A130" s="197"/>
      <c r="G130" s="88"/>
      <c r="H130" s="182"/>
      <c r="L130" s="24"/>
      <c r="M130" s="24"/>
      <c r="N130" s="186"/>
      <c r="O130" s="190"/>
      <c r="P130" s="204"/>
      <c r="Q130" s="142"/>
      <c r="T130" s="201"/>
      <c r="Z130" s="151"/>
      <c r="AB130" s="64"/>
      <c r="AC130" s="64"/>
      <c r="AD130" s="64"/>
      <c r="AE130" s="64"/>
      <c r="AF130" s="64"/>
      <c r="AG130" s="64"/>
      <c r="AH130" s="64"/>
      <c r="AI130" s="143"/>
      <c r="AJ130" s="134"/>
      <c r="AK130" s="194"/>
      <c r="AL130" s="90"/>
    </row>
    <row r="131" spans="1:38" ht="17.100000000000001" customHeight="1" x14ac:dyDescent="0.25">
      <c r="A131" s="197"/>
      <c r="G131" s="88"/>
      <c r="H131" s="182"/>
      <c r="L131" s="24"/>
      <c r="M131" s="24"/>
      <c r="N131" s="186"/>
      <c r="O131" s="190"/>
      <c r="P131" s="204"/>
      <c r="Q131" s="142"/>
      <c r="T131" s="201"/>
      <c r="Z131" s="151"/>
      <c r="AB131" s="64"/>
      <c r="AC131" s="64"/>
      <c r="AD131" s="64"/>
      <c r="AE131" s="64"/>
      <c r="AF131" s="64"/>
      <c r="AG131" s="64"/>
      <c r="AH131" s="64"/>
      <c r="AI131" s="143"/>
      <c r="AJ131" s="134"/>
      <c r="AK131" s="194"/>
      <c r="AL131" s="90"/>
    </row>
    <row r="132" spans="1:38" ht="17.100000000000001" customHeight="1" x14ac:dyDescent="0.25">
      <c r="A132" s="197"/>
      <c r="G132" s="88"/>
      <c r="H132" s="182"/>
      <c r="L132" s="24"/>
      <c r="M132" s="24"/>
      <c r="N132" s="186"/>
      <c r="O132" s="190"/>
      <c r="P132" s="204"/>
      <c r="Q132" s="142"/>
      <c r="T132" s="201"/>
      <c r="Z132" s="151"/>
      <c r="AB132" s="64"/>
      <c r="AC132" s="64"/>
      <c r="AD132" s="64"/>
      <c r="AE132" s="64"/>
      <c r="AF132" s="64"/>
      <c r="AG132" s="64"/>
      <c r="AH132" s="64"/>
      <c r="AI132" s="143"/>
      <c r="AJ132" s="134"/>
      <c r="AK132" s="194"/>
      <c r="AL132" s="90"/>
    </row>
    <row r="133" spans="1:38" ht="17.100000000000001" customHeight="1" x14ac:dyDescent="0.25">
      <c r="A133" s="197"/>
      <c r="G133" s="88"/>
      <c r="H133" s="182"/>
      <c r="L133" s="24"/>
      <c r="M133" s="24"/>
      <c r="N133" s="186"/>
      <c r="O133" s="190"/>
      <c r="P133" s="204"/>
      <c r="Q133" s="142"/>
      <c r="T133" s="201"/>
      <c r="Z133" s="151"/>
      <c r="AB133" s="64"/>
      <c r="AC133" s="64"/>
      <c r="AD133" s="64"/>
      <c r="AE133" s="64"/>
      <c r="AF133" s="64"/>
      <c r="AG133" s="64"/>
      <c r="AH133" s="64"/>
      <c r="AI133" s="143"/>
      <c r="AJ133" s="134"/>
      <c r="AK133" s="194"/>
      <c r="AL133" s="90"/>
    </row>
    <row r="134" spans="1:38" ht="17.100000000000001" customHeight="1" x14ac:dyDescent="0.25">
      <c r="A134" s="197"/>
      <c r="G134" s="88"/>
      <c r="H134" s="182"/>
      <c r="L134" s="24"/>
      <c r="M134" s="24"/>
      <c r="N134" s="186"/>
      <c r="O134" s="190"/>
      <c r="P134" s="204"/>
      <c r="Q134" s="142"/>
      <c r="T134" s="201"/>
      <c r="Z134" s="151"/>
      <c r="AB134" s="64"/>
      <c r="AC134" s="64"/>
      <c r="AD134" s="64"/>
      <c r="AE134" s="64"/>
      <c r="AF134" s="64"/>
      <c r="AG134" s="64"/>
      <c r="AH134" s="64"/>
      <c r="AI134" s="143"/>
      <c r="AJ134" s="134"/>
      <c r="AK134" s="194"/>
      <c r="AL134" s="90"/>
    </row>
    <row r="135" spans="1:38" ht="17.100000000000001" customHeight="1" x14ac:dyDescent="0.25">
      <c r="A135" s="197"/>
      <c r="G135" s="88"/>
      <c r="H135" s="182"/>
      <c r="L135" s="24"/>
      <c r="M135" s="24"/>
      <c r="N135" s="186"/>
      <c r="O135" s="190"/>
      <c r="P135" s="204"/>
      <c r="Q135" s="142"/>
      <c r="T135" s="201"/>
      <c r="Z135" s="151"/>
      <c r="AB135" s="64"/>
      <c r="AC135" s="64"/>
      <c r="AD135" s="64"/>
      <c r="AE135" s="64"/>
      <c r="AF135" s="64"/>
      <c r="AG135" s="64"/>
      <c r="AH135" s="64"/>
      <c r="AI135" s="143"/>
      <c r="AJ135" s="134"/>
      <c r="AK135" s="194"/>
      <c r="AL135" s="90"/>
    </row>
    <row r="136" spans="1:38" ht="17.100000000000001" customHeight="1" x14ac:dyDescent="0.25">
      <c r="A136" s="197"/>
      <c r="G136" s="88"/>
      <c r="H136" s="182"/>
      <c r="L136" s="24"/>
      <c r="M136" s="24"/>
      <c r="N136" s="186"/>
      <c r="O136" s="190"/>
      <c r="P136" s="204"/>
      <c r="Q136" s="142"/>
      <c r="T136" s="201"/>
      <c r="Z136" s="151"/>
      <c r="AB136" s="64"/>
      <c r="AC136" s="64"/>
      <c r="AD136" s="64"/>
      <c r="AE136" s="64"/>
      <c r="AF136" s="64"/>
      <c r="AG136" s="64"/>
      <c r="AH136" s="64"/>
      <c r="AI136" s="143"/>
      <c r="AJ136" s="134"/>
      <c r="AK136" s="194"/>
      <c r="AL136" s="90"/>
    </row>
    <row r="137" spans="1:38" ht="17.100000000000001" customHeight="1" x14ac:dyDescent="0.25">
      <c r="A137" s="197"/>
      <c r="G137" s="88"/>
      <c r="H137" s="182"/>
      <c r="L137" s="24"/>
      <c r="M137" s="24"/>
      <c r="N137" s="186"/>
      <c r="O137" s="190"/>
      <c r="P137" s="204"/>
      <c r="Q137" s="142"/>
      <c r="T137" s="201"/>
      <c r="Z137" s="151"/>
      <c r="AB137" s="64"/>
      <c r="AC137" s="64"/>
      <c r="AD137" s="64"/>
      <c r="AE137" s="64"/>
      <c r="AF137" s="64"/>
      <c r="AG137" s="64"/>
      <c r="AH137" s="64"/>
      <c r="AI137" s="143"/>
      <c r="AJ137" s="134"/>
      <c r="AK137" s="194"/>
      <c r="AL137" s="90"/>
    </row>
    <row r="138" spans="1:38" ht="17.100000000000001" customHeight="1" x14ac:dyDescent="0.25">
      <c r="A138" s="197"/>
      <c r="G138" s="88"/>
      <c r="H138" s="182"/>
      <c r="L138" s="24"/>
      <c r="M138" s="24"/>
      <c r="N138" s="186"/>
      <c r="O138" s="190"/>
      <c r="P138" s="204"/>
      <c r="Q138" s="142"/>
      <c r="T138" s="201"/>
      <c r="Z138" s="151"/>
      <c r="AB138" s="64"/>
      <c r="AC138" s="64"/>
      <c r="AD138" s="64"/>
      <c r="AE138" s="64"/>
      <c r="AF138" s="64"/>
      <c r="AG138" s="64"/>
      <c r="AH138" s="64"/>
      <c r="AI138" s="143"/>
      <c r="AJ138" s="134"/>
      <c r="AK138" s="194"/>
      <c r="AL138" s="90"/>
    </row>
    <row r="139" spans="1:38" ht="17.100000000000001" customHeight="1" x14ac:dyDescent="0.25">
      <c r="A139" s="197"/>
      <c r="G139" s="88"/>
      <c r="H139" s="182"/>
      <c r="L139" s="24"/>
      <c r="M139" s="24"/>
      <c r="N139" s="186"/>
      <c r="O139" s="190"/>
      <c r="P139" s="204"/>
      <c r="Q139" s="142"/>
      <c r="T139" s="201"/>
      <c r="Z139" s="151"/>
      <c r="AB139" s="64"/>
      <c r="AC139" s="64"/>
      <c r="AD139" s="64"/>
      <c r="AE139" s="64"/>
      <c r="AF139" s="64"/>
      <c r="AG139" s="64"/>
      <c r="AH139" s="64"/>
      <c r="AI139" s="143"/>
      <c r="AJ139" s="134"/>
      <c r="AK139" s="194"/>
      <c r="AL139" s="90"/>
    </row>
    <row r="140" spans="1:38" ht="17.100000000000001" customHeight="1" x14ac:dyDescent="0.25">
      <c r="A140" s="197"/>
      <c r="G140" s="88"/>
      <c r="H140" s="182"/>
      <c r="L140" s="24"/>
      <c r="M140" s="24"/>
      <c r="N140" s="186"/>
      <c r="O140" s="190"/>
      <c r="P140" s="204"/>
      <c r="Q140" s="142"/>
      <c r="T140" s="201"/>
      <c r="Z140" s="151"/>
      <c r="AB140" s="64"/>
      <c r="AC140" s="64"/>
      <c r="AD140" s="64"/>
      <c r="AE140" s="64"/>
      <c r="AF140" s="88"/>
      <c r="AG140" s="88"/>
      <c r="AH140" s="88"/>
      <c r="AI140" s="88"/>
      <c r="AJ140" s="134"/>
      <c r="AK140" s="194"/>
      <c r="AL140" s="90"/>
    </row>
    <row r="141" spans="1:38" ht="17.100000000000001" customHeight="1" x14ac:dyDescent="0.25">
      <c r="A141" s="197"/>
      <c r="G141" s="88"/>
      <c r="H141" s="182"/>
      <c r="L141" s="24"/>
      <c r="M141" s="24"/>
      <c r="N141" s="186"/>
      <c r="O141" s="190"/>
      <c r="P141" s="204"/>
      <c r="Q141" s="142"/>
      <c r="T141" s="201"/>
      <c r="Z141" s="151"/>
      <c r="AB141" s="64"/>
      <c r="AC141" s="64"/>
      <c r="AD141" s="64"/>
      <c r="AE141" s="64"/>
      <c r="AF141" s="88"/>
      <c r="AG141" s="88"/>
      <c r="AH141" s="88"/>
      <c r="AI141" s="88"/>
      <c r="AJ141" s="134"/>
      <c r="AK141" s="194"/>
      <c r="AL141" s="90"/>
    </row>
    <row r="142" spans="1:38" ht="17.100000000000001" customHeight="1" x14ac:dyDescent="0.25">
      <c r="A142" s="197"/>
      <c r="G142" s="88"/>
      <c r="H142" s="182"/>
      <c r="L142" s="24"/>
      <c r="M142" s="24"/>
      <c r="N142" s="186"/>
      <c r="O142" s="190"/>
      <c r="P142" s="204"/>
      <c r="Q142" s="142"/>
      <c r="T142" s="201"/>
      <c r="Z142" s="151"/>
      <c r="AB142" s="64"/>
      <c r="AC142" s="64"/>
      <c r="AD142" s="64"/>
      <c r="AE142" s="64"/>
      <c r="AF142" s="88"/>
      <c r="AG142" s="88"/>
      <c r="AH142" s="88"/>
      <c r="AI142" s="88"/>
      <c r="AJ142" s="134"/>
      <c r="AK142" s="194"/>
      <c r="AL142" s="90"/>
    </row>
    <row r="143" spans="1:38" ht="17.100000000000001" customHeight="1" x14ac:dyDescent="0.25">
      <c r="A143" s="197"/>
      <c r="G143" s="88"/>
      <c r="H143" s="182"/>
      <c r="L143" s="24"/>
      <c r="M143" s="24"/>
      <c r="N143" s="186"/>
      <c r="O143" s="190"/>
      <c r="P143" s="204"/>
      <c r="Q143" s="142"/>
      <c r="T143" s="201"/>
      <c r="Z143" s="151"/>
      <c r="AB143" s="64"/>
      <c r="AC143" s="64"/>
      <c r="AD143" s="64"/>
      <c r="AE143" s="64"/>
      <c r="AF143" s="64"/>
      <c r="AG143" s="64"/>
      <c r="AH143" s="64"/>
      <c r="AI143" s="143"/>
      <c r="AJ143" s="134"/>
      <c r="AK143" s="194"/>
      <c r="AL143" s="90"/>
    </row>
    <row r="144" spans="1:38" ht="17.100000000000001" customHeight="1" x14ac:dyDescent="0.25">
      <c r="A144" s="197"/>
      <c r="G144" s="88"/>
      <c r="H144" s="182"/>
      <c r="L144" s="24"/>
      <c r="M144" s="24"/>
      <c r="N144" s="186"/>
      <c r="O144" s="190"/>
      <c r="P144" s="204"/>
      <c r="Q144" s="142"/>
      <c r="T144" s="201"/>
      <c r="Z144" s="151"/>
      <c r="AB144" s="64"/>
      <c r="AC144" s="64"/>
      <c r="AD144" s="64"/>
      <c r="AE144" s="64"/>
      <c r="AF144" s="64"/>
      <c r="AG144" s="64"/>
      <c r="AH144" s="64"/>
      <c r="AI144" s="143"/>
      <c r="AJ144" s="134"/>
      <c r="AK144" s="194"/>
      <c r="AL144" s="90"/>
    </row>
    <row r="145" spans="1:38" ht="17.100000000000001" customHeight="1" x14ac:dyDescent="0.25">
      <c r="A145" s="197"/>
      <c r="G145" s="88"/>
      <c r="H145" s="182"/>
      <c r="L145" s="24"/>
      <c r="M145" s="24"/>
      <c r="N145" s="186"/>
      <c r="O145" s="190"/>
      <c r="P145" s="204"/>
      <c r="Q145" s="142"/>
      <c r="T145" s="201"/>
      <c r="Z145" s="151"/>
      <c r="AB145" s="64"/>
      <c r="AC145" s="64"/>
      <c r="AD145" s="64"/>
      <c r="AE145" s="64"/>
      <c r="AF145" s="64"/>
      <c r="AG145" s="64"/>
      <c r="AH145" s="64"/>
      <c r="AI145" s="143"/>
      <c r="AJ145" s="134"/>
      <c r="AK145" s="194"/>
      <c r="AL145" s="90"/>
    </row>
    <row r="146" spans="1:38" ht="17.100000000000001" customHeight="1" x14ac:dyDescent="0.25">
      <c r="A146" s="197"/>
      <c r="G146" s="88"/>
      <c r="H146" s="182"/>
      <c r="L146" s="24"/>
      <c r="M146" s="24"/>
      <c r="N146" s="186"/>
      <c r="O146" s="190"/>
      <c r="P146" s="204"/>
      <c r="Q146" s="142"/>
      <c r="T146" s="201"/>
      <c r="Z146" s="151"/>
      <c r="AB146" s="64"/>
      <c r="AC146" s="64"/>
      <c r="AD146" s="64"/>
      <c r="AE146" s="64"/>
      <c r="AF146" s="64"/>
      <c r="AG146" s="64"/>
      <c r="AH146" s="64"/>
      <c r="AI146" s="143"/>
      <c r="AJ146" s="134"/>
      <c r="AK146" s="194"/>
      <c r="AL146" s="90"/>
    </row>
    <row r="147" spans="1:38" ht="17.100000000000001" customHeight="1" x14ac:dyDescent="0.25">
      <c r="A147" s="197"/>
      <c r="G147" s="88"/>
      <c r="H147" s="182"/>
      <c r="L147" s="24"/>
      <c r="M147" s="24"/>
      <c r="N147" s="186"/>
      <c r="O147" s="190"/>
      <c r="P147" s="204"/>
      <c r="Q147" s="142"/>
      <c r="T147" s="201"/>
      <c r="Z147" s="151"/>
      <c r="AB147" s="64"/>
      <c r="AC147" s="64"/>
      <c r="AD147" s="64"/>
      <c r="AE147" s="64"/>
      <c r="AF147" s="88"/>
      <c r="AG147" s="88"/>
      <c r="AH147" s="88"/>
      <c r="AI147" s="88"/>
      <c r="AJ147" s="134"/>
      <c r="AK147" s="194"/>
      <c r="AL147" s="90"/>
    </row>
    <row r="148" spans="1:38" ht="17.100000000000001" customHeight="1" x14ac:dyDescent="0.25">
      <c r="A148" s="197"/>
      <c r="G148" s="88"/>
      <c r="H148" s="182"/>
      <c r="L148" s="24"/>
      <c r="M148" s="24"/>
      <c r="N148" s="186"/>
      <c r="O148" s="190"/>
      <c r="P148" s="204"/>
      <c r="Q148" s="142"/>
      <c r="T148" s="201"/>
      <c r="Z148" s="151"/>
      <c r="AB148" s="64"/>
      <c r="AC148" s="64"/>
      <c r="AD148" s="64"/>
      <c r="AE148" s="64"/>
      <c r="AF148" s="88"/>
      <c r="AG148" s="88"/>
      <c r="AH148" s="88"/>
      <c r="AI148" s="88"/>
      <c r="AJ148" s="134"/>
      <c r="AK148" s="194"/>
      <c r="AL148" s="90"/>
    </row>
    <row r="149" spans="1:38" ht="17.100000000000001" customHeight="1" x14ac:dyDescent="0.25">
      <c r="A149" s="197"/>
      <c r="G149" s="88"/>
      <c r="H149" s="182"/>
      <c r="L149" s="24"/>
      <c r="M149" s="24"/>
      <c r="N149" s="186"/>
      <c r="O149" s="190"/>
      <c r="P149" s="204"/>
      <c r="Q149" s="142"/>
      <c r="T149" s="201"/>
      <c r="Z149" s="151"/>
      <c r="AB149" s="64"/>
      <c r="AC149" s="64"/>
      <c r="AD149" s="64"/>
      <c r="AE149" s="64"/>
      <c r="AF149" s="88"/>
      <c r="AG149" s="88"/>
      <c r="AH149" s="88"/>
      <c r="AI149" s="88"/>
      <c r="AJ149" s="134"/>
      <c r="AK149" s="194"/>
      <c r="AL149" s="90"/>
    </row>
    <row r="150" spans="1:38" ht="17.100000000000001" customHeight="1" x14ac:dyDescent="0.25">
      <c r="A150" s="197"/>
      <c r="G150" s="88"/>
      <c r="H150" s="182"/>
      <c r="L150" s="24"/>
      <c r="M150" s="24"/>
      <c r="N150" s="186"/>
      <c r="O150" s="190"/>
      <c r="P150" s="204"/>
      <c r="Q150" s="142"/>
      <c r="T150" s="201"/>
      <c r="Z150" s="151"/>
      <c r="AB150" s="64"/>
      <c r="AC150" s="64"/>
      <c r="AD150" s="64"/>
      <c r="AE150" s="64"/>
      <c r="AF150" s="64"/>
      <c r="AG150" s="64"/>
      <c r="AH150" s="64"/>
      <c r="AI150" s="143"/>
      <c r="AJ150" s="134"/>
      <c r="AK150" s="194"/>
      <c r="AL150" s="90"/>
    </row>
    <row r="151" spans="1:38" ht="17.100000000000001" customHeight="1" x14ac:dyDescent="0.25">
      <c r="A151" s="197"/>
      <c r="G151" s="88"/>
      <c r="H151" s="182"/>
      <c r="L151" s="24"/>
      <c r="M151" s="24"/>
      <c r="N151" s="186"/>
      <c r="O151" s="190"/>
      <c r="P151" s="204"/>
      <c r="Q151" s="142"/>
      <c r="T151" s="201"/>
      <c r="Z151" s="151"/>
      <c r="AB151" s="64"/>
      <c r="AC151" s="64"/>
      <c r="AD151" s="64"/>
      <c r="AE151" s="64"/>
      <c r="AF151" s="64"/>
      <c r="AG151" s="64"/>
      <c r="AH151" s="64"/>
      <c r="AI151" s="143"/>
      <c r="AJ151" s="134"/>
      <c r="AK151" s="194"/>
      <c r="AL151" s="90"/>
    </row>
    <row r="152" spans="1:38" ht="17.100000000000001" customHeight="1" x14ac:dyDescent="0.25">
      <c r="A152" s="197"/>
      <c r="G152" s="88"/>
      <c r="H152" s="182"/>
      <c r="L152" s="24"/>
      <c r="M152" s="24"/>
      <c r="N152" s="186"/>
      <c r="O152" s="190"/>
      <c r="P152" s="204"/>
      <c r="Q152" s="142"/>
      <c r="T152" s="201"/>
      <c r="Z152" s="151"/>
      <c r="AB152" s="64"/>
      <c r="AC152" s="64"/>
      <c r="AD152" s="64"/>
      <c r="AE152" s="64"/>
      <c r="AF152" s="64"/>
      <c r="AG152" s="64"/>
      <c r="AH152" s="64"/>
      <c r="AI152" s="143"/>
      <c r="AJ152" s="134"/>
      <c r="AK152" s="194"/>
      <c r="AL152" s="90"/>
    </row>
    <row r="153" spans="1:38" ht="17.100000000000001" customHeight="1" x14ac:dyDescent="0.25">
      <c r="A153" s="197"/>
      <c r="G153" s="88"/>
      <c r="H153" s="182"/>
      <c r="L153" s="24"/>
      <c r="M153" s="24"/>
      <c r="N153" s="186"/>
      <c r="O153" s="190"/>
      <c r="P153" s="204"/>
      <c r="Q153" s="142"/>
      <c r="T153" s="201"/>
      <c r="Z153" s="151"/>
      <c r="AB153" s="64"/>
      <c r="AC153" s="64"/>
      <c r="AD153" s="64"/>
      <c r="AE153" s="64"/>
      <c r="AF153" s="64"/>
      <c r="AG153" s="64"/>
      <c r="AH153" s="64"/>
      <c r="AI153" s="143"/>
      <c r="AJ153" s="134"/>
      <c r="AK153" s="194"/>
      <c r="AL153" s="90"/>
    </row>
    <row r="154" spans="1:38" ht="17.100000000000001" customHeight="1" x14ac:dyDescent="0.25">
      <c r="A154" s="197"/>
      <c r="G154" s="88"/>
      <c r="H154" s="182"/>
      <c r="L154" s="24"/>
      <c r="M154" s="24"/>
      <c r="N154" s="186"/>
      <c r="O154" s="190"/>
      <c r="P154" s="204"/>
      <c r="Q154" s="142"/>
      <c r="T154" s="201"/>
      <c r="Z154" s="151"/>
      <c r="AB154" s="64"/>
      <c r="AC154" s="64"/>
      <c r="AD154" s="64"/>
      <c r="AE154" s="64"/>
      <c r="AF154" s="64"/>
      <c r="AG154" s="64"/>
      <c r="AH154" s="64"/>
      <c r="AI154" s="143"/>
      <c r="AJ154" s="134"/>
      <c r="AK154" s="194"/>
      <c r="AL154" s="90"/>
    </row>
    <row r="155" spans="1:38" ht="17.100000000000001" customHeight="1" x14ac:dyDescent="0.25">
      <c r="A155" s="197"/>
      <c r="G155" s="88"/>
      <c r="H155" s="182"/>
      <c r="L155" s="24"/>
      <c r="M155" s="24"/>
      <c r="N155" s="186"/>
      <c r="O155" s="190"/>
      <c r="P155" s="204"/>
      <c r="Q155" s="142"/>
      <c r="T155" s="201"/>
      <c r="Z155" s="151"/>
      <c r="AB155" s="64"/>
      <c r="AC155" s="64"/>
      <c r="AD155" s="64"/>
      <c r="AE155" s="64"/>
      <c r="AF155" s="64"/>
      <c r="AG155" s="64"/>
      <c r="AH155" s="64"/>
      <c r="AI155" s="143"/>
      <c r="AJ155" s="134"/>
      <c r="AK155" s="194"/>
      <c r="AL155" s="90"/>
    </row>
    <row r="156" spans="1:38" ht="17.100000000000001" customHeight="1" x14ac:dyDescent="0.25">
      <c r="A156" s="197"/>
      <c r="G156" s="88"/>
      <c r="H156" s="182"/>
      <c r="L156" s="24"/>
      <c r="M156" s="24"/>
      <c r="N156" s="186"/>
      <c r="O156" s="190"/>
      <c r="P156" s="204"/>
      <c r="Q156" s="142"/>
      <c r="T156" s="201"/>
      <c r="Z156" s="151"/>
      <c r="AB156" s="64"/>
      <c r="AC156" s="64"/>
      <c r="AD156" s="64"/>
      <c r="AE156" s="64"/>
      <c r="AF156" s="64"/>
      <c r="AG156" s="64"/>
      <c r="AH156" s="64"/>
      <c r="AI156" s="143"/>
      <c r="AJ156" s="134"/>
      <c r="AK156" s="194"/>
      <c r="AL156" s="90"/>
    </row>
    <row r="157" spans="1:38" ht="17.100000000000001" customHeight="1" x14ac:dyDescent="0.25">
      <c r="A157" s="197"/>
      <c r="G157" s="88"/>
      <c r="H157" s="182"/>
      <c r="L157" s="24"/>
      <c r="M157" s="24"/>
      <c r="N157" s="186"/>
      <c r="O157" s="190"/>
      <c r="P157" s="204"/>
      <c r="Q157" s="142"/>
      <c r="T157" s="201"/>
      <c r="Z157" s="151"/>
      <c r="AB157" s="64"/>
      <c r="AC157" s="64"/>
      <c r="AD157" s="64"/>
      <c r="AE157" s="64"/>
      <c r="AF157" s="88"/>
      <c r="AG157" s="88"/>
      <c r="AH157" s="88"/>
      <c r="AI157" s="88"/>
      <c r="AJ157" s="134"/>
      <c r="AK157" s="194"/>
      <c r="AL157" s="90"/>
    </row>
    <row r="158" spans="1:38" ht="17.100000000000001" customHeight="1" x14ac:dyDescent="0.25">
      <c r="A158" s="197"/>
      <c r="G158" s="88"/>
      <c r="H158" s="182"/>
      <c r="L158" s="24"/>
      <c r="M158" s="24"/>
      <c r="N158" s="186"/>
      <c r="O158" s="190"/>
      <c r="P158" s="204"/>
      <c r="Q158" s="142"/>
      <c r="T158" s="201"/>
      <c r="Z158" s="151"/>
      <c r="AB158" s="64"/>
      <c r="AC158" s="64"/>
      <c r="AD158" s="64"/>
      <c r="AE158" s="64"/>
      <c r="AF158" s="64"/>
      <c r="AG158" s="64"/>
      <c r="AH158" s="64"/>
      <c r="AI158" s="143"/>
      <c r="AJ158" s="134"/>
      <c r="AK158" s="194"/>
      <c r="AL158" s="90"/>
    </row>
    <row r="159" spans="1:38" ht="17.100000000000001" customHeight="1" x14ac:dyDescent="0.25">
      <c r="A159" s="197"/>
      <c r="G159" s="88"/>
      <c r="H159" s="182"/>
      <c r="L159" s="24"/>
      <c r="M159" s="24"/>
      <c r="N159" s="186"/>
      <c r="O159" s="190"/>
      <c r="P159" s="204"/>
      <c r="Q159" s="142"/>
      <c r="T159" s="201"/>
      <c r="Z159" s="151"/>
      <c r="AB159" s="64"/>
      <c r="AC159" s="64"/>
      <c r="AD159" s="64"/>
      <c r="AE159" s="64"/>
      <c r="AF159" s="64"/>
      <c r="AG159" s="64"/>
      <c r="AH159" s="64"/>
      <c r="AI159" s="143"/>
      <c r="AJ159" s="134"/>
      <c r="AK159" s="194"/>
      <c r="AL159" s="90"/>
    </row>
    <row r="160" spans="1:38" ht="17.100000000000001" customHeight="1" x14ac:dyDescent="0.25">
      <c r="A160" s="197"/>
      <c r="G160" s="88"/>
      <c r="H160" s="182"/>
      <c r="L160" s="24"/>
      <c r="M160" s="24"/>
      <c r="N160" s="186"/>
      <c r="O160" s="190"/>
      <c r="P160" s="204"/>
      <c r="Q160" s="142"/>
      <c r="T160" s="201"/>
      <c r="Z160" s="151"/>
      <c r="AB160" s="64"/>
      <c r="AC160" s="64"/>
      <c r="AD160" s="64"/>
      <c r="AE160" s="64"/>
      <c r="AF160" s="64"/>
      <c r="AG160" s="64"/>
      <c r="AH160" s="64"/>
      <c r="AI160" s="143"/>
      <c r="AJ160" s="134"/>
      <c r="AK160" s="194"/>
      <c r="AL160" s="90"/>
    </row>
    <row r="161" spans="1:38" ht="17.100000000000001" customHeight="1" thickBot="1" x14ac:dyDescent="0.3">
      <c r="A161" s="197"/>
      <c r="G161" s="88"/>
      <c r="H161" s="182"/>
      <c r="L161" s="24"/>
      <c r="M161" s="24"/>
      <c r="N161" s="186"/>
      <c r="O161" s="190"/>
      <c r="P161" s="204"/>
      <c r="Q161" s="142"/>
      <c r="T161" s="201"/>
      <c r="Z161" s="151"/>
      <c r="AB161" s="64"/>
      <c r="AC161" s="64"/>
      <c r="AD161" s="64"/>
      <c r="AE161" s="64"/>
      <c r="AF161" s="64"/>
      <c r="AG161" s="64"/>
      <c r="AH161" s="64"/>
      <c r="AI161" s="143"/>
      <c r="AJ161" s="134"/>
      <c r="AK161" s="194"/>
      <c r="AL161" s="90"/>
    </row>
    <row r="162" spans="1:38" ht="17.100000000000001" customHeight="1" x14ac:dyDescent="0.25">
      <c r="A162" s="198"/>
      <c r="B162" s="153"/>
      <c r="C162" s="154"/>
      <c r="D162" s="154"/>
      <c r="E162" s="154"/>
      <c r="F162" s="154"/>
      <c r="G162" s="155"/>
      <c r="H162" s="183"/>
      <c r="I162" s="156"/>
      <c r="J162" s="157"/>
      <c r="K162" s="158"/>
      <c r="L162" s="158"/>
      <c r="M162" s="158"/>
      <c r="N162" s="187"/>
      <c r="O162" s="191"/>
      <c r="P162" s="205"/>
      <c r="Q162" s="159"/>
      <c r="R162" s="160"/>
      <c r="S162" s="158"/>
      <c r="T162" s="202"/>
      <c r="U162" s="161"/>
      <c r="V162" s="156"/>
      <c r="W162" s="162"/>
      <c r="X162" s="156"/>
      <c r="Y162" s="158"/>
      <c r="Z162" s="163"/>
      <c r="AA162" s="156"/>
      <c r="AB162" s="164"/>
      <c r="AC162" s="164"/>
      <c r="AD162" s="164"/>
      <c r="AE162" s="164"/>
      <c r="AF162" s="164"/>
      <c r="AG162" s="164"/>
      <c r="AH162" s="164"/>
      <c r="AI162" s="165"/>
      <c r="AJ162" s="134"/>
      <c r="AK162" s="195"/>
      <c r="AL162" s="170"/>
    </row>
    <row r="163" spans="1:38" ht="17.100000000000001" customHeight="1" x14ac:dyDescent="0.25">
      <c r="A163" s="197"/>
      <c r="G163" s="88"/>
      <c r="H163" s="182"/>
      <c r="L163" s="24"/>
      <c r="M163" s="24"/>
      <c r="N163" s="186"/>
      <c r="O163" s="190"/>
      <c r="P163" s="204"/>
      <c r="Q163" s="142"/>
      <c r="T163" s="201"/>
      <c r="Z163" s="151"/>
      <c r="AB163" s="64"/>
      <c r="AC163" s="64"/>
      <c r="AD163" s="64"/>
      <c r="AE163" s="64"/>
      <c r="AF163" s="64"/>
      <c r="AG163" s="64"/>
      <c r="AH163" s="64"/>
      <c r="AI163" s="143"/>
      <c r="AJ163" s="134"/>
      <c r="AK163" s="194"/>
      <c r="AL163" s="90"/>
    </row>
    <row r="164" spans="1:38" ht="17.100000000000001" customHeight="1" x14ac:dyDescent="0.25">
      <c r="A164" s="197"/>
      <c r="G164" s="88"/>
      <c r="H164" s="182"/>
      <c r="L164" s="24"/>
      <c r="M164" s="24"/>
      <c r="N164" s="186"/>
      <c r="O164" s="190"/>
      <c r="P164" s="204"/>
      <c r="Q164" s="142"/>
      <c r="T164" s="201"/>
      <c r="X164" s="100"/>
      <c r="Z164" s="151"/>
      <c r="AB164" s="64"/>
      <c r="AC164" s="64"/>
      <c r="AD164" s="64"/>
      <c r="AE164" s="64"/>
      <c r="AF164" s="64"/>
      <c r="AG164" s="64"/>
      <c r="AH164" s="64"/>
      <c r="AI164" s="143"/>
      <c r="AJ164" s="134"/>
      <c r="AK164" s="194"/>
      <c r="AL164" s="90"/>
    </row>
    <row r="165" spans="1:38" ht="17.100000000000001" customHeight="1" x14ac:dyDescent="0.25">
      <c r="A165" s="197"/>
      <c r="G165" s="88"/>
      <c r="H165" s="182"/>
      <c r="L165" s="24"/>
      <c r="M165" s="24"/>
      <c r="N165" s="186"/>
      <c r="O165" s="190"/>
      <c r="P165" s="204"/>
      <c r="Q165" s="142"/>
      <c r="T165" s="201"/>
      <c r="Z165" s="151"/>
      <c r="AB165" s="64"/>
      <c r="AC165" s="64"/>
      <c r="AD165" s="64"/>
      <c r="AE165" s="64"/>
      <c r="AF165" s="88"/>
      <c r="AG165" s="88"/>
      <c r="AH165" s="88"/>
      <c r="AI165" s="88"/>
      <c r="AJ165" s="134"/>
      <c r="AK165" s="194"/>
      <c r="AL165" s="90"/>
    </row>
    <row r="166" spans="1:38" ht="17.100000000000001" customHeight="1" x14ac:dyDescent="0.25">
      <c r="A166" s="197"/>
      <c r="G166" s="88"/>
      <c r="H166" s="182"/>
      <c r="L166" s="24"/>
      <c r="M166" s="24"/>
      <c r="N166" s="186"/>
      <c r="O166" s="190"/>
      <c r="P166" s="204"/>
      <c r="Q166" s="142"/>
      <c r="T166" s="201"/>
      <c r="Z166" s="151"/>
      <c r="AB166" s="64"/>
      <c r="AC166" s="64"/>
      <c r="AD166" s="64"/>
      <c r="AE166" s="64"/>
      <c r="AF166" s="88"/>
      <c r="AG166" s="88"/>
      <c r="AH166" s="88"/>
      <c r="AI166" s="88"/>
      <c r="AJ166" s="134"/>
      <c r="AK166" s="194"/>
      <c r="AL166" s="90"/>
    </row>
    <row r="167" spans="1:38" ht="17.100000000000001" customHeight="1" x14ac:dyDescent="0.25">
      <c r="A167" s="197"/>
      <c r="G167" s="88"/>
      <c r="H167" s="182"/>
      <c r="L167" s="24"/>
      <c r="M167" s="24"/>
      <c r="N167" s="186"/>
      <c r="O167" s="190"/>
      <c r="P167" s="204"/>
      <c r="Q167" s="142"/>
      <c r="T167" s="201"/>
      <c r="Z167" s="151"/>
      <c r="AB167" s="64"/>
      <c r="AC167" s="64"/>
      <c r="AD167" s="64"/>
      <c r="AE167" s="64"/>
      <c r="AF167" s="88"/>
      <c r="AG167" s="88"/>
      <c r="AH167" s="88"/>
      <c r="AI167" s="88"/>
      <c r="AJ167" s="134"/>
      <c r="AK167" s="194"/>
      <c r="AL167" s="90"/>
    </row>
    <row r="168" spans="1:38" ht="17.100000000000001" customHeight="1" x14ac:dyDescent="0.25">
      <c r="A168" s="197"/>
      <c r="G168" s="88"/>
      <c r="H168" s="182"/>
      <c r="L168" s="24"/>
      <c r="M168" s="24"/>
      <c r="N168" s="186"/>
      <c r="O168" s="190"/>
      <c r="P168" s="204"/>
      <c r="Q168" s="142"/>
      <c r="T168" s="201"/>
      <c r="Z168" s="151"/>
      <c r="AB168" s="64"/>
      <c r="AC168" s="64"/>
      <c r="AD168" s="64"/>
      <c r="AE168" s="64"/>
      <c r="AF168" s="88"/>
      <c r="AG168" s="88"/>
      <c r="AH168" s="88"/>
      <c r="AI168" s="88"/>
      <c r="AJ168" s="134"/>
      <c r="AK168" s="194"/>
      <c r="AL168" s="90"/>
    </row>
    <row r="169" spans="1:38" ht="17.100000000000001" customHeight="1" x14ac:dyDescent="0.25">
      <c r="A169" s="197"/>
      <c r="G169" s="88"/>
      <c r="H169" s="182"/>
      <c r="L169" s="24"/>
      <c r="M169" s="24"/>
      <c r="N169" s="186"/>
      <c r="O169" s="190"/>
      <c r="P169" s="204"/>
      <c r="Q169" s="142"/>
      <c r="T169" s="201"/>
      <c r="Z169" s="151"/>
      <c r="AB169" s="64"/>
      <c r="AC169" s="64"/>
      <c r="AD169" s="64"/>
      <c r="AE169" s="64"/>
      <c r="AF169" s="88"/>
      <c r="AG169" s="88"/>
      <c r="AH169" s="88"/>
      <c r="AI169" s="88"/>
      <c r="AJ169" s="134"/>
      <c r="AK169" s="194"/>
      <c r="AL169" s="90"/>
    </row>
    <row r="170" spans="1:38" ht="17.100000000000001" customHeight="1" x14ac:dyDescent="0.25">
      <c r="A170" s="197"/>
      <c r="G170" s="88"/>
      <c r="H170" s="182"/>
      <c r="L170" s="24"/>
      <c r="M170" s="24"/>
      <c r="N170" s="186"/>
      <c r="O170" s="190"/>
      <c r="P170" s="204"/>
      <c r="Q170" s="142"/>
      <c r="T170" s="201"/>
      <c r="Z170" s="151"/>
      <c r="AB170" s="64"/>
      <c r="AC170" s="64"/>
      <c r="AD170" s="64"/>
      <c r="AE170" s="64"/>
      <c r="AF170" s="64"/>
      <c r="AG170" s="64"/>
      <c r="AH170" s="64"/>
      <c r="AI170" s="143"/>
      <c r="AJ170" s="134"/>
      <c r="AK170" s="194"/>
      <c r="AL170" s="90"/>
    </row>
    <row r="171" spans="1:38" ht="17.100000000000001" customHeight="1" x14ac:dyDescent="0.25">
      <c r="A171" s="197"/>
      <c r="G171" s="88"/>
      <c r="H171" s="182"/>
      <c r="L171" s="24"/>
      <c r="M171" s="24"/>
      <c r="N171" s="186"/>
      <c r="O171" s="190"/>
      <c r="P171" s="204"/>
      <c r="Q171" s="142"/>
      <c r="T171" s="201"/>
      <c r="Z171" s="151"/>
      <c r="AB171" s="64"/>
      <c r="AC171" s="64"/>
      <c r="AD171" s="64"/>
      <c r="AE171" s="64"/>
      <c r="AF171" s="64"/>
      <c r="AG171" s="64"/>
      <c r="AH171" s="64"/>
      <c r="AI171" s="143"/>
      <c r="AJ171" s="134"/>
      <c r="AK171" s="194"/>
      <c r="AL171" s="90"/>
    </row>
    <row r="172" spans="1:38" ht="17.100000000000001" customHeight="1" x14ac:dyDescent="0.25">
      <c r="A172" s="197"/>
      <c r="G172" s="88"/>
      <c r="H172" s="182"/>
      <c r="L172" s="24"/>
      <c r="M172" s="24"/>
      <c r="N172" s="186"/>
      <c r="O172" s="190"/>
      <c r="P172" s="204"/>
      <c r="Q172" s="142"/>
      <c r="T172" s="201"/>
      <c r="Z172" s="151"/>
      <c r="AB172" s="64"/>
      <c r="AC172" s="64"/>
      <c r="AD172" s="64"/>
      <c r="AE172" s="64"/>
      <c r="AF172" s="64"/>
      <c r="AG172" s="64"/>
      <c r="AH172" s="64"/>
      <c r="AI172" s="143"/>
      <c r="AJ172" s="134"/>
      <c r="AK172" s="194"/>
      <c r="AL172" s="90"/>
    </row>
    <row r="173" spans="1:38" ht="17.100000000000001" customHeight="1" x14ac:dyDescent="0.25">
      <c r="A173" s="197"/>
      <c r="G173" s="88"/>
      <c r="H173" s="182"/>
      <c r="L173" s="24"/>
      <c r="M173" s="24"/>
      <c r="N173" s="186"/>
      <c r="O173" s="190"/>
      <c r="P173" s="204"/>
      <c r="Q173" s="142"/>
      <c r="T173" s="201"/>
      <c r="Z173" s="151"/>
      <c r="AB173" s="64"/>
      <c r="AC173" s="64"/>
      <c r="AD173" s="64"/>
      <c r="AE173" s="64"/>
      <c r="AF173" s="64"/>
      <c r="AG173" s="64"/>
      <c r="AH173" s="64"/>
      <c r="AI173" s="143"/>
      <c r="AJ173" s="134"/>
      <c r="AK173" s="194"/>
      <c r="AL173" s="90"/>
    </row>
    <row r="174" spans="1:38" ht="17.100000000000001" customHeight="1" x14ac:dyDescent="0.25">
      <c r="A174" s="197"/>
      <c r="G174" s="88"/>
      <c r="H174" s="182"/>
      <c r="L174" s="24"/>
      <c r="M174" s="24"/>
      <c r="N174" s="186"/>
      <c r="O174" s="190"/>
      <c r="P174" s="204"/>
      <c r="Q174" s="142"/>
      <c r="T174" s="201"/>
      <c r="Z174" s="151"/>
      <c r="AB174" s="64"/>
      <c r="AC174" s="64"/>
      <c r="AD174" s="64"/>
      <c r="AE174" s="64"/>
      <c r="AF174" s="64"/>
      <c r="AG174" s="64"/>
      <c r="AH174" s="64"/>
      <c r="AI174" s="143"/>
      <c r="AJ174" s="134"/>
      <c r="AK174" s="194"/>
      <c r="AL174" s="90"/>
    </row>
    <row r="175" spans="1:38" ht="17.100000000000001" customHeight="1" x14ac:dyDescent="0.25">
      <c r="A175" s="197"/>
      <c r="G175" s="88"/>
      <c r="H175" s="182"/>
      <c r="L175" s="24"/>
      <c r="M175" s="24"/>
      <c r="N175" s="186"/>
      <c r="O175" s="190"/>
      <c r="P175" s="204"/>
      <c r="Q175" s="142"/>
      <c r="T175" s="201"/>
      <c r="Z175" s="151"/>
      <c r="AB175" s="64"/>
      <c r="AC175" s="64"/>
      <c r="AD175" s="64"/>
      <c r="AE175" s="64"/>
      <c r="AF175" s="64"/>
      <c r="AG175" s="64"/>
      <c r="AH175" s="64"/>
      <c r="AI175" s="143"/>
      <c r="AJ175" s="134"/>
      <c r="AK175" s="194"/>
      <c r="AL175" s="90"/>
    </row>
    <row r="176" spans="1:38" ht="17.100000000000001" customHeight="1" x14ac:dyDescent="0.25">
      <c r="A176" s="197"/>
      <c r="G176" s="88"/>
      <c r="H176" s="182"/>
      <c r="L176" s="24"/>
      <c r="M176" s="24"/>
      <c r="N176" s="186"/>
      <c r="O176" s="190"/>
      <c r="P176" s="204"/>
      <c r="Q176" s="142"/>
      <c r="T176" s="201"/>
      <c r="Z176" s="151"/>
      <c r="AB176" s="64"/>
      <c r="AC176" s="64"/>
      <c r="AD176" s="64"/>
      <c r="AE176" s="64"/>
      <c r="AF176" s="64"/>
      <c r="AG176" s="64"/>
      <c r="AH176" s="64"/>
      <c r="AI176" s="143"/>
      <c r="AJ176" s="134"/>
      <c r="AK176" s="194"/>
      <c r="AL176" s="90"/>
    </row>
    <row r="177" spans="1:38" ht="17.100000000000001" customHeight="1" x14ac:dyDescent="0.25">
      <c r="A177" s="197"/>
      <c r="G177" s="88"/>
      <c r="H177" s="182"/>
      <c r="L177" s="24"/>
      <c r="M177" s="24"/>
      <c r="N177" s="186"/>
      <c r="O177" s="190"/>
      <c r="P177" s="204"/>
      <c r="Q177" s="142"/>
      <c r="T177" s="201"/>
      <c r="Z177" s="151"/>
      <c r="AB177" s="64"/>
      <c r="AC177" s="64"/>
      <c r="AD177" s="64"/>
      <c r="AE177" s="64"/>
      <c r="AF177" s="64"/>
      <c r="AG177" s="64"/>
      <c r="AH177" s="64"/>
      <c r="AI177" s="143"/>
      <c r="AJ177" s="134"/>
      <c r="AK177" s="194"/>
      <c r="AL177" s="90"/>
    </row>
    <row r="178" spans="1:38" ht="17.100000000000001" customHeight="1" x14ac:dyDescent="0.25">
      <c r="A178" s="197"/>
      <c r="G178" s="88"/>
      <c r="H178" s="182"/>
      <c r="L178" s="24"/>
      <c r="M178" s="24"/>
      <c r="N178" s="186"/>
      <c r="O178" s="190"/>
      <c r="P178" s="204"/>
      <c r="Q178" s="142"/>
      <c r="T178" s="201"/>
      <c r="X178" s="100"/>
      <c r="Z178" s="151"/>
      <c r="AB178" s="64"/>
      <c r="AC178" s="64"/>
      <c r="AD178" s="64"/>
      <c r="AE178" s="64"/>
      <c r="AF178" s="64"/>
      <c r="AG178" s="64"/>
      <c r="AH178" s="64"/>
      <c r="AI178" s="143"/>
      <c r="AJ178" s="134"/>
      <c r="AK178" s="194"/>
      <c r="AL178" s="90"/>
    </row>
    <row r="179" spans="1:38" ht="17.100000000000001" customHeight="1" x14ac:dyDescent="0.25">
      <c r="A179" s="197"/>
      <c r="G179" s="88"/>
      <c r="H179" s="182"/>
      <c r="L179" s="24"/>
      <c r="M179" s="24"/>
      <c r="N179" s="186"/>
      <c r="O179" s="190"/>
      <c r="P179" s="204"/>
      <c r="Q179" s="142"/>
      <c r="T179" s="201"/>
      <c r="Z179" s="151"/>
      <c r="AB179" s="64"/>
      <c r="AC179" s="64"/>
      <c r="AD179" s="64"/>
      <c r="AE179" s="64"/>
      <c r="AF179" s="88"/>
      <c r="AG179" s="88"/>
      <c r="AH179" s="88"/>
      <c r="AI179" s="88"/>
      <c r="AJ179" s="134"/>
      <c r="AK179" s="194"/>
      <c r="AL179" s="90"/>
    </row>
    <row r="180" spans="1:38" ht="17.100000000000001" customHeight="1" x14ac:dyDescent="0.25">
      <c r="A180" s="197"/>
      <c r="G180" s="88"/>
      <c r="H180" s="182"/>
      <c r="L180" s="24"/>
      <c r="M180" s="24"/>
      <c r="N180" s="186"/>
      <c r="O180" s="190"/>
      <c r="P180" s="204"/>
      <c r="Q180" s="142"/>
      <c r="T180" s="201"/>
      <c r="Z180" s="151"/>
      <c r="AB180" s="64"/>
      <c r="AC180" s="64"/>
      <c r="AD180" s="64"/>
      <c r="AE180" s="64"/>
      <c r="AF180" s="64"/>
      <c r="AG180" s="64"/>
      <c r="AH180" s="64"/>
      <c r="AI180" s="143"/>
      <c r="AJ180" s="134"/>
      <c r="AK180" s="194"/>
      <c r="AL180" s="90"/>
    </row>
    <row r="181" spans="1:38" ht="17.100000000000001" customHeight="1" x14ac:dyDescent="0.25">
      <c r="A181" s="197"/>
      <c r="G181" s="88"/>
      <c r="H181" s="182"/>
      <c r="L181" s="24"/>
      <c r="M181" s="24"/>
      <c r="N181" s="186"/>
      <c r="O181" s="190"/>
      <c r="P181" s="204"/>
      <c r="Q181" s="142"/>
      <c r="T181" s="201"/>
      <c r="Z181" s="151"/>
      <c r="AB181" s="64"/>
      <c r="AC181" s="64"/>
      <c r="AD181" s="64"/>
      <c r="AE181" s="64"/>
      <c r="AF181" s="64"/>
      <c r="AG181" s="64"/>
      <c r="AH181" s="64"/>
      <c r="AI181" s="143"/>
      <c r="AJ181" s="134"/>
      <c r="AK181" s="194"/>
      <c r="AL181" s="90"/>
    </row>
    <row r="182" spans="1:38" ht="17.100000000000001" customHeight="1" x14ac:dyDescent="0.25">
      <c r="A182" s="197"/>
      <c r="G182" s="88"/>
      <c r="H182" s="182"/>
      <c r="L182" s="24"/>
      <c r="M182" s="24"/>
      <c r="N182" s="186"/>
      <c r="O182" s="190"/>
      <c r="P182" s="204"/>
      <c r="Q182" s="142"/>
      <c r="T182" s="201"/>
      <c r="Z182" s="151"/>
      <c r="AB182" s="64"/>
      <c r="AC182" s="64"/>
      <c r="AD182" s="64"/>
      <c r="AE182" s="64"/>
      <c r="AF182" s="64"/>
      <c r="AG182" s="64"/>
      <c r="AH182" s="64"/>
      <c r="AI182" s="143"/>
      <c r="AJ182" s="134"/>
      <c r="AK182" s="194"/>
      <c r="AL182" s="90"/>
    </row>
    <row r="183" spans="1:38" ht="17.100000000000001" customHeight="1" x14ac:dyDescent="0.25">
      <c r="A183" s="197"/>
      <c r="G183" s="88"/>
      <c r="H183" s="182"/>
      <c r="L183" s="24"/>
      <c r="M183" s="24"/>
      <c r="N183" s="186"/>
      <c r="O183" s="190"/>
      <c r="P183" s="204"/>
      <c r="Q183" s="142"/>
      <c r="T183" s="201"/>
      <c r="Z183" s="151"/>
      <c r="AB183" s="64"/>
      <c r="AC183" s="64"/>
      <c r="AD183" s="64"/>
      <c r="AE183" s="64"/>
      <c r="AF183" s="64"/>
      <c r="AG183" s="64"/>
      <c r="AH183" s="64"/>
      <c r="AI183" s="143"/>
      <c r="AJ183" s="134"/>
      <c r="AK183" s="194"/>
      <c r="AL183" s="90"/>
    </row>
    <row r="184" spans="1:38" ht="17.100000000000001" customHeight="1" x14ac:dyDescent="0.25">
      <c r="A184" s="197"/>
      <c r="G184" s="88"/>
      <c r="H184" s="182"/>
      <c r="L184" s="24"/>
      <c r="M184" s="24"/>
      <c r="N184" s="186"/>
      <c r="O184" s="190"/>
      <c r="P184" s="204"/>
      <c r="Q184" s="142"/>
      <c r="T184" s="201"/>
      <c r="Z184" s="151"/>
      <c r="AB184" s="64"/>
      <c r="AC184" s="64"/>
      <c r="AD184" s="64"/>
      <c r="AE184" s="64"/>
      <c r="AF184" s="64"/>
      <c r="AG184" s="64"/>
      <c r="AH184" s="64"/>
      <c r="AI184" s="143"/>
      <c r="AJ184" s="134"/>
      <c r="AK184" s="194"/>
      <c r="AL184" s="90"/>
    </row>
    <row r="185" spans="1:38" ht="17.100000000000001" customHeight="1" x14ac:dyDescent="0.25">
      <c r="A185" s="197"/>
      <c r="G185" s="88"/>
      <c r="H185" s="182"/>
      <c r="L185" s="24"/>
      <c r="M185" s="24"/>
      <c r="N185" s="186"/>
      <c r="O185" s="190"/>
      <c r="P185" s="204"/>
      <c r="Q185" s="142"/>
      <c r="T185" s="201"/>
      <c r="Z185" s="151"/>
      <c r="AB185" s="64"/>
      <c r="AC185" s="64"/>
      <c r="AD185" s="64"/>
      <c r="AE185" s="64"/>
      <c r="AF185" s="64"/>
      <c r="AG185" s="64"/>
      <c r="AH185" s="64"/>
      <c r="AI185" s="143"/>
      <c r="AJ185" s="134"/>
      <c r="AK185" s="194"/>
      <c r="AL185" s="90"/>
    </row>
    <row r="186" spans="1:38" ht="17.100000000000001" customHeight="1" x14ac:dyDescent="0.25">
      <c r="A186" s="197"/>
      <c r="G186" s="88"/>
      <c r="H186" s="182"/>
      <c r="L186" s="24"/>
      <c r="M186" s="24"/>
      <c r="N186" s="186"/>
      <c r="O186" s="190"/>
      <c r="P186" s="204"/>
      <c r="Q186" s="142"/>
      <c r="T186" s="201"/>
      <c r="Z186" s="151"/>
      <c r="AB186" s="64"/>
      <c r="AC186" s="64"/>
      <c r="AD186" s="64"/>
      <c r="AE186" s="64"/>
      <c r="AF186" s="64"/>
      <c r="AG186" s="64"/>
      <c r="AH186" s="64"/>
      <c r="AI186" s="143"/>
      <c r="AJ186" s="134"/>
      <c r="AK186" s="194"/>
      <c r="AL186" s="90"/>
    </row>
    <row r="187" spans="1:38" ht="17.100000000000001" customHeight="1" x14ac:dyDescent="0.25">
      <c r="A187" s="197"/>
      <c r="G187" s="88"/>
      <c r="H187" s="182"/>
      <c r="L187" s="24"/>
      <c r="M187" s="24"/>
      <c r="N187" s="186"/>
      <c r="O187" s="190"/>
      <c r="P187" s="204"/>
      <c r="Q187" s="142"/>
      <c r="T187" s="201"/>
      <c r="Z187" s="151"/>
      <c r="AB187" s="64"/>
      <c r="AC187" s="64"/>
      <c r="AD187" s="64"/>
      <c r="AE187" s="64"/>
      <c r="AF187" s="64"/>
      <c r="AG187" s="64"/>
      <c r="AH187" s="64"/>
      <c r="AI187" s="143"/>
      <c r="AJ187" s="134"/>
      <c r="AK187" s="194"/>
      <c r="AL187" s="90"/>
    </row>
    <row r="188" spans="1:38" ht="17.100000000000001" customHeight="1" x14ac:dyDescent="0.25">
      <c r="A188" s="197"/>
      <c r="G188" s="88"/>
      <c r="H188" s="182"/>
      <c r="L188" s="24"/>
      <c r="M188" s="24"/>
      <c r="N188" s="186"/>
      <c r="O188" s="190"/>
      <c r="P188" s="204"/>
      <c r="Q188" s="142"/>
      <c r="T188" s="201"/>
      <c r="Z188" s="151"/>
      <c r="AB188" s="64"/>
      <c r="AC188" s="64"/>
      <c r="AD188" s="64"/>
      <c r="AE188" s="64"/>
      <c r="AF188" s="64"/>
      <c r="AG188" s="64"/>
      <c r="AH188" s="64"/>
      <c r="AI188" s="143"/>
      <c r="AJ188" s="134"/>
      <c r="AK188" s="194"/>
      <c r="AL188" s="90"/>
    </row>
    <row r="189" spans="1:38" ht="17.100000000000001" customHeight="1" x14ac:dyDescent="0.25">
      <c r="A189" s="197"/>
      <c r="G189" s="88"/>
      <c r="H189" s="182"/>
      <c r="L189" s="24"/>
      <c r="M189" s="24"/>
      <c r="N189" s="186"/>
      <c r="O189" s="190"/>
      <c r="P189" s="204"/>
      <c r="Q189" s="142"/>
      <c r="T189" s="201"/>
      <c r="Z189" s="151"/>
      <c r="AB189" s="64"/>
      <c r="AC189" s="64"/>
      <c r="AD189" s="64"/>
      <c r="AE189" s="64"/>
      <c r="AF189" s="64"/>
      <c r="AG189" s="64"/>
      <c r="AH189" s="64"/>
      <c r="AI189" s="143"/>
      <c r="AJ189" s="134"/>
      <c r="AK189" s="194"/>
      <c r="AL189" s="90"/>
    </row>
    <row r="190" spans="1:38" ht="17.100000000000001" customHeight="1" x14ac:dyDescent="0.25">
      <c r="A190" s="197"/>
      <c r="G190" s="88"/>
      <c r="H190" s="182"/>
      <c r="L190" s="24"/>
      <c r="M190" s="24"/>
      <c r="N190" s="186"/>
      <c r="O190" s="190"/>
      <c r="P190" s="204"/>
      <c r="Q190" s="142"/>
      <c r="T190" s="201"/>
      <c r="Z190" s="151"/>
      <c r="AB190" s="64"/>
      <c r="AC190" s="64"/>
      <c r="AD190" s="64"/>
      <c r="AE190" s="64"/>
      <c r="AF190" s="64"/>
      <c r="AG190" s="64"/>
      <c r="AH190" s="64"/>
      <c r="AI190" s="143"/>
      <c r="AJ190" s="134"/>
      <c r="AK190" s="194"/>
      <c r="AL190" s="90"/>
    </row>
    <row r="191" spans="1:38" ht="17.100000000000001" customHeight="1" x14ac:dyDescent="0.25">
      <c r="A191" s="197"/>
      <c r="G191" s="88"/>
      <c r="H191" s="182"/>
      <c r="L191" s="24"/>
      <c r="M191" s="24"/>
      <c r="N191" s="186"/>
      <c r="O191" s="190"/>
      <c r="P191" s="204"/>
      <c r="Q191" s="142"/>
      <c r="T191" s="201"/>
      <c r="Z191" s="151"/>
      <c r="AB191" s="64"/>
      <c r="AC191" s="64"/>
      <c r="AD191" s="64"/>
      <c r="AE191" s="64"/>
      <c r="AF191" s="88"/>
      <c r="AG191" s="88"/>
      <c r="AH191" s="88"/>
      <c r="AI191" s="88"/>
      <c r="AJ191" s="134"/>
      <c r="AK191" s="194"/>
      <c r="AL191" s="90"/>
    </row>
    <row r="192" spans="1:38" ht="17.100000000000001" customHeight="1" x14ac:dyDescent="0.25">
      <c r="A192" s="197"/>
      <c r="G192" s="88"/>
      <c r="H192" s="182"/>
      <c r="L192" s="24"/>
      <c r="M192" s="24"/>
      <c r="N192" s="186"/>
      <c r="O192" s="190"/>
      <c r="P192" s="204"/>
      <c r="Q192" s="142"/>
      <c r="T192" s="201"/>
      <c r="Z192" s="151"/>
      <c r="AB192" s="64"/>
      <c r="AC192" s="64"/>
      <c r="AD192" s="64"/>
      <c r="AE192" s="64"/>
      <c r="AF192" s="88"/>
      <c r="AG192" s="88"/>
      <c r="AH192" s="88"/>
      <c r="AI192" s="88"/>
      <c r="AJ192" s="134"/>
      <c r="AK192" s="194"/>
      <c r="AL192" s="90"/>
    </row>
    <row r="193" spans="1:38" ht="17.100000000000001" customHeight="1" x14ac:dyDescent="0.25">
      <c r="A193" s="197"/>
      <c r="G193" s="88"/>
      <c r="H193" s="182"/>
      <c r="L193" s="24"/>
      <c r="M193" s="24"/>
      <c r="N193" s="186"/>
      <c r="O193" s="190"/>
      <c r="P193" s="204"/>
      <c r="Q193" s="142"/>
      <c r="T193" s="201"/>
      <c r="Z193" s="151"/>
      <c r="AB193" s="64"/>
      <c r="AC193" s="64"/>
      <c r="AD193" s="64"/>
      <c r="AE193" s="64"/>
      <c r="AF193" s="64"/>
      <c r="AG193" s="64"/>
      <c r="AH193" s="64"/>
      <c r="AI193" s="143"/>
      <c r="AJ193" s="134"/>
      <c r="AK193" s="194"/>
      <c r="AL193" s="90"/>
    </row>
    <row r="194" spans="1:38" ht="17.100000000000001" customHeight="1" x14ac:dyDescent="0.25">
      <c r="A194" s="197"/>
      <c r="G194" s="88"/>
      <c r="H194" s="182"/>
      <c r="L194" s="24"/>
      <c r="M194" s="24"/>
      <c r="N194" s="186"/>
      <c r="O194" s="190"/>
      <c r="P194" s="204"/>
      <c r="Q194" s="142"/>
      <c r="T194" s="201"/>
      <c r="Z194" s="151"/>
      <c r="AB194" s="64"/>
      <c r="AC194" s="64"/>
      <c r="AD194" s="64"/>
      <c r="AE194" s="64"/>
      <c r="AF194" s="64"/>
      <c r="AG194" s="64"/>
      <c r="AH194" s="64"/>
      <c r="AI194" s="143"/>
      <c r="AJ194" s="134"/>
      <c r="AK194" s="194"/>
      <c r="AL194" s="90"/>
    </row>
    <row r="195" spans="1:38" ht="17.100000000000001" customHeight="1" thickBot="1" x14ac:dyDescent="0.3">
      <c r="A195" s="197"/>
      <c r="G195" s="88"/>
      <c r="H195" s="182"/>
      <c r="L195" s="24"/>
      <c r="M195" s="24"/>
      <c r="N195" s="186"/>
      <c r="O195" s="190"/>
      <c r="P195" s="204"/>
      <c r="Q195" s="142"/>
      <c r="T195" s="201"/>
      <c r="Z195" s="151"/>
      <c r="AB195" s="64"/>
      <c r="AC195" s="64"/>
      <c r="AD195" s="64"/>
      <c r="AE195" s="64"/>
      <c r="AF195" s="64"/>
      <c r="AG195" s="64"/>
      <c r="AH195" s="64"/>
      <c r="AI195" s="143"/>
      <c r="AJ195" s="134"/>
      <c r="AK195" s="194"/>
      <c r="AL195" s="90"/>
    </row>
    <row r="196" spans="1:38" ht="17.100000000000001" customHeight="1" x14ac:dyDescent="0.25">
      <c r="A196" s="198"/>
      <c r="B196" s="153"/>
      <c r="C196" s="154"/>
      <c r="D196" s="154"/>
      <c r="E196" s="154"/>
      <c r="F196" s="154"/>
      <c r="G196" s="155"/>
      <c r="H196" s="183"/>
      <c r="I196" s="156"/>
      <c r="J196" s="157"/>
      <c r="K196" s="158"/>
      <c r="L196" s="158"/>
      <c r="M196" s="158"/>
      <c r="N196" s="187"/>
      <c r="O196" s="191"/>
      <c r="P196" s="205"/>
      <c r="Q196" s="159"/>
      <c r="R196" s="160"/>
      <c r="S196" s="158"/>
      <c r="T196" s="202"/>
      <c r="U196" s="161"/>
      <c r="V196" s="156"/>
      <c r="W196" s="162"/>
      <c r="X196" s="156"/>
      <c r="Y196" s="158"/>
      <c r="Z196" s="163"/>
      <c r="AA196" s="156"/>
      <c r="AB196" s="164"/>
      <c r="AC196" s="164"/>
      <c r="AD196" s="64"/>
      <c r="AE196" s="164"/>
      <c r="AF196" s="88"/>
      <c r="AG196" s="88"/>
      <c r="AH196" s="88"/>
      <c r="AI196" s="88"/>
      <c r="AJ196" s="134"/>
      <c r="AK196" s="195"/>
      <c r="AL196" s="170"/>
    </row>
    <row r="197" spans="1:38" ht="17.100000000000001" customHeight="1" x14ac:dyDescent="0.25">
      <c r="A197" s="197"/>
      <c r="G197" s="88"/>
      <c r="H197" s="182"/>
      <c r="L197" s="24"/>
      <c r="M197" s="24"/>
      <c r="N197" s="186"/>
      <c r="O197" s="190"/>
      <c r="P197" s="204"/>
      <c r="Q197" s="142"/>
      <c r="T197" s="201"/>
      <c r="Z197" s="151"/>
      <c r="AB197" s="64"/>
      <c r="AC197" s="64"/>
      <c r="AD197" s="64"/>
      <c r="AE197" s="64"/>
      <c r="AF197" s="64"/>
      <c r="AG197" s="64"/>
      <c r="AH197" s="64"/>
      <c r="AI197" s="143"/>
      <c r="AJ197" s="134"/>
      <c r="AK197" s="194"/>
      <c r="AL197" s="90"/>
    </row>
    <row r="198" spans="1:38" ht="17.100000000000001" customHeight="1" thickBot="1" x14ac:dyDescent="0.3">
      <c r="A198" s="197"/>
      <c r="G198" s="88"/>
      <c r="H198" s="182"/>
      <c r="L198" s="24"/>
      <c r="M198" s="24"/>
      <c r="N198" s="186"/>
      <c r="O198" s="190"/>
      <c r="P198" s="204"/>
      <c r="Q198" s="142"/>
      <c r="T198" s="201"/>
      <c r="Z198" s="151"/>
      <c r="AB198" s="64"/>
      <c r="AC198" s="64"/>
      <c r="AD198" s="64"/>
      <c r="AE198" s="64"/>
      <c r="AF198" s="64"/>
      <c r="AG198" s="88"/>
      <c r="AH198" s="88"/>
      <c r="AI198" s="88"/>
      <c r="AJ198" s="134"/>
      <c r="AK198" s="194"/>
      <c r="AL198" s="90"/>
    </row>
    <row r="199" spans="1:38" ht="17.100000000000001" customHeight="1" x14ac:dyDescent="0.25">
      <c r="A199" s="197"/>
      <c r="G199" s="88"/>
      <c r="H199" s="182"/>
      <c r="L199" s="24"/>
      <c r="M199" s="24"/>
      <c r="N199" s="186"/>
      <c r="O199" s="190"/>
      <c r="P199" s="204"/>
      <c r="Q199" s="142"/>
      <c r="T199" s="201"/>
      <c r="Z199" s="151"/>
      <c r="AB199" s="64"/>
      <c r="AC199" s="164"/>
      <c r="AD199" s="164"/>
      <c r="AE199" s="64"/>
      <c r="AF199" s="64"/>
      <c r="AG199" s="64"/>
      <c r="AH199" s="64"/>
      <c r="AI199" s="143"/>
      <c r="AJ199" s="134"/>
      <c r="AK199" s="194"/>
      <c r="AL199" s="90"/>
    </row>
    <row r="200" spans="1:38" ht="17.100000000000001" customHeight="1" x14ac:dyDescent="0.25">
      <c r="A200" s="197"/>
      <c r="G200" s="88"/>
      <c r="H200" s="182"/>
      <c r="L200" s="24"/>
      <c r="M200" s="24"/>
      <c r="N200" s="186"/>
      <c r="O200" s="190"/>
      <c r="P200" s="204"/>
      <c r="Q200" s="142"/>
      <c r="T200" s="201"/>
      <c r="Z200" s="24"/>
      <c r="AB200" s="64"/>
      <c r="AC200" s="64"/>
      <c r="AD200" s="64"/>
      <c r="AE200" s="64"/>
      <c r="AF200" s="64"/>
      <c r="AG200" s="88"/>
      <c r="AH200" s="88"/>
      <c r="AI200" s="88"/>
      <c r="AJ200" s="134"/>
      <c r="AK200" s="194"/>
      <c r="AL200" s="90"/>
    </row>
    <row r="201" spans="1:38" ht="17.100000000000001" customHeight="1" x14ac:dyDescent="0.25">
      <c r="A201" s="197"/>
      <c r="G201" s="88"/>
      <c r="H201" s="182"/>
      <c r="L201" s="24"/>
      <c r="M201" s="24"/>
      <c r="N201" s="186"/>
      <c r="O201" s="190"/>
      <c r="P201" s="204"/>
      <c r="Q201" s="142"/>
      <c r="T201" s="201"/>
      <c r="Z201" s="151"/>
      <c r="AB201" s="64"/>
      <c r="AC201" s="64"/>
      <c r="AD201" s="64"/>
      <c r="AE201" s="64"/>
      <c r="AF201" s="64"/>
      <c r="AG201" s="64"/>
      <c r="AH201" s="64"/>
      <c r="AI201" s="143"/>
      <c r="AJ201" s="134"/>
      <c r="AK201" s="194"/>
      <c r="AL201" s="90"/>
    </row>
    <row r="202" spans="1:38" ht="17.100000000000001" customHeight="1" x14ac:dyDescent="0.25">
      <c r="A202" s="197"/>
      <c r="G202" s="88"/>
      <c r="H202" s="182"/>
      <c r="L202" s="24"/>
      <c r="M202" s="24"/>
      <c r="N202" s="186"/>
      <c r="O202" s="190"/>
      <c r="P202" s="204"/>
      <c r="Q202" s="142"/>
      <c r="T202" s="201"/>
      <c r="Z202" s="151"/>
      <c r="AB202" s="64"/>
      <c r="AC202" s="64"/>
      <c r="AD202" s="64"/>
      <c r="AE202" s="64"/>
      <c r="AF202" s="64"/>
      <c r="AG202" s="64"/>
      <c r="AH202" s="64"/>
      <c r="AI202" s="143"/>
      <c r="AJ202" s="134"/>
      <c r="AK202" s="194"/>
      <c r="AL202" s="90"/>
    </row>
    <row r="203" spans="1:38" ht="17.100000000000001" customHeight="1" x14ac:dyDescent="0.25">
      <c r="A203" s="197"/>
      <c r="G203" s="88"/>
      <c r="H203" s="182"/>
      <c r="L203" s="24"/>
      <c r="M203" s="24"/>
      <c r="N203" s="186"/>
      <c r="O203" s="190"/>
      <c r="P203" s="204"/>
      <c r="Q203" s="142"/>
      <c r="T203" s="201"/>
      <c r="Z203" s="151"/>
      <c r="AB203" s="64"/>
      <c r="AC203" s="64"/>
      <c r="AD203" s="64"/>
      <c r="AE203" s="64"/>
      <c r="AF203" s="64"/>
      <c r="AG203" s="64"/>
      <c r="AH203" s="64"/>
      <c r="AI203" s="143"/>
      <c r="AJ203" s="134"/>
      <c r="AK203" s="194"/>
      <c r="AL203" s="90"/>
    </row>
    <row r="204" spans="1:38" ht="17.100000000000001" customHeight="1" x14ac:dyDescent="0.25">
      <c r="A204" s="197"/>
      <c r="G204" s="88"/>
      <c r="H204" s="182"/>
      <c r="L204" s="24"/>
      <c r="M204" s="24"/>
      <c r="N204" s="186"/>
      <c r="O204" s="190"/>
      <c r="P204" s="204"/>
      <c r="Q204" s="142"/>
      <c r="T204" s="201"/>
      <c r="Z204" s="151"/>
      <c r="AB204" s="64"/>
      <c r="AC204" s="64"/>
      <c r="AD204" s="64"/>
      <c r="AE204" s="64"/>
      <c r="AF204" s="64"/>
      <c r="AG204" s="64"/>
      <c r="AH204" s="64"/>
      <c r="AI204" s="143"/>
      <c r="AJ204" s="134"/>
      <c r="AK204" s="194"/>
      <c r="AL204" s="90"/>
    </row>
    <row r="205" spans="1:38" ht="17.100000000000001" customHeight="1" x14ac:dyDescent="0.25">
      <c r="A205" s="197"/>
      <c r="G205" s="88"/>
      <c r="H205" s="182"/>
      <c r="L205" s="24"/>
      <c r="M205" s="24"/>
      <c r="N205" s="186"/>
      <c r="O205" s="190"/>
      <c r="P205" s="204"/>
      <c r="Q205" s="142"/>
      <c r="T205" s="201"/>
      <c r="Z205" s="151"/>
      <c r="AB205" s="64"/>
      <c r="AC205" s="64"/>
      <c r="AD205" s="64"/>
      <c r="AE205" s="64"/>
      <c r="AF205" s="64"/>
      <c r="AG205" s="64"/>
      <c r="AH205" s="64"/>
      <c r="AI205" s="143"/>
      <c r="AJ205" s="134"/>
      <c r="AK205" s="194"/>
      <c r="AL205" s="90"/>
    </row>
    <row r="206" spans="1:38" ht="17.100000000000001" customHeight="1" x14ac:dyDescent="0.25">
      <c r="A206" s="197"/>
      <c r="G206" s="88"/>
      <c r="H206" s="182"/>
      <c r="L206" s="24"/>
      <c r="M206" s="24"/>
      <c r="N206" s="186"/>
      <c r="O206" s="190"/>
      <c r="P206" s="204"/>
      <c r="Q206" s="142"/>
      <c r="T206" s="201"/>
      <c r="Z206" s="151"/>
      <c r="AB206" s="64"/>
      <c r="AC206" s="64"/>
      <c r="AD206" s="64"/>
      <c r="AE206" s="64"/>
      <c r="AF206" s="64"/>
      <c r="AG206" s="64"/>
      <c r="AH206" s="64"/>
      <c r="AI206" s="143"/>
      <c r="AJ206" s="134"/>
      <c r="AK206" s="194"/>
      <c r="AL206" s="90"/>
    </row>
    <row r="207" spans="1:38" ht="17.100000000000001" customHeight="1" x14ac:dyDescent="0.25">
      <c r="A207" s="197"/>
      <c r="G207" s="88"/>
      <c r="H207" s="182"/>
      <c r="L207" s="24"/>
      <c r="M207" s="24"/>
      <c r="N207" s="186"/>
      <c r="O207" s="190"/>
      <c r="P207" s="204"/>
      <c r="Q207" s="142"/>
      <c r="T207" s="201"/>
      <c r="Z207" s="151"/>
      <c r="AB207" s="64"/>
      <c r="AC207" s="64"/>
      <c r="AD207" s="64"/>
      <c r="AE207" s="64"/>
      <c r="AF207" s="64"/>
      <c r="AG207" s="64"/>
      <c r="AH207" s="64"/>
      <c r="AI207" s="143"/>
      <c r="AJ207" s="134"/>
      <c r="AK207" s="194"/>
      <c r="AL207" s="90"/>
    </row>
    <row r="208" spans="1:38" ht="17.100000000000001" customHeight="1" x14ac:dyDescent="0.25">
      <c r="A208" s="197"/>
      <c r="G208" s="88"/>
      <c r="H208" s="182"/>
      <c r="L208" s="24"/>
      <c r="M208" s="24"/>
      <c r="N208" s="186"/>
      <c r="O208" s="190"/>
      <c r="P208" s="204"/>
      <c r="Q208" s="142"/>
      <c r="T208" s="201"/>
      <c r="Z208" s="151"/>
      <c r="AB208" s="64"/>
      <c r="AC208" s="64"/>
      <c r="AD208" s="64"/>
      <c r="AE208" s="64"/>
      <c r="AF208" s="64"/>
      <c r="AG208" s="64"/>
      <c r="AH208" s="64"/>
      <c r="AI208" s="143"/>
      <c r="AJ208" s="134"/>
      <c r="AK208" s="194"/>
      <c r="AL208" s="90"/>
    </row>
    <row r="209" spans="1:38" ht="17.100000000000001" customHeight="1" x14ac:dyDescent="0.25">
      <c r="A209" s="197"/>
      <c r="G209" s="88"/>
      <c r="H209" s="182"/>
      <c r="L209" s="24"/>
      <c r="M209" s="24"/>
      <c r="N209" s="186"/>
      <c r="O209" s="190"/>
      <c r="P209" s="204"/>
      <c r="Q209" s="142"/>
      <c r="T209" s="201"/>
      <c r="Z209" s="151"/>
      <c r="AB209" s="64"/>
      <c r="AC209" s="64"/>
      <c r="AD209" s="64"/>
      <c r="AE209" s="64"/>
      <c r="AF209" s="64"/>
      <c r="AG209" s="64"/>
      <c r="AH209" s="64"/>
      <c r="AI209" s="143"/>
      <c r="AJ209" s="134"/>
      <c r="AK209" s="194"/>
      <c r="AL209" s="90"/>
    </row>
    <row r="210" spans="1:38" ht="17.100000000000001" customHeight="1" x14ac:dyDescent="0.25">
      <c r="A210" s="197"/>
      <c r="G210" s="88"/>
      <c r="H210" s="182"/>
      <c r="L210" s="24"/>
      <c r="M210" s="24"/>
      <c r="N210" s="186"/>
      <c r="O210" s="190"/>
      <c r="P210" s="204"/>
      <c r="Q210" s="142"/>
      <c r="T210" s="201"/>
      <c r="Z210" s="151"/>
      <c r="AB210" s="64"/>
      <c r="AC210" s="64"/>
      <c r="AD210" s="64"/>
      <c r="AE210" s="64"/>
      <c r="AF210" s="64"/>
      <c r="AG210" s="64"/>
      <c r="AH210" s="64"/>
      <c r="AI210" s="143"/>
      <c r="AJ210" s="134"/>
      <c r="AK210" s="194"/>
      <c r="AL210" s="90"/>
    </row>
    <row r="211" spans="1:38" ht="17.100000000000001" customHeight="1" thickBot="1" x14ac:dyDescent="0.3">
      <c r="A211" s="197"/>
      <c r="G211" s="88"/>
      <c r="H211" s="182"/>
      <c r="L211" s="24"/>
      <c r="M211" s="24"/>
      <c r="N211" s="186"/>
      <c r="O211" s="190"/>
      <c r="P211" s="204"/>
      <c r="Q211" s="142"/>
      <c r="T211" s="201"/>
      <c r="Z211" s="151"/>
      <c r="AB211" s="64"/>
      <c r="AC211" s="64"/>
      <c r="AD211" s="64"/>
      <c r="AE211" s="64"/>
      <c r="AF211" s="64"/>
      <c r="AG211" s="64"/>
      <c r="AH211" s="64"/>
      <c r="AI211" s="143"/>
      <c r="AJ211" s="134"/>
      <c r="AK211" s="194"/>
      <c r="AL211" s="90"/>
    </row>
    <row r="212" spans="1:38" ht="17.100000000000001" customHeight="1" x14ac:dyDescent="0.25">
      <c r="A212" s="198"/>
      <c r="B212" s="153"/>
      <c r="C212" s="154"/>
      <c r="D212" s="154"/>
      <c r="E212" s="154"/>
      <c r="F212" s="154"/>
      <c r="G212" s="155"/>
      <c r="H212" s="183"/>
      <c r="I212" s="156"/>
      <c r="J212" s="157"/>
      <c r="K212" s="158"/>
      <c r="L212" s="158"/>
      <c r="M212" s="158"/>
      <c r="N212" s="187"/>
      <c r="O212" s="191"/>
      <c r="P212" s="205"/>
      <c r="Q212" s="159"/>
      <c r="R212" s="160"/>
      <c r="S212" s="158"/>
      <c r="T212" s="202"/>
      <c r="U212" s="161"/>
      <c r="V212" s="156"/>
      <c r="W212" s="162"/>
      <c r="X212" s="156"/>
      <c r="Y212" s="158"/>
      <c r="Z212" s="163"/>
      <c r="AA212" s="156"/>
      <c r="AB212" s="164"/>
      <c r="AC212" s="164"/>
      <c r="AD212" s="164"/>
      <c r="AE212" s="164"/>
      <c r="AF212" s="164"/>
      <c r="AG212" s="164"/>
      <c r="AH212" s="164"/>
      <c r="AI212" s="165"/>
      <c r="AJ212" s="134"/>
      <c r="AK212" s="195"/>
      <c r="AL212" s="170"/>
    </row>
    <row r="213" spans="1:38" ht="17.100000000000001" customHeight="1" x14ac:dyDescent="0.25">
      <c r="A213" s="197"/>
      <c r="G213" s="88"/>
      <c r="H213" s="182"/>
      <c r="L213" s="24"/>
      <c r="M213" s="24"/>
      <c r="N213" s="186"/>
      <c r="O213" s="190"/>
      <c r="P213" s="204"/>
      <c r="Q213" s="142"/>
      <c r="T213" s="201"/>
      <c r="Z213" s="151"/>
      <c r="AB213" s="64"/>
      <c r="AC213" s="64"/>
      <c r="AD213" s="64"/>
      <c r="AE213" s="64"/>
      <c r="AF213" s="64"/>
      <c r="AG213" s="64"/>
      <c r="AH213" s="64"/>
      <c r="AI213" s="143"/>
      <c r="AJ213" s="134"/>
      <c r="AK213" s="194"/>
      <c r="AL213" s="90"/>
    </row>
    <row r="214" spans="1:38" ht="17.100000000000001" customHeight="1" x14ac:dyDescent="0.25">
      <c r="A214" s="197"/>
      <c r="G214" s="88"/>
      <c r="H214" s="182"/>
      <c r="L214" s="24"/>
      <c r="M214" s="24"/>
      <c r="N214" s="186"/>
      <c r="O214" s="190"/>
      <c r="P214" s="204"/>
      <c r="Q214" s="142"/>
      <c r="T214" s="201"/>
      <c r="Z214" s="151"/>
      <c r="AB214" s="64"/>
      <c r="AC214" s="64"/>
      <c r="AD214" s="64"/>
      <c r="AE214" s="64"/>
      <c r="AF214" s="64"/>
      <c r="AG214" s="64"/>
      <c r="AH214" s="64"/>
      <c r="AI214" s="143"/>
      <c r="AJ214" s="134"/>
      <c r="AK214" s="194"/>
      <c r="AL214" s="90"/>
    </row>
    <row r="215" spans="1:38" ht="17.100000000000001" customHeight="1" x14ac:dyDescent="0.25">
      <c r="A215" s="197"/>
      <c r="G215" s="88"/>
      <c r="H215" s="182"/>
      <c r="L215" s="24"/>
      <c r="M215" s="24"/>
      <c r="N215" s="186"/>
      <c r="O215" s="190"/>
      <c r="P215" s="204"/>
      <c r="Q215" s="142"/>
      <c r="T215" s="201"/>
      <c r="Z215" s="151"/>
      <c r="AB215" s="64"/>
      <c r="AC215" s="64"/>
      <c r="AD215" s="64"/>
      <c r="AE215" s="64"/>
      <c r="AF215" s="64"/>
      <c r="AG215" s="64"/>
      <c r="AH215" s="64"/>
      <c r="AI215" s="143"/>
      <c r="AJ215" s="134"/>
      <c r="AK215" s="194"/>
      <c r="AL215" s="90"/>
    </row>
    <row r="216" spans="1:38" ht="17.100000000000001" customHeight="1" x14ac:dyDescent="0.25">
      <c r="A216" s="197"/>
      <c r="G216" s="88"/>
      <c r="H216" s="182"/>
      <c r="L216" s="24"/>
      <c r="M216" s="24"/>
      <c r="N216" s="186"/>
      <c r="O216" s="190"/>
      <c r="P216" s="204"/>
      <c r="Q216" s="142"/>
      <c r="T216" s="201"/>
      <c r="Z216" s="151"/>
      <c r="AB216" s="64"/>
      <c r="AC216" s="64"/>
      <c r="AD216" s="64"/>
      <c r="AE216" s="64"/>
      <c r="AF216" s="64"/>
      <c r="AG216" s="64"/>
      <c r="AH216" s="64"/>
      <c r="AI216" s="143"/>
      <c r="AJ216" s="134"/>
      <c r="AK216" s="194"/>
      <c r="AL216" s="90"/>
    </row>
    <row r="217" spans="1:38" ht="17.100000000000001" customHeight="1" x14ac:dyDescent="0.25">
      <c r="A217" s="197"/>
      <c r="G217" s="88"/>
      <c r="H217" s="182"/>
      <c r="L217" s="24"/>
      <c r="M217" s="24"/>
      <c r="N217" s="186"/>
      <c r="O217" s="190"/>
      <c r="P217" s="204"/>
      <c r="Q217" s="142"/>
      <c r="T217" s="201"/>
      <c r="Z217" s="151"/>
      <c r="AB217" s="64"/>
      <c r="AC217" s="64"/>
      <c r="AD217" s="64"/>
      <c r="AE217" s="64"/>
      <c r="AF217" s="64"/>
      <c r="AG217" s="64"/>
      <c r="AH217" s="64"/>
      <c r="AI217" s="143"/>
      <c r="AJ217" s="134"/>
      <c r="AK217" s="194"/>
      <c r="AL217" s="90"/>
    </row>
    <row r="218" spans="1:38" ht="17.100000000000001" customHeight="1" x14ac:dyDescent="0.25">
      <c r="A218" s="197"/>
      <c r="G218" s="88"/>
      <c r="H218" s="182"/>
      <c r="L218" s="24"/>
      <c r="M218" s="24"/>
      <c r="N218" s="186"/>
      <c r="O218" s="190"/>
      <c r="P218" s="204"/>
      <c r="Q218" s="142"/>
      <c r="T218" s="201"/>
      <c r="Z218" s="151"/>
      <c r="AB218" s="64"/>
      <c r="AC218" s="64"/>
      <c r="AD218" s="64"/>
      <c r="AE218" s="64"/>
      <c r="AF218" s="64"/>
      <c r="AG218" s="64"/>
      <c r="AH218" s="64"/>
      <c r="AI218" s="143"/>
      <c r="AJ218" s="134"/>
      <c r="AK218" s="194"/>
      <c r="AL218" s="90"/>
    </row>
    <row r="219" spans="1:38" ht="17.100000000000001" customHeight="1" x14ac:dyDescent="0.25">
      <c r="A219" s="197"/>
      <c r="G219" s="88"/>
      <c r="H219" s="182"/>
      <c r="L219" s="24"/>
      <c r="M219" s="24"/>
      <c r="N219" s="186"/>
      <c r="O219" s="190"/>
      <c r="P219" s="204"/>
      <c r="Q219" s="142"/>
      <c r="T219" s="201"/>
      <c r="Z219" s="151"/>
      <c r="AB219" s="64"/>
      <c r="AC219" s="64"/>
      <c r="AD219" s="64"/>
      <c r="AE219" s="64"/>
      <c r="AF219" s="64"/>
      <c r="AG219" s="64"/>
      <c r="AH219" s="64"/>
      <c r="AI219" s="143"/>
      <c r="AJ219" s="134"/>
      <c r="AK219" s="194"/>
      <c r="AL219" s="90"/>
    </row>
    <row r="220" spans="1:38" ht="17.100000000000001" customHeight="1" x14ac:dyDescent="0.25">
      <c r="A220" s="197"/>
      <c r="G220" s="88"/>
      <c r="H220" s="182"/>
      <c r="L220" s="24"/>
      <c r="M220" s="24"/>
      <c r="N220" s="186"/>
      <c r="O220" s="190"/>
      <c r="P220" s="204"/>
      <c r="Q220" s="142"/>
      <c r="T220" s="201"/>
      <c r="Z220" s="151"/>
      <c r="AB220" s="64"/>
      <c r="AC220" s="64"/>
      <c r="AD220" s="64"/>
      <c r="AE220" s="64"/>
      <c r="AF220" s="64"/>
      <c r="AG220" s="64"/>
      <c r="AH220" s="64"/>
      <c r="AI220" s="143"/>
      <c r="AJ220" s="134"/>
      <c r="AK220" s="194"/>
      <c r="AL220" s="90"/>
    </row>
    <row r="221" spans="1:38" ht="17.100000000000001" customHeight="1" x14ac:dyDescent="0.25">
      <c r="A221" s="197"/>
      <c r="G221" s="88"/>
      <c r="H221" s="182"/>
      <c r="L221" s="24"/>
      <c r="M221" s="24"/>
      <c r="N221" s="186"/>
      <c r="O221" s="190"/>
      <c r="P221" s="204"/>
      <c r="Q221" s="142"/>
      <c r="T221" s="201"/>
      <c r="Z221" s="151"/>
      <c r="AB221" s="64"/>
      <c r="AC221" s="64"/>
      <c r="AD221" s="64"/>
      <c r="AE221" s="64"/>
      <c r="AF221" s="64"/>
      <c r="AG221" s="64"/>
      <c r="AH221" s="64"/>
      <c r="AI221" s="143"/>
      <c r="AJ221" s="134"/>
      <c r="AK221" s="194"/>
      <c r="AL221" s="90"/>
    </row>
    <row r="222" spans="1:38" ht="17.100000000000001" customHeight="1" x14ac:dyDescent="0.25">
      <c r="A222" s="197"/>
      <c r="G222" s="88"/>
      <c r="H222" s="182"/>
      <c r="L222" s="24"/>
      <c r="M222" s="24"/>
      <c r="N222" s="186"/>
      <c r="O222" s="190"/>
      <c r="P222" s="204"/>
      <c r="Q222" s="142"/>
      <c r="T222" s="201"/>
      <c r="Z222" s="151"/>
      <c r="AB222" s="64"/>
      <c r="AC222" s="64"/>
      <c r="AD222" s="64"/>
      <c r="AE222" s="64"/>
      <c r="AF222" s="64"/>
      <c r="AG222" s="64"/>
      <c r="AH222" s="64"/>
      <c r="AI222" s="143"/>
      <c r="AJ222" s="134"/>
      <c r="AK222" s="194"/>
      <c r="AL222" s="90"/>
    </row>
    <row r="223" spans="1:38" ht="17.100000000000001" customHeight="1" x14ac:dyDescent="0.25">
      <c r="A223" s="197"/>
      <c r="G223" s="88"/>
      <c r="H223" s="182"/>
      <c r="L223" s="24"/>
      <c r="M223" s="24"/>
      <c r="N223" s="186"/>
      <c r="O223" s="190"/>
      <c r="P223" s="204"/>
      <c r="Q223" s="142"/>
      <c r="T223" s="201"/>
      <c r="Z223" s="151"/>
      <c r="AB223" s="64"/>
      <c r="AC223" s="64"/>
      <c r="AD223" s="64"/>
      <c r="AE223" s="64"/>
      <c r="AF223" s="64"/>
      <c r="AG223" s="64"/>
      <c r="AH223" s="64"/>
      <c r="AI223" s="143"/>
      <c r="AJ223" s="134"/>
      <c r="AK223" s="194"/>
      <c r="AL223" s="90"/>
    </row>
    <row r="224" spans="1:38" ht="17.100000000000001" customHeight="1" x14ac:dyDescent="0.25">
      <c r="A224" s="197"/>
      <c r="G224" s="88"/>
      <c r="H224" s="182"/>
      <c r="L224" s="24"/>
      <c r="M224" s="24"/>
      <c r="N224" s="186"/>
      <c r="O224" s="190"/>
      <c r="P224" s="204"/>
      <c r="Q224" s="142"/>
      <c r="T224" s="201"/>
      <c r="Z224" s="151"/>
      <c r="AB224" s="64"/>
      <c r="AC224" s="64"/>
      <c r="AD224" s="64"/>
      <c r="AE224" s="64"/>
      <c r="AF224" s="64"/>
      <c r="AG224" s="64"/>
      <c r="AH224" s="64"/>
      <c r="AI224" s="143"/>
      <c r="AJ224" s="134"/>
      <c r="AK224" s="194"/>
      <c r="AL224" s="90"/>
    </row>
    <row r="225" spans="1:38" ht="17.100000000000001" customHeight="1" x14ac:dyDescent="0.25">
      <c r="A225" s="197"/>
      <c r="G225" s="88"/>
      <c r="H225" s="182"/>
      <c r="L225" s="24"/>
      <c r="M225" s="24"/>
      <c r="N225" s="186"/>
      <c r="O225" s="190"/>
      <c r="P225" s="204"/>
      <c r="Q225" s="142"/>
      <c r="T225" s="201"/>
      <c r="Z225" s="151"/>
      <c r="AB225" s="64"/>
      <c r="AC225" s="64"/>
      <c r="AD225" s="64"/>
      <c r="AE225" s="64"/>
      <c r="AF225" s="64"/>
      <c r="AG225" s="64"/>
      <c r="AH225" s="64"/>
      <c r="AI225" s="143"/>
      <c r="AJ225" s="134"/>
      <c r="AK225" s="194"/>
      <c r="AL225" s="90"/>
    </row>
    <row r="226" spans="1:38" ht="17.100000000000001" customHeight="1" x14ac:dyDescent="0.25">
      <c r="A226" s="197"/>
      <c r="G226" s="88"/>
      <c r="H226" s="182"/>
      <c r="L226" s="24"/>
      <c r="M226" s="24"/>
      <c r="N226" s="186"/>
      <c r="O226" s="190"/>
      <c r="P226" s="204"/>
      <c r="Q226" s="142"/>
      <c r="T226" s="201"/>
      <c r="Z226" s="151"/>
      <c r="AB226" s="64"/>
      <c r="AC226" s="64"/>
      <c r="AD226" s="64"/>
      <c r="AE226" s="64"/>
      <c r="AF226" s="64"/>
      <c r="AG226" s="64"/>
      <c r="AH226" s="64"/>
      <c r="AI226" s="143"/>
      <c r="AJ226" s="134"/>
      <c r="AK226" s="194"/>
      <c r="AL226" s="90"/>
    </row>
    <row r="227" spans="1:38" ht="17.100000000000001" customHeight="1" x14ac:dyDescent="0.25">
      <c r="A227" s="197"/>
      <c r="G227" s="88"/>
      <c r="H227" s="182"/>
      <c r="L227" s="24"/>
      <c r="M227" s="24"/>
      <c r="N227" s="186"/>
      <c r="O227" s="190"/>
      <c r="P227" s="204"/>
      <c r="Q227" s="142"/>
      <c r="T227" s="201"/>
      <c r="Z227" s="151"/>
      <c r="AB227" s="64"/>
      <c r="AC227" s="64"/>
      <c r="AD227" s="64"/>
      <c r="AE227" s="64"/>
      <c r="AF227" s="64"/>
      <c r="AG227" s="64"/>
      <c r="AH227" s="64"/>
      <c r="AI227" s="143"/>
      <c r="AJ227" s="134"/>
      <c r="AK227" s="194"/>
      <c r="AL227" s="90"/>
    </row>
    <row r="228" spans="1:38" ht="17.100000000000001" customHeight="1" x14ac:dyDescent="0.25">
      <c r="A228" s="197"/>
      <c r="G228" s="88"/>
      <c r="H228" s="182"/>
      <c r="L228" s="24"/>
      <c r="M228" s="24"/>
      <c r="N228" s="186"/>
      <c r="O228" s="190"/>
      <c r="P228" s="204"/>
      <c r="Q228" s="142"/>
      <c r="T228" s="201"/>
      <c r="Z228" s="151"/>
      <c r="AB228" s="64"/>
      <c r="AC228" s="64"/>
      <c r="AD228" s="64"/>
      <c r="AE228" s="64"/>
      <c r="AF228" s="64"/>
      <c r="AG228" s="64"/>
      <c r="AH228" s="64"/>
      <c r="AI228" s="143"/>
      <c r="AJ228" s="134"/>
      <c r="AK228" s="194"/>
      <c r="AL228" s="90"/>
    </row>
    <row r="229" spans="1:38" ht="17.100000000000001" customHeight="1" x14ac:dyDescent="0.25">
      <c r="A229" s="197"/>
      <c r="G229" s="88"/>
      <c r="H229" s="182"/>
      <c r="L229" s="24"/>
      <c r="M229" s="24"/>
      <c r="N229" s="186"/>
      <c r="O229" s="190"/>
      <c r="P229" s="204"/>
      <c r="Q229" s="142"/>
      <c r="T229" s="201"/>
      <c r="Z229" s="151"/>
      <c r="AB229" s="64"/>
      <c r="AC229" s="64"/>
      <c r="AD229" s="64"/>
      <c r="AE229" s="64"/>
      <c r="AF229" s="64"/>
      <c r="AG229" s="64"/>
      <c r="AH229" s="64"/>
      <c r="AI229" s="143"/>
      <c r="AJ229" s="134"/>
      <c r="AK229" s="194"/>
      <c r="AL229" s="90"/>
    </row>
    <row r="230" spans="1:38" ht="17.100000000000001" customHeight="1" x14ac:dyDescent="0.25">
      <c r="A230" s="197"/>
      <c r="G230" s="88"/>
      <c r="H230" s="182"/>
      <c r="L230" s="24"/>
      <c r="M230" s="24"/>
      <c r="N230" s="186"/>
      <c r="O230" s="190"/>
      <c r="P230" s="204"/>
      <c r="Q230" s="142"/>
      <c r="T230" s="201"/>
      <c r="Z230" s="151"/>
      <c r="AB230" s="64"/>
      <c r="AC230" s="64"/>
      <c r="AD230" s="64"/>
      <c r="AE230" s="64"/>
      <c r="AF230" s="64"/>
      <c r="AG230" s="64"/>
      <c r="AH230" s="64"/>
      <c r="AI230" s="143"/>
      <c r="AJ230" s="134"/>
      <c r="AK230" s="194"/>
      <c r="AL230" s="90"/>
    </row>
    <row r="231" spans="1:38" ht="17.100000000000001" customHeight="1" x14ac:dyDescent="0.25">
      <c r="A231" s="197"/>
      <c r="G231" s="88"/>
      <c r="H231" s="182"/>
      <c r="L231" s="24"/>
      <c r="M231" s="24"/>
      <c r="N231" s="186"/>
      <c r="O231" s="190"/>
      <c r="P231" s="204"/>
      <c r="Q231" s="142"/>
      <c r="T231" s="201"/>
      <c r="Z231" s="151"/>
      <c r="AB231" s="64"/>
      <c r="AC231" s="64"/>
      <c r="AD231" s="64"/>
      <c r="AE231" s="64"/>
      <c r="AF231" s="64"/>
      <c r="AG231" s="64"/>
      <c r="AH231" s="64"/>
      <c r="AI231" s="143"/>
      <c r="AJ231" s="134"/>
      <c r="AK231" s="194"/>
      <c r="AL231" s="90"/>
    </row>
    <row r="232" spans="1:38" ht="17.100000000000001" customHeight="1" x14ac:dyDescent="0.25">
      <c r="A232" s="197"/>
      <c r="G232" s="88"/>
      <c r="H232" s="182"/>
      <c r="L232" s="24"/>
      <c r="M232" s="24"/>
      <c r="N232" s="186"/>
      <c r="O232" s="190"/>
      <c r="P232" s="204"/>
      <c r="Q232" s="142"/>
      <c r="T232" s="201"/>
      <c r="Z232" s="151"/>
      <c r="AB232" s="64"/>
      <c r="AC232" s="64"/>
      <c r="AD232" s="64"/>
      <c r="AE232" s="64"/>
      <c r="AF232" s="64"/>
      <c r="AG232" s="64"/>
      <c r="AH232" s="64"/>
      <c r="AI232" s="143"/>
      <c r="AJ232" s="134"/>
      <c r="AK232" s="194"/>
      <c r="AL232" s="90"/>
    </row>
    <row r="233" spans="1:38" ht="17.100000000000001" customHeight="1" x14ac:dyDescent="0.25">
      <c r="A233" s="197"/>
      <c r="G233" s="88"/>
      <c r="H233" s="182"/>
      <c r="L233" s="24"/>
      <c r="M233" s="24"/>
      <c r="N233" s="186"/>
      <c r="O233" s="190"/>
      <c r="P233" s="204"/>
      <c r="Q233" s="142"/>
      <c r="T233" s="201"/>
      <c r="Z233" s="151"/>
      <c r="AB233" s="64"/>
      <c r="AC233" s="64"/>
      <c r="AD233" s="64"/>
      <c r="AE233" s="64"/>
      <c r="AF233" s="64"/>
      <c r="AG233" s="64"/>
      <c r="AH233" s="64"/>
      <c r="AI233" s="143"/>
      <c r="AJ233" s="134"/>
      <c r="AK233" s="194"/>
      <c r="AL233" s="90"/>
    </row>
    <row r="234" spans="1:38" ht="17.100000000000001" customHeight="1" x14ac:dyDescent="0.25">
      <c r="A234" s="197"/>
      <c r="G234" s="88"/>
      <c r="H234" s="182"/>
      <c r="L234" s="24"/>
      <c r="M234" s="24"/>
      <c r="N234" s="186"/>
      <c r="O234" s="190"/>
      <c r="P234" s="204"/>
      <c r="Q234" s="142"/>
      <c r="T234" s="201"/>
      <c r="Z234" s="151"/>
      <c r="AB234" s="64"/>
      <c r="AC234" s="64"/>
      <c r="AD234" s="64"/>
      <c r="AE234" s="64"/>
      <c r="AF234" s="64"/>
      <c r="AG234" s="64"/>
      <c r="AH234" s="64"/>
      <c r="AI234" s="143"/>
      <c r="AJ234" s="134"/>
      <c r="AK234" s="194"/>
      <c r="AL234" s="90"/>
    </row>
    <row r="235" spans="1:38" ht="17.100000000000001" customHeight="1" x14ac:dyDescent="0.25">
      <c r="A235" s="197"/>
      <c r="G235" s="88"/>
      <c r="H235" s="182"/>
      <c r="L235" s="24"/>
      <c r="M235" s="24"/>
      <c r="N235" s="186"/>
      <c r="O235" s="190"/>
      <c r="P235" s="204"/>
      <c r="Q235" s="142"/>
      <c r="T235" s="201"/>
      <c r="Z235" s="151"/>
      <c r="AB235" s="64"/>
      <c r="AC235" s="64"/>
      <c r="AD235" s="64"/>
      <c r="AE235" s="64"/>
      <c r="AF235" s="64"/>
      <c r="AG235" s="64"/>
      <c r="AH235" s="64"/>
      <c r="AI235" s="143"/>
      <c r="AJ235" s="134"/>
      <c r="AK235" s="194"/>
      <c r="AL235" s="90"/>
    </row>
    <row r="236" spans="1:38" ht="17.100000000000001" customHeight="1" x14ac:dyDescent="0.25">
      <c r="A236" s="197"/>
      <c r="G236" s="88"/>
      <c r="H236" s="182"/>
      <c r="L236" s="24"/>
      <c r="M236" s="24"/>
      <c r="N236" s="186"/>
      <c r="O236" s="190"/>
      <c r="P236" s="204"/>
      <c r="Q236" s="142"/>
      <c r="T236" s="201"/>
      <c r="Z236" s="151"/>
      <c r="AB236" s="64"/>
      <c r="AC236" s="64"/>
      <c r="AD236" s="64"/>
      <c r="AE236" s="64"/>
      <c r="AF236" s="64"/>
      <c r="AG236" s="64"/>
      <c r="AH236" s="64"/>
      <c r="AI236" s="143"/>
      <c r="AJ236" s="134"/>
      <c r="AK236" s="194"/>
      <c r="AL236" s="90"/>
    </row>
    <row r="237" spans="1:38" ht="17.100000000000001" customHeight="1" x14ac:dyDescent="0.25">
      <c r="A237" s="197"/>
      <c r="G237" s="88"/>
      <c r="H237" s="182"/>
      <c r="L237" s="24"/>
      <c r="M237" s="24"/>
      <c r="N237" s="186"/>
      <c r="O237" s="190"/>
      <c r="P237" s="204"/>
      <c r="Q237" s="142"/>
      <c r="T237" s="201"/>
      <c r="Z237" s="151"/>
      <c r="AB237" s="64"/>
      <c r="AC237" s="64"/>
      <c r="AD237" s="64"/>
      <c r="AE237" s="64"/>
      <c r="AF237" s="64"/>
      <c r="AG237" s="64"/>
      <c r="AH237" s="64"/>
      <c r="AI237" s="143"/>
      <c r="AJ237" s="134"/>
      <c r="AK237" s="194"/>
      <c r="AL237" s="90"/>
    </row>
    <row r="238" spans="1:38" ht="17.100000000000001" customHeight="1" x14ac:dyDescent="0.25">
      <c r="A238" s="197"/>
      <c r="G238" s="88"/>
      <c r="H238" s="182"/>
      <c r="L238" s="24"/>
      <c r="M238" s="24"/>
      <c r="N238" s="186"/>
      <c r="O238" s="190"/>
      <c r="P238" s="204"/>
      <c r="Q238" s="142"/>
      <c r="T238" s="201"/>
      <c r="Z238" s="151"/>
      <c r="AB238" s="64"/>
      <c r="AC238" s="64"/>
      <c r="AD238" s="64"/>
      <c r="AE238" s="64"/>
      <c r="AF238" s="64"/>
      <c r="AG238" s="64"/>
      <c r="AH238" s="64"/>
      <c r="AI238" s="143"/>
      <c r="AJ238" s="134"/>
      <c r="AK238" s="194"/>
      <c r="AL238" s="90"/>
    </row>
    <row r="239" spans="1:38" ht="17.100000000000001" customHeight="1" x14ac:dyDescent="0.25">
      <c r="A239" s="197"/>
      <c r="G239" s="88"/>
      <c r="H239" s="182"/>
      <c r="L239" s="24"/>
      <c r="M239" s="24"/>
      <c r="N239" s="186"/>
      <c r="O239" s="190"/>
      <c r="P239" s="204"/>
      <c r="Q239" s="142"/>
      <c r="T239" s="201"/>
      <c r="Z239" s="151"/>
      <c r="AB239" s="64"/>
      <c r="AC239" s="64"/>
      <c r="AD239" s="64"/>
      <c r="AE239" s="64"/>
      <c r="AF239" s="64"/>
      <c r="AG239" s="64"/>
      <c r="AH239" s="64"/>
      <c r="AI239" s="143"/>
      <c r="AJ239" s="134"/>
      <c r="AK239" s="194"/>
      <c r="AL239" s="90"/>
    </row>
    <row r="240" spans="1:38" ht="17.100000000000001" customHeight="1" x14ac:dyDescent="0.25">
      <c r="A240" s="197"/>
      <c r="G240" s="88"/>
      <c r="H240" s="182"/>
      <c r="L240" s="24"/>
      <c r="M240" s="24"/>
      <c r="N240" s="186"/>
      <c r="O240" s="190"/>
      <c r="P240" s="204"/>
      <c r="Q240" s="142"/>
      <c r="T240" s="201"/>
      <c r="Z240" s="151"/>
      <c r="AB240" s="64"/>
      <c r="AC240" s="64"/>
      <c r="AD240" s="64"/>
      <c r="AE240" s="64"/>
      <c r="AF240" s="64"/>
      <c r="AG240" s="64"/>
      <c r="AH240" s="64"/>
      <c r="AI240" s="143"/>
      <c r="AJ240" s="134"/>
      <c r="AK240" s="194"/>
      <c r="AL240" s="90"/>
    </row>
    <row r="241" spans="1:38" ht="17.100000000000001" customHeight="1" thickBot="1" x14ac:dyDescent="0.3">
      <c r="A241" s="197"/>
      <c r="G241" s="88"/>
      <c r="H241" s="182"/>
      <c r="L241" s="24"/>
      <c r="M241" s="24"/>
      <c r="N241" s="186"/>
      <c r="O241" s="190"/>
      <c r="P241" s="204"/>
      <c r="Q241" s="142"/>
      <c r="T241" s="201"/>
      <c r="Z241" s="151"/>
      <c r="AB241" s="64"/>
      <c r="AC241" s="64"/>
      <c r="AD241" s="64"/>
      <c r="AE241" s="64"/>
      <c r="AF241" s="64"/>
      <c r="AG241" s="64"/>
      <c r="AH241" s="64"/>
      <c r="AI241" s="143"/>
      <c r="AJ241" s="134"/>
      <c r="AK241" s="194"/>
      <c r="AL241" s="90"/>
    </row>
    <row r="242" spans="1:38" ht="17.100000000000001" customHeight="1" x14ac:dyDescent="0.25">
      <c r="A242" s="198"/>
      <c r="B242" s="153"/>
      <c r="C242" s="154"/>
      <c r="D242" s="154"/>
      <c r="E242" s="154"/>
      <c r="F242" s="154"/>
      <c r="G242" s="155"/>
      <c r="H242" s="183"/>
      <c r="I242" s="156"/>
      <c r="J242" s="157"/>
      <c r="K242" s="158"/>
      <c r="L242" s="158"/>
      <c r="M242" s="158"/>
      <c r="N242" s="187"/>
      <c r="O242" s="191"/>
      <c r="P242" s="205"/>
      <c r="Q242" s="159"/>
      <c r="R242" s="160"/>
      <c r="S242" s="158"/>
      <c r="T242" s="202"/>
      <c r="U242" s="161"/>
      <c r="V242" s="156"/>
      <c r="W242" s="162"/>
      <c r="X242" s="156"/>
      <c r="Y242" s="158"/>
      <c r="Z242" s="163"/>
      <c r="AA242" s="156"/>
      <c r="AB242" s="164"/>
      <c r="AC242" s="164"/>
      <c r="AD242" s="164"/>
      <c r="AE242" s="164"/>
      <c r="AF242" s="164"/>
      <c r="AG242" s="164"/>
      <c r="AH242" s="164"/>
      <c r="AI242" s="165"/>
      <c r="AJ242" s="134"/>
      <c r="AK242" s="195"/>
      <c r="AL242" s="170"/>
    </row>
    <row r="243" spans="1:38" ht="17.100000000000001" customHeight="1" x14ac:dyDescent="0.25">
      <c r="A243" s="197"/>
      <c r="G243" s="88"/>
      <c r="H243" s="182"/>
      <c r="L243" s="24"/>
      <c r="M243" s="24"/>
      <c r="N243" s="186"/>
      <c r="O243" s="190"/>
      <c r="P243" s="204"/>
      <c r="Q243" s="142"/>
      <c r="T243" s="201"/>
      <c r="Z243" s="151"/>
      <c r="AB243" s="64"/>
      <c r="AC243" s="64"/>
      <c r="AD243" s="64"/>
      <c r="AE243" s="64"/>
      <c r="AF243" s="64"/>
      <c r="AG243" s="64"/>
      <c r="AH243" s="64"/>
      <c r="AI243" s="143"/>
      <c r="AJ243" s="134"/>
      <c r="AK243" s="194"/>
      <c r="AL243" s="90"/>
    </row>
    <row r="244" spans="1:38" ht="17.100000000000001" customHeight="1" x14ac:dyDescent="0.25">
      <c r="A244" s="197"/>
      <c r="G244" s="88"/>
      <c r="H244" s="182"/>
      <c r="L244" s="24"/>
      <c r="M244" s="24"/>
      <c r="N244" s="186"/>
      <c r="O244" s="190"/>
      <c r="P244" s="204"/>
      <c r="Q244" s="142"/>
      <c r="T244" s="201"/>
      <c r="Z244" s="151"/>
      <c r="AB244" s="64"/>
      <c r="AC244" s="64"/>
      <c r="AD244" s="64"/>
      <c r="AE244" s="64"/>
      <c r="AF244" s="64"/>
      <c r="AG244" s="64"/>
      <c r="AH244" s="64"/>
      <c r="AI244" s="143"/>
      <c r="AJ244" s="134"/>
      <c r="AK244" s="194"/>
      <c r="AL244" s="90"/>
    </row>
    <row r="245" spans="1:38" ht="17.100000000000001" customHeight="1" x14ac:dyDescent="0.25">
      <c r="A245" s="197"/>
      <c r="G245" s="88"/>
      <c r="H245" s="182"/>
      <c r="L245" s="24"/>
      <c r="M245" s="24"/>
      <c r="N245" s="186"/>
      <c r="O245" s="190"/>
      <c r="P245" s="204"/>
      <c r="Q245" s="142"/>
      <c r="T245" s="201"/>
      <c r="Z245" s="151"/>
      <c r="AB245" s="64"/>
      <c r="AC245" s="64"/>
      <c r="AD245" s="64"/>
      <c r="AE245" s="64"/>
      <c r="AF245" s="64"/>
      <c r="AG245" s="64"/>
      <c r="AH245" s="64"/>
      <c r="AI245" s="143"/>
      <c r="AJ245" s="134"/>
      <c r="AK245" s="194"/>
      <c r="AL245" s="90"/>
    </row>
    <row r="246" spans="1:38" ht="17.100000000000001" customHeight="1" x14ac:dyDescent="0.25">
      <c r="A246" s="197"/>
      <c r="G246" s="88"/>
      <c r="H246" s="182"/>
      <c r="L246" s="24"/>
      <c r="M246" s="24"/>
      <c r="N246" s="186"/>
      <c r="O246" s="190"/>
      <c r="P246" s="204"/>
      <c r="Q246" s="142"/>
      <c r="T246" s="201"/>
      <c r="Z246" s="151"/>
      <c r="AB246" s="64"/>
      <c r="AC246" s="64"/>
      <c r="AD246" s="64"/>
      <c r="AE246" s="64"/>
      <c r="AF246" s="64"/>
      <c r="AG246" s="64"/>
      <c r="AH246" s="64"/>
      <c r="AI246" s="143"/>
      <c r="AJ246" s="134"/>
      <c r="AK246" s="194"/>
      <c r="AL246" s="90"/>
    </row>
    <row r="247" spans="1:38" ht="17.100000000000001" customHeight="1" x14ac:dyDescent="0.25">
      <c r="A247" s="197"/>
      <c r="G247" s="88"/>
      <c r="H247" s="182"/>
      <c r="L247" s="24"/>
      <c r="M247" s="24"/>
      <c r="N247" s="186"/>
      <c r="O247" s="190"/>
      <c r="P247" s="204"/>
      <c r="Q247" s="142"/>
      <c r="T247" s="201"/>
      <c r="Z247" s="151"/>
      <c r="AB247" s="64"/>
      <c r="AC247" s="64"/>
      <c r="AD247" s="64"/>
      <c r="AE247" s="64"/>
      <c r="AF247" s="64"/>
      <c r="AG247" s="64"/>
      <c r="AH247" s="64"/>
      <c r="AI247" s="143"/>
      <c r="AJ247" s="134"/>
      <c r="AK247" s="194"/>
      <c r="AL247" s="90"/>
    </row>
    <row r="248" spans="1:38" ht="17.100000000000001" customHeight="1" x14ac:dyDescent="0.25">
      <c r="A248" s="197"/>
      <c r="G248" s="88"/>
      <c r="H248" s="182"/>
      <c r="L248" s="24"/>
      <c r="M248" s="24"/>
      <c r="N248" s="186"/>
      <c r="O248" s="190"/>
      <c r="P248" s="204"/>
      <c r="Q248" s="142"/>
      <c r="T248" s="201"/>
      <c r="Z248" s="151"/>
      <c r="AB248" s="64"/>
      <c r="AC248" s="64"/>
      <c r="AD248" s="64"/>
      <c r="AE248" s="64"/>
      <c r="AF248" s="64"/>
      <c r="AG248" s="64"/>
      <c r="AH248" s="64"/>
      <c r="AI248" s="143"/>
      <c r="AJ248" s="134"/>
      <c r="AK248" s="194"/>
      <c r="AL248" s="90"/>
    </row>
    <row r="249" spans="1:38" ht="17.100000000000001" customHeight="1" x14ac:dyDescent="0.25">
      <c r="A249" s="197"/>
      <c r="G249" s="88"/>
      <c r="H249" s="182"/>
      <c r="L249" s="24"/>
      <c r="M249" s="24"/>
      <c r="N249" s="186"/>
      <c r="O249" s="190"/>
      <c r="P249" s="204"/>
      <c r="Q249" s="142"/>
      <c r="T249" s="201"/>
      <c r="Z249" s="151"/>
      <c r="AB249" s="64"/>
      <c r="AC249" s="64"/>
      <c r="AD249" s="64"/>
      <c r="AE249" s="64"/>
      <c r="AF249" s="64"/>
      <c r="AG249" s="64"/>
      <c r="AH249" s="64"/>
      <c r="AI249" s="143"/>
      <c r="AJ249" s="134"/>
      <c r="AK249" s="194"/>
      <c r="AL249" s="90"/>
    </row>
    <row r="250" spans="1:38" ht="17.100000000000001" customHeight="1" x14ac:dyDescent="0.25">
      <c r="A250" s="197"/>
      <c r="G250" s="88"/>
      <c r="H250" s="182"/>
      <c r="L250" s="24"/>
      <c r="M250" s="24"/>
      <c r="N250" s="186"/>
      <c r="O250" s="190"/>
      <c r="P250" s="204"/>
      <c r="Q250" s="142"/>
      <c r="T250" s="201"/>
      <c r="Z250" s="151"/>
      <c r="AB250" s="64"/>
      <c r="AC250" s="64"/>
      <c r="AD250" s="64"/>
      <c r="AE250" s="64"/>
      <c r="AF250" s="64"/>
      <c r="AG250" s="64"/>
      <c r="AH250" s="64"/>
      <c r="AI250" s="143"/>
      <c r="AJ250" s="134"/>
      <c r="AK250" s="194"/>
      <c r="AL250" s="90"/>
    </row>
    <row r="251" spans="1:38" ht="17.100000000000001" customHeight="1" x14ac:dyDescent="0.25">
      <c r="A251" s="197"/>
      <c r="G251" s="88"/>
      <c r="H251" s="182"/>
      <c r="L251" s="24"/>
      <c r="M251" s="24"/>
      <c r="N251" s="186"/>
      <c r="O251" s="190"/>
      <c r="P251" s="204"/>
      <c r="Q251" s="142"/>
      <c r="T251" s="201"/>
      <c r="Z251" s="151"/>
      <c r="AB251" s="64"/>
      <c r="AC251" s="64"/>
      <c r="AD251" s="64"/>
      <c r="AE251" s="64"/>
      <c r="AF251" s="64"/>
      <c r="AG251" s="64"/>
      <c r="AH251" s="64"/>
      <c r="AI251" s="143"/>
      <c r="AJ251" s="134"/>
      <c r="AK251" s="194"/>
      <c r="AL251" s="90"/>
    </row>
    <row r="252" spans="1:38" ht="17.100000000000001" customHeight="1" x14ac:dyDescent="0.25">
      <c r="A252" s="197"/>
      <c r="G252" s="88"/>
      <c r="H252" s="182"/>
      <c r="L252" s="24"/>
      <c r="M252" s="24"/>
      <c r="N252" s="186"/>
      <c r="O252" s="190"/>
      <c r="P252" s="204"/>
      <c r="Q252" s="142"/>
      <c r="T252" s="201"/>
      <c r="Z252" s="151"/>
      <c r="AB252" s="64"/>
      <c r="AC252" s="64"/>
      <c r="AD252" s="64"/>
      <c r="AE252" s="64"/>
      <c r="AF252" s="64"/>
      <c r="AG252" s="64"/>
      <c r="AH252" s="64"/>
      <c r="AI252" s="143"/>
      <c r="AJ252" s="134"/>
      <c r="AK252" s="194"/>
      <c r="AL252" s="90"/>
    </row>
    <row r="253" spans="1:38" ht="17.100000000000001" customHeight="1" x14ac:dyDescent="0.25">
      <c r="A253" s="197"/>
      <c r="G253" s="88"/>
      <c r="H253" s="182"/>
      <c r="L253" s="24"/>
      <c r="M253" s="24"/>
      <c r="N253" s="186"/>
      <c r="O253" s="190"/>
      <c r="P253" s="204"/>
      <c r="Q253" s="142"/>
      <c r="T253" s="201"/>
      <c r="Z253" s="151"/>
      <c r="AB253" s="64"/>
      <c r="AC253" s="64"/>
      <c r="AD253" s="64"/>
      <c r="AE253" s="64"/>
      <c r="AF253" s="64"/>
      <c r="AG253" s="64"/>
      <c r="AH253" s="64"/>
      <c r="AI253" s="143"/>
      <c r="AJ253" s="134"/>
      <c r="AK253" s="194"/>
      <c r="AL253" s="90"/>
    </row>
    <row r="254" spans="1:38" ht="17.100000000000001" customHeight="1" x14ac:dyDescent="0.25">
      <c r="A254" s="197"/>
      <c r="G254" s="88"/>
      <c r="H254" s="182"/>
      <c r="L254" s="24"/>
      <c r="M254" s="24"/>
      <c r="N254" s="186"/>
      <c r="O254" s="190"/>
      <c r="P254" s="204"/>
      <c r="Q254" s="142"/>
      <c r="T254" s="201"/>
      <c r="Z254" s="151"/>
      <c r="AB254" s="64"/>
      <c r="AC254" s="64"/>
      <c r="AD254" s="64"/>
      <c r="AE254" s="64"/>
      <c r="AF254" s="64"/>
      <c r="AG254" s="64"/>
      <c r="AH254" s="64"/>
      <c r="AI254" s="143"/>
      <c r="AJ254" s="134"/>
      <c r="AK254" s="194"/>
      <c r="AL254" s="90"/>
    </row>
    <row r="255" spans="1:38" ht="17.100000000000001" customHeight="1" x14ac:dyDescent="0.25">
      <c r="A255" s="197"/>
      <c r="G255" s="88"/>
      <c r="H255" s="182"/>
      <c r="L255" s="24"/>
      <c r="M255" s="24"/>
      <c r="N255" s="186"/>
      <c r="O255" s="190"/>
      <c r="P255" s="204"/>
      <c r="Q255" s="142"/>
      <c r="T255" s="201"/>
      <c r="Z255" s="151"/>
      <c r="AB255" s="64"/>
      <c r="AC255" s="64"/>
      <c r="AD255" s="64"/>
      <c r="AE255" s="64"/>
      <c r="AF255" s="64"/>
      <c r="AG255" s="64"/>
      <c r="AH255" s="64"/>
      <c r="AI255" s="143"/>
      <c r="AJ255" s="134"/>
      <c r="AK255" s="194"/>
      <c r="AL255" s="90"/>
    </row>
    <row r="256" spans="1:38" ht="17.100000000000001" customHeight="1" x14ac:dyDescent="0.25">
      <c r="A256" s="197"/>
      <c r="G256" s="88"/>
      <c r="H256" s="182"/>
      <c r="L256" s="24"/>
      <c r="M256" s="24"/>
      <c r="N256" s="186"/>
      <c r="O256" s="190"/>
      <c r="P256" s="204"/>
      <c r="Q256" s="142"/>
      <c r="T256" s="201"/>
      <c r="Z256" s="151"/>
      <c r="AB256" s="64"/>
      <c r="AC256" s="64"/>
      <c r="AD256" s="64"/>
      <c r="AE256" s="64"/>
      <c r="AF256" s="64"/>
      <c r="AG256" s="64"/>
      <c r="AH256" s="64"/>
      <c r="AI256" s="143"/>
      <c r="AJ256" s="134"/>
      <c r="AK256" s="194"/>
      <c r="AL256" s="90"/>
    </row>
    <row r="257" spans="1:38" ht="17.100000000000001" customHeight="1" x14ac:dyDescent="0.25">
      <c r="A257" s="197"/>
      <c r="G257" s="88"/>
      <c r="H257" s="182"/>
      <c r="L257" s="24"/>
      <c r="M257" s="24"/>
      <c r="N257" s="186"/>
      <c r="O257" s="190"/>
      <c r="P257" s="204"/>
      <c r="Q257" s="142"/>
      <c r="T257" s="201"/>
      <c r="Z257" s="151"/>
      <c r="AB257" s="64"/>
      <c r="AC257" s="64"/>
      <c r="AD257" s="64"/>
      <c r="AE257" s="64"/>
      <c r="AF257" s="64"/>
      <c r="AG257" s="64"/>
      <c r="AH257" s="64"/>
      <c r="AI257" s="143"/>
      <c r="AJ257" s="134"/>
      <c r="AK257" s="194"/>
      <c r="AL257" s="90"/>
    </row>
    <row r="258" spans="1:38" ht="17.100000000000001" customHeight="1" x14ac:dyDescent="0.25">
      <c r="A258" s="197"/>
      <c r="G258" s="88"/>
      <c r="H258" s="182"/>
      <c r="L258" s="24"/>
      <c r="M258" s="24"/>
      <c r="N258" s="186"/>
      <c r="O258" s="190"/>
      <c r="P258" s="204"/>
      <c r="Q258" s="142"/>
      <c r="T258" s="201"/>
      <c r="Z258" s="151"/>
      <c r="AB258" s="64"/>
      <c r="AC258" s="64"/>
      <c r="AD258" s="64"/>
      <c r="AE258" s="64"/>
      <c r="AF258" s="64"/>
      <c r="AG258" s="64"/>
      <c r="AH258" s="64"/>
      <c r="AI258" s="143"/>
      <c r="AJ258" s="134"/>
      <c r="AK258" s="194"/>
      <c r="AL258" s="90"/>
    </row>
    <row r="259" spans="1:38" ht="17.100000000000001" customHeight="1" x14ac:dyDescent="0.25">
      <c r="A259" s="197"/>
      <c r="G259" s="88"/>
      <c r="H259" s="182"/>
      <c r="L259" s="24"/>
      <c r="M259" s="24"/>
      <c r="N259" s="186"/>
      <c r="O259" s="190"/>
      <c r="P259" s="204"/>
      <c r="Q259" s="142"/>
      <c r="T259" s="201"/>
      <c r="Z259" s="151"/>
      <c r="AB259" s="64"/>
      <c r="AC259" s="64"/>
      <c r="AD259" s="64"/>
      <c r="AE259" s="64"/>
      <c r="AF259" s="64"/>
      <c r="AG259" s="64"/>
      <c r="AH259" s="64"/>
      <c r="AI259" s="143"/>
      <c r="AJ259" s="134"/>
      <c r="AK259" s="194"/>
      <c r="AL259" s="90"/>
    </row>
    <row r="260" spans="1:38" ht="17.100000000000001" customHeight="1" x14ac:dyDescent="0.25">
      <c r="A260" s="197"/>
      <c r="G260" s="88"/>
      <c r="H260" s="182"/>
      <c r="L260" s="24"/>
      <c r="M260" s="24"/>
      <c r="N260" s="186"/>
      <c r="O260" s="190"/>
      <c r="P260" s="204"/>
      <c r="Q260" s="142"/>
      <c r="T260" s="201"/>
      <c r="Z260" s="151"/>
      <c r="AB260" s="64"/>
      <c r="AC260" s="64"/>
      <c r="AD260" s="64"/>
      <c r="AE260" s="64"/>
      <c r="AF260" s="64"/>
      <c r="AG260" s="64"/>
      <c r="AH260" s="64"/>
      <c r="AI260" s="143"/>
      <c r="AJ260" s="134"/>
      <c r="AK260" s="194"/>
      <c r="AL260" s="90"/>
    </row>
    <row r="261" spans="1:38" ht="17.100000000000001" customHeight="1" x14ac:dyDescent="0.25">
      <c r="A261" s="197"/>
      <c r="G261" s="88"/>
      <c r="H261" s="182"/>
      <c r="L261" s="24"/>
      <c r="M261" s="24"/>
      <c r="N261" s="186"/>
      <c r="O261" s="190"/>
      <c r="P261" s="204"/>
      <c r="Q261" s="142"/>
      <c r="T261" s="201"/>
      <c r="Z261" s="151"/>
      <c r="AB261" s="64"/>
      <c r="AC261" s="64"/>
      <c r="AD261" s="64"/>
      <c r="AE261" s="64"/>
      <c r="AF261" s="64"/>
      <c r="AG261" s="64"/>
      <c r="AH261" s="64"/>
      <c r="AI261" s="143"/>
      <c r="AJ261" s="134"/>
      <c r="AK261" s="194"/>
      <c r="AL261" s="90"/>
    </row>
    <row r="262" spans="1:38" ht="17.100000000000001" customHeight="1" x14ac:dyDescent="0.25">
      <c r="A262" s="197"/>
      <c r="G262" s="88"/>
      <c r="H262" s="182"/>
      <c r="L262" s="24"/>
      <c r="M262" s="24"/>
      <c r="N262" s="186"/>
      <c r="O262" s="190"/>
      <c r="P262" s="204"/>
      <c r="Q262" s="142"/>
      <c r="T262" s="201"/>
      <c r="Z262" s="151"/>
      <c r="AB262" s="64"/>
      <c r="AC262" s="64"/>
      <c r="AD262" s="64"/>
      <c r="AE262" s="64"/>
      <c r="AF262" s="64"/>
      <c r="AG262" s="64"/>
      <c r="AH262" s="64"/>
      <c r="AI262" s="143"/>
      <c r="AJ262" s="134"/>
      <c r="AK262" s="194"/>
      <c r="AL262" s="90"/>
    </row>
    <row r="263" spans="1:38" ht="17.100000000000001" customHeight="1" x14ac:dyDescent="0.25">
      <c r="A263" s="197"/>
      <c r="G263" s="88"/>
      <c r="H263" s="182"/>
      <c r="L263" s="24"/>
      <c r="M263" s="24"/>
      <c r="N263" s="186"/>
      <c r="O263" s="190"/>
      <c r="P263" s="204"/>
      <c r="Q263" s="142"/>
      <c r="T263" s="201"/>
      <c r="Z263" s="151"/>
      <c r="AB263" s="64"/>
      <c r="AC263" s="64"/>
      <c r="AD263" s="64"/>
      <c r="AE263" s="64"/>
      <c r="AF263" s="64"/>
      <c r="AG263" s="64"/>
      <c r="AH263" s="64"/>
      <c r="AI263" s="143"/>
      <c r="AJ263" s="134"/>
      <c r="AK263" s="194"/>
      <c r="AL263" s="90"/>
    </row>
    <row r="264" spans="1:38" ht="17.100000000000001" customHeight="1" x14ac:dyDescent="0.25">
      <c r="A264" s="197"/>
      <c r="G264" s="88"/>
      <c r="H264" s="182"/>
      <c r="L264" s="24"/>
      <c r="M264" s="24"/>
      <c r="N264" s="186"/>
      <c r="O264" s="190"/>
      <c r="P264" s="204"/>
      <c r="Q264" s="142"/>
      <c r="T264" s="201"/>
      <c r="Z264" s="151"/>
      <c r="AB264" s="64"/>
      <c r="AC264" s="64"/>
      <c r="AD264" s="64"/>
      <c r="AE264" s="64"/>
      <c r="AF264" s="64"/>
      <c r="AG264" s="64"/>
      <c r="AH264" s="64"/>
      <c r="AI264" s="143"/>
      <c r="AJ264" s="134"/>
      <c r="AK264" s="194"/>
      <c r="AL264" s="90"/>
    </row>
    <row r="265" spans="1:38" ht="17.100000000000001" customHeight="1" x14ac:dyDescent="0.25">
      <c r="A265" s="197"/>
      <c r="G265" s="88"/>
      <c r="H265" s="182"/>
      <c r="L265" s="24"/>
      <c r="M265" s="24"/>
      <c r="N265" s="186"/>
      <c r="O265" s="190"/>
      <c r="P265" s="204"/>
      <c r="Q265" s="142"/>
      <c r="T265" s="201"/>
      <c r="Z265" s="151"/>
      <c r="AB265" s="64"/>
      <c r="AC265" s="64"/>
      <c r="AD265" s="64"/>
      <c r="AE265" s="64"/>
      <c r="AF265" s="64"/>
      <c r="AG265" s="64"/>
      <c r="AH265" s="64"/>
      <c r="AI265" s="143"/>
      <c r="AJ265" s="134"/>
      <c r="AK265" s="194"/>
      <c r="AL265" s="90"/>
    </row>
    <row r="266" spans="1:38" ht="17.100000000000001" customHeight="1" x14ac:dyDescent="0.25">
      <c r="A266" s="197"/>
      <c r="G266" s="88"/>
      <c r="H266" s="182"/>
      <c r="L266" s="24"/>
      <c r="M266" s="24"/>
      <c r="N266" s="186"/>
      <c r="O266" s="190"/>
      <c r="P266" s="204"/>
      <c r="Q266" s="142"/>
      <c r="T266" s="201"/>
      <c r="Z266" s="151"/>
      <c r="AB266" s="64"/>
      <c r="AC266" s="64"/>
      <c r="AD266" s="64"/>
      <c r="AE266" s="64"/>
      <c r="AF266" s="64"/>
      <c r="AG266" s="64"/>
      <c r="AH266" s="64"/>
      <c r="AI266" s="143"/>
      <c r="AJ266" s="134"/>
      <c r="AK266" s="194"/>
      <c r="AL266" s="90"/>
    </row>
    <row r="267" spans="1:38" ht="17.100000000000001" customHeight="1" x14ac:dyDescent="0.25">
      <c r="A267" s="197"/>
      <c r="G267" s="88"/>
      <c r="H267" s="182"/>
      <c r="L267" s="24"/>
      <c r="M267" s="24"/>
      <c r="N267" s="186"/>
      <c r="O267" s="190"/>
      <c r="P267" s="204"/>
      <c r="Q267" s="142"/>
      <c r="T267" s="201"/>
      <c r="Z267" s="151"/>
      <c r="AB267" s="64"/>
      <c r="AC267" s="64"/>
      <c r="AD267" s="64"/>
      <c r="AE267" s="64"/>
      <c r="AF267" s="64"/>
      <c r="AG267" s="64"/>
      <c r="AH267" s="64"/>
      <c r="AI267" s="143"/>
      <c r="AJ267" s="134"/>
      <c r="AK267" s="194"/>
      <c r="AL267" s="90"/>
    </row>
    <row r="268" spans="1:38" ht="17.100000000000001" customHeight="1" x14ac:dyDescent="0.25">
      <c r="A268" s="197"/>
      <c r="G268" s="88"/>
      <c r="H268" s="182"/>
      <c r="L268" s="24"/>
      <c r="M268" s="24"/>
      <c r="N268" s="186"/>
      <c r="O268" s="190"/>
      <c r="P268" s="204"/>
      <c r="Q268" s="142"/>
      <c r="T268" s="201"/>
      <c r="Z268" s="151"/>
      <c r="AB268" s="64"/>
      <c r="AC268" s="64"/>
      <c r="AD268" s="64"/>
      <c r="AE268" s="64"/>
      <c r="AF268" s="64"/>
      <c r="AG268" s="64"/>
      <c r="AH268" s="64"/>
      <c r="AI268" s="143"/>
      <c r="AJ268" s="134"/>
      <c r="AK268" s="194"/>
      <c r="AL268" s="90"/>
    </row>
    <row r="269" spans="1:38" ht="17.100000000000001" customHeight="1" x14ac:dyDescent="0.25">
      <c r="A269" s="197"/>
      <c r="G269" s="88"/>
      <c r="H269" s="182"/>
      <c r="L269" s="24"/>
      <c r="M269" s="24"/>
      <c r="N269" s="186"/>
      <c r="O269" s="190"/>
      <c r="P269" s="204"/>
      <c r="Q269" s="142"/>
      <c r="T269" s="201"/>
      <c r="Z269" s="151"/>
      <c r="AB269" s="64"/>
      <c r="AC269" s="64"/>
      <c r="AD269" s="64"/>
      <c r="AE269" s="64"/>
      <c r="AF269" s="64"/>
      <c r="AG269" s="64"/>
      <c r="AH269" s="64"/>
      <c r="AI269" s="143"/>
      <c r="AJ269" s="134"/>
      <c r="AK269" s="194"/>
      <c r="AL269" s="90"/>
    </row>
    <row r="270" spans="1:38" ht="17.100000000000001" customHeight="1" x14ac:dyDescent="0.25">
      <c r="A270" s="197"/>
      <c r="G270" s="88"/>
      <c r="H270" s="182"/>
      <c r="L270" s="24"/>
      <c r="M270" s="24"/>
      <c r="N270" s="186"/>
      <c r="O270" s="190"/>
      <c r="P270" s="204"/>
      <c r="Q270" s="142"/>
      <c r="T270" s="201"/>
      <c r="Z270" s="151"/>
      <c r="AB270" s="64"/>
      <c r="AC270" s="64"/>
      <c r="AD270" s="64"/>
      <c r="AE270" s="64"/>
      <c r="AF270" s="64"/>
      <c r="AG270" s="64"/>
      <c r="AH270" s="64"/>
      <c r="AI270" s="143"/>
      <c r="AJ270" s="134"/>
      <c r="AK270" s="194"/>
      <c r="AL270" s="90"/>
    </row>
    <row r="271" spans="1:38" ht="17.100000000000001" customHeight="1" x14ac:dyDescent="0.25">
      <c r="A271" s="197"/>
      <c r="G271" s="88"/>
      <c r="H271" s="182"/>
      <c r="L271" s="24"/>
      <c r="M271" s="24"/>
      <c r="N271" s="186"/>
      <c r="O271" s="190"/>
      <c r="P271" s="204"/>
      <c r="Q271" s="142"/>
      <c r="T271" s="201"/>
      <c r="Z271" s="151"/>
      <c r="AB271" s="64"/>
      <c r="AC271" s="64"/>
      <c r="AD271" s="64"/>
      <c r="AE271" s="64"/>
      <c r="AF271" s="64"/>
      <c r="AG271" s="64"/>
      <c r="AH271" s="64"/>
      <c r="AI271" s="143"/>
      <c r="AJ271" s="134"/>
      <c r="AK271" s="194"/>
      <c r="AL271" s="90"/>
    </row>
    <row r="272" spans="1:38" ht="17.100000000000001" customHeight="1" x14ac:dyDescent="0.25">
      <c r="A272" s="197"/>
      <c r="G272" s="88"/>
      <c r="H272" s="182"/>
      <c r="L272" s="24"/>
      <c r="M272" s="24"/>
      <c r="N272" s="186"/>
      <c r="O272" s="190"/>
      <c r="P272" s="204"/>
      <c r="Q272" s="142"/>
      <c r="T272" s="201"/>
      <c r="Z272" s="151"/>
      <c r="AB272" s="64"/>
      <c r="AC272" s="64"/>
      <c r="AD272" s="64"/>
      <c r="AE272" s="64"/>
      <c r="AF272" s="64"/>
      <c r="AG272" s="64"/>
      <c r="AH272" s="64"/>
      <c r="AI272" s="143"/>
      <c r="AJ272" s="134"/>
      <c r="AK272" s="194"/>
      <c r="AL272" s="90"/>
    </row>
    <row r="273" spans="1:38" ht="17.100000000000001" customHeight="1" x14ac:dyDescent="0.25">
      <c r="A273" s="197"/>
      <c r="G273" s="88"/>
      <c r="H273" s="182"/>
      <c r="L273" s="24"/>
      <c r="M273" s="24"/>
      <c r="N273" s="186"/>
      <c r="O273" s="190"/>
      <c r="P273" s="204"/>
      <c r="Q273" s="142"/>
      <c r="T273" s="201"/>
      <c r="Z273" s="151"/>
      <c r="AB273" s="64"/>
      <c r="AC273" s="64"/>
      <c r="AD273" s="64"/>
      <c r="AE273" s="64"/>
      <c r="AF273" s="64"/>
      <c r="AG273" s="64"/>
      <c r="AH273" s="64"/>
      <c r="AI273" s="143"/>
      <c r="AJ273" s="134"/>
      <c r="AK273" s="194"/>
      <c r="AL273" s="90"/>
    </row>
    <row r="274" spans="1:38" ht="17.100000000000001" customHeight="1" x14ac:dyDescent="0.25">
      <c r="A274" s="197"/>
      <c r="G274" s="88"/>
      <c r="H274" s="182"/>
      <c r="L274" s="24"/>
      <c r="M274" s="24"/>
      <c r="N274" s="186"/>
      <c r="O274" s="190"/>
      <c r="P274" s="204"/>
      <c r="Q274" s="142"/>
      <c r="T274" s="201"/>
      <c r="Z274" s="151"/>
      <c r="AB274" s="64"/>
      <c r="AC274" s="64"/>
      <c r="AD274" s="64"/>
      <c r="AE274" s="64"/>
      <c r="AF274" s="64"/>
      <c r="AG274" s="64"/>
      <c r="AH274" s="64"/>
      <c r="AI274" s="143"/>
      <c r="AJ274" s="134"/>
      <c r="AK274" s="194"/>
      <c r="AL274" s="90"/>
    </row>
    <row r="275" spans="1:38" ht="17.100000000000001" customHeight="1" x14ac:dyDescent="0.25">
      <c r="A275" s="197"/>
      <c r="G275" s="88"/>
      <c r="H275" s="182"/>
      <c r="L275" s="24"/>
      <c r="M275" s="24"/>
      <c r="N275" s="186"/>
      <c r="O275" s="190"/>
      <c r="P275" s="204"/>
      <c r="Q275" s="142"/>
      <c r="T275" s="201"/>
      <c r="Z275" s="151"/>
      <c r="AB275" s="64"/>
      <c r="AC275" s="64"/>
      <c r="AD275" s="64"/>
      <c r="AE275" s="64"/>
      <c r="AF275" s="64"/>
      <c r="AG275" s="64"/>
      <c r="AH275" s="64"/>
      <c r="AI275" s="143"/>
      <c r="AJ275" s="134"/>
      <c r="AK275" s="194"/>
      <c r="AL275" s="90"/>
    </row>
    <row r="276" spans="1:38" ht="17.100000000000001" customHeight="1" x14ac:dyDescent="0.25">
      <c r="A276" s="197"/>
      <c r="G276" s="88"/>
      <c r="H276" s="182"/>
      <c r="L276" s="24"/>
      <c r="M276" s="24"/>
      <c r="N276" s="186"/>
      <c r="O276" s="190"/>
      <c r="P276" s="204"/>
      <c r="Q276" s="142"/>
      <c r="T276" s="201"/>
      <c r="Z276" s="151"/>
      <c r="AB276" s="64"/>
      <c r="AC276" s="64"/>
      <c r="AD276" s="64"/>
      <c r="AE276" s="64"/>
      <c r="AF276" s="64"/>
      <c r="AG276" s="64"/>
      <c r="AH276" s="64"/>
      <c r="AI276" s="143"/>
      <c r="AJ276" s="134"/>
      <c r="AK276" s="194"/>
      <c r="AL276" s="90"/>
    </row>
    <row r="277" spans="1:38" ht="17.100000000000001" customHeight="1" x14ac:dyDescent="0.25">
      <c r="A277" s="197"/>
      <c r="G277" s="88"/>
      <c r="H277" s="182"/>
      <c r="L277" s="24"/>
      <c r="M277" s="24"/>
      <c r="N277" s="186"/>
      <c r="O277" s="190"/>
      <c r="P277" s="204"/>
      <c r="Q277" s="142"/>
      <c r="T277" s="201"/>
      <c r="Z277" s="151"/>
      <c r="AB277" s="64"/>
      <c r="AC277" s="64"/>
      <c r="AD277" s="64"/>
      <c r="AE277" s="64"/>
      <c r="AF277" s="64"/>
      <c r="AG277" s="64"/>
      <c r="AH277" s="64"/>
      <c r="AI277" s="143"/>
      <c r="AJ277" s="134"/>
      <c r="AK277" s="194"/>
      <c r="AL277" s="90"/>
    </row>
    <row r="278" spans="1:38" ht="17.100000000000001" customHeight="1" x14ac:dyDescent="0.25">
      <c r="A278" s="197"/>
      <c r="G278" s="88"/>
      <c r="H278" s="182"/>
      <c r="L278" s="24"/>
      <c r="M278" s="24"/>
      <c r="N278" s="186"/>
      <c r="O278" s="190"/>
      <c r="P278" s="204"/>
      <c r="Q278" s="142"/>
      <c r="T278" s="201"/>
      <c r="Z278" s="151"/>
      <c r="AB278" s="64"/>
      <c r="AC278" s="64"/>
      <c r="AD278" s="64"/>
      <c r="AE278" s="64"/>
      <c r="AF278" s="64"/>
      <c r="AG278" s="64"/>
      <c r="AH278" s="64"/>
      <c r="AI278" s="143"/>
      <c r="AJ278" s="134"/>
      <c r="AK278" s="194"/>
      <c r="AL278" s="90"/>
    </row>
    <row r="279" spans="1:38" ht="17.100000000000001" customHeight="1" x14ac:dyDescent="0.25">
      <c r="A279" s="197"/>
      <c r="G279" s="88"/>
      <c r="H279" s="182"/>
      <c r="L279" s="24"/>
      <c r="M279" s="24"/>
      <c r="N279" s="186"/>
      <c r="O279" s="190"/>
      <c r="P279" s="204"/>
      <c r="Q279" s="142"/>
      <c r="T279" s="201"/>
      <c r="Z279" s="151"/>
      <c r="AB279" s="64"/>
      <c r="AC279" s="64"/>
      <c r="AD279" s="64"/>
      <c r="AE279" s="64"/>
      <c r="AF279" s="64"/>
      <c r="AG279" s="64"/>
      <c r="AH279" s="64"/>
      <c r="AI279" s="143"/>
      <c r="AJ279" s="134"/>
      <c r="AK279" s="194"/>
      <c r="AL279" s="90"/>
    </row>
    <row r="280" spans="1:38" ht="17.100000000000001" customHeight="1" x14ac:dyDescent="0.25">
      <c r="A280" s="197"/>
      <c r="G280" s="88"/>
      <c r="H280" s="182"/>
      <c r="L280" s="24"/>
      <c r="M280" s="24"/>
      <c r="N280" s="186"/>
      <c r="O280" s="190"/>
      <c r="P280" s="204"/>
      <c r="Q280" s="142"/>
      <c r="T280" s="201"/>
      <c r="Z280" s="151"/>
      <c r="AB280" s="64"/>
      <c r="AC280" s="64"/>
      <c r="AD280" s="64"/>
      <c r="AE280" s="64"/>
      <c r="AF280" s="64"/>
      <c r="AG280" s="64"/>
      <c r="AH280" s="64"/>
      <c r="AI280" s="143"/>
      <c r="AJ280" s="134"/>
      <c r="AK280" s="194"/>
      <c r="AL280" s="90"/>
    </row>
    <row r="281" spans="1:38" ht="17.100000000000001" customHeight="1" x14ac:dyDescent="0.25">
      <c r="A281" s="197"/>
      <c r="G281" s="88"/>
      <c r="H281" s="182"/>
      <c r="L281" s="24"/>
      <c r="M281" s="24"/>
      <c r="N281" s="186"/>
      <c r="O281" s="190"/>
      <c r="P281" s="204"/>
      <c r="Q281" s="142"/>
      <c r="T281" s="201"/>
      <c r="X281" s="100"/>
      <c r="Z281" s="151"/>
      <c r="AB281" s="64"/>
      <c r="AC281" s="64"/>
      <c r="AD281" s="64"/>
      <c r="AE281" s="64"/>
      <c r="AF281" s="64"/>
      <c r="AG281" s="64"/>
      <c r="AH281" s="64"/>
      <c r="AI281" s="143"/>
      <c r="AJ281" s="134"/>
      <c r="AK281" s="194"/>
      <c r="AL281" s="90"/>
    </row>
    <row r="282" spans="1:38" ht="17.100000000000001" customHeight="1" x14ac:dyDescent="0.25">
      <c r="A282" s="197"/>
      <c r="G282" s="88"/>
      <c r="H282" s="182"/>
      <c r="L282" s="24"/>
      <c r="M282" s="24"/>
      <c r="N282" s="186"/>
      <c r="O282" s="190"/>
      <c r="P282" s="204"/>
      <c r="Q282" s="142"/>
      <c r="T282" s="201"/>
      <c r="Z282" s="151"/>
      <c r="AB282" s="64"/>
      <c r="AC282" s="64"/>
      <c r="AD282" s="64"/>
      <c r="AE282" s="64"/>
      <c r="AF282" s="64"/>
      <c r="AG282" s="64"/>
      <c r="AH282" s="64"/>
      <c r="AI282" s="143"/>
      <c r="AJ282" s="134"/>
      <c r="AK282" s="194"/>
      <c r="AL282" s="90"/>
    </row>
    <row r="283" spans="1:38" ht="17.100000000000001" customHeight="1" x14ac:dyDescent="0.25">
      <c r="A283" s="197"/>
      <c r="G283" s="88"/>
      <c r="H283" s="182"/>
      <c r="L283" s="24"/>
      <c r="M283" s="24"/>
      <c r="N283" s="186"/>
      <c r="O283" s="190"/>
      <c r="P283" s="204"/>
      <c r="Q283" s="142"/>
      <c r="T283" s="201"/>
      <c r="Z283" s="151"/>
      <c r="AB283" s="64"/>
      <c r="AC283" s="64"/>
      <c r="AD283" s="64"/>
      <c r="AE283" s="64"/>
      <c r="AF283" s="64"/>
      <c r="AG283" s="64"/>
      <c r="AH283" s="64"/>
      <c r="AI283" s="143"/>
      <c r="AJ283" s="134"/>
      <c r="AK283" s="194"/>
      <c r="AL283" s="90"/>
    </row>
    <row r="284" spans="1:38" ht="17.100000000000001" customHeight="1" x14ac:dyDescent="0.25">
      <c r="A284" s="197"/>
      <c r="G284" s="88"/>
      <c r="H284" s="182"/>
      <c r="L284" s="24"/>
      <c r="M284" s="24"/>
      <c r="N284" s="186"/>
      <c r="O284" s="190"/>
      <c r="P284" s="204"/>
      <c r="Q284" s="142"/>
      <c r="T284" s="201"/>
      <c r="Z284" s="151"/>
      <c r="AB284" s="64"/>
      <c r="AC284" s="64"/>
      <c r="AD284" s="64"/>
      <c r="AE284" s="64"/>
      <c r="AF284" s="64"/>
      <c r="AG284" s="64"/>
      <c r="AH284" s="64"/>
      <c r="AI284" s="143"/>
      <c r="AJ284" s="134"/>
      <c r="AK284" s="194"/>
      <c r="AL284" s="90"/>
    </row>
    <row r="285" spans="1:38" ht="17.100000000000001" customHeight="1" x14ac:dyDescent="0.25">
      <c r="A285" s="197"/>
      <c r="G285" s="88"/>
      <c r="H285" s="182"/>
      <c r="L285" s="24"/>
      <c r="M285" s="24"/>
      <c r="N285" s="186"/>
      <c r="O285" s="190"/>
      <c r="P285" s="204"/>
      <c r="Q285" s="142"/>
      <c r="T285" s="201"/>
      <c r="Z285" s="151"/>
      <c r="AB285" s="64"/>
      <c r="AC285" s="64"/>
      <c r="AD285" s="64"/>
      <c r="AE285" s="64"/>
      <c r="AF285" s="64"/>
      <c r="AG285" s="64"/>
      <c r="AH285" s="64"/>
      <c r="AI285" s="143"/>
      <c r="AJ285" s="134"/>
      <c r="AK285" s="194"/>
      <c r="AL285" s="90"/>
    </row>
    <row r="286" spans="1:38" ht="17.100000000000001" customHeight="1" x14ac:dyDescent="0.25">
      <c r="A286" s="197"/>
      <c r="G286" s="88"/>
      <c r="H286" s="182"/>
      <c r="L286" s="24"/>
      <c r="M286" s="24"/>
      <c r="N286" s="186"/>
      <c r="O286" s="190"/>
      <c r="P286" s="204"/>
      <c r="Q286" s="142"/>
      <c r="T286" s="201"/>
      <c r="Z286" s="151"/>
      <c r="AB286" s="64"/>
      <c r="AC286" s="64"/>
      <c r="AD286" s="64"/>
      <c r="AE286" s="64"/>
      <c r="AF286" s="64"/>
      <c r="AG286" s="64"/>
      <c r="AH286" s="64"/>
      <c r="AI286" s="143"/>
      <c r="AJ286" s="134"/>
      <c r="AK286" s="194"/>
      <c r="AL286" s="90"/>
    </row>
    <row r="287" spans="1:38" ht="17.100000000000001" customHeight="1" x14ac:dyDescent="0.25">
      <c r="A287" s="197"/>
      <c r="G287" s="88"/>
      <c r="H287" s="182"/>
      <c r="L287" s="24"/>
      <c r="M287" s="24"/>
      <c r="N287" s="186"/>
      <c r="O287" s="190"/>
      <c r="P287" s="204"/>
      <c r="Q287" s="142"/>
      <c r="T287" s="201"/>
      <c r="Z287" s="151"/>
      <c r="AB287" s="64"/>
      <c r="AC287" s="64"/>
      <c r="AD287" s="64"/>
      <c r="AE287" s="64"/>
      <c r="AF287" s="64"/>
      <c r="AG287" s="64"/>
      <c r="AH287" s="64"/>
      <c r="AI287" s="143"/>
      <c r="AJ287" s="134"/>
      <c r="AK287" s="194"/>
      <c r="AL287" s="90"/>
    </row>
    <row r="288" spans="1:38" ht="17.100000000000001" customHeight="1" x14ac:dyDescent="0.25">
      <c r="A288" s="197"/>
      <c r="G288" s="88"/>
      <c r="H288" s="182"/>
      <c r="L288" s="24"/>
      <c r="M288" s="24"/>
      <c r="N288" s="186"/>
      <c r="O288" s="190"/>
      <c r="P288" s="204"/>
      <c r="Q288" s="142"/>
      <c r="T288" s="201"/>
      <c r="Z288" s="151"/>
      <c r="AB288" s="64"/>
      <c r="AC288" s="64"/>
      <c r="AD288" s="64"/>
      <c r="AE288" s="64"/>
      <c r="AF288" s="64"/>
      <c r="AG288" s="64"/>
      <c r="AH288" s="64"/>
      <c r="AI288" s="143"/>
      <c r="AJ288" s="134"/>
      <c r="AK288" s="194"/>
      <c r="AL288" s="90"/>
    </row>
    <row r="289" spans="1:38" ht="17.100000000000001" customHeight="1" x14ac:dyDescent="0.25">
      <c r="A289" s="197"/>
      <c r="G289" s="88"/>
      <c r="H289" s="182"/>
      <c r="L289" s="24"/>
      <c r="M289" s="24"/>
      <c r="N289" s="186"/>
      <c r="O289" s="190"/>
      <c r="P289" s="204"/>
      <c r="Q289" s="142"/>
      <c r="T289" s="201"/>
      <c r="Z289" s="151"/>
      <c r="AB289" s="64"/>
      <c r="AC289" s="64"/>
      <c r="AD289" s="64"/>
      <c r="AE289" s="64"/>
      <c r="AF289" s="64"/>
      <c r="AG289" s="64"/>
      <c r="AH289" s="64"/>
      <c r="AI289" s="143"/>
      <c r="AJ289" s="134"/>
      <c r="AK289" s="194"/>
      <c r="AL289" s="90"/>
    </row>
    <row r="290" spans="1:38" ht="17.100000000000001" customHeight="1" thickBot="1" x14ac:dyDescent="0.3">
      <c r="A290" s="197"/>
      <c r="G290" s="88"/>
      <c r="H290" s="182"/>
      <c r="L290" s="24"/>
      <c r="M290" s="24"/>
      <c r="N290" s="186"/>
      <c r="O290" s="190"/>
      <c r="P290" s="204"/>
      <c r="Q290" s="142"/>
      <c r="T290" s="201"/>
      <c r="Z290" s="151"/>
      <c r="AB290" s="64"/>
      <c r="AC290" s="64"/>
      <c r="AD290" s="64"/>
      <c r="AE290" s="64"/>
      <c r="AF290" s="64"/>
      <c r="AG290" s="64"/>
      <c r="AH290" s="64"/>
      <c r="AI290" s="143"/>
      <c r="AJ290" s="134"/>
      <c r="AK290" s="194"/>
      <c r="AL290" s="90"/>
    </row>
    <row r="291" spans="1:38" ht="17.100000000000001" customHeight="1" x14ac:dyDescent="0.25">
      <c r="A291" s="198"/>
      <c r="B291" s="153"/>
      <c r="C291" s="154"/>
      <c r="D291" s="154"/>
      <c r="E291" s="154"/>
      <c r="F291" s="154"/>
      <c r="G291" s="155"/>
      <c r="H291" s="183"/>
      <c r="I291" s="156"/>
      <c r="J291" s="157"/>
      <c r="K291" s="158"/>
      <c r="L291" s="158"/>
      <c r="M291" s="158"/>
      <c r="N291" s="187"/>
      <c r="O291" s="191"/>
      <c r="P291" s="205"/>
      <c r="Q291" s="159"/>
      <c r="R291" s="160"/>
      <c r="S291" s="158"/>
      <c r="T291" s="202"/>
      <c r="U291" s="161"/>
      <c r="V291" s="156"/>
      <c r="W291" s="162"/>
      <c r="X291" s="156"/>
      <c r="Y291" s="158"/>
      <c r="Z291" s="163"/>
      <c r="AA291" s="156"/>
      <c r="AB291" s="164"/>
      <c r="AC291" s="164"/>
      <c r="AD291" s="164"/>
      <c r="AE291" s="164"/>
      <c r="AF291" s="164"/>
      <c r="AG291" s="164"/>
      <c r="AH291" s="164"/>
      <c r="AI291" s="165"/>
      <c r="AJ291" s="134"/>
      <c r="AK291" s="195"/>
      <c r="AL291" s="170"/>
    </row>
    <row r="292" spans="1:38" ht="17.100000000000001" customHeight="1" x14ac:dyDescent="0.25">
      <c r="A292" s="197"/>
      <c r="G292" s="88"/>
      <c r="H292" s="182"/>
      <c r="L292" s="24"/>
      <c r="M292" s="24"/>
      <c r="N292" s="186"/>
      <c r="O292" s="190"/>
      <c r="P292" s="204"/>
      <c r="Q292" s="142"/>
      <c r="T292" s="201"/>
      <c r="Z292" s="151"/>
      <c r="AB292" s="64"/>
      <c r="AC292" s="64"/>
      <c r="AD292" s="64"/>
      <c r="AE292" s="64"/>
      <c r="AF292" s="64"/>
      <c r="AG292" s="64"/>
      <c r="AH292" s="64"/>
      <c r="AI292" s="143"/>
      <c r="AJ292" s="134"/>
      <c r="AK292" s="194"/>
      <c r="AL292" s="90"/>
    </row>
    <row r="293" spans="1:38" ht="17.100000000000001" customHeight="1" x14ac:dyDescent="0.25">
      <c r="A293" s="197"/>
      <c r="G293" s="88"/>
      <c r="H293" s="182"/>
      <c r="L293" s="24"/>
      <c r="M293" s="24"/>
      <c r="N293" s="186"/>
      <c r="O293" s="190"/>
      <c r="P293" s="204"/>
      <c r="Q293" s="142"/>
      <c r="T293" s="201"/>
      <c r="Z293" s="151"/>
      <c r="AB293" s="64"/>
      <c r="AC293" s="64"/>
      <c r="AD293" s="64"/>
      <c r="AE293" s="64"/>
      <c r="AF293" s="64"/>
      <c r="AG293" s="64"/>
      <c r="AH293" s="64"/>
      <c r="AI293" s="143"/>
      <c r="AJ293" s="134"/>
      <c r="AK293" s="194"/>
      <c r="AL293" s="90"/>
    </row>
    <row r="294" spans="1:38" ht="17.100000000000001" customHeight="1" x14ac:dyDescent="0.25">
      <c r="A294" s="197"/>
      <c r="G294" s="88"/>
      <c r="H294" s="182"/>
      <c r="L294" s="24"/>
      <c r="M294" s="24"/>
      <c r="N294" s="186"/>
      <c r="O294" s="190"/>
      <c r="P294" s="204"/>
      <c r="Q294" s="142"/>
      <c r="T294" s="201"/>
      <c r="Z294" s="151"/>
      <c r="AB294" s="64"/>
      <c r="AC294" s="64"/>
      <c r="AD294" s="64"/>
      <c r="AE294" s="64"/>
      <c r="AF294" s="64"/>
      <c r="AG294" s="64"/>
      <c r="AH294" s="64"/>
      <c r="AI294" s="143"/>
      <c r="AJ294" s="134"/>
      <c r="AK294" s="194"/>
      <c r="AL294" s="90"/>
    </row>
    <row r="295" spans="1:38" ht="17.100000000000001" customHeight="1" x14ac:dyDescent="0.25">
      <c r="A295" s="197"/>
      <c r="G295" s="88"/>
      <c r="H295" s="182"/>
      <c r="L295" s="24"/>
      <c r="M295" s="24"/>
      <c r="N295" s="186"/>
      <c r="O295" s="190"/>
      <c r="P295" s="204"/>
      <c r="Q295" s="142"/>
      <c r="T295" s="201"/>
      <c r="Z295" s="151"/>
      <c r="AB295" s="64"/>
      <c r="AC295" s="64"/>
      <c r="AD295" s="64"/>
      <c r="AE295" s="64"/>
      <c r="AF295" s="64"/>
      <c r="AG295" s="64"/>
      <c r="AH295" s="64"/>
      <c r="AI295" s="143"/>
      <c r="AJ295" s="134"/>
      <c r="AK295" s="194"/>
      <c r="AL295" s="90"/>
    </row>
    <row r="296" spans="1:38" ht="17.100000000000001" customHeight="1" x14ac:dyDescent="0.25">
      <c r="A296" s="197"/>
      <c r="G296" s="88"/>
      <c r="H296" s="182"/>
      <c r="L296" s="24"/>
      <c r="M296" s="24"/>
      <c r="N296" s="186"/>
      <c r="O296" s="190"/>
      <c r="P296" s="204"/>
      <c r="Q296" s="142"/>
      <c r="T296" s="201"/>
      <c r="Z296" s="151"/>
      <c r="AB296" s="64"/>
      <c r="AC296" s="64"/>
      <c r="AD296" s="64"/>
      <c r="AE296" s="64"/>
      <c r="AF296" s="64"/>
      <c r="AG296" s="64"/>
      <c r="AH296" s="64"/>
      <c r="AI296" s="143"/>
      <c r="AJ296" s="134"/>
      <c r="AK296" s="194"/>
      <c r="AL296" s="90"/>
    </row>
    <row r="297" spans="1:38" ht="17.100000000000001" customHeight="1" x14ac:dyDescent="0.25">
      <c r="A297" s="197"/>
      <c r="G297" s="88"/>
      <c r="H297" s="182"/>
      <c r="L297" s="24"/>
      <c r="M297" s="24"/>
      <c r="N297" s="186"/>
      <c r="O297" s="190"/>
      <c r="P297" s="204"/>
      <c r="Q297" s="142"/>
      <c r="T297" s="201"/>
      <c r="Z297" s="151"/>
      <c r="AB297" s="64"/>
      <c r="AC297" s="64"/>
      <c r="AD297" s="64"/>
      <c r="AE297" s="64"/>
      <c r="AF297" s="64"/>
      <c r="AG297" s="64"/>
      <c r="AH297" s="64"/>
      <c r="AI297" s="143"/>
      <c r="AJ297" s="134"/>
      <c r="AK297" s="194"/>
      <c r="AL297" s="90"/>
    </row>
    <row r="298" spans="1:38" ht="17.100000000000001" customHeight="1" x14ac:dyDescent="0.25">
      <c r="A298" s="197"/>
      <c r="G298" s="88"/>
      <c r="H298" s="182"/>
      <c r="L298" s="24"/>
      <c r="M298" s="24"/>
      <c r="N298" s="186"/>
      <c r="O298" s="190"/>
      <c r="P298" s="204"/>
      <c r="Q298" s="142"/>
      <c r="T298" s="201"/>
      <c r="Z298" s="151"/>
      <c r="AB298" s="64"/>
      <c r="AC298" s="64"/>
      <c r="AD298" s="64"/>
      <c r="AE298" s="64"/>
      <c r="AF298" s="64"/>
      <c r="AG298" s="64"/>
      <c r="AH298" s="64"/>
      <c r="AI298" s="143"/>
      <c r="AJ298" s="134"/>
      <c r="AK298" s="194"/>
      <c r="AL298" s="90"/>
    </row>
    <row r="299" spans="1:38" ht="17.100000000000001" customHeight="1" x14ac:dyDescent="0.25">
      <c r="A299" s="197"/>
      <c r="G299" s="88"/>
      <c r="H299" s="182"/>
      <c r="L299" s="24"/>
      <c r="M299" s="24"/>
      <c r="N299" s="186"/>
      <c r="O299" s="190"/>
      <c r="P299" s="204"/>
      <c r="Q299" s="142"/>
      <c r="T299" s="201"/>
      <c r="Z299" s="151"/>
      <c r="AB299" s="64"/>
      <c r="AC299" s="64"/>
      <c r="AD299" s="64"/>
      <c r="AE299" s="64"/>
      <c r="AF299" s="64"/>
      <c r="AG299" s="64"/>
      <c r="AH299" s="64"/>
      <c r="AI299" s="143"/>
      <c r="AJ299" s="134"/>
      <c r="AK299" s="194"/>
      <c r="AL299" s="90"/>
    </row>
    <row r="300" spans="1:38" ht="17.100000000000001" customHeight="1" x14ac:dyDescent="0.25">
      <c r="A300" s="197"/>
      <c r="G300" s="88"/>
      <c r="H300" s="182"/>
      <c r="L300" s="24"/>
      <c r="M300" s="24"/>
      <c r="N300" s="186"/>
      <c r="O300" s="190"/>
      <c r="P300" s="204"/>
      <c r="Q300" s="142"/>
      <c r="T300" s="201"/>
      <c r="Z300" s="151"/>
      <c r="AB300" s="64"/>
      <c r="AC300" s="64"/>
      <c r="AD300" s="64"/>
      <c r="AE300" s="64"/>
      <c r="AF300" s="64"/>
      <c r="AG300" s="64"/>
      <c r="AH300" s="64"/>
      <c r="AI300" s="143"/>
      <c r="AJ300" s="134"/>
      <c r="AK300" s="194"/>
      <c r="AL300" s="90"/>
    </row>
    <row r="301" spans="1:38" ht="17.100000000000001" customHeight="1" x14ac:dyDescent="0.25">
      <c r="A301" s="197"/>
      <c r="G301" s="88"/>
      <c r="H301" s="182"/>
      <c r="L301" s="24"/>
      <c r="M301" s="24"/>
      <c r="N301" s="186"/>
      <c r="O301" s="190"/>
      <c r="P301" s="204"/>
      <c r="Q301" s="142"/>
      <c r="T301" s="201"/>
      <c r="Z301" s="151"/>
      <c r="AB301" s="64"/>
      <c r="AC301" s="64"/>
      <c r="AD301" s="64"/>
      <c r="AE301" s="64"/>
      <c r="AF301" s="64"/>
      <c r="AG301" s="64"/>
      <c r="AH301" s="64"/>
      <c r="AI301" s="143"/>
      <c r="AJ301" s="134"/>
      <c r="AK301" s="194"/>
      <c r="AL301" s="90"/>
    </row>
    <row r="302" spans="1:38" ht="17.100000000000001" customHeight="1" x14ac:dyDescent="0.25">
      <c r="A302" s="197"/>
      <c r="G302" s="88"/>
      <c r="H302" s="182"/>
      <c r="L302" s="24"/>
      <c r="M302" s="24"/>
      <c r="N302" s="186"/>
      <c r="O302" s="190"/>
      <c r="P302" s="204"/>
      <c r="Q302" s="142"/>
      <c r="T302" s="201"/>
      <c r="Z302" s="151"/>
      <c r="AB302" s="64"/>
      <c r="AC302" s="64"/>
      <c r="AD302" s="64"/>
      <c r="AE302" s="64"/>
      <c r="AF302" s="64"/>
      <c r="AG302" s="64"/>
      <c r="AH302" s="64"/>
      <c r="AI302" s="143"/>
      <c r="AJ302" s="134"/>
      <c r="AK302" s="194"/>
      <c r="AL302" s="90"/>
    </row>
    <row r="303" spans="1:38" ht="17.100000000000001" customHeight="1" x14ac:dyDescent="0.25">
      <c r="A303" s="197"/>
      <c r="G303" s="88"/>
      <c r="H303" s="182"/>
      <c r="L303" s="24"/>
      <c r="M303" s="24"/>
      <c r="N303" s="186"/>
      <c r="O303" s="190"/>
      <c r="P303" s="204"/>
      <c r="Q303" s="142"/>
      <c r="T303" s="201"/>
      <c r="Z303" s="151"/>
      <c r="AB303" s="64"/>
      <c r="AC303" s="64"/>
      <c r="AD303" s="64"/>
      <c r="AE303" s="64"/>
      <c r="AF303" s="64"/>
      <c r="AG303" s="64"/>
      <c r="AH303" s="64"/>
      <c r="AI303" s="143"/>
      <c r="AJ303" s="134"/>
      <c r="AK303" s="194"/>
      <c r="AL303" s="90"/>
    </row>
    <row r="304" spans="1:38" ht="17.100000000000001" customHeight="1" x14ac:dyDescent="0.25">
      <c r="A304" s="197"/>
      <c r="G304" s="88"/>
      <c r="H304" s="182"/>
      <c r="L304" s="24"/>
      <c r="M304" s="24"/>
      <c r="N304" s="186"/>
      <c r="O304" s="190"/>
      <c r="P304" s="204"/>
      <c r="Q304" s="142"/>
      <c r="T304" s="201"/>
      <c r="Z304" s="151"/>
      <c r="AB304" s="64"/>
      <c r="AC304" s="64"/>
      <c r="AD304" s="64"/>
      <c r="AE304" s="64"/>
      <c r="AF304" s="64"/>
      <c r="AG304" s="64"/>
      <c r="AH304" s="64"/>
      <c r="AI304" s="143"/>
      <c r="AJ304" s="134"/>
      <c r="AK304" s="194"/>
      <c r="AL304" s="90"/>
    </row>
    <row r="305" spans="1:38" ht="17.100000000000001" customHeight="1" x14ac:dyDescent="0.25">
      <c r="A305" s="197"/>
      <c r="G305" s="88"/>
      <c r="H305" s="182"/>
      <c r="L305" s="24"/>
      <c r="M305" s="24"/>
      <c r="N305" s="186"/>
      <c r="O305" s="190"/>
      <c r="P305" s="204"/>
      <c r="Q305" s="142"/>
      <c r="T305" s="201"/>
      <c r="Z305" s="151"/>
      <c r="AB305" s="64"/>
      <c r="AC305" s="64"/>
      <c r="AD305" s="64"/>
      <c r="AE305" s="64"/>
      <c r="AF305" s="64"/>
      <c r="AG305" s="64"/>
      <c r="AH305" s="64"/>
      <c r="AI305" s="143"/>
      <c r="AJ305" s="134"/>
      <c r="AK305" s="194"/>
      <c r="AL305" s="90"/>
    </row>
    <row r="306" spans="1:38" ht="17.100000000000001" customHeight="1" x14ac:dyDescent="0.25">
      <c r="A306" s="197"/>
      <c r="G306" s="88"/>
      <c r="H306" s="182"/>
      <c r="L306" s="24"/>
      <c r="M306" s="24"/>
      <c r="N306" s="186"/>
      <c r="O306" s="190"/>
      <c r="P306" s="204"/>
      <c r="Q306" s="142"/>
      <c r="T306" s="201"/>
      <c r="Z306" s="151"/>
      <c r="AB306" s="64"/>
      <c r="AC306" s="64"/>
      <c r="AD306" s="64"/>
      <c r="AE306" s="64"/>
      <c r="AF306" s="64"/>
      <c r="AG306" s="64"/>
      <c r="AH306" s="64"/>
      <c r="AI306" s="143"/>
      <c r="AJ306" s="134"/>
      <c r="AK306" s="194"/>
      <c r="AL306" s="90"/>
    </row>
    <row r="307" spans="1:38" ht="17.100000000000001" customHeight="1" x14ac:dyDescent="0.25">
      <c r="A307" s="197"/>
      <c r="G307" s="88"/>
      <c r="H307" s="182"/>
      <c r="L307" s="24"/>
      <c r="M307" s="24"/>
      <c r="N307" s="186"/>
      <c r="O307" s="190"/>
      <c r="P307" s="204"/>
      <c r="Q307" s="142"/>
      <c r="T307" s="201"/>
      <c r="Z307" s="151"/>
      <c r="AB307" s="64"/>
      <c r="AC307" s="64"/>
      <c r="AD307" s="64"/>
      <c r="AE307" s="64"/>
      <c r="AF307" s="64"/>
      <c r="AG307" s="64"/>
      <c r="AH307" s="64"/>
      <c r="AI307" s="143"/>
      <c r="AJ307" s="134"/>
      <c r="AK307" s="194"/>
      <c r="AL307" s="90"/>
    </row>
    <row r="308" spans="1:38" ht="17.100000000000001" customHeight="1" x14ac:dyDescent="0.25">
      <c r="A308" s="197"/>
      <c r="G308" s="88"/>
      <c r="H308" s="182"/>
      <c r="L308" s="24"/>
      <c r="M308" s="24"/>
      <c r="N308" s="186"/>
      <c r="O308" s="190"/>
      <c r="P308" s="204"/>
      <c r="Q308" s="142"/>
      <c r="T308" s="201"/>
      <c r="Z308" s="151"/>
      <c r="AB308" s="64"/>
      <c r="AC308" s="64"/>
      <c r="AD308" s="64"/>
      <c r="AE308" s="64"/>
      <c r="AF308" s="64"/>
      <c r="AG308" s="64"/>
      <c r="AH308" s="64"/>
      <c r="AI308" s="143"/>
      <c r="AJ308" s="134"/>
      <c r="AK308" s="194"/>
      <c r="AL308" s="90"/>
    </row>
    <row r="309" spans="1:38" ht="17.100000000000001" customHeight="1" x14ac:dyDescent="0.25">
      <c r="A309" s="197"/>
      <c r="G309" s="88"/>
      <c r="H309" s="182"/>
      <c r="L309" s="24"/>
      <c r="M309" s="24"/>
      <c r="N309" s="186"/>
      <c r="O309" s="190"/>
      <c r="P309" s="204"/>
      <c r="Q309" s="142"/>
      <c r="T309" s="201"/>
      <c r="Z309" s="151"/>
      <c r="AB309" s="64"/>
      <c r="AC309" s="64"/>
      <c r="AD309" s="64"/>
      <c r="AE309" s="64"/>
      <c r="AF309" s="64"/>
      <c r="AG309" s="64"/>
      <c r="AH309" s="64"/>
      <c r="AI309" s="143"/>
      <c r="AJ309" s="134"/>
      <c r="AK309" s="194"/>
      <c r="AL309" s="90"/>
    </row>
    <row r="310" spans="1:38" ht="17.100000000000001" customHeight="1" x14ac:dyDescent="0.25">
      <c r="A310" s="197"/>
      <c r="G310" s="88"/>
      <c r="H310" s="182"/>
      <c r="L310" s="24"/>
      <c r="M310" s="24"/>
      <c r="N310" s="186"/>
      <c r="O310" s="190"/>
      <c r="P310" s="204"/>
      <c r="Q310" s="142"/>
      <c r="T310" s="201"/>
      <c r="Z310" s="151"/>
      <c r="AB310" s="64"/>
      <c r="AC310" s="64"/>
      <c r="AD310" s="64"/>
      <c r="AE310" s="64"/>
      <c r="AF310" s="64"/>
      <c r="AG310" s="64"/>
      <c r="AH310" s="64"/>
      <c r="AI310" s="143"/>
      <c r="AJ310" s="134"/>
      <c r="AK310" s="194"/>
      <c r="AL310" s="90"/>
    </row>
    <row r="311" spans="1:38" ht="17.100000000000001" customHeight="1" x14ac:dyDescent="0.25">
      <c r="A311" s="197"/>
      <c r="G311" s="88"/>
      <c r="H311" s="182"/>
      <c r="L311" s="24"/>
      <c r="M311" s="24"/>
      <c r="N311" s="186"/>
      <c r="O311" s="190"/>
      <c r="P311" s="204"/>
      <c r="Q311" s="142"/>
      <c r="T311" s="201"/>
      <c r="Z311" s="151"/>
      <c r="AB311" s="64"/>
      <c r="AC311" s="64"/>
      <c r="AD311" s="64"/>
      <c r="AE311" s="64"/>
      <c r="AF311" s="64"/>
      <c r="AG311" s="64"/>
      <c r="AH311" s="64"/>
      <c r="AI311" s="143"/>
      <c r="AJ311" s="134"/>
      <c r="AK311" s="194"/>
      <c r="AL311" s="90"/>
    </row>
    <row r="312" spans="1:38" ht="17.100000000000001" customHeight="1" x14ac:dyDescent="0.25">
      <c r="A312" s="197"/>
      <c r="G312" s="88"/>
      <c r="H312" s="182"/>
      <c r="L312" s="24"/>
      <c r="M312" s="24"/>
      <c r="N312" s="186"/>
      <c r="O312" s="190"/>
      <c r="P312" s="204"/>
      <c r="Q312" s="142"/>
      <c r="T312" s="201"/>
      <c r="Z312" s="151"/>
      <c r="AB312" s="64"/>
      <c r="AC312" s="64"/>
      <c r="AD312" s="64"/>
      <c r="AE312" s="64"/>
      <c r="AF312" s="64"/>
      <c r="AG312" s="64"/>
      <c r="AH312" s="64"/>
      <c r="AI312" s="143"/>
      <c r="AJ312" s="134"/>
      <c r="AK312" s="194"/>
      <c r="AL312" s="90"/>
    </row>
    <row r="313" spans="1:38" ht="17.100000000000001" customHeight="1" x14ac:dyDescent="0.25">
      <c r="A313" s="197"/>
      <c r="G313" s="88"/>
      <c r="H313" s="182"/>
      <c r="L313" s="24"/>
      <c r="M313" s="24"/>
      <c r="N313" s="186"/>
      <c r="O313" s="190"/>
      <c r="P313" s="204"/>
      <c r="Q313" s="142"/>
      <c r="T313" s="201"/>
      <c r="Z313" s="151"/>
      <c r="AB313" s="64"/>
      <c r="AC313" s="64"/>
      <c r="AD313" s="64"/>
      <c r="AE313" s="64"/>
      <c r="AF313" s="64"/>
      <c r="AG313" s="64"/>
      <c r="AH313" s="64"/>
      <c r="AI313" s="143"/>
      <c r="AJ313" s="134"/>
      <c r="AK313" s="194"/>
      <c r="AL313" s="90"/>
    </row>
    <row r="314" spans="1:38" ht="17.100000000000001" customHeight="1" x14ac:dyDescent="0.25">
      <c r="A314" s="197"/>
      <c r="G314" s="88"/>
      <c r="H314" s="182"/>
      <c r="L314" s="24"/>
      <c r="M314" s="24"/>
      <c r="N314" s="186"/>
      <c r="O314" s="190"/>
      <c r="P314" s="204"/>
      <c r="Q314" s="142"/>
      <c r="T314" s="201"/>
      <c r="Z314" s="151"/>
      <c r="AB314" s="64"/>
      <c r="AC314" s="64"/>
      <c r="AD314" s="64"/>
      <c r="AE314" s="64"/>
      <c r="AF314" s="64"/>
      <c r="AG314" s="64"/>
      <c r="AH314" s="64"/>
      <c r="AI314" s="143"/>
      <c r="AJ314" s="134"/>
      <c r="AK314" s="194"/>
      <c r="AL314" s="90"/>
    </row>
    <row r="315" spans="1:38" ht="17.100000000000001" customHeight="1" x14ac:dyDescent="0.25">
      <c r="A315" s="197"/>
      <c r="G315" s="88"/>
      <c r="H315" s="182"/>
      <c r="L315" s="24"/>
      <c r="M315" s="24"/>
      <c r="N315" s="186"/>
      <c r="O315" s="190"/>
      <c r="P315" s="204"/>
      <c r="Q315" s="142"/>
      <c r="T315" s="201"/>
      <c r="Z315" s="151"/>
      <c r="AB315" s="64"/>
      <c r="AC315" s="64"/>
      <c r="AD315" s="64"/>
      <c r="AE315" s="64"/>
      <c r="AF315" s="64"/>
      <c r="AG315" s="64"/>
      <c r="AH315" s="64"/>
      <c r="AI315" s="143"/>
      <c r="AJ315" s="134"/>
      <c r="AK315" s="194"/>
      <c r="AL315" s="90"/>
    </row>
    <row r="316" spans="1:38" ht="17.100000000000001" customHeight="1" x14ac:dyDescent="0.25">
      <c r="A316" s="197"/>
      <c r="G316" s="88"/>
      <c r="H316" s="182"/>
      <c r="L316" s="24"/>
      <c r="M316" s="24"/>
      <c r="N316" s="186"/>
      <c r="O316" s="190"/>
      <c r="P316" s="204"/>
      <c r="Q316" s="142"/>
      <c r="T316" s="201"/>
      <c r="Z316" s="151"/>
      <c r="AB316" s="64"/>
      <c r="AC316" s="64"/>
      <c r="AD316" s="64"/>
      <c r="AE316" s="64"/>
      <c r="AF316" s="64"/>
      <c r="AG316" s="64"/>
      <c r="AH316" s="64"/>
      <c r="AI316" s="143"/>
      <c r="AJ316" s="134"/>
      <c r="AK316" s="194"/>
      <c r="AL316" s="90"/>
    </row>
    <row r="317" spans="1:38" ht="17.100000000000001" customHeight="1" x14ac:dyDescent="0.25">
      <c r="A317" s="197"/>
      <c r="G317" s="88"/>
      <c r="H317" s="182"/>
      <c r="L317" s="24"/>
      <c r="M317" s="24"/>
      <c r="N317" s="186"/>
      <c r="O317" s="190"/>
      <c r="P317" s="204"/>
      <c r="Q317" s="142"/>
      <c r="T317" s="201"/>
      <c r="Z317" s="151"/>
      <c r="AB317" s="64"/>
      <c r="AC317" s="64"/>
      <c r="AD317" s="64"/>
      <c r="AE317" s="64"/>
      <c r="AF317" s="64"/>
      <c r="AG317" s="64"/>
      <c r="AH317" s="64"/>
      <c r="AI317" s="143"/>
      <c r="AJ317" s="134"/>
      <c r="AK317" s="194"/>
      <c r="AL317" s="90"/>
    </row>
    <row r="318" spans="1:38" ht="17.100000000000001" customHeight="1" x14ac:dyDescent="0.25">
      <c r="A318" s="197"/>
      <c r="G318" s="88"/>
      <c r="H318" s="182"/>
      <c r="L318" s="24"/>
      <c r="M318" s="24"/>
      <c r="N318" s="186"/>
      <c r="O318" s="190"/>
      <c r="P318" s="204"/>
      <c r="Q318" s="142"/>
      <c r="T318" s="201"/>
      <c r="Z318" s="151"/>
      <c r="AB318" s="64"/>
      <c r="AC318" s="64"/>
      <c r="AD318" s="64"/>
      <c r="AE318" s="64"/>
      <c r="AF318" s="64"/>
      <c r="AG318" s="64"/>
      <c r="AH318" s="64"/>
      <c r="AI318" s="143"/>
      <c r="AJ318" s="134"/>
      <c r="AK318" s="194"/>
      <c r="AL318" s="90"/>
    </row>
    <row r="319" spans="1:38" ht="17.100000000000001" customHeight="1" x14ac:dyDescent="0.25">
      <c r="A319" s="197"/>
      <c r="G319" s="88"/>
      <c r="H319" s="182"/>
      <c r="L319" s="24"/>
      <c r="M319" s="24"/>
      <c r="N319" s="186"/>
      <c r="O319" s="190"/>
      <c r="P319" s="204"/>
      <c r="Q319" s="142"/>
      <c r="T319" s="201"/>
      <c r="Z319" s="151"/>
      <c r="AB319" s="64"/>
      <c r="AC319" s="64"/>
      <c r="AD319" s="64"/>
      <c r="AE319" s="64"/>
      <c r="AF319" s="64"/>
      <c r="AG319" s="64"/>
      <c r="AH319" s="64"/>
      <c r="AI319" s="143"/>
      <c r="AJ319" s="134"/>
      <c r="AK319" s="194"/>
      <c r="AL319" s="90"/>
    </row>
    <row r="320" spans="1:38" ht="17.100000000000001" customHeight="1" x14ac:dyDescent="0.25">
      <c r="A320" s="197"/>
      <c r="G320" s="88"/>
      <c r="H320" s="182"/>
      <c r="L320" s="24"/>
      <c r="M320" s="24"/>
      <c r="N320" s="186"/>
      <c r="O320" s="190"/>
      <c r="P320" s="204"/>
      <c r="Q320" s="142"/>
      <c r="T320" s="201"/>
      <c r="Z320" s="151"/>
      <c r="AB320" s="64"/>
      <c r="AC320" s="64"/>
      <c r="AD320" s="64"/>
      <c r="AE320" s="64"/>
      <c r="AF320" s="64"/>
      <c r="AG320" s="64"/>
      <c r="AH320" s="64"/>
      <c r="AI320" s="143"/>
      <c r="AJ320" s="134"/>
      <c r="AK320" s="194"/>
      <c r="AL320" s="90"/>
    </row>
    <row r="321" spans="1:38" ht="17.100000000000001" customHeight="1" x14ac:dyDescent="0.25">
      <c r="A321" s="197"/>
      <c r="G321" s="88"/>
      <c r="H321" s="182"/>
      <c r="L321" s="24"/>
      <c r="M321" s="24"/>
      <c r="N321" s="186"/>
      <c r="O321" s="190"/>
      <c r="P321" s="204"/>
      <c r="Q321" s="142"/>
      <c r="T321" s="201"/>
      <c r="Z321" s="151"/>
      <c r="AB321" s="64"/>
      <c r="AC321" s="64"/>
      <c r="AD321" s="64"/>
      <c r="AE321" s="64"/>
      <c r="AF321" s="64"/>
      <c r="AG321" s="64"/>
      <c r="AH321" s="64"/>
      <c r="AI321" s="143"/>
      <c r="AJ321" s="134"/>
      <c r="AK321" s="194"/>
      <c r="AL321" s="90"/>
    </row>
    <row r="322" spans="1:38" ht="17.100000000000001" customHeight="1" x14ac:dyDescent="0.25">
      <c r="A322" s="197"/>
      <c r="G322" s="88"/>
      <c r="H322" s="182"/>
      <c r="L322" s="24"/>
      <c r="M322" s="24"/>
      <c r="N322" s="186"/>
      <c r="O322" s="190"/>
      <c r="P322" s="204"/>
      <c r="Q322" s="142"/>
      <c r="T322" s="201"/>
      <c r="Z322" s="151"/>
      <c r="AB322" s="64"/>
      <c r="AC322" s="64"/>
      <c r="AD322" s="64"/>
      <c r="AE322" s="64"/>
      <c r="AF322" s="64"/>
      <c r="AG322" s="64"/>
      <c r="AH322" s="64"/>
      <c r="AI322" s="143"/>
      <c r="AJ322" s="134"/>
      <c r="AK322" s="194"/>
      <c r="AL322" s="90"/>
    </row>
    <row r="323" spans="1:38" ht="17.100000000000001" customHeight="1" x14ac:dyDescent="0.25">
      <c r="A323" s="197"/>
      <c r="G323" s="88"/>
      <c r="H323" s="182"/>
      <c r="L323" s="24"/>
      <c r="M323" s="24"/>
      <c r="N323" s="186"/>
      <c r="O323" s="190"/>
      <c r="P323" s="204"/>
      <c r="Q323" s="142"/>
      <c r="T323" s="201"/>
      <c r="Z323" s="151"/>
      <c r="AB323" s="64"/>
      <c r="AC323" s="64"/>
      <c r="AD323" s="64"/>
      <c r="AE323" s="64"/>
      <c r="AF323" s="64"/>
      <c r="AG323" s="64"/>
      <c r="AH323" s="64"/>
      <c r="AI323" s="143"/>
      <c r="AJ323" s="134"/>
      <c r="AK323" s="194"/>
      <c r="AL323" s="90"/>
    </row>
    <row r="324" spans="1:38" ht="17.100000000000001" customHeight="1" x14ac:dyDescent="0.25">
      <c r="A324" s="197"/>
      <c r="G324" s="88"/>
      <c r="H324" s="182"/>
      <c r="L324" s="24"/>
      <c r="M324" s="24"/>
      <c r="N324" s="186"/>
      <c r="O324" s="190"/>
      <c r="P324" s="204"/>
      <c r="Q324" s="142"/>
      <c r="T324" s="201"/>
      <c r="Z324" s="151"/>
      <c r="AB324" s="64"/>
      <c r="AC324" s="64"/>
      <c r="AD324" s="64"/>
      <c r="AE324" s="64"/>
      <c r="AF324" s="64"/>
      <c r="AG324" s="64"/>
      <c r="AH324" s="64"/>
      <c r="AI324" s="143"/>
      <c r="AJ324" s="134"/>
      <c r="AK324" s="194"/>
      <c r="AL324" s="90"/>
    </row>
    <row r="325" spans="1:38" ht="17.100000000000001" customHeight="1" x14ac:dyDescent="0.25">
      <c r="A325" s="197"/>
      <c r="G325" s="88"/>
      <c r="H325" s="182"/>
      <c r="L325" s="24"/>
      <c r="M325" s="24"/>
      <c r="N325" s="186"/>
      <c r="O325" s="190"/>
      <c r="P325" s="204"/>
      <c r="Q325" s="142"/>
      <c r="T325" s="201"/>
      <c r="Z325" s="151"/>
      <c r="AB325" s="64"/>
      <c r="AC325" s="64"/>
      <c r="AD325" s="64"/>
      <c r="AE325" s="64"/>
      <c r="AF325" s="64"/>
      <c r="AG325" s="64"/>
      <c r="AH325" s="64"/>
      <c r="AI325" s="143"/>
      <c r="AJ325" s="134"/>
      <c r="AK325" s="194"/>
      <c r="AL325" s="90"/>
    </row>
    <row r="326" spans="1:38" ht="17.100000000000001" customHeight="1" x14ac:dyDescent="0.25">
      <c r="A326" s="197"/>
      <c r="G326" s="88"/>
      <c r="H326" s="182"/>
      <c r="L326" s="24"/>
      <c r="M326" s="24"/>
      <c r="N326" s="186"/>
      <c r="O326" s="190"/>
      <c r="P326" s="204"/>
      <c r="Q326" s="142"/>
      <c r="T326" s="201"/>
      <c r="Z326" s="151"/>
      <c r="AB326" s="64"/>
      <c r="AC326" s="64"/>
      <c r="AD326" s="64"/>
      <c r="AE326" s="64"/>
      <c r="AF326" s="64"/>
      <c r="AG326" s="64"/>
      <c r="AH326" s="64"/>
      <c r="AI326" s="143"/>
      <c r="AJ326" s="134"/>
      <c r="AK326" s="194"/>
      <c r="AL326" s="90"/>
    </row>
    <row r="327" spans="1:38" ht="17.100000000000001" customHeight="1" x14ac:dyDescent="0.25">
      <c r="A327" s="197"/>
      <c r="G327" s="88"/>
      <c r="H327" s="182"/>
      <c r="L327" s="24"/>
      <c r="M327" s="24"/>
      <c r="N327" s="186"/>
      <c r="O327" s="190"/>
      <c r="P327" s="204"/>
      <c r="Q327" s="142"/>
      <c r="T327" s="201"/>
      <c r="Z327" s="151"/>
      <c r="AB327" s="64"/>
      <c r="AC327" s="64"/>
      <c r="AD327" s="64"/>
      <c r="AE327" s="64"/>
      <c r="AF327" s="64"/>
      <c r="AG327" s="64"/>
      <c r="AH327" s="64"/>
      <c r="AI327" s="143"/>
      <c r="AJ327" s="134"/>
      <c r="AK327" s="194"/>
      <c r="AL327" s="90"/>
    </row>
    <row r="328" spans="1:38" ht="17.100000000000001" customHeight="1" x14ac:dyDescent="0.25">
      <c r="A328" s="197"/>
      <c r="G328" s="88"/>
      <c r="H328" s="182"/>
      <c r="L328" s="24"/>
      <c r="M328" s="24"/>
      <c r="N328" s="186"/>
      <c r="O328" s="190"/>
      <c r="P328" s="204"/>
      <c r="Q328" s="142"/>
      <c r="T328" s="201"/>
      <c r="Z328" s="151"/>
      <c r="AB328" s="64"/>
      <c r="AC328" s="64"/>
      <c r="AD328" s="64"/>
      <c r="AE328" s="64"/>
      <c r="AF328" s="64"/>
      <c r="AG328" s="64"/>
      <c r="AH328" s="64"/>
      <c r="AI328" s="143"/>
      <c r="AJ328" s="134"/>
      <c r="AK328" s="194"/>
      <c r="AL328" s="90"/>
    </row>
    <row r="329" spans="1:38" ht="17.100000000000001" customHeight="1" x14ac:dyDescent="0.25">
      <c r="A329" s="197"/>
      <c r="G329" s="88"/>
      <c r="H329" s="182"/>
      <c r="L329" s="24"/>
      <c r="M329" s="24"/>
      <c r="N329" s="186"/>
      <c r="O329" s="190"/>
      <c r="P329" s="204"/>
      <c r="Q329" s="142"/>
      <c r="T329" s="201"/>
      <c r="Z329" s="151"/>
      <c r="AB329" s="64"/>
      <c r="AC329" s="64"/>
      <c r="AD329" s="64"/>
      <c r="AE329" s="64"/>
      <c r="AF329" s="64"/>
      <c r="AG329" s="64"/>
      <c r="AH329" s="64"/>
      <c r="AI329" s="143"/>
      <c r="AJ329" s="134"/>
      <c r="AK329" s="194"/>
      <c r="AL329" s="90"/>
    </row>
    <row r="330" spans="1:38" ht="17.100000000000001" customHeight="1" x14ac:dyDescent="0.25">
      <c r="A330" s="197"/>
      <c r="G330" s="88"/>
      <c r="H330" s="182"/>
      <c r="L330" s="24"/>
      <c r="M330" s="24"/>
      <c r="N330" s="186"/>
      <c r="O330" s="190"/>
      <c r="P330" s="204"/>
      <c r="Q330" s="142"/>
      <c r="T330" s="201"/>
      <c r="Z330" s="151"/>
      <c r="AB330" s="64"/>
      <c r="AC330" s="64"/>
      <c r="AD330" s="64"/>
      <c r="AE330" s="64"/>
      <c r="AF330" s="64"/>
      <c r="AG330" s="64"/>
      <c r="AH330" s="64"/>
      <c r="AI330" s="143"/>
      <c r="AJ330" s="134"/>
      <c r="AK330" s="194"/>
      <c r="AL330" s="90"/>
    </row>
    <row r="331" spans="1:38" ht="17.100000000000001" customHeight="1" x14ac:dyDescent="0.25">
      <c r="A331" s="197"/>
      <c r="G331" s="88"/>
      <c r="H331" s="182"/>
      <c r="L331" s="24"/>
      <c r="M331" s="24"/>
      <c r="N331" s="186"/>
      <c r="O331" s="190"/>
      <c r="P331" s="204"/>
      <c r="Q331" s="142"/>
      <c r="T331" s="201"/>
      <c r="Z331" s="151"/>
      <c r="AB331" s="64"/>
      <c r="AC331" s="64"/>
      <c r="AD331" s="64"/>
      <c r="AE331" s="64"/>
      <c r="AF331" s="64"/>
      <c r="AG331" s="64"/>
      <c r="AH331" s="64"/>
      <c r="AI331" s="143"/>
      <c r="AJ331" s="134"/>
      <c r="AK331" s="194"/>
      <c r="AL331" s="90"/>
    </row>
    <row r="332" spans="1:38" ht="17.100000000000001" customHeight="1" thickBot="1" x14ac:dyDescent="0.3">
      <c r="A332" s="197"/>
      <c r="G332" s="88"/>
      <c r="H332" s="182"/>
      <c r="L332" s="24"/>
      <c r="M332" s="24"/>
      <c r="N332" s="186"/>
      <c r="O332" s="190"/>
      <c r="P332" s="204"/>
      <c r="Q332" s="142"/>
      <c r="T332" s="201"/>
      <c r="Z332" s="151"/>
      <c r="AB332" s="64"/>
      <c r="AC332" s="64"/>
      <c r="AD332" s="64"/>
      <c r="AE332" s="64"/>
      <c r="AF332" s="64"/>
      <c r="AG332" s="64"/>
      <c r="AH332" s="64"/>
      <c r="AI332" s="143"/>
      <c r="AJ332" s="134"/>
      <c r="AK332" s="194"/>
      <c r="AL332" s="90"/>
    </row>
    <row r="333" spans="1:38" ht="17.100000000000001" customHeight="1" x14ac:dyDescent="0.25">
      <c r="A333" s="198"/>
      <c r="B333" s="153"/>
      <c r="C333" s="154"/>
      <c r="D333" s="154"/>
      <c r="E333" s="154"/>
      <c r="F333" s="154"/>
      <c r="G333" s="155"/>
      <c r="H333" s="183"/>
      <c r="I333" s="156"/>
      <c r="J333" s="157"/>
      <c r="K333" s="158"/>
      <c r="L333" s="158"/>
      <c r="M333" s="158"/>
      <c r="N333" s="187"/>
      <c r="O333" s="191"/>
      <c r="P333" s="205"/>
      <c r="Q333" s="159"/>
      <c r="R333" s="160"/>
      <c r="S333" s="158"/>
      <c r="T333" s="202"/>
      <c r="U333" s="161"/>
      <c r="V333" s="156"/>
      <c r="W333" s="162"/>
      <c r="X333" s="156"/>
      <c r="Y333" s="158"/>
      <c r="Z333" s="163"/>
      <c r="AA333" s="156"/>
      <c r="AB333" s="164"/>
      <c r="AC333" s="164"/>
      <c r="AD333" s="164"/>
      <c r="AE333" s="164"/>
      <c r="AF333" s="164"/>
      <c r="AG333" s="88"/>
      <c r="AH333" s="88"/>
      <c r="AI333" s="88"/>
      <c r="AJ333" s="134"/>
      <c r="AK333" s="195"/>
      <c r="AL333" s="170"/>
    </row>
    <row r="334" spans="1:38" ht="17.100000000000001" customHeight="1" x14ac:dyDescent="0.25">
      <c r="A334" s="197"/>
      <c r="G334" s="88"/>
      <c r="H334" s="182"/>
      <c r="L334" s="24"/>
      <c r="M334" s="24"/>
      <c r="N334" s="186"/>
      <c r="O334" s="190"/>
      <c r="P334" s="204"/>
      <c r="Q334" s="142"/>
      <c r="T334" s="201"/>
      <c r="Z334" s="151"/>
      <c r="AB334" s="64"/>
      <c r="AC334" s="64"/>
      <c r="AD334" s="64"/>
      <c r="AE334" s="64"/>
      <c r="AF334" s="64"/>
      <c r="AG334" s="64"/>
      <c r="AH334" s="64"/>
      <c r="AI334" s="143"/>
      <c r="AJ334" s="134"/>
      <c r="AK334" s="194"/>
      <c r="AL334" s="90"/>
    </row>
    <row r="335" spans="1:38" ht="17.100000000000001" customHeight="1" x14ac:dyDescent="0.25">
      <c r="A335" s="197"/>
      <c r="G335" s="88"/>
      <c r="H335" s="182"/>
      <c r="L335" s="24"/>
      <c r="M335" s="24"/>
      <c r="N335" s="186"/>
      <c r="O335" s="190"/>
      <c r="P335" s="204"/>
      <c r="Q335" s="142"/>
      <c r="T335" s="201"/>
      <c r="Z335" s="151"/>
      <c r="AB335" s="64"/>
      <c r="AC335" s="64"/>
      <c r="AD335" s="64"/>
      <c r="AE335" s="64"/>
      <c r="AF335" s="64"/>
      <c r="AG335" s="64"/>
      <c r="AH335" s="64"/>
      <c r="AI335" s="143"/>
      <c r="AJ335" s="134"/>
      <c r="AK335" s="194"/>
      <c r="AL335" s="90"/>
    </row>
    <row r="336" spans="1:38" ht="17.100000000000001" customHeight="1" x14ac:dyDescent="0.25">
      <c r="A336" s="197"/>
      <c r="G336" s="88"/>
      <c r="H336" s="182"/>
      <c r="L336" s="24"/>
      <c r="M336" s="24"/>
      <c r="N336" s="186"/>
      <c r="O336" s="190"/>
      <c r="P336" s="204"/>
      <c r="Q336" s="142"/>
      <c r="T336" s="201"/>
      <c r="Z336" s="151"/>
      <c r="AB336" s="64"/>
      <c r="AC336" s="64"/>
      <c r="AD336" s="64"/>
      <c r="AE336" s="64"/>
      <c r="AF336" s="64"/>
      <c r="AG336" s="64"/>
      <c r="AH336" s="64"/>
      <c r="AI336" s="143"/>
      <c r="AJ336" s="134"/>
      <c r="AK336" s="194"/>
      <c r="AL336" s="90"/>
    </row>
    <row r="337" spans="1:38" ht="17.100000000000001" customHeight="1" x14ac:dyDescent="0.25">
      <c r="A337" s="197"/>
      <c r="G337" s="88"/>
      <c r="H337" s="182"/>
      <c r="L337" s="24"/>
      <c r="M337" s="24"/>
      <c r="N337" s="186"/>
      <c r="O337" s="190"/>
      <c r="P337" s="204"/>
      <c r="Q337" s="142"/>
      <c r="T337" s="201"/>
      <c r="Z337" s="151"/>
      <c r="AB337" s="64"/>
      <c r="AC337" s="64"/>
      <c r="AD337" s="64"/>
      <c r="AE337" s="64"/>
      <c r="AF337" s="64"/>
      <c r="AG337" s="64"/>
      <c r="AH337" s="64"/>
      <c r="AI337" s="143"/>
      <c r="AJ337" s="134"/>
      <c r="AK337" s="194"/>
      <c r="AL337" s="90"/>
    </row>
    <row r="338" spans="1:38" ht="17.100000000000001" customHeight="1" x14ac:dyDescent="0.25">
      <c r="A338" s="197"/>
      <c r="G338" s="88"/>
      <c r="H338" s="182"/>
      <c r="L338" s="24"/>
      <c r="M338" s="24"/>
      <c r="N338" s="186"/>
      <c r="O338" s="190"/>
      <c r="P338" s="204"/>
      <c r="Q338" s="142"/>
      <c r="T338" s="201"/>
      <c r="Z338" s="151"/>
      <c r="AB338" s="64"/>
      <c r="AC338" s="64"/>
      <c r="AD338" s="64"/>
      <c r="AE338" s="64"/>
      <c r="AF338" s="64"/>
      <c r="AG338" s="64"/>
      <c r="AH338" s="64"/>
      <c r="AI338" s="143"/>
      <c r="AJ338" s="134"/>
      <c r="AK338" s="194"/>
      <c r="AL338" s="90"/>
    </row>
    <row r="339" spans="1:38" ht="17.100000000000001" customHeight="1" x14ac:dyDescent="0.25">
      <c r="A339" s="197"/>
      <c r="G339" s="88"/>
      <c r="H339" s="182"/>
      <c r="L339" s="24"/>
      <c r="M339" s="24"/>
      <c r="N339" s="186"/>
      <c r="O339" s="190"/>
      <c r="P339" s="204"/>
      <c r="Q339" s="142"/>
      <c r="T339" s="201"/>
      <c r="Z339" s="151"/>
      <c r="AB339" s="64"/>
      <c r="AC339" s="64"/>
      <c r="AD339" s="64"/>
      <c r="AE339" s="64"/>
      <c r="AF339" s="64"/>
      <c r="AG339" s="64"/>
      <c r="AH339" s="64"/>
      <c r="AI339" s="143"/>
      <c r="AJ339" s="134"/>
      <c r="AK339" s="194"/>
      <c r="AL339" s="90"/>
    </row>
    <row r="340" spans="1:38" ht="17.100000000000001" customHeight="1" x14ac:dyDescent="0.25">
      <c r="A340" s="197"/>
      <c r="G340" s="88"/>
      <c r="H340" s="182"/>
      <c r="L340" s="24"/>
      <c r="M340" s="24"/>
      <c r="N340" s="186"/>
      <c r="O340" s="190"/>
      <c r="P340" s="204"/>
      <c r="Q340" s="142"/>
      <c r="T340" s="201"/>
      <c r="Z340" s="151"/>
      <c r="AB340" s="64"/>
      <c r="AC340" s="64"/>
      <c r="AD340" s="64"/>
      <c r="AE340" s="64"/>
      <c r="AF340" s="64"/>
      <c r="AG340" s="64"/>
      <c r="AH340" s="64"/>
      <c r="AI340" s="143"/>
      <c r="AJ340" s="134"/>
      <c r="AK340" s="194"/>
      <c r="AL340" s="90"/>
    </row>
    <row r="341" spans="1:38" ht="17.100000000000001" customHeight="1" x14ac:dyDescent="0.25">
      <c r="A341" s="197"/>
      <c r="G341" s="88"/>
      <c r="H341" s="182"/>
      <c r="L341" s="24"/>
      <c r="M341" s="24"/>
      <c r="N341" s="186"/>
      <c r="O341" s="190"/>
      <c r="P341" s="204"/>
      <c r="Q341" s="142"/>
      <c r="T341" s="201"/>
      <c r="Z341" s="151"/>
      <c r="AB341" s="64"/>
      <c r="AC341" s="64"/>
      <c r="AD341" s="64"/>
      <c r="AE341" s="64"/>
      <c r="AF341" s="64"/>
      <c r="AG341" s="64"/>
      <c r="AH341" s="64"/>
      <c r="AI341" s="143"/>
      <c r="AJ341" s="134"/>
      <c r="AK341" s="194"/>
      <c r="AL341" s="90"/>
    </row>
    <row r="342" spans="1:38" ht="17.100000000000001" customHeight="1" x14ac:dyDescent="0.25">
      <c r="A342" s="197"/>
      <c r="G342" s="88"/>
      <c r="H342" s="182"/>
      <c r="L342" s="24"/>
      <c r="M342" s="24"/>
      <c r="N342" s="186"/>
      <c r="O342" s="190"/>
      <c r="P342" s="204"/>
      <c r="Q342" s="142"/>
      <c r="T342" s="201"/>
      <c r="Z342" s="151"/>
      <c r="AB342" s="64"/>
      <c r="AC342" s="64"/>
      <c r="AD342" s="64"/>
      <c r="AE342" s="64"/>
      <c r="AF342" s="64"/>
      <c r="AG342" s="64"/>
      <c r="AH342" s="64"/>
      <c r="AI342" s="143"/>
      <c r="AJ342" s="134"/>
      <c r="AK342" s="194"/>
      <c r="AL342" s="90"/>
    </row>
    <row r="343" spans="1:38" ht="17.100000000000001" customHeight="1" x14ac:dyDescent="0.25">
      <c r="A343" s="197"/>
      <c r="G343" s="88"/>
      <c r="H343" s="182"/>
      <c r="L343" s="24"/>
      <c r="M343" s="24"/>
      <c r="N343" s="186"/>
      <c r="O343" s="190"/>
      <c r="P343" s="204"/>
      <c r="Q343" s="142"/>
      <c r="T343" s="201"/>
      <c r="Z343" s="151"/>
      <c r="AB343" s="64"/>
      <c r="AC343" s="64"/>
      <c r="AD343" s="64"/>
      <c r="AE343" s="64"/>
      <c r="AF343" s="64"/>
      <c r="AG343" s="64"/>
      <c r="AH343" s="64"/>
      <c r="AI343" s="143"/>
      <c r="AJ343" s="134"/>
      <c r="AK343" s="194"/>
      <c r="AL343" s="90"/>
    </row>
    <row r="344" spans="1:38" ht="17.100000000000001" customHeight="1" x14ac:dyDescent="0.25">
      <c r="A344" s="197"/>
      <c r="G344" s="88"/>
      <c r="H344" s="182"/>
      <c r="L344" s="24"/>
      <c r="M344" s="24"/>
      <c r="N344" s="186"/>
      <c r="O344" s="190"/>
      <c r="P344" s="204"/>
      <c r="Q344" s="142"/>
      <c r="T344" s="201"/>
      <c r="Z344" s="151"/>
      <c r="AB344" s="64"/>
      <c r="AC344" s="64"/>
      <c r="AD344" s="64"/>
      <c r="AE344" s="64"/>
      <c r="AF344" s="64"/>
      <c r="AG344" s="64"/>
      <c r="AH344" s="64"/>
      <c r="AI344" s="143"/>
      <c r="AJ344" s="134"/>
      <c r="AK344" s="194"/>
      <c r="AL344" s="90"/>
    </row>
    <row r="345" spans="1:38" ht="17.100000000000001" customHeight="1" x14ac:dyDescent="0.25">
      <c r="A345" s="197"/>
      <c r="G345" s="88"/>
      <c r="H345" s="182"/>
      <c r="L345" s="24"/>
      <c r="M345" s="24"/>
      <c r="N345" s="186"/>
      <c r="O345" s="190"/>
      <c r="P345" s="204"/>
      <c r="Q345" s="142"/>
      <c r="T345" s="201"/>
      <c r="Z345" s="151"/>
      <c r="AB345" s="64"/>
      <c r="AC345" s="64"/>
      <c r="AD345" s="64"/>
      <c r="AE345" s="64"/>
      <c r="AF345" s="64"/>
      <c r="AG345" s="64"/>
      <c r="AH345" s="64"/>
      <c r="AI345" s="143"/>
      <c r="AJ345" s="134"/>
      <c r="AK345" s="194"/>
      <c r="AL345" s="90"/>
    </row>
    <row r="346" spans="1:38" ht="17.100000000000001" customHeight="1" x14ac:dyDescent="0.25">
      <c r="A346" s="197"/>
      <c r="G346" s="88"/>
      <c r="H346" s="182"/>
      <c r="L346" s="24"/>
      <c r="M346" s="24"/>
      <c r="N346" s="186"/>
      <c r="O346" s="190"/>
      <c r="P346" s="204"/>
      <c r="Q346" s="142"/>
      <c r="T346" s="201"/>
      <c r="Z346" s="151"/>
      <c r="AB346" s="64"/>
      <c r="AC346" s="64"/>
      <c r="AD346" s="64"/>
      <c r="AE346" s="64"/>
      <c r="AF346" s="64"/>
      <c r="AG346" s="64"/>
      <c r="AH346" s="64"/>
      <c r="AI346" s="143"/>
      <c r="AJ346" s="134"/>
      <c r="AK346" s="194"/>
      <c r="AL346" s="90"/>
    </row>
    <row r="347" spans="1:38" ht="17.100000000000001" customHeight="1" x14ac:dyDescent="0.25">
      <c r="A347" s="197"/>
      <c r="G347" s="88"/>
      <c r="H347" s="182"/>
      <c r="L347" s="24"/>
      <c r="M347" s="24"/>
      <c r="N347" s="186"/>
      <c r="O347" s="190"/>
      <c r="P347" s="204"/>
      <c r="Q347" s="142"/>
      <c r="T347" s="201"/>
      <c r="Z347" s="151"/>
      <c r="AB347" s="64"/>
      <c r="AC347" s="64"/>
      <c r="AD347" s="64"/>
      <c r="AE347" s="64"/>
      <c r="AF347" s="64"/>
      <c r="AG347" s="64"/>
      <c r="AH347" s="64"/>
      <c r="AI347" s="143"/>
      <c r="AJ347" s="134"/>
      <c r="AK347" s="194"/>
      <c r="AL347" s="90"/>
    </row>
    <row r="348" spans="1:38" ht="17.100000000000001" customHeight="1" x14ac:dyDescent="0.25">
      <c r="A348" s="197"/>
      <c r="G348" s="88"/>
      <c r="H348" s="182"/>
      <c r="L348" s="24"/>
      <c r="M348" s="24"/>
      <c r="N348" s="186"/>
      <c r="O348" s="190"/>
      <c r="P348" s="204"/>
      <c r="Q348" s="142"/>
      <c r="T348" s="201"/>
      <c r="Z348" s="151"/>
      <c r="AB348" s="64"/>
      <c r="AC348" s="64"/>
      <c r="AD348" s="64"/>
      <c r="AE348" s="64"/>
      <c r="AF348" s="64"/>
      <c r="AG348" s="64"/>
      <c r="AH348" s="64"/>
      <c r="AI348" s="143"/>
      <c r="AJ348" s="134"/>
      <c r="AK348" s="194"/>
      <c r="AL348" s="90"/>
    </row>
    <row r="349" spans="1:38" ht="17.100000000000001" customHeight="1" x14ac:dyDescent="0.25">
      <c r="A349" s="197"/>
      <c r="G349" s="88"/>
      <c r="H349" s="182"/>
      <c r="L349" s="24"/>
      <c r="M349" s="24"/>
      <c r="N349" s="186"/>
      <c r="O349" s="190"/>
      <c r="P349" s="204"/>
      <c r="Q349" s="142"/>
      <c r="T349" s="201"/>
      <c r="Z349" s="151"/>
      <c r="AB349" s="64"/>
      <c r="AC349" s="64"/>
      <c r="AD349" s="64"/>
      <c r="AE349" s="64"/>
      <c r="AF349" s="64"/>
      <c r="AG349" s="64"/>
      <c r="AH349" s="64"/>
      <c r="AI349" s="143"/>
      <c r="AJ349" s="134"/>
      <c r="AK349" s="194"/>
      <c r="AL349" s="90"/>
    </row>
    <row r="350" spans="1:38" ht="17.100000000000001" customHeight="1" x14ac:dyDescent="0.25">
      <c r="A350" s="197"/>
      <c r="G350" s="88"/>
      <c r="H350" s="182"/>
      <c r="L350" s="24"/>
      <c r="M350" s="24"/>
      <c r="N350" s="186"/>
      <c r="O350" s="190"/>
      <c r="P350" s="204"/>
      <c r="Q350" s="142"/>
      <c r="T350" s="201"/>
      <c r="Z350" s="151"/>
      <c r="AB350" s="64"/>
      <c r="AC350" s="64"/>
      <c r="AD350" s="64"/>
      <c r="AE350" s="64"/>
      <c r="AF350" s="64"/>
      <c r="AG350" s="64"/>
      <c r="AH350" s="64"/>
      <c r="AI350" s="143"/>
      <c r="AJ350" s="134"/>
      <c r="AK350" s="194"/>
      <c r="AL350" s="90"/>
    </row>
    <row r="351" spans="1:38" ht="17.100000000000001" customHeight="1" x14ac:dyDescent="0.25">
      <c r="A351" s="197"/>
      <c r="G351" s="88"/>
      <c r="H351" s="182"/>
      <c r="L351" s="24"/>
      <c r="M351" s="24"/>
      <c r="N351" s="186"/>
      <c r="O351" s="190"/>
      <c r="P351" s="204"/>
      <c r="Q351" s="142"/>
      <c r="T351" s="201"/>
      <c r="Z351" s="151"/>
      <c r="AB351" s="64"/>
      <c r="AC351" s="64"/>
      <c r="AD351" s="64"/>
      <c r="AE351" s="64"/>
      <c r="AF351" s="64"/>
      <c r="AG351" s="64"/>
      <c r="AH351" s="64"/>
      <c r="AI351" s="143"/>
      <c r="AJ351" s="134"/>
      <c r="AK351" s="194"/>
      <c r="AL351" s="90"/>
    </row>
    <row r="352" spans="1:38" ht="17.100000000000001" customHeight="1" x14ac:dyDescent="0.25">
      <c r="A352" s="197"/>
      <c r="G352" s="88"/>
      <c r="H352" s="182"/>
      <c r="L352" s="24"/>
      <c r="M352" s="24"/>
      <c r="N352" s="186"/>
      <c r="O352" s="190"/>
      <c r="P352" s="204"/>
      <c r="Q352" s="142"/>
      <c r="T352" s="201"/>
      <c r="Z352" s="151"/>
      <c r="AB352" s="64"/>
      <c r="AC352" s="64"/>
      <c r="AD352" s="64"/>
      <c r="AE352" s="64"/>
      <c r="AF352" s="64"/>
      <c r="AG352" s="64"/>
      <c r="AH352" s="64"/>
      <c r="AI352" s="143"/>
      <c r="AJ352" s="134"/>
      <c r="AK352" s="194"/>
      <c r="AL352" s="90"/>
    </row>
    <row r="353" spans="1:38" ht="17.100000000000001" customHeight="1" x14ac:dyDescent="0.25">
      <c r="A353" s="197"/>
      <c r="G353" s="88"/>
      <c r="H353" s="182"/>
      <c r="L353" s="24"/>
      <c r="M353" s="24"/>
      <c r="N353" s="186"/>
      <c r="O353" s="190"/>
      <c r="P353" s="204"/>
      <c r="Q353" s="142"/>
      <c r="T353" s="201"/>
      <c r="Z353" s="151"/>
      <c r="AB353" s="64"/>
      <c r="AC353" s="64"/>
      <c r="AD353" s="64"/>
      <c r="AE353" s="64"/>
      <c r="AF353" s="64"/>
      <c r="AG353" s="64"/>
      <c r="AH353" s="64"/>
      <c r="AI353" s="143"/>
      <c r="AJ353" s="134"/>
      <c r="AK353" s="194"/>
      <c r="AL353" s="90"/>
    </row>
    <row r="354" spans="1:38" ht="17.100000000000001" customHeight="1" x14ac:dyDescent="0.25">
      <c r="A354" s="197"/>
      <c r="G354" s="88"/>
      <c r="H354" s="182"/>
      <c r="L354" s="24"/>
      <c r="M354" s="24"/>
      <c r="N354" s="186"/>
      <c r="O354" s="190"/>
      <c r="P354" s="204"/>
      <c r="Q354" s="142"/>
      <c r="T354" s="201"/>
      <c r="Z354" s="151"/>
      <c r="AB354" s="64"/>
      <c r="AC354" s="64"/>
      <c r="AD354" s="64"/>
      <c r="AE354" s="64"/>
      <c r="AF354" s="64"/>
      <c r="AG354" s="64"/>
      <c r="AH354" s="64"/>
      <c r="AI354" s="143"/>
      <c r="AJ354" s="134"/>
      <c r="AK354" s="194"/>
      <c r="AL354" s="90"/>
    </row>
    <row r="355" spans="1:38" ht="17.100000000000001" customHeight="1" x14ac:dyDescent="0.25">
      <c r="A355" s="197"/>
      <c r="G355" s="88"/>
      <c r="H355" s="182"/>
      <c r="L355" s="24"/>
      <c r="M355" s="24"/>
      <c r="N355" s="186"/>
      <c r="O355" s="190"/>
      <c r="P355" s="204"/>
      <c r="Q355" s="142"/>
      <c r="T355" s="201"/>
      <c r="Z355" s="151"/>
      <c r="AB355" s="64"/>
      <c r="AC355" s="64"/>
      <c r="AD355" s="64"/>
      <c r="AE355" s="64"/>
      <c r="AF355" s="64"/>
      <c r="AG355" s="64"/>
      <c r="AH355" s="64"/>
      <c r="AI355" s="143"/>
      <c r="AJ355" s="134"/>
      <c r="AK355" s="194"/>
      <c r="AL355" s="90"/>
    </row>
    <row r="356" spans="1:38" ht="17.100000000000001" customHeight="1" x14ac:dyDescent="0.25">
      <c r="A356" s="197"/>
      <c r="G356" s="88"/>
      <c r="H356" s="182"/>
      <c r="L356" s="24"/>
      <c r="M356" s="24"/>
      <c r="N356" s="186"/>
      <c r="O356" s="190"/>
      <c r="P356" s="204"/>
      <c r="Q356" s="142"/>
      <c r="T356" s="201"/>
      <c r="Z356" s="151"/>
      <c r="AB356" s="64"/>
      <c r="AC356" s="64"/>
      <c r="AD356" s="64"/>
      <c r="AE356" s="64"/>
      <c r="AF356" s="64"/>
      <c r="AG356" s="64"/>
      <c r="AH356" s="64"/>
      <c r="AI356" s="143"/>
      <c r="AJ356" s="134"/>
      <c r="AK356" s="194"/>
      <c r="AL356" s="90"/>
    </row>
    <row r="357" spans="1:38" ht="17.100000000000001" customHeight="1" x14ac:dyDescent="0.25">
      <c r="A357" s="197"/>
      <c r="G357" s="88"/>
      <c r="H357" s="182"/>
      <c r="L357" s="24"/>
      <c r="M357" s="24"/>
      <c r="N357" s="186"/>
      <c r="O357" s="190"/>
      <c r="P357" s="204"/>
      <c r="Q357" s="142"/>
      <c r="T357" s="201"/>
      <c r="Z357" s="151"/>
      <c r="AB357" s="64"/>
      <c r="AC357" s="64"/>
      <c r="AD357" s="64"/>
      <c r="AE357" s="64"/>
      <c r="AF357" s="64"/>
      <c r="AG357" s="64"/>
      <c r="AH357" s="64"/>
      <c r="AI357" s="143"/>
      <c r="AJ357" s="134"/>
      <c r="AK357" s="194"/>
      <c r="AL357" s="90"/>
    </row>
    <row r="358" spans="1:38" ht="17.100000000000001" customHeight="1" x14ac:dyDescent="0.25">
      <c r="A358" s="197"/>
      <c r="G358" s="88"/>
      <c r="H358" s="182"/>
      <c r="L358" s="24"/>
      <c r="M358" s="24"/>
      <c r="N358" s="186"/>
      <c r="O358" s="190"/>
      <c r="P358" s="204"/>
      <c r="Q358" s="142"/>
      <c r="T358" s="201"/>
      <c r="Z358" s="151"/>
      <c r="AB358" s="64"/>
      <c r="AC358" s="64"/>
      <c r="AD358" s="64"/>
      <c r="AE358" s="64"/>
      <c r="AF358" s="64"/>
      <c r="AG358" s="64"/>
      <c r="AH358" s="64"/>
      <c r="AI358" s="143"/>
      <c r="AJ358" s="134"/>
      <c r="AK358" s="194"/>
      <c r="AL358" s="90"/>
    </row>
    <row r="359" spans="1:38" ht="17.100000000000001" customHeight="1" x14ac:dyDescent="0.25">
      <c r="A359" s="197"/>
      <c r="G359" s="88"/>
      <c r="H359" s="182"/>
      <c r="L359" s="24"/>
      <c r="M359" s="24"/>
      <c r="N359" s="186"/>
      <c r="O359" s="190"/>
      <c r="P359" s="204"/>
      <c r="Q359" s="142"/>
      <c r="T359" s="201"/>
      <c r="Z359" s="151"/>
      <c r="AB359" s="64"/>
      <c r="AC359" s="64"/>
      <c r="AD359" s="64"/>
      <c r="AE359" s="64"/>
      <c r="AF359" s="64"/>
      <c r="AG359" s="64"/>
      <c r="AH359" s="64"/>
      <c r="AI359" s="143"/>
      <c r="AJ359" s="134"/>
      <c r="AK359" s="194"/>
      <c r="AL359" s="90"/>
    </row>
    <row r="360" spans="1:38" ht="17.100000000000001" customHeight="1" x14ac:dyDescent="0.25">
      <c r="A360" s="197"/>
      <c r="G360" s="88"/>
      <c r="H360" s="182"/>
      <c r="L360" s="24"/>
      <c r="M360" s="24"/>
      <c r="N360" s="186"/>
      <c r="O360" s="190"/>
      <c r="P360" s="204"/>
      <c r="Q360" s="142"/>
      <c r="T360" s="201"/>
      <c r="Z360" s="151"/>
      <c r="AB360" s="64"/>
      <c r="AC360" s="64"/>
      <c r="AD360" s="64"/>
      <c r="AE360" s="64"/>
      <c r="AF360" s="64"/>
      <c r="AG360" s="64"/>
      <c r="AH360" s="64"/>
      <c r="AI360" s="143"/>
      <c r="AJ360" s="134"/>
      <c r="AK360" s="194"/>
      <c r="AL360" s="90"/>
    </row>
    <row r="361" spans="1:38" ht="17.100000000000001" customHeight="1" x14ac:dyDescent="0.25">
      <c r="A361" s="197"/>
      <c r="G361" s="88"/>
      <c r="H361" s="182"/>
      <c r="L361" s="24"/>
      <c r="M361" s="24"/>
      <c r="N361" s="186"/>
      <c r="O361" s="190"/>
      <c r="P361" s="204"/>
      <c r="Q361" s="142"/>
      <c r="T361" s="201"/>
      <c r="Z361" s="151"/>
      <c r="AB361" s="64"/>
      <c r="AC361" s="64"/>
      <c r="AD361" s="64"/>
      <c r="AE361" s="64"/>
      <c r="AF361" s="64"/>
      <c r="AG361" s="64"/>
      <c r="AH361" s="64"/>
      <c r="AI361" s="143"/>
      <c r="AJ361" s="134"/>
      <c r="AK361" s="194"/>
      <c r="AL361" s="90"/>
    </row>
    <row r="362" spans="1:38" ht="17.100000000000001" customHeight="1" x14ac:dyDescent="0.25">
      <c r="A362" s="197"/>
      <c r="G362" s="88"/>
      <c r="H362" s="182"/>
      <c r="L362" s="24"/>
      <c r="M362" s="24"/>
      <c r="N362" s="186"/>
      <c r="O362" s="190"/>
      <c r="P362" s="204"/>
      <c r="Q362" s="142"/>
      <c r="T362" s="201"/>
      <c r="Z362" s="151"/>
      <c r="AB362" s="64"/>
      <c r="AC362" s="64"/>
      <c r="AD362" s="64"/>
      <c r="AE362" s="64"/>
      <c r="AF362" s="64"/>
      <c r="AG362" s="64"/>
      <c r="AH362" s="64"/>
      <c r="AI362" s="143"/>
      <c r="AJ362" s="134"/>
      <c r="AK362" s="194"/>
      <c r="AL362" s="90"/>
    </row>
    <row r="363" spans="1:38" ht="17.100000000000001" customHeight="1" x14ac:dyDescent="0.25">
      <c r="A363" s="197"/>
      <c r="G363" s="88"/>
      <c r="H363" s="182"/>
      <c r="L363" s="24"/>
      <c r="M363" s="24"/>
      <c r="N363" s="186"/>
      <c r="O363" s="190"/>
      <c r="P363" s="204"/>
      <c r="Q363" s="142"/>
      <c r="T363" s="201"/>
      <c r="Z363" s="151"/>
      <c r="AB363" s="64"/>
      <c r="AC363" s="64"/>
      <c r="AD363" s="64"/>
      <c r="AE363" s="64"/>
      <c r="AF363" s="64"/>
      <c r="AG363" s="64"/>
      <c r="AH363" s="64"/>
      <c r="AI363" s="143"/>
      <c r="AJ363" s="134"/>
      <c r="AK363" s="194"/>
      <c r="AL363" s="90"/>
    </row>
    <row r="364" spans="1:38" ht="17.100000000000001" customHeight="1" x14ac:dyDescent="0.25">
      <c r="A364" s="197"/>
      <c r="G364" s="88"/>
      <c r="H364" s="182"/>
      <c r="L364" s="24"/>
      <c r="M364" s="24"/>
      <c r="N364" s="186"/>
      <c r="O364" s="190"/>
      <c r="P364" s="204"/>
      <c r="Q364" s="142"/>
      <c r="T364" s="201"/>
      <c r="Z364" s="151"/>
      <c r="AB364" s="64"/>
      <c r="AC364" s="64"/>
      <c r="AD364" s="64"/>
      <c r="AE364" s="64"/>
      <c r="AF364" s="64"/>
      <c r="AG364" s="64"/>
      <c r="AH364" s="64"/>
      <c r="AI364" s="143"/>
      <c r="AJ364" s="134"/>
      <c r="AK364" s="194"/>
      <c r="AL364" s="90"/>
    </row>
    <row r="365" spans="1:38" ht="17.100000000000001" customHeight="1" x14ac:dyDescent="0.25">
      <c r="A365" s="197"/>
      <c r="G365" s="88"/>
      <c r="H365" s="182"/>
      <c r="L365" s="24"/>
      <c r="M365" s="24"/>
      <c r="N365" s="186"/>
      <c r="O365" s="190"/>
      <c r="P365" s="204"/>
      <c r="Q365" s="142"/>
      <c r="T365" s="201"/>
      <c r="Z365" s="151"/>
      <c r="AB365" s="64"/>
      <c r="AC365" s="64"/>
      <c r="AD365" s="64"/>
      <c r="AE365" s="64"/>
      <c r="AF365" s="64"/>
      <c r="AG365" s="64"/>
      <c r="AH365" s="64"/>
      <c r="AI365" s="143"/>
      <c r="AJ365" s="134"/>
      <c r="AK365" s="194"/>
      <c r="AL365" s="90"/>
    </row>
    <row r="366" spans="1:38" ht="17.100000000000001" customHeight="1" x14ac:dyDescent="0.25">
      <c r="A366" s="197"/>
      <c r="G366" s="88"/>
      <c r="H366" s="182"/>
      <c r="L366" s="24"/>
      <c r="M366" s="24"/>
      <c r="N366" s="186"/>
      <c r="O366" s="190"/>
      <c r="P366" s="204"/>
      <c r="Q366" s="142"/>
      <c r="T366" s="201"/>
      <c r="Z366" s="151"/>
      <c r="AB366" s="64"/>
      <c r="AC366" s="64"/>
      <c r="AD366" s="64"/>
      <c r="AE366" s="64"/>
      <c r="AF366" s="64"/>
      <c r="AG366" s="64"/>
      <c r="AH366" s="64"/>
      <c r="AI366" s="143"/>
      <c r="AJ366" s="134"/>
      <c r="AK366" s="194"/>
      <c r="AL366" s="90"/>
    </row>
    <row r="367" spans="1:38" ht="17.100000000000001" customHeight="1" x14ac:dyDescent="0.25">
      <c r="A367" s="197"/>
      <c r="G367" s="88"/>
      <c r="H367" s="182"/>
      <c r="L367" s="24"/>
      <c r="M367" s="24"/>
      <c r="N367" s="186"/>
      <c r="O367" s="190"/>
      <c r="P367" s="204"/>
      <c r="Q367" s="142"/>
      <c r="T367" s="201"/>
      <c r="Z367" s="151"/>
      <c r="AB367" s="64"/>
      <c r="AC367" s="64"/>
      <c r="AD367" s="64"/>
      <c r="AE367" s="64"/>
      <c r="AF367" s="64"/>
      <c r="AG367" s="64"/>
      <c r="AH367" s="64"/>
      <c r="AI367" s="143"/>
      <c r="AJ367" s="134"/>
      <c r="AK367" s="194"/>
      <c r="AL367" s="90"/>
    </row>
    <row r="368" spans="1:38" ht="17.100000000000001" customHeight="1" x14ac:dyDescent="0.25">
      <c r="A368" s="197"/>
      <c r="G368" s="88"/>
      <c r="H368" s="182"/>
      <c r="L368" s="24"/>
      <c r="M368" s="24"/>
      <c r="N368" s="186"/>
      <c r="O368" s="190"/>
      <c r="P368" s="204"/>
      <c r="Q368" s="142"/>
      <c r="T368" s="201"/>
      <c r="Z368" s="151"/>
      <c r="AB368" s="64"/>
      <c r="AC368" s="64"/>
      <c r="AD368" s="64"/>
      <c r="AE368" s="64"/>
      <c r="AF368" s="64"/>
      <c r="AG368" s="64"/>
      <c r="AH368" s="64"/>
      <c r="AI368" s="143"/>
      <c r="AJ368" s="134"/>
      <c r="AK368" s="194"/>
      <c r="AL368" s="90"/>
    </row>
    <row r="369" spans="1:38" ht="17.100000000000001" customHeight="1" x14ac:dyDescent="0.25">
      <c r="A369" s="197"/>
      <c r="G369" s="88"/>
      <c r="H369" s="182"/>
      <c r="L369" s="24"/>
      <c r="M369" s="24"/>
      <c r="N369" s="186"/>
      <c r="O369" s="190"/>
      <c r="P369" s="204"/>
      <c r="Q369" s="142"/>
      <c r="T369" s="201"/>
      <c r="Z369" s="151"/>
      <c r="AB369" s="64"/>
      <c r="AC369" s="64"/>
      <c r="AD369" s="64"/>
      <c r="AE369" s="64"/>
      <c r="AF369" s="64"/>
      <c r="AG369" s="64"/>
      <c r="AH369" s="64"/>
      <c r="AI369" s="143"/>
      <c r="AJ369" s="134"/>
      <c r="AK369" s="194"/>
      <c r="AL369" s="90"/>
    </row>
    <row r="370" spans="1:38" ht="17.100000000000001" customHeight="1" x14ac:dyDescent="0.25">
      <c r="A370" s="197"/>
      <c r="G370" s="88"/>
      <c r="H370" s="182"/>
      <c r="L370" s="24"/>
      <c r="M370" s="24"/>
      <c r="N370" s="186"/>
      <c r="O370" s="190"/>
      <c r="P370" s="204"/>
      <c r="Q370" s="142"/>
      <c r="T370" s="201"/>
      <c r="Z370" s="151"/>
      <c r="AB370" s="64"/>
      <c r="AC370" s="64"/>
      <c r="AD370" s="64"/>
      <c r="AE370" s="64"/>
      <c r="AF370" s="64"/>
      <c r="AG370" s="64"/>
      <c r="AH370" s="64"/>
      <c r="AI370" s="143"/>
      <c r="AJ370" s="134"/>
      <c r="AK370" s="194"/>
      <c r="AL370" s="90"/>
    </row>
    <row r="371" spans="1:38" ht="17.100000000000001" customHeight="1" x14ac:dyDescent="0.25">
      <c r="A371" s="197"/>
      <c r="G371" s="88"/>
      <c r="H371" s="182"/>
      <c r="L371" s="24"/>
      <c r="M371" s="24"/>
      <c r="N371" s="186"/>
      <c r="O371" s="190"/>
      <c r="P371" s="204"/>
      <c r="Q371" s="142"/>
      <c r="T371" s="201"/>
      <c r="Z371" s="151"/>
      <c r="AB371" s="64"/>
      <c r="AC371" s="64"/>
      <c r="AD371" s="64"/>
      <c r="AE371" s="64"/>
      <c r="AF371" s="64"/>
      <c r="AG371" s="64"/>
      <c r="AH371" s="64"/>
      <c r="AI371" s="143"/>
      <c r="AJ371" s="134"/>
      <c r="AK371" s="194"/>
      <c r="AL371" s="90"/>
    </row>
    <row r="372" spans="1:38" ht="17.100000000000001" customHeight="1" x14ac:dyDescent="0.25">
      <c r="A372" s="197"/>
      <c r="G372" s="88"/>
      <c r="H372" s="182"/>
      <c r="L372" s="24"/>
      <c r="M372" s="24"/>
      <c r="N372" s="186"/>
      <c r="O372" s="190"/>
      <c r="P372" s="204"/>
      <c r="Q372" s="142"/>
      <c r="T372" s="201"/>
      <c r="Z372" s="151"/>
      <c r="AB372" s="64"/>
      <c r="AC372" s="64"/>
      <c r="AD372" s="64"/>
      <c r="AE372" s="64"/>
      <c r="AF372" s="64"/>
      <c r="AG372" s="64"/>
      <c r="AH372" s="64"/>
      <c r="AI372" s="143"/>
      <c r="AJ372" s="134"/>
      <c r="AK372" s="194"/>
      <c r="AL372" s="90"/>
    </row>
    <row r="373" spans="1:38" ht="17.100000000000001" customHeight="1" x14ac:dyDescent="0.25">
      <c r="A373" s="197"/>
      <c r="G373" s="88"/>
      <c r="H373" s="182"/>
      <c r="L373" s="24"/>
      <c r="M373" s="24"/>
      <c r="N373" s="186"/>
      <c r="O373" s="190"/>
      <c r="P373" s="204"/>
      <c r="Q373" s="142"/>
      <c r="T373" s="201"/>
      <c r="Z373" s="151"/>
      <c r="AB373" s="64"/>
      <c r="AC373" s="64"/>
      <c r="AD373" s="64"/>
      <c r="AE373" s="64"/>
      <c r="AF373" s="64"/>
      <c r="AG373" s="64"/>
      <c r="AH373" s="64"/>
      <c r="AI373" s="143"/>
      <c r="AJ373" s="134"/>
      <c r="AK373" s="194"/>
      <c r="AL373" s="90"/>
    </row>
    <row r="374" spans="1:38" ht="17.100000000000001" customHeight="1" x14ac:dyDescent="0.25">
      <c r="A374" s="197"/>
      <c r="G374" s="88"/>
      <c r="H374" s="182"/>
      <c r="L374" s="24"/>
      <c r="M374" s="24"/>
      <c r="N374" s="186"/>
      <c r="O374" s="190"/>
      <c r="P374" s="204"/>
      <c r="Q374" s="142"/>
      <c r="T374" s="201"/>
      <c r="Z374" s="151"/>
      <c r="AB374" s="64"/>
      <c r="AC374" s="64"/>
      <c r="AD374" s="64"/>
      <c r="AE374" s="64"/>
      <c r="AF374" s="64"/>
      <c r="AG374" s="64"/>
      <c r="AH374" s="64"/>
      <c r="AI374" s="143"/>
      <c r="AJ374" s="134"/>
      <c r="AK374" s="194"/>
      <c r="AL374" s="90"/>
    </row>
    <row r="375" spans="1:38" ht="17.100000000000001" customHeight="1" x14ac:dyDescent="0.25">
      <c r="A375" s="197"/>
      <c r="G375" s="88"/>
      <c r="H375" s="182"/>
      <c r="L375" s="24"/>
      <c r="M375" s="24"/>
      <c r="N375" s="186"/>
      <c r="O375" s="190"/>
      <c r="P375" s="204"/>
      <c r="Q375" s="142"/>
      <c r="T375" s="201"/>
      <c r="Z375" s="151"/>
      <c r="AB375" s="64"/>
      <c r="AC375" s="64"/>
      <c r="AD375" s="64"/>
      <c r="AE375" s="64"/>
      <c r="AF375" s="64"/>
      <c r="AG375" s="64"/>
      <c r="AH375" s="64"/>
      <c r="AI375" s="143"/>
      <c r="AJ375" s="134"/>
      <c r="AK375" s="194"/>
      <c r="AL375" s="90"/>
    </row>
    <row r="376" spans="1:38" ht="17.100000000000001" customHeight="1" x14ac:dyDescent="0.25">
      <c r="A376" s="197"/>
      <c r="G376" s="88"/>
      <c r="H376" s="182"/>
      <c r="L376" s="24"/>
      <c r="M376" s="24"/>
      <c r="N376" s="186"/>
      <c r="O376" s="190"/>
      <c r="P376" s="204"/>
      <c r="Q376" s="142"/>
      <c r="T376" s="201"/>
      <c r="Z376" s="151"/>
      <c r="AB376" s="64"/>
      <c r="AC376" s="64"/>
      <c r="AD376" s="64"/>
      <c r="AE376" s="64"/>
      <c r="AF376" s="64"/>
      <c r="AG376" s="64"/>
      <c r="AH376" s="64"/>
      <c r="AI376" s="143"/>
      <c r="AJ376" s="134"/>
      <c r="AK376" s="194"/>
      <c r="AL376" s="90"/>
    </row>
    <row r="377" spans="1:38" ht="17.100000000000001" customHeight="1" x14ac:dyDescent="0.25">
      <c r="A377" s="197"/>
      <c r="G377" s="88"/>
      <c r="H377" s="182"/>
      <c r="L377" s="24"/>
      <c r="M377" s="24"/>
      <c r="N377" s="186"/>
      <c r="O377" s="190"/>
      <c r="P377" s="204"/>
      <c r="Q377" s="142"/>
      <c r="T377" s="201"/>
      <c r="Z377" s="151"/>
      <c r="AB377" s="64"/>
      <c r="AC377" s="64"/>
      <c r="AD377" s="64"/>
      <c r="AE377" s="64"/>
      <c r="AF377" s="64"/>
      <c r="AG377" s="64"/>
      <c r="AH377" s="64"/>
      <c r="AI377" s="143"/>
      <c r="AJ377" s="134"/>
      <c r="AK377" s="194"/>
      <c r="AL377" s="90"/>
    </row>
    <row r="378" spans="1:38" ht="17.100000000000001" customHeight="1" x14ac:dyDescent="0.25">
      <c r="A378" s="197"/>
      <c r="G378" s="88"/>
      <c r="H378" s="182"/>
      <c r="L378" s="24"/>
      <c r="M378" s="24"/>
      <c r="N378" s="186"/>
      <c r="O378" s="190"/>
      <c r="P378" s="204"/>
      <c r="Q378" s="142"/>
      <c r="T378" s="201"/>
      <c r="Z378" s="151"/>
      <c r="AB378" s="64"/>
      <c r="AC378" s="64"/>
      <c r="AD378" s="64"/>
      <c r="AE378" s="64"/>
      <c r="AF378" s="64"/>
      <c r="AG378" s="64"/>
      <c r="AH378" s="64"/>
      <c r="AI378" s="143"/>
      <c r="AJ378" s="134"/>
      <c r="AK378" s="194"/>
      <c r="AL378" s="90"/>
    </row>
    <row r="379" spans="1:38" ht="17.100000000000001" customHeight="1" x14ac:dyDescent="0.25">
      <c r="A379" s="197"/>
      <c r="G379" s="88"/>
      <c r="H379" s="182"/>
      <c r="L379" s="24"/>
      <c r="M379" s="24"/>
      <c r="N379" s="186"/>
      <c r="O379" s="190"/>
      <c r="P379" s="204"/>
      <c r="Q379" s="142"/>
      <c r="T379" s="201"/>
      <c r="Z379" s="151"/>
      <c r="AB379" s="64"/>
      <c r="AC379" s="64"/>
      <c r="AD379" s="64"/>
      <c r="AE379" s="64"/>
      <c r="AF379" s="64"/>
      <c r="AG379" s="64"/>
      <c r="AH379" s="64"/>
      <c r="AI379" s="143"/>
      <c r="AJ379" s="134"/>
      <c r="AK379" s="194"/>
      <c r="AL379" s="90"/>
    </row>
    <row r="380" spans="1:38" ht="17.100000000000001" customHeight="1" x14ac:dyDescent="0.25">
      <c r="A380" s="197"/>
      <c r="G380" s="88"/>
      <c r="H380" s="182"/>
      <c r="L380" s="24"/>
      <c r="M380" s="24"/>
      <c r="N380" s="186"/>
      <c r="O380" s="190"/>
      <c r="P380" s="204"/>
      <c r="Q380" s="142"/>
      <c r="T380" s="201"/>
      <c r="Z380" s="151"/>
      <c r="AB380" s="64"/>
      <c r="AC380" s="64"/>
      <c r="AD380" s="64"/>
      <c r="AE380" s="64"/>
      <c r="AF380" s="64"/>
      <c r="AG380" s="64"/>
      <c r="AH380" s="64"/>
      <c r="AI380" s="143"/>
      <c r="AJ380" s="134"/>
      <c r="AK380" s="194"/>
      <c r="AL380" s="90"/>
    </row>
    <row r="381" spans="1:38" ht="17.100000000000001" customHeight="1" x14ac:dyDescent="0.25">
      <c r="A381" s="197"/>
      <c r="G381" s="88"/>
      <c r="H381" s="182"/>
      <c r="L381" s="24"/>
      <c r="M381" s="24"/>
      <c r="N381" s="186"/>
      <c r="O381" s="190"/>
      <c r="P381" s="204"/>
      <c r="Q381" s="142"/>
      <c r="T381" s="201"/>
      <c r="Z381" s="151"/>
      <c r="AB381" s="64"/>
      <c r="AC381" s="64"/>
      <c r="AD381" s="64"/>
      <c r="AE381" s="64"/>
      <c r="AF381" s="64"/>
      <c r="AG381" s="64"/>
      <c r="AH381" s="64"/>
      <c r="AI381" s="143"/>
      <c r="AJ381" s="134"/>
      <c r="AK381" s="194"/>
      <c r="AL381" s="90"/>
    </row>
    <row r="382" spans="1:38" ht="17.100000000000001" customHeight="1" x14ac:dyDescent="0.25">
      <c r="A382" s="197"/>
      <c r="G382" s="88"/>
      <c r="H382" s="182"/>
      <c r="L382" s="24"/>
      <c r="M382" s="24"/>
      <c r="N382" s="186"/>
      <c r="O382" s="190"/>
      <c r="P382" s="204"/>
      <c r="Q382" s="142"/>
      <c r="T382" s="201"/>
      <c r="Z382" s="151"/>
      <c r="AB382" s="64"/>
      <c r="AC382" s="64"/>
      <c r="AD382" s="64"/>
      <c r="AE382" s="64"/>
      <c r="AF382" s="64"/>
      <c r="AG382" s="64"/>
      <c r="AH382" s="64"/>
      <c r="AI382" s="143"/>
      <c r="AJ382" s="134"/>
      <c r="AK382" s="194"/>
      <c r="AL382" s="90"/>
    </row>
    <row r="383" spans="1:38" ht="17.100000000000001" customHeight="1" x14ac:dyDescent="0.25">
      <c r="A383" s="197"/>
      <c r="G383" s="88"/>
      <c r="H383" s="182"/>
      <c r="L383" s="24"/>
      <c r="M383" s="24"/>
      <c r="N383" s="186"/>
      <c r="O383" s="190"/>
      <c r="P383" s="204"/>
      <c r="Q383" s="142"/>
      <c r="T383" s="201"/>
      <c r="Z383" s="151"/>
      <c r="AB383" s="64"/>
      <c r="AC383" s="64"/>
      <c r="AD383" s="64"/>
      <c r="AE383" s="64"/>
      <c r="AF383" s="64"/>
      <c r="AG383" s="64"/>
      <c r="AH383" s="64"/>
      <c r="AI383" s="143"/>
      <c r="AJ383" s="134"/>
      <c r="AK383" s="194"/>
      <c r="AL383" s="90"/>
    </row>
    <row r="384" spans="1:38" ht="17.100000000000001" customHeight="1" x14ac:dyDescent="0.25">
      <c r="A384" s="197"/>
      <c r="G384" s="88"/>
      <c r="H384" s="182"/>
      <c r="L384" s="24"/>
      <c r="M384" s="24"/>
      <c r="N384" s="186"/>
      <c r="O384" s="190"/>
      <c r="P384" s="204"/>
      <c r="Q384" s="142"/>
      <c r="T384" s="201"/>
      <c r="Z384" s="151"/>
      <c r="AB384" s="64"/>
      <c r="AC384" s="64"/>
      <c r="AD384" s="64"/>
      <c r="AE384" s="64"/>
      <c r="AF384" s="64"/>
      <c r="AG384" s="64"/>
      <c r="AH384" s="64"/>
      <c r="AI384" s="143"/>
      <c r="AJ384" s="134"/>
      <c r="AK384" s="194"/>
      <c r="AL384" s="90"/>
    </row>
    <row r="385" spans="1:38" ht="17.100000000000001" customHeight="1" x14ac:dyDescent="0.25">
      <c r="A385" s="197"/>
      <c r="G385" s="88"/>
      <c r="H385" s="182"/>
      <c r="L385" s="24"/>
      <c r="M385" s="24"/>
      <c r="N385" s="186"/>
      <c r="O385" s="190"/>
      <c r="P385" s="204"/>
      <c r="Q385" s="142"/>
      <c r="T385" s="201"/>
      <c r="Z385" s="151"/>
      <c r="AB385" s="64"/>
      <c r="AC385" s="64"/>
      <c r="AD385" s="64"/>
      <c r="AE385" s="64"/>
      <c r="AF385" s="64"/>
      <c r="AG385" s="64"/>
      <c r="AH385" s="64"/>
      <c r="AI385" s="143"/>
      <c r="AJ385" s="134"/>
      <c r="AK385" s="194"/>
      <c r="AL385" s="90"/>
    </row>
    <row r="386" spans="1:38" ht="17.100000000000001" customHeight="1" x14ac:dyDescent="0.25">
      <c r="A386" s="197"/>
      <c r="G386" s="88"/>
      <c r="H386" s="182"/>
      <c r="L386" s="24"/>
      <c r="M386" s="24"/>
      <c r="N386" s="186"/>
      <c r="O386" s="190"/>
      <c r="P386" s="204"/>
      <c r="Q386" s="142"/>
      <c r="T386" s="201"/>
      <c r="Z386" s="151"/>
      <c r="AB386" s="64"/>
      <c r="AC386" s="64"/>
      <c r="AD386" s="64"/>
      <c r="AE386" s="64"/>
      <c r="AF386" s="64"/>
      <c r="AG386" s="64"/>
      <c r="AH386" s="64"/>
      <c r="AI386" s="143"/>
      <c r="AJ386" s="134"/>
      <c r="AK386" s="194"/>
      <c r="AL386" s="90"/>
    </row>
    <row r="387" spans="1:38" ht="17.100000000000001" customHeight="1" x14ac:dyDescent="0.25">
      <c r="A387" s="197"/>
      <c r="G387" s="88"/>
      <c r="H387" s="182"/>
      <c r="L387" s="24"/>
      <c r="M387" s="24"/>
      <c r="N387" s="186"/>
      <c r="O387" s="190"/>
      <c r="P387" s="204"/>
      <c r="Q387" s="142"/>
      <c r="T387" s="201"/>
      <c r="Z387" s="151"/>
      <c r="AB387" s="64"/>
      <c r="AC387" s="64"/>
      <c r="AD387" s="64"/>
      <c r="AE387" s="64"/>
      <c r="AF387" s="64"/>
      <c r="AG387" s="64"/>
      <c r="AH387" s="64"/>
      <c r="AI387" s="143"/>
      <c r="AJ387" s="134"/>
      <c r="AK387" s="194"/>
      <c r="AL387" s="90"/>
    </row>
    <row r="388" spans="1:38" ht="17.100000000000001" customHeight="1" x14ac:dyDescent="0.25">
      <c r="A388" s="197"/>
      <c r="G388" s="88"/>
      <c r="H388" s="182"/>
      <c r="L388" s="24"/>
      <c r="M388" s="24"/>
      <c r="N388" s="186"/>
      <c r="O388" s="190"/>
      <c r="P388" s="204"/>
      <c r="Q388" s="142"/>
      <c r="T388" s="201"/>
      <c r="Z388" s="151"/>
      <c r="AB388" s="64"/>
      <c r="AC388" s="64"/>
      <c r="AD388" s="64"/>
      <c r="AE388" s="64"/>
      <c r="AF388" s="64"/>
      <c r="AG388" s="64"/>
      <c r="AH388" s="64"/>
      <c r="AI388" s="143"/>
      <c r="AJ388" s="134"/>
      <c r="AK388" s="194"/>
      <c r="AL388" s="90"/>
    </row>
    <row r="389" spans="1:38" ht="17.100000000000001" customHeight="1" x14ac:dyDescent="0.25">
      <c r="A389" s="197"/>
      <c r="G389" s="88"/>
      <c r="H389" s="182"/>
      <c r="L389" s="24"/>
      <c r="M389" s="24"/>
      <c r="N389" s="186"/>
      <c r="O389" s="190"/>
      <c r="P389" s="204"/>
      <c r="Q389" s="142"/>
      <c r="T389" s="201"/>
      <c r="Z389" s="151"/>
      <c r="AB389" s="64"/>
      <c r="AC389" s="64"/>
      <c r="AD389" s="64"/>
      <c r="AE389" s="64"/>
      <c r="AF389" s="64"/>
      <c r="AG389" s="64"/>
      <c r="AH389" s="64"/>
      <c r="AI389" s="143"/>
      <c r="AJ389" s="134"/>
      <c r="AK389" s="194"/>
      <c r="AL389" s="90"/>
    </row>
    <row r="390" spans="1:38" ht="17.100000000000001" customHeight="1" x14ac:dyDescent="0.25">
      <c r="A390" s="197"/>
      <c r="G390" s="88"/>
      <c r="H390" s="182"/>
      <c r="L390" s="24"/>
      <c r="M390" s="24"/>
      <c r="N390" s="186"/>
      <c r="O390" s="190"/>
      <c r="P390" s="204"/>
      <c r="Q390" s="142"/>
      <c r="T390" s="201"/>
      <c r="Z390" s="151"/>
      <c r="AB390" s="64"/>
      <c r="AC390" s="64"/>
      <c r="AD390" s="64"/>
      <c r="AE390" s="64"/>
      <c r="AF390" s="64"/>
      <c r="AG390" s="64"/>
      <c r="AH390" s="64"/>
      <c r="AI390" s="143"/>
      <c r="AJ390" s="134"/>
      <c r="AK390" s="194"/>
      <c r="AL390" s="90"/>
    </row>
    <row r="391" spans="1:38" ht="17.100000000000001" customHeight="1" x14ac:dyDescent="0.25">
      <c r="A391" s="197"/>
      <c r="G391" s="88"/>
      <c r="H391" s="182"/>
      <c r="L391" s="24"/>
      <c r="M391" s="24"/>
      <c r="N391" s="186"/>
      <c r="O391" s="190"/>
      <c r="P391" s="204"/>
      <c r="Q391" s="142"/>
      <c r="T391" s="201"/>
      <c r="Z391" s="151"/>
      <c r="AB391" s="64"/>
      <c r="AC391" s="64"/>
      <c r="AD391" s="64"/>
      <c r="AE391" s="64"/>
      <c r="AF391" s="64"/>
      <c r="AG391" s="64"/>
      <c r="AH391" s="64"/>
      <c r="AI391" s="143"/>
      <c r="AJ391" s="134"/>
      <c r="AK391" s="194"/>
      <c r="AL391" s="90"/>
    </row>
    <row r="392" spans="1:38" ht="17.100000000000001" customHeight="1" x14ac:dyDescent="0.25">
      <c r="A392" s="197"/>
      <c r="G392" s="88"/>
      <c r="H392" s="182"/>
      <c r="L392" s="24"/>
      <c r="M392" s="24"/>
      <c r="N392" s="186"/>
      <c r="O392" s="190"/>
      <c r="P392" s="204"/>
      <c r="Q392" s="142"/>
      <c r="T392" s="201"/>
      <c r="Z392" s="151"/>
      <c r="AB392" s="64"/>
      <c r="AC392" s="64"/>
      <c r="AD392" s="64"/>
      <c r="AE392" s="64"/>
      <c r="AF392" s="64"/>
      <c r="AG392" s="64"/>
      <c r="AH392" s="64"/>
      <c r="AI392" s="143"/>
      <c r="AJ392" s="134"/>
      <c r="AK392" s="194"/>
      <c r="AL392" s="90"/>
    </row>
    <row r="393" spans="1:38" ht="17.100000000000001" customHeight="1" x14ac:dyDescent="0.25">
      <c r="A393" s="197"/>
      <c r="G393" s="88"/>
      <c r="H393" s="182"/>
      <c r="L393" s="24"/>
      <c r="M393" s="24"/>
      <c r="N393" s="186"/>
      <c r="O393" s="190"/>
      <c r="P393" s="204"/>
      <c r="Q393" s="142"/>
      <c r="T393" s="201"/>
      <c r="Z393" s="151"/>
      <c r="AB393" s="64"/>
      <c r="AC393" s="64"/>
      <c r="AD393" s="64"/>
      <c r="AE393" s="64"/>
      <c r="AF393" s="64"/>
      <c r="AG393" s="64"/>
      <c r="AH393" s="64"/>
      <c r="AI393" s="143"/>
      <c r="AJ393" s="134"/>
      <c r="AK393" s="194"/>
      <c r="AL393" s="90"/>
    </row>
    <row r="394" spans="1:38" ht="17.100000000000001" customHeight="1" x14ac:dyDescent="0.25">
      <c r="A394" s="197"/>
      <c r="G394" s="88"/>
      <c r="H394" s="182"/>
      <c r="L394" s="24"/>
      <c r="M394" s="24"/>
      <c r="N394" s="186"/>
      <c r="O394" s="190"/>
      <c r="P394" s="204"/>
      <c r="Q394" s="142"/>
      <c r="T394" s="201"/>
      <c r="Z394" s="151"/>
      <c r="AB394" s="64"/>
      <c r="AC394" s="64"/>
      <c r="AD394" s="64"/>
      <c r="AE394" s="64"/>
      <c r="AF394" s="64"/>
      <c r="AG394" s="64"/>
      <c r="AH394" s="64"/>
      <c r="AI394" s="143"/>
      <c r="AJ394" s="134"/>
      <c r="AK394" s="194"/>
      <c r="AL394" s="90"/>
    </row>
    <row r="395" spans="1:38" ht="17.100000000000001" customHeight="1" x14ac:dyDescent="0.25">
      <c r="A395" s="197"/>
      <c r="G395" s="88"/>
      <c r="H395" s="182"/>
      <c r="L395" s="24"/>
      <c r="M395" s="24"/>
      <c r="N395" s="186"/>
      <c r="O395" s="190"/>
      <c r="P395" s="204"/>
      <c r="Q395" s="142"/>
      <c r="T395" s="201"/>
      <c r="Z395" s="151"/>
      <c r="AB395" s="64"/>
      <c r="AC395" s="64"/>
      <c r="AD395" s="64"/>
      <c r="AE395" s="64"/>
      <c r="AF395" s="64"/>
      <c r="AG395" s="64"/>
      <c r="AH395" s="64"/>
      <c r="AI395" s="143"/>
      <c r="AJ395" s="134"/>
      <c r="AK395" s="194"/>
      <c r="AL395" s="90"/>
    </row>
    <row r="396" spans="1:38" ht="17.100000000000001" customHeight="1" x14ac:dyDescent="0.25">
      <c r="A396" s="197"/>
      <c r="G396" s="88"/>
      <c r="H396" s="182"/>
      <c r="L396" s="24"/>
      <c r="M396" s="24"/>
      <c r="N396" s="186"/>
      <c r="O396" s="190"/>
      <c r="P396" s="204"/>
      <c r="Q396" s="142"/>
      <c r="T396" s="201"/>
      <c r="Z396" s="151"/>
      <c r="AB396" s="64"/>
      <c r="AC396" s="64"/>
      <c r="AD396" s="64"/>
      <c r="AE396" s="64"/>
      <c r="AF396" s="64"/>
      <c r="AG396" s="64"/>
      <c r="AH396" s="64"/>
      <c r="AI396" s="143"/>
      <c r="AJ396" s="134"/>
      <c r="AK396" s="194"/>
      <c r="AL396" s="90"/>
    </row>
    <row r="397" spans="1:38" ht="17.100000000000001" customHeight="1" x14ac:dyDescent="0.25">
      <c r="A397" s="197"/>
      <c r="G397" s="88"/>
      <c r="H397" s="182"/>
      <c r="L397" s="24"/>
      <c r="M397" s="24"/>
      <c r="N397" s="186"/>
      <c r="O397" s="190"/>
      <c r="P397" s="204"/>
      <c r="Q397" s="142"/>
      <c r="T397" s="201"/>
      <c r="Z397" s="151"/>
      <c r="AB397" s="64"/>
      <c r="AC397" s="64"/>
      <c r="AD397" s="64"/>
      <c r="AE397" s="64"/>
      <c r="AF397" s="64"/>
      <c r="AG397" s="64"/>
      <c r="AH397" s="64"/>
      <c r="AI397" s="143"/>
      <c r="AJ397" s="134"/>
      <c r="AK397" s="194"/>
      <c r="AL397" s="90"/>
    </row>
    <row r="398" spans="1:38" ht="17.100000000000001" customHeight="1" thickBot="1" x14ac:dyDescent="0.3">
      <c r="A398" s="197"/>
      <c r="G398" s="88"/>
      <c r="H398" s="182"/>
      <c r="L398" s="24"/>
      <c r="M398" s="24"/>
      <c r="N398" s="186"/>
      <c r="O398" s="190"/>
      <c r="P398" s="204"/>
      <c r="Q398" s="142"/>
      <c r="T398" s="201"/>
      <c r="Z398" s="151"/>
      <c r="AB398" s="64"/>
      <c r="AC398" s="64"/>
      <c r="AD398" s="64"/>
      <c r="AE398" s="64"/>
      <c r="AF398" s="64"/>
      <c r="AG398" s="64"/>
      <c r="AH398" s="64"/>
      <c r="AI398" s="143"/>
      <c r="AJ398" s="134"/>
      <c r="AK398" s="194"/>
      <c r="AL398" s="90"/>
    </row>
    <row r="399" spans="1:38" ht="17.100000000000001" customHeight="1" x14ac:dyDescent="0.25">
      <c r="A399" s="198"/>
      <c r="B399" s="153"/>
      <c r="C399" s="154"/>
      <c r="D399" s="154"/>
      <c r="E399" s="154"/>
      <c r="F399" s="154"/>
      <c r="G399" s="155"/>
      <c r="H399" s="183"/>
      <c r="I399" s="156"/>
      <c r="J399" s="157"/>
      <c r="K399" s="158"/>
      <c r="L399" s="158"/>
      <c r="M399" s="158"/>
      <c r="N399" s="187"/>
      <c r="O399" s="191"/>
      <c r="P399" s="205"/>
      <c r="Q399" s="159"/>
      <c r="R399" s="160"/>
      <c r="S399" s="158"/>
      <c r="T399" s="202"/>
      <c r="U399" s="161"/>
      <c r="V399" s="156"/>
      <c r="W399" s="162"/>
      <c r="X399" s="156"/>
      <c r="Y399" s="158"/>
      <c r="Z399" s="163"/>
      <c r="AA399" s="156"/>
      <c r="AB399" s="164"/>
      <c r="AC399" s="164"/>
      <c r="AD399" s="164"/>
      <c r="AE399" s="164"/>
      <c r="AF399" s="164"/>
      <c r="AG399" s="164"/>
      <c r="AH399" s="164"/>
      <c r="AI399" s="165"/>
      <c r="AJ399" s="134"/>
      <c r="AK399" s="195"/>
      <c r="AL399" s="170"/>
    </row>
    <row r="400" spans="1:38" ht="17.100000000000001" customHeight="1" x14ac:dyDescent="0.25">
      <c r="A400" s="197"/>
      <c r="B400" s="48"/>
      <c r="G400" s="88"/>
      <c r="H400" s="182"/>
      <c r="I400" s="172"/>
      <c r="J400" s="24"/>
      <c r="L400" s="24"/>
      <c r="M400" s="173"/>
      <c r="N400" s="188"/>
      <c r="O400" s="190"/>
      <c r="P400" s="206"/>
      <c r="R400" s="175"/>
      <c r="T400" s="203"/>
      <c r="U400" s="26"/>
      <c r="V400" s="174"/>
      <c r="W400" s="26"/>
      <c r="Z400" s="151"/>
      <c r="AB400" s="64"/>
      <c r="AC400" s="64"/>
      <c r="AD400" s="64"/>
      <c r="AE400" s="64"/>
      <c r="AF400" s="64"/>
      <c r="AG400" s="64"/>
      <c r="AH400" s="64"/>
      <c r="AI400" s="143"/>
      <c r="AJ400" s="134"/>
      <c r="AK400" s="194"/>
      <c r="AL400" s="71"/>
    </row>
    <row r="401" spans="1:38" ht="17.100000000000001" customHeight="1" x14ac:dyDescent="0.25">
      <c r="A401" s="197"/>
      <c r="G401" s="88"/>
      <c r="H401" s="182"/>
      <c r="L401" s="24"/>
      <c r="M401" s="24"/>
      <c r="N401" s="186"/>
      <c r="O401" s="190"/>
      <c r="P401" s="204"/>
      <c r="Q401" s="142"/>
      <c r="T401" s="201"/>
      <c r="Z401" s="151"/>
      <c r="AB401" s="64"/>
      <c r="AC401" s="64"/>
      <c r="AD401" s="64"/>
      <c r="AE401" s="64"/>
      <c r="AF401" s="64"/>
      <c r="AG401" s="64"/>
      <c r="AH401" s="64"/>
      <c r="AI401" s="143"/>
      <c r="AJ401" s="134"/>
      <c r="AK401" s="194"/>
      <c r="AL401" s="90"/>
    </row>
    <row r="402" spans="1:38" ht="17.100000000000001" customHeight="1" x14ac:dyDescent="0.25">
      <c r="A402" s="197"/>
      <c r="G402" s="88"/>
      <c r="H402" s="182"/>
      <c r="L402" s="24"/>
      <c r="M402" s="24"/>
      <c r="N402" s="186"/>
      <c r="O402" s="190"/>
      <c r="P402" s="204"/>
      <c r="Q402" s="142"/>
      <c r="T402" s="201"/>
      <c r="Z402" s="151"/>
      <c r="AB402" s="64"/>
      <c r="AC402" s="64"/>
      <c r="AD402" s="64"/>
      <c r="AE402" s="64"/>
      <c r="AF402" s="64"/>
      <c r="AG402" s="64"/>
      <c r="AH402" s="64"/>
      <c r="AI402" s="143"/>
      <c r="AJ402" s="134"/>
      <c r="AK402" s="194"/>
      <c r="AL402" s="90"/>
    </row>
    <row r="403" spans="1:38" ht="17.100000000000001" customHeight="1" x14ac:dyDescent="0.25">
      <c r="A403" s="197"/>
      <c r="G403" s="88"/>
      <c r="H403" s="182"/>
      <c r="L403" s="24"/>
      <c r="M403" s="24"/>
      <c r="N403" s="186"/>
      <c r="O403" s="190"/>
      <c r="P403" s="204"/>
      <c r="Q403" s="142"/>
      <c r="T403" s="201"/>
      <c r="Z403" s="151"/>
      <c r="AB403" s="64"/>
      <c r="AC403" s="64"/>
      <c r="AD403" s="64"/>
      <c r="AE403" s="64"/>
      <c r="AF403" s="64"/>
      <c r="AG403" s="64"/>
      <c r="AH403" s="64"/>
      <c r="AI403" s="143"/>
      <c r="AJ403" s="134"/>
      <c r="AK403" s="194"/>
      <c r="AL403" s="90"/>
    </row>
    <row r="404" spans="1:38" ht="17.100000000000001" customHeight="1" x14ac:dyDescent="0.25">
      <c r="A404" s="197"/>
      <c r="G404" s="88"/>
      <c r="H404" s="182"/>
      <c r="L404" s="24"/>
      <c r="M404" s="24"/>
      <c r="N404" s="186"/>
      <c r="O404" s="190"/>
      <c r="P404" s="204"/>
      <c r="Q404" s="142"/>
      <c r="T404" s="201"/>
      <c r="Z404" s="151"/>
      <c r="AB404" s="64"/>
      <c r="AC404" s="64"/>
      <c r="AD404" s="64"/>
      <c r="AE404" s="64"/>
      <c r="AF404" s="64"/>
      <c r="AG404" s="64"/>
      <c r="AH404" s="64"/>
      <c r="AI404" s="143"/>
      <c r="AJ404" s="134"/>
      <c r="AK404" s="194"/>
      <c r="AL404" s="90"/>
    </row>
    <row r="405" spans="1:38" ht="17.100000000000001" customHeight="1" x14ac:dyDescent="0.25">
      <c r="A405" s="197"/>
      <c r="G405" s="88"/>
      <c r="H405" s="182"/>
      <c r="L405" s="24"/>
      <c r="M405" s="24"/>
      <c r="N405" s="186"/>
      <c r="O405" s="190"/>
      <c r="P405" s="204"/>
      <c r="Q405" s="142"/>
      <c r="T405" s="201"/>
      <c r="Z405" s="151"/>
      <c r="AB405" s="64"/>
      <c r="AC405" s="64"/>
      <c r="AD405" s="64"/>
      <c r="AE405" s="64"/>
      <c r="AF405" s="64"/>
      <c r="AG405" s="64"/>
      <c r="AH405" s="64"/>
      <c r="AI405" s="143"/>
      <c r="AJ405" s="134"/>
      <c r="AK405" s="194"/>
      <c r="AL405" s="90"/>
    </row>
    <row r="406" spans="1:38" ht="17.100000000000001" customHeight="1" x14ac:dyDescent="0.25">
      <c r="A406" s="197"/>
      <c r="G406" s="88"/>
      <c r="H406" s="182"/>
      <c r="L406" s="24"/>
      <c r="M406" s="24"/>
      <c r="N406" s="186"/>
      <c r="O406" s="190"/>
      <c r="P406" s="204"/>
      <c r="Q406" s="142"/>
      <c r="T406" s="201"/>
      <c r="Z406" s="151"/>
      <c r="AB406" s="64"/>
      <c r="AC406" s="64"/>
      <c r="AD406" s="64"/>
      <c r="AE406" s="64"/>
      <c r="AF406" s="64"/>
      <c r="AG406" s="64"/>
      <c r="AH406" s="64"/>
      <c r="AI406" s="143"/>
      <c r="AJ406" s="134"/>
      <c r="AK406" s="194"/>
      <c r="AL406" s="90"/>
    </row>
    <row r="407" spans="1:38" ht="17.100000000000001" customHeight="1" x14ac:dyDescent="0.25">
      <c r="A407" s="197"/>
      <c r="G407" s="88"/>
      <c r="H407" s="182"/>
      <c r="L407" s="24"/>
      <c r="M407" s="24"/>
      <c r="N407" s="186"/>
      <c r="O407" s="190"/>
      <c r="P407" s="204"/>
      <c r="Q407" s="142"/>
      <c r="T407" s="201"/>
      <c r="Z407" s="151"/>
      <c r="AB407" s="64"/>
      <c r="AC407" s="64"/>
      <c r="AD407" s="64"/>
      <c r="AE407" s="64"/>
      <c r="AF407" s="64"/>
      <c r="AG407" s="64"/>
      <c r="AH407" s="64"/>
      <c r="AI407" s="143"/>
      <c r="AJ407" s="134"/>
      <c r="AK407" s="194"/>
      <c r="AL407" s="90"/>
    </row>
    <row r="408" spans="1:38" ht="17.100000000000001" customHeight="1" x14ac:dyDescent="0.25">
      <c r="A408" s="197"/>
      <c r="G408" s="88"/>
      <c r="H408" s="182"/>
      <c r="L408" s="24"/>
      <c r="M408" s="24"/>
      <c r="N408" s="186"/>
      <c r="O408" s="190"/>
      <c r="P408" s="204"/>
      <c r="Q408" s="142"/>
      <c r="T408" s="201"/>
      <c r="Z408" s="151"/>
      <c r="AB408" s="64"/>
      <c r="AC408" s="64"/>
      <c r="AD408" s="64"/>
      <c r="AE408" s="64"/>
      <c r="AF408" s="64"/>
      <c r="AG408" s="64"/>
      <c r="AH408" s="64"/>
      <c r="AI408" s="143"/>
      <c r="AJ408" s="134"/>
      <c r="AK408" s="194"/>
      <c r="AL408" s="90"/>
    </row>
    <row r="409" spans="1:38" ht="17.100000000000001" customHeight="1" x14ac:dyDescent="0.25">
      <c r="A409" s="197"/>
      <c r="G409" s="88"/>
      <c r="H409" s="182"/>
      <c r="L409" s="24"/>
      <c r="M409" s="24"/>
      <c r="N409" s="186"/>
      <c r="O409" s="190"/>
      <c r="P409" s="204"/>
      <c r="Q409" s="142"/>
      <c r="T409" s="201"/>
      <c r="Z409" s="151"/>
      <c r="AB409" s="64"/>
      <c r="AC409" s="64"/>
      <c r="AD409" s="64"/>
      <c r="AE409" s="64"/>
      <c r="AF409" s="64"/>
      <c r="AG409" s="64"/>
      <c r="AH409" s="64"/>
      <c r="AI409" s="143"/>
      <c r="AJ409" s="134"/>
      <c r="AK409" s="194"/>
      <c r="AL409" s="90"/>
    </row>
    <row r="410" spans="1:38" ht="17.100000000000001" customHeight="1" x14ac:dyDescent="0.25">
      <c r="A410" s="197"/>
      <c r="G410" s="88"/>
      <c r="H410" s="182"/>
      <c r="L410" s="24"/>
      <c r="M410" s="24"/>
      <c r="N410" s="186"/>
      <c r="O410" s="190"/>
      <c r="P410" s="204"/>
      <c r="Q410" s="142"/>
      <c r="T410" s="201"/>
      <c r="Z410" s="151"/>
      <c r="AB410" s="64"/>
      <c r="AC410" s="64"/>
      <c r="AD410" s="64"/>
      <c r="AE410" s="64"/>
      <c r="AF410" s="64"/>
      <c r="AG410" s="64"/>
      <c r="AH410" s="64"/>
      <c r="AI410" s="143"/>
      <c r="AJ410" s="134"/>
      <c r="AK410" s="194"/>
      <c r="AL410" s="90"/>
    </row>
    <row r="411" spans="1:38" ht="17.100000000000001" customHeight="1" x14ac:dyDescent="0.25">
      <c r="A411" s="197"/>
      <c r="G411" s="88"/>
      <c r="H411" s="182"/>
      <c r="L411" s="24"/>
      <c r="M411" s="24"/>
      <c r="N411" s="186"/>
      <c r="O411" s="190"/>
      <c r="P411" s="204"/>
      <c r="Q411" s="142"/>
      <c r="T411" s="201"/>
      <c r="Z411" s="151"/>
      <c r="AB411" s="64"/>
      <c r="AC411" s="64"/>
      <c r="AD411" s="64"/>
      <c r="AE411" s="64"/>
      <c r="AF411" s="64"/>
      <c r="AG411" s="64"/>
      <c r="AH411" s="64"/>
      <c r="AI411" s="143"/>
      <c r="AJ411" s="134"/>
      <c r="AK411" s="194"/>
      <c r="AL411" s="90"/>
    </row>
    <row r="412" spans="1:38" ht="17.100000000000001" customHeight="1" x14ac:dyDescent="0.25">
      <c r="A412" s="197"/>
      <c r="G412" s="88"/>
      <c r="H412" s="182"/>
      <c r="L412" s="24"/>
      <c r="M412" s="24"/>
      <c r="N412" s="186"/>
      <c r="O412" s="190"/>
      <c r="P412" s="204"/>
      <c r="Q412" s="142"/>
      <c r="T412" s="201"/>
      <c r="Z412" s="151"/>
      <c r="AB412" s="64"/>
      <c r="AC412" s="64"/>
      <c r="AD412" s="64"/>
      <c r="AE412" s="64"/>
      <c r="AF412" s="64"/>
      <c r="AG412" s="64"/>
      <c r="AH412" s="64"/>
      <c r="AI412" s="143"/>
      <c r="AJ412" s="134"/>
      <c r="AK412" s="194"/>
      <c r="AL412" s="90"/>
    </row>
    <row r="413" spans="1:38" ht="17.100000000000001" customHeight="1" x14ac:dyDescent="0.25">
      <c r="A413" s="197"/>
      <c r="G413" s="88"/>
      <c r="H413" s="182"/>
      <c r="L413" s="24"/>
      <c r="M413" s="24"/>
      <c r="N413" s="186"/>
      <c r="O413" s="190"/>
      <c r="P413" s="204"/>
      <c r="Q413" s="142"/>
      <c r="T413" s="201"/>
      <c r="Z413" s="151"/>
      <c r="AB413" s="64"/>
      <c r="AC413" s="64"/>
      <c r="AD413" s="64"/>
      <c r="AE413" s="64"/>
      <c r="AF413" s="64"/>
      <c r="AG413" s="64"/>
      <c r="AH413" s="64"/>
      <c r="AI413" s="143"/>
      <c r="AJ413" s="134"/>
      <c r="AK413" s="194"/>
      <c r="AL413" s="90"/>
    </row>
    <row r="414" spans="1:38" ht="17.100000000000001" customHeight="1" x14ac:dyDescent="0.25">
      <c r="A414" s="197"/>
      <c r="G414" s="88"/>
      <c r="H414" s="182"/>
      <c r="L414" s="24"/>
      <c r="M414" s="24"/>
      <c r="N414" s="186"/>
      <c r="O414" s="190"/>
      <c r="P414" s="204"/>
      <c r="Q414" s="142"/>
      <c r="T414" s="201"/>
      <c r="Z414" s="151"/>
      <c r="AB414" s="64"/>
      <c r="AC414" s="64"/>
      <c r="AD414" s="64"/>
      <c r="AE414" s="64"/>
      <c r="AF414" s="64"/>
      <c r="AG414" s="64"/>
      <c r="AH414" s="64"/>
      <c r="AI414" s="143"/>
      <c r="AJ414" s="134"/>
      <c r="AK414" s="194"/>
      <c r="AL414" s="90"/>
    </row>
    <row r="415" spans="1:38" ht="17.100000000000001" customHeight="1" x14ac:dyDescent="0.25">
      <c r="A415" s="197"/>
      <c r="G415" s="88"/>
      <c r="H415" s="182"/>
      <c r="L415" s="24"/>
      <c r="M415" s="24"/>
      <c r="N415" s="186"/>
      <c r="O415" s="190"/>
      <c r="P415" s="204"/>
      <c r="Q415" s="142"/>
      <c r="T415" s="201"/>
      <c r="Z415" s="151"/>
      <c r="AB415" s="64"/>
      <c r="AC415" s="64"/>
      <c r="AD415" s="64"/>
      <c r="AE415" s="64"/>
      <c r="AF415" s="64"/>
      <c r="AG415" s="64"/>
      <c r="AH415" s="64"/>
      <c r="AI415" s="143"/>
      <c r="AJ415" s="134"/>
      <c r="AK415" s="194"/>
      <c r="AL415" s="90"/>
    </row>
    <row r="416" spans="1:38" ht="17.100000000000001" customHeight="1" x14ac:dyDescent="0.25">
      <c r="A416" s="197"/>
      <c r="G416" s="88"/>
      <c r="H416" s="182"/>
      <c r="L416" s="24"/>
      <c r="M416" s="24"/>
      <c r="N416" s="186"/>
      <c r="O416" s="190"/>
      <c r="P416" s="204"/>
      <c r="Q416" s="142"/>
      <c r="T416" s="201"/>
      <c r="Z416" s="151"/>
      <c r="AB416" s="64"/>
      <c r="AC416" s="64"/>
      <c r="AD416" s="64"/>
      <c r="AE416" s="64"/>
      <c r="AF416" s="64"/>
      <c r="AG416" s="64"/>
      <c r="AH416" s="64"/>
      <c r="AI416" s="143"/>
      <c r="AJ416" s="134"/>
      <c r="AK416" s="194"/>
      <c r="AL416" s="90"/>
    </row>
    <row r="417" spans="1:38" ht="17.100000000000001" customHeight="1" x14ac:dyDescent="0.25">
      <c r="A417" s="197"/>
      <c r="G417" s="88"/>
      <c r="H417" s="182"/>
      <c r="L417" s="24"/>
      <c r="M417" s="24"/>
      <c r="N417" s="186"/>
      <c r="O417" s="190"/>
      <c r="P417" s="204"/>
      <c r="Q417" s="142"/>
      <c r="T417" s="201"/>
      <c r="Z417" s="151"/>
      <c r="AB417" s="64"/>
      <c r="AC417" s="64"/>
      <c r="AD417" s="64"/>
      <c r="AE417" s="64"/>
      <c r="AF417" s="64"/>
      <c r="AG417" s="64"/>
      <c r="AH417" s="64"/>
      <c r="AI417" s="143"/>
      <c r="AJ417" s="134"/>
      <c r="AK417" s="194"/>
      <c r="AL417" s="90"/>
    </row>
    <row r="418" spans="1:38" ht="17.100000000000001" customHeight="1" x14ac:dyDescent="0.25">
      <c r="A418" s="197"/>
      <c r="G418" s="88"/>
      <c r="H418" s="182"/>
      <c r="L418" s="24"/>
      <c r="M418" s="24"/>
      <c r="N418" s="186"/>
      <c r="O418" s="190"/>
      <c r="P418" s="204"/>
      <c r="Q418" s="142"/>
      <c r="T418" s="201"/>
      <c r="Z418" s="151"/>
      <c r="AB418" s="64"/>
      <c r="AC418" s="64"/>
      <c r="AD418" s="64"/>
      <c r="AE418" s="64"/>
      <c r="AF418" s="64"/>
      <c r="AG418" s="64"/>
      <c r="AH418" s="64"/>
      <c r="AI418" s="143"/>
      <c r="AJ418" s="134"/>
      <c r="AK418" s="194"/>
      <c r="AL418" s="90"/>
    </row>
    <row r="419" spans="1:38" ht="17.100000000000001" customHeight="1" x14ac:dyDescent="0.25">
      <c r="A419" s="197"/>
      <c r="G419" s="88"/>
      <c r="H419" s="182"/>
      <c r="L419" s="24"/>
      <c r="M419" s="24"/>
      <c r="N419" s="186"/>
      <c r="O419" s="190"/>
      <c r="P419" s="204"/>
      <c r="Q419" s="142"/>
      <c r="T419" s="201"/>
      <c r="Z419" s="151"/>
      <c r="AB419" s="64"/>
      <c r="AC419" s="64"/>
      <c r="AD419" s="64"/>
      <c r="AE419" s="64"/>
      <c r="AF419" s="64"/>
      <c r="AG419" s="64"/>
      <c r="AH419" s="64"/>
      <c r="AI419" s="143"/>
      <c r="AJ419" s="134"/>
      <c r="AK419" s="194"/>
      <c r="AL419" s="90"/>
    </row>
    <row r="420" spans="1:38" ht="17.100000000000001" customHeight="1" x14ac:dyDescent="0.25">
      <c r="A420" s="197"/>
      <c r="G420" s="88"/>
      <c r="H420" s="182"/>
      <c r="L420" s="24"/>
      <c r="M420" s="24"/>
      <c r="N420" s="186"/>
      <c r="O420" s="190"/>
      <c r="P420" s="204"/>
      <c r="Q420" s="142"/>
      <c r="T420" s="201"/>
      <c r="Z420" s="151"/>
      <c r="AB420" s="64"/>
      <c r="AC420" s="64"/>
      <c r="AD420" s="64"/>
      <c r="AE420" s="64"/>
      <c r="AF420" s="64"/>
      <c r="AG420" s="64"/>
      <c r="AH420" s="64"/>
      <c r="AI420" s="143"/>
      <c r="AJ420" s="134"/>
      <c r="AK420" s="194"/>
      <c r="AL420" s="90"/>
    </row>
    <row r="421" spans="1:38" ht="17.100000000000001" customHeight="1" thickBot="1" x14ac:dyDescent="0.3">
      <c r="A421" s="197"/>
      <c r="G421" s="88"/>
      <c r="H421" s="182"/>
      <c r="L421" s="24"/>
      <c r="M421" s="24"/>
      <c r="N421" s="186"/>
      <c r="O421" s="190"/>
      <c r="P421" s="204"/>
      <c r="Q421" s="142"/>
      <c r="T421" s="201"/>
      <c r="Z421" s="151"/>
      <c r="AB421" s="64"/>
      <c r="AC421" s="64"/>
      <c r="AD421" s="64"/>
      <c r="AE421" s="64"/>
      <c r="AF421" s="64"/>
      <c r="AG421" s="64"/>
      <c r="AH421" s="64"/>
      <c r="AI421" s="143"/>
      <c r="AJ421" s="134"/>
      <c r="AK421" s="194"/>
      <c r="AL421" s="90"/>
    </row>
    <row r="422" spans="1:38" ht="17.100000000000001" customHeight="1" x14ac:dyDescent="0.25">
      <c r="A422" s="198"/>
      <c r="B422" s="153"/>
      <c r="C422" s="154"/>
      <c r="D422" s="154"/>
      <c r="E422" s="154"/>
      <c r="F422" s="154"/>
      <c r="G422" s="155"/>
      <c r="H422" s="183"/>
      <c r="I422" s="156"/>
      <c r="J422" s="157"/>
      <c r="K422" s="158"/>
      <c r="L422" s="158"/>
      <c r="M422" s="158"/>
      <c r="N422" s="187"/>
      <c r="O422" s="191"/>
      <c r="P422" s="205"/>
      <c r="Q422" s="159"/>
      <c r="R422" s="160"/>
      <c r="S422" s="158"/>
      <c r="T422" s="202"/>
      <c r="U422" s="161"/>
      <c r="V422" s="156"/>
      <c r="W422" s="162"/>
      <c r="X422" s="156"/>
      <c r="Y422" s="158"/>
      <c r="Z422" s="163"/>
      <c r="AA422" s="156"/>
      <c r="AB422" s="164"/>
      <c r="AC422" s="164"/>
      <c r="AD422" s="164"/>
      <c r="AE422" s="164"/>
      <c r="AF422" s="164"/>
      <c r="AG422" s="164"/>
      <c r="AH422" s="164"/>
      <c r="AI422" s="165"/>
      <c r="AJ422" s="134"/>
      <c r="AK422" s="195"/>
      <c r="AL422" s="170"/>
    </row>
    <row r="423" spans="1:38" ht="17.100000000000001" customHeight="1" x14ac:dyDescent="0.25">
      <c r="A423" s="197"/>
      <c r="G423" s="88"/>
      <c r="H423" s="182"/>
      <c r="L423" s="24"/>
      <c r="M423" s="24"/>
      <c r="N423" s="186"/>
      <c r="O423" s="190"/>
      <c r="P423" s="204"/>
      <c r="Q423" s="142"/>
      <c r="T423" s="201"/>
      <c r="Z423" s="151"/>
      <c r="AB423" s="64"/>
      <c r="AC423" s="64"/>
      <c r="AD423" s="64"/>
      <c r="AE423" s="64"/>
      <c r="AF423" s="64"/>
      <c r="AG423" s="64"/>
      <c r="AH423" s="64"/>
      <c r="AI423" s="143"/>
      <c r="AJ423" s="134"/>
      <c r="AK423" s="194"/>
      <c r="AL423" s="90"/>
    </row>
    <row r="424" spans="1:38" ht="17.100000000000001" customHeight="1" x14ac:dyDescent="0.25">
      <c r="A424" s="197"/>
      <c r="G424" s="88"/>
      <c r="H424" s="182"/>
      <c r="L424" s="24"/>
      <c r="M424" s="24"/>
      <c r="N424" s="186"/>
      <c r="O424" s="190"/>
      <c r="P424" s="204"/>
      <c r="Q424" s="142"/>
      <c r="T424" s="201"/>
      <c r="Z424" s="151"/>
      <c r="AB424" s="64"/>
      <c r="AC424" s="64"/>
      <c r="AD424" s="64"/>
      <c r="AE424" s="64"/>
      <c r="AF424" s="64"/>
      <c r="AG424" s="64"/>
      <c r="AH424" s="64"/>
      <c r="AI424" s="143"/>
      <c r="AJ424" s="134"/>
      <c r="AK424" s="194"/>
      <c r="AL424" s="90"/>
    </row>
    <row r="425" spans="1:38" ht="17.100000000000001" customHeight="1" x14ac:dyDescent="0.25">
      <c r="A425" s="197"/>
      <c r="G425" s="88"/>
      <c r="H425" s="182"/>
      <c r="L425" s="24"/>
      <c r="M425" s="24"/>
      <c r="N425" s="186"/>
      <c r="O425" s="190"/>
      <c r="P425" s="204"/>
      <c r="Q425" s="142"/>
      <c r="T425" s="201"/>
      <c r="Z425" s="151"/>
      <c r="AB425" s="64"/>
      <c r="AC425" s="64"/>
      <c r="AD425" s="64"/>
      <c r="AE425" s="64"/>
      <c r="AF425" s="64"/>
      <c r="AG425" s="64"/>
      <c r="AH425" s="64"/>
      <c r="AI425" s="143"/>
      <c r="AJ425" s="134"/>
      <c r="AK425" s="194"/>
      <c r="AL425" s="90"/>
    </row>
    <row r="426" spans="1:38" ht="17.100000000000001" customHeight="1" x14ac:dyDescent="0.25">
      <c r="A426" s="197"/>
      <c r="G426" s="88"/>
      <c r="H426" s="182"/>
      <c r="L426" s="24"/>
      <c r="M426" s="24"/>
      <c r="N426" s="186"/>
      <c r="O426" s="190"/>
      <c r="P426" s="204"/>
      <c r="Q426" s="142"/>
      <c r="T426" s="201"/>
      <c r="Z426" s="151"/>
      <c r="AB426" s="64"/>
      <c r="AC426" s="64"/>
      <c r="AD426" s="64"/>
      <c r="AE426" s="64"/>
      <c r="AF426" s="64"/>
      <c r="AG426" s="64"/>
      <c r="AH426" s="64"/>
      <c r="AI426" s="143"/>
      <c r="AJ426" s="134"/>
      <c r="AK426" s="194"/>
      <c r="AL426" s="90"/>
    </row>
    <row r="427" spans="1:38" ht="17.100000000000001" customHeight="1" x14ac:dyDescent="0.25">
      <c r="A427" s="197"/>
      <c r="G427" s="88"/>
      <c r="H427" s="182"/>
      <c r="L427" s="24"/>
      <c r="M427" s="24"/>
      <c r="N427" s="186"/>
      <c r="O427" s="190"/>
      <c r="P427" s="204"/>
      <c r="Q427" s="142"/>
      <c r="T427" s="201"/>
      <c r="Z427" s="151"/>
      <c r="AB427" s="64"/>
      <c r="AC427" s="64"/>
      <c r="AD427" s="64"/>
      <c r="AE427" s="64"/>
      <c r="AF427" s="64"/>
      <c r="AG427" s="64"/>
      <c r="AH427" s="64"/>
      <c r="AI427" s="143"/>
      <c r="AJ427" s="134"/>
      <c r="AK427" s="194"/>
      <c r="AL427" s="90"/>
    </row>
    <row r="428" spans="1:38" ht="17.100000000000001" customHeight="1" x14ac:dyDescent="0.25">
      <c r="A428" s="197"/>
      <c r="G428" s="88"/>
      <c r="H428" s="182"/>
      <c r="L428" s="24"/>
      <c r="M428" s="24"/>
      <c r="N428" s="186"/>
      <c r="O428" s="190"/>
      <c r="P428" s="204"/>
      <c r="Q428" s="142"/>
      <c r="T428" s="201"/>
      <c r="Z428" s="151"/>
      <c r="AB428" s="64"/>
      <c r="AC428" s="64"/>
      <c r="AD428" s="64"/>
      <c r="AE428" s="64"/>
      <c r="AF428" s="64"/>
      <c r="AG428" s="64"/>
      <c r="AH428" s="64"/>
      <c r="AI428" s="143"/>
      <c r="AJ428" s="134"/>
      <c r="AK428" s="194"/>
      <c r="AL428" s="90"/>
    </row>
    <row r="429" spans="1:38" ht="17.100000000000001" customHeight="1" x14ac:dyDescent="0.25">
      <c r="A429" s="197"/>
      <c r="G429" s="88"/>
      <c r="H429" s="182"/>
      <c r="L429" s="24"/>
      <c r="M429" s="24"/>
      <c r="N429" s="186"/>
      <c r="O429" s="190"/>
      <c r="P429" s="204"/>
      <c r="Q429" s="142"/>
      <c r="T429" s="201"/>
      <c r="Z429" s="151"/>
      <c r="AB429" s="64"/>
      <c r="AC429" s="64"/>
      <c r="AD429" s="64"/>
      <c r="AE429" s="64"/>
      <c r="AF429" s="64"/>
      <c r="AG429" s="64"/>
      <c r="AH429" s="64"/>
      <c r="AI429" s="143"/>
      <c r="AJ429" s="134"/>
      <c r="AK429" s="194"/>
      <c r="AL429" s="90"/>
    </row>
    <row r="430" spans="1:38" ht="17.100000000000001" customHeight="1" x14ac:dyDescent="0.25">
      <c r="A430" s="197"/>
      <c r="G430" s="88"/>
      <c r="H430" s="182"/>
      <c r="L430" s="24"/>
      <c r="M430" s="24"/>
      <c r="N430" s="186"/>
      <c r="O430" s="190"/>
      <c r="P430" s="204"/>
      <c r="Q430" s="142"/>
      <c r="T430" s="201"/>
      <c r="Z430" s="151"/>
      <c r="AB430" s="64"/>
      <c r="AC430" s="64"/>
      <c r="AD430" s="64"/>
      <c r="AE430" s="64"/>
      <c r="AF430" s="64"/>
      <c r="AG430" s="64"/>
      <c r="AH430" s="64"/>
      <c r="AI430" s="143"/>
      <c r="AJ430" s="134"/>
      <c r="AK430" s="194"/>
      <c r="AL430" s="90"/>
    </row>
    <row r="431" spans="1:38" ht="17.100000000000001" customHeight="1" x14ac:dyDescent="0.25">
      <c r="A431" s="197"/>
      <c r="G431" s="88"/>
      <c r="H431" s="182"/>
      <c r="L431" s="24"/>
      <c r="M431" s="24"/>
      <c r="N431" s="186"/>
      <c r="O431" s="190"/>
      <c r="P431" s="204"/>
      <c r="Q431" s="142"/>
      <c r="T431" s="201"/>
      <c r="Z431" s="151"/>
      <c r="AB431" s="64"/>
      <c r="AC431" s="64"/>
      <c r="AD431" s="64"/>
      <c r="AE431" s="64"/>
      <c r="AF431" s="64"/>
      <c r="AG431" s="64"/>
      <c r="AH431" s="64"/>
      <c r="AI431" s="143"/>
      <c r="AJ431" s="134"/>
      <c r="AK431" s="194"/>
      <c r="AL431" s="90"/>
    </row>
    <row r="432" spans="1:38" ht="17.100000000000001" customHeight="1" x14ac:dyDescent="0.25">
      <c r="A432" s="197"/>
      <c r="G432" s="88"/>
      <c r="H432" s="182"/>
      <c r="L432" s="24"/>
      <c r="M432" s="24"/>
      <c r="N432" s="186"/>
      <c r="O432" s="190"/>
      <c r="P432" s="204"/>
      <c r="Q432" s="142"/>
      <c r="T432" s="201"/>
      <c r="Z432" s="151"/>
      <c r="AB432" s="64"/>
      <c r="AC432" s="64"/>
      <c r="AD432" s="64"/>
      <c r="AE432" s="64"/>
      <c r="AF432" s="64"/>
      <c r="AG432" s="64"/>
      <c r="AH432" s="64"/>
      <c r="AI432" s="143"/>
      <c r="AJ432" s="134"/>
      <c r="AK432" s="194"/>
      <c r="AL432" s="90"/>
    </row>
    <row r="433" spans="1:38" ht="17.100000000000001" customHeight="1" x14ac:dyDescent="0.25">
      <c r="A433" s="197"/>
      <c r="G433" s="88"/>
      <c r="H433" s="182"/>
      <c r="L433" s="24"/>
      <c r="M433" s="24"/>
      <c r="N433" s="186"/>
      <c r="O433" s="190"/>
      <c r="P433" s="204"/>
      <c r="Q433" s="142"/>
      <c r="T433" s="201"/>
      <c r="Z433" s="151"/>
      <c r="AB433" s="64"/>
      <c r="AC433" s="64"/>
      <c r="AD433" s="64"/>
      <c r="AE433" s="64"/>
      <c r="AF433" s="64"/>
      <c r="AG433" s="64"/>
      <c r="AH433" s="64"/>
      <c r="AI433" s="143"/>
      <c r="AJ433" s="134"/>
      <c r="AK433" s="194"/>
      <c r="AL433" s="90"/>
    </row>
    <row r="434" spans="1:38" ht="17.100000000000001" customHeight="1" x14ac:dyDescent="0.25">
      <c r="A434" s="197"/>
      <c r="G434" s="88"/>
      <c r="H434" s="182"/>
      <c r="L434" s="24"/>
      <c r="M434" s="24"/>
      <c r="N434" s="186"/>
      <c r="O434" s="190"/>
      <c r="P434" s="204"/>
      <c r="Q434" s="142"/>
      <c r="T434" s="201"/>
      <c r="Z434" s="151"/>
      <c r="AB434" s="64"/>
      <c r="AC434" s="64"/>
      <c r="AD434" s="64"/>
      <c r="AE434" s="64"/>
      <c r="AF434" s="64"/>
      <c r="AG434" s="64"/>
      <c r="AH434" s="64"/>
      <c r="AI434" s="143"/>
      <c r="AJ434" s="134"/>
      <c r="AK434" s="194"/>
      <c r="AL434" s="90"/>
    </row>
    <row r="435" spans="1:38" ht="17.100000000000001" customHeight="1" x14ac:dyDescent="0.25">
      <c r="A435" s="197"/>
      <c r="G435" s="88"/>
      <c r="H435" s="182"/>
      <c r="L435" s="24"/>
      <c r="M435" s="24"/>
      <c r="N435" s="186"/>
      <c r="O435" s="190"/>
      <c r="P435" s="204"/>
      <c r="Q435" s="142"/>
      <c r="T435" s="201"/>
      <c r="Z435" s="151"/>
      <c r="AB435" s="64"/>
      <c r="AC435" s="64"/>
      <c r="AD435" s="64"/>
      <c r="AE435" s="64"/>
      <c r="AF435" s="64"/>
      <c r="AG435" s="64"/>
      <c r="AH435" s="64"/>
      <c r="AI435" s="143"/>
      <c r="AJ435" s="134"/>
      <c r="AK435" s="194"/>
      <c r="AL435" s="90"/>
    </row>
    <row r="436" spans="1:38" ht="17.100000000000001" customHeight="1" x14ac:dyDescent="0.25">
      <c r="A436" s="197"/>
      <c r="G436" s="88"/>
      <c r="H436" s="182"/>
      <c r="L436" s="24"/>
      <c r="M436" s="24"/>
      <c r="N436" s="186"/>
      <c r="O436" s="190"/>
      <c r="P436" s="204"/>
      <c r="Q436" s="142"/>
      <c r="T436" s="201"/>
      <c r="Z436" s="151"/>
      <c r="AB436" s="64"/>
      <c r="AC436" s="64"/>
      <c r="AD436" s="64"/>
      <c r="AE436" s="64"/>
      <c r="AF436" s="64"/>
      <c r="AG436" s="64"/>
      <c r="AH436" s="64"/>
      <c r="AI436" s="143"/>
      <c r="AJ436" s="134"/>
      <c r="AK436" s="194"/>
      <c r="AL436" s="90"/>
    </row>
    <row r="437" spans="1:38" ht="17.100000000000001" customHeight="1" x14ac:dyDescent="0.25">
      <c r="A437" s="197"/>
      <c r="G437" s="88"/>
      <c r="H437" s="182"/>
      <c r="L437" s="24"/>
      <c r="M437" s="24"/>
      <c r="N437" s="186"/>
      <c r="O437" s="190"/>
      <c r="P437" s="204"/>
      <c r="Q437" s="142"/>
      <c r="T437" s="201"/>
      <c r="Z437" s="151"/>
      <c r="AB437" s="64"/>
      <c r="AC437" s="64"/>
      <c r="AD437" s="64"/>
      <c r="AE437" s="64"/>
      <c r="AF437" s="64"/>
      <c r="AG437" s="64"/>
      <c r="AH437" s="64"/>
      <c r="AI437" s="143"/>
      <c r="AJ437" s="134"/>
      <c r="AK437" s="194"/>
      <c r="AL437" s="90"/>
    </row>
    <row r="438" spans="1:38" ht="17.100000000000001" customHeight="1" x14ac:dyDescent="0.25">
      <c r="A438" s="197"/>
      <c r="G438" s="88"/>
      <c r="H438" s="182"/>
      <c r="L438" s="24"/>
      <c r="M438" s="24"/>
      <c r="N438" s="186"/>
      <c r="O438" s="190"/>
      <c r="P438" s="204"/>
      <c r="Q438" s="142"/>
      <c r="T438" s="201"/>
      <c r="Z438" s="151"/>
      <c r="AB438" s="64"/>
      <c r="AC438" s="64"/>
      <c r="AD438" s="64"/>
      <c r="AE438" s="64"/>
      <c r="AF438" s="64"/>
      <c r="AG438" s="64"/>
      <c r="AH438" s="64"/>
      <c r="AI438" s="143"/>
      <c r="AJ438" s="134"/>
      <c r="AK438" s="194"/>
      <c r="AL438" s="90"/>
    </row>
    <row r="439" spans="1:38" ht="17.100000000000001" customHeight="1" x14ac:dyDescent="0.25">
      <c r="A439" s="197"/>
      <c r="G439" s="88"/>
      <c r="H439" s="182"/>
      <c r="L439" s="24"/>
      <c r="M439" s="24"/>
      <c r="N439" s="186"/>
      <c r="O439" s="190"/>
      <c r="P439" s="204"/>
      <c r="Q439" s="142"/>
      <c r="T439" s="201"/>
      <c r="Z439" s="151"/>
      <c r="AB439" s="64"/>
      <c r="AC439" s="64"/>
      <c r="AD439" s="64"/>
      <c r="AE439" s="64"/>
      <c r="AF439" s="64"/>
      <c r="AG439" s="64"/>
      <c r="AH439" s="64"/>
      <c r="AI439" s="143"/>
      <c r="AJ439" s="134"/>
      <c r="AK439" s="194"/>
      <c r="AL439" s="90"/>
    </row>
    <row r="440" spans="1:38" ht="17.100000000000001" customHeight="1" x14ac:dyDescent="0.25">
      <c r="A440" s="197"/>
      <c r="G440" s="88"/>
      <c r="H440" s="182"/>
      <c r="L440" s="24"/>
      <c r="M440" s="24"/>
      <c r="N440" s="186"/>
      <c r="O440" s="190"/>
      <c r="P440" s="204"/>
      <c r="Q440" s="142"/>
      <c r="T440" s="201"/>
      <c r="Z440" s="151"/>
      <c r="AB440" s="64"/>
      <c r="AC440" s="64"/>
      <c r="AD440" s="64"/>
      <c r="AE440" s="64"/>
      <c r="AF440" s="64"/>
      <c r="AG440" s="64"/>
      <c r="AH440" s="64"/>
      <c r="AI440" s="143"/>
      <c r="AJ440" s="134"/>
      <c r="AK440" s="194"/>
      <c r="AL440" s="90"/>
    </row>
    <row r="441" spans="1:38" ht="17.100000000000001" customHeight="1" x14ac:dyDescent="0.25">
      <c r="A441" s="197"/>
      <c r="G441" s="88"/>
      <c r="H441" s="182"/>
      <c r="L441" s="24"/>
      <c r="M441" s="24"/>
      <c r="N441" s="186"/>
      <c r="O441" s="190"/>
      <c r="P441" s="204"/>
      <c r="Q441" s="142"/>
      <c r="T441" s="201"/>
      <c r="Z441" s="151"/>
      <c r="AB441" s="64"/>
      <c r="AC441" s="64"/>
      <c r="AD441" s="64"/>
      <c r="AE441" s="64"/>
      <c r="AF441" s="64"/>
      <c r="AG441" s="64"/>
      <c r="AH441" s="64"/>
      <c r="AI441" s="143"/>
      <c r="AJ441" s="134"/>
      <c r="AK441" s="194"/>
      <c r="AL441" s="90"/>
    </row>
    <row r="442" spans="1:38" ht="17.100000000000001" customHeight="1" thickBot="1" x14ac:dyDescent="0.3">
      <c r="A442" s="197"/>
      <c r="G442" s="88"/>
      <c r="H442" s="182"/>
      <c r="L442" s="24"/>
      <c r="M442" s="24"/>
      <c r="N442" s="186"/>
      <c r="O442" s="190"/>
      <c r="P442" s="204"/>
      <c r="Q442" s="142"/>
      <c r="T442" s="201"/>
      <c r="Z442" s="151"/>
      <c r="AB442" s="64"/>
      <c r="AC442" s="64"/>
      <c r="AD442" s="64"/>
      <c r="AE442" s="64"/>
      <c r="AF442" s="64"/>
      <c r="AG442" s="64"/>
      <c r="AH442" s="64"/>
      <c r="AI442" s="143"/>
      <c r="AJ442" s="134"/>
      <c r="AK442" s="194"/>
      <c r="AL442" s="90"/>
    </row>
    <row r="443" spans="1:38" ht="17.100000000000001" customHeight="1" x14ac:dyDescent="0.25">
      <c r="A443" s="198"/>
      <c r="B443" s="153"/>
      <c r="C443" s="154"/>
      <c r="D443" s="154"/>
      <c r="E443" s="154"/>
      <c r="F443" s="154"/>
      <c r="G443" s="155"/>
      <c r="H443" s="183"/>
      <c r="I443" s="156"/>
      <c r="J443" s="157"/>
      <c r="K443" s="158"/>
      <c r="L443" s="158"/>
      <c r="M443" s="158"/>
      <c r="N443" s="187"/>
      <c r="O443" s="191"/>
      <c r="P443" s="205"/>
      <c r="Q443" s="159"/>
      <c r="R443" s="160"/>
      <c r="S443" s="158"/>
      <c r="T443" s="202"/>
      <c r="U443" s="161"/>
      <c r="V443" s="156"/>
      <c r="W443" s="162"/>
      <c r="X443" s="156"/>
      <c r="Y443" s="158"/>
      <c r="Z443" s="163"/>
      <c r="AA443" s="156"/>
      <c r="AB443" s="164"/>
      <c r="AC443" s="164"/>
      <c r="AD443" s="164"/>
      <c r="AE443" s="164"/>
      <c r="AF443" s="164"/>
      <c r="AG443" s="164"/>
      <c r="AH443" s="164"/>
      <c r="AI443" s="165"/>
      <c r="AJ443" s="134"/>
      <c r="AK443" s="195"/>
      <c r="AL443" s="170"/>
    </row>
    <row r="444" spans="1:38" ht="17.100000000000001" customHeight="1" x14ac:dyDescent="0.25">
      <c r="A444" s="197"/>
      <c r="G444" s="88"/>
      <c r="H444" s="182"/>
      <c r="L444" s="24"/>
      <c r="M444" s="24"/>
      <c r="N444" s="186"/>
      <c r="O444" s="190"/>
      <c r="P444" s="204"/>
      <c r="Q444" s="142"/>
      <c r="T444" s="201"/>
      <c r="Z444" s="151"/>
      <c r="AB444" s="64"/>
      <c r="AC444" s="64"/>
      <c r="AD444" s="64"/>
      <c r="AE444" s="64"/>
      <c r="AF444" s="64"/>
      <c r="AG444" s="64"/>
      <c r="AH444" s="64"/>
      <c r="AI444" s="143"/>
      <c r="AJ444" s="134"/>
      <c r="AK444" s="194"/>
      <c r="AL444" s="90"/>
    </row>
    <row r="445" spans="1:38" ht="17.100000000000001" customHeight="1" x14ac:dyDescent="0.25">
      <c r="A445" s="197"/>
      <c r="G445" s="88"/>
      <c r="H445" s="182"/>
      <c r="L445" s="24"/>
      <c r="M445" s="24"/>
      <c r="N445" s="186"/>
      <c r="O445" s="190"/>
      <c r="P445" s="204"/>
      <c r="Q445" s="142"/>
      <c r="T445" s="201"/>
      <c r="Z445" s="151"/>
      <c r="AB445" s="64"/>
      <c r="AC445" s="64"/>
      <c r="AD445" s="64"/>
      <c r="AE445" s="64"/>
      <c r="AF445" s="64"/>
      <c r="AG445" s="64"/>
      <c r="AH445" s="64"/>
      <c r="AI445" s="143"/>
      <c r="AJ445" s="134"/>
      <c r="AK445" s="194"/>
      <c r="AL445" s="90"/>
    </row>
    <row r="446" spans="1:38" ht="17.100000000000001" customHeight="1" x14ac:dyDescent="0.25">
      <c r="A446" s="197"/>
      <c r="G446" s="88"/>
      <c r="H446" s="182"/>
      <c r="L446" s="24"/>
      <c r="M446" s="24"/>
      <c r="N446" s="186"/>
      <c r="O446" s="190"/>
      <c r="P446" s="204"/>
      <c r="Q446" s="142"/>
      <c r="T446" s="201"/>
      <c r="Z446" s="151"/>
      <c r="AB446" s="64"/>
      <c r="AC446" s="64"/>
      <c r="AD446" s="64"/>
      <c r="AE446" s="64"/>
      <c r="AF446" s="64"/>
      <c r="AG446" s="64"/>
      <c r="AH446" s="64"/>
      <c r="AI446" s="143"/>
      <c r="AJ446" s="134"/>
      <c r="AK446" s="194"/>
      <c r="AL446" s="90"/>
    </row>
    <row r="447" spans="1:38" ht="17.100000000000001" customHeight="1" x14ac:dyDescent="0.25">
      <c r="A447" s="197"/>
      <c r="G447" s="88"/>
      <c r="H447" s="182"/>
      <c r="L447" s="24"/>
      <c r="M447" s="24"/>
      <c r="N447" s="186"/>
      <c r="O447" s="190"/>
      <c r="P447" s="204"/>
      <c r="Q447" s="142"/>
      <c r="T447" s="201"/>
      <c r="Z447" s="151"/>
      <c r="AB447" s="64"/>
      <c r="AC447" s="64"/>
      <c r="AD447" s="64"/>
      <c r="AE447" s="64"/>
      <c r="AF447" s="64"/>
      <c r="AG447" s="64"/>
      <c r="AH447" s="64"/>
      <c r="AI447" s="143"/>
      <c r="AJ447" s="134"/>
      <c r="AK447" s="194"/>
      <c r="AL447" s="90"/>
    </row>
    <row r="448" spans="1:38" ht="17.100000000000001" customHeight="1" x14ac:dyDescent="0.25">
      <c r="A448" s="197"/>
      <c r="G448" s="88"/>
      <c r="H448" s="182"/>
      <c r="L448" s="24"/>
      <c r="M448" s="24"/>
      <c r="N448" s="186"/>
      <c r="O448" s="190"/>
      <c r="P448" s="204"/>
      <c r="Q448" s="142"/>
      <c r="T448" s="201"/>
      <c r="Z448" s="151"/>
      <c r="AB448" s="64"/>
      <c r="AC448" s="64"/>
      <c r="AD448" s="64"/>
      <c r="AE448" s="64"/>
      <c r="AF448" s="64"/>
      <c r="AG448" s="64"/>
      <c r="AH448" s="64"/>
      <c r="AI448" s="143"/>
      <c r="AJ448" s="134"/>
      <c r="AK448" s="194"/>
      <c r="AL448" s="90"/>
    </row>
    <row r="449" spans="1:38" ht="17.100000000000001" customHeight="1" x14ac:dyDescent="0.25">
      <c r="A449" s="197"/>
      <c r="G449" s="88"/>
      <c r="H449" s="182"/>
      <c r="L449" s="24"/>
      <c r="M449" s="24"/>
      <c r="N449" s="186"/>
      <c r="O449" s="190"/>
      <c r="P449" s="204"/>
      <c r="Q449" s="142"/>
      <c r="T449" s="201"/>
      <c r="Z449" s="151"/>
      <c r="AB449" s="64"/>
      <c r="AC449" s="64"/>
      <c r="AD449" s="64"/>
      <c r="AE449" s="64"/>
      <c r="AF449" s="64"/>
      <c r="AG449" s="64"/>
      <c r="AH449" s="64"/>
      <c r="AI449" s="143"/>
      <c r="AJ449" s="134"/>
      <c r="AK449" s="194"/>
      <c r="AL449" s="90"/>
    </row>
    <row r="450" spans="1:38" ht="17.100000000000001" customHeight="1" x14ac:dyDescent="0.25">
      <c r="A450" s="197"/>
      <c r="G450" s="88"/>
      <c r="H450" s="182"/>
      <c r="L450" s="24"/>
      <c r="M450" s="24"/>
      <c r="N450" s="186"/>
      <c r="O450" s="190"/>
      <c r="P450" s="204"/>
      <c r="Q450" s="142"/>
      <c r="T450" s="201"/>
      <c r="Z450" s="151"/>
      <c r="AB450" s="64"/>
      <c r="AC450" s="64"/>
      <c r="AD450" s="64"/>
      <c r="AE450" s="64"/>
      <c r="AF450" s="64"/>
      <c r="AG450" s="64"/>
      <c r="AH450" s="64"/>
      <c r="AI450" s="143"/>
      <c r="AJ450" s="134"/>
      <c r="AK450" s="194"/>
      <c r="AL450" s="90"/>
    </row>
    <row r="451" spans="1:38" ht="17.100000000000001" customHeight="1" x14ac:dyDescent="0.25">
      <c r="A451" s="197"/>
      <c r="G451" s="88"/>
      <c r="H451" s="182"/>
      <c r="L451" s="24"/>
      <c r="M451" s="24"/>
      <c r="N451" s="186"/>
      <c r="O451" s="190"/>
      <c r="P451" s="204"/>
      <c r="Q451" s="142"/>
      <c r="T451" s="201"/>
      <c r="Z451" s="151"/>
      <c r="AB451" s="64"/>
      <c r="AC451" s="64"/>
      <c r="AD451" s="64"/>
      <c r="AE451" s="64"/>
      <c r="AF451" s="64"/>
      <c r="AG451" s="64"/>
      <c r="AH451" s="64"/>
      <c r="AI451" s="143"/>
      <c r="AJ451" s="134"/>
      <c r="AK451" s="194"/>
      <c r="AL451" s="90"/>
    </row>
    <row r="452" spans="1:38" ht="17.100000000000001" customHeight="1" x14ac:dyDescent="0.25">
      <c r="A452" s="197"/>
      <c r="G452" s="88"/>
      <c r="H452" s="182"/>
      <c r="L452" s="24"/>
      <c r="M452" s="24"/>
      <c r="N452" s="186"/>
      <c r="O452" s="190"/>
      <c r="P452" s="204"/>
      <c r="Q452" s="142"/>
      <c r="T452" s="201"/>
      <c r="Z452" s="151"/>
      <c r="AB452" s="64"/>
      <c r="AC452" s="64"/>
      <c r="AD452" s="64"/>
      <c r="AE452" s="64"/>
      <c r="AF452" s="64"/>
      <c r="AG452" s="64"/>
      <c r="AH452" s="64"/>
      <c r="AI452" s="143"/>
      <c r="AJ452" s="134"/>
      <c r="AK452" s="194"/>
      <c r="AL452" s="90"/>
    </row>
    <row r="453" spans="1:38" ht="17.100000000000001" customHeight="1" x14ac:dyDescent="0.25">
      <c r="A453" s="197"/>
      <c r="G453" s="88"/>
      <c r="H453" s="182"/>
      <c r="L453" s="24"/>
      <c r="M453" s="24"/>
      <c r="N453" s="186"/>
      <c r="O453" s="190"/>
      <c r="P453" s="204"/>
      <c r="Q453" s="142"/>
      <c r="T453" s="201"/>
      <c r="Z453" s="151"/>
      <c r="AB453" s="64"/>
      <c r="AC453" s="64"/>
      <c r="AD453" s="64"/>
      <c r="AE453" s="64"/>
      <c r="AF453" s="64"/>
      <c r="AG453" s="64"/>
      <c r="AH453" s="64"/>
      <c r="AI453" s="143"/>
      <c r="AJ453" s="134"/>
      <c r="AK453" s="194"/>
      <c r="AL453" s="90"/>
    </row>
    <row r="454" spans="1:38" ht="17.100000000000001" customHeight="1" x14ac:dyDescent="0.25">
      <c r="A454" s="197"/>
      <c r="G454" s="88"/>
      <c r="H454" s="182"/>
      <c r="L454" s="24"/>
      <c r="M454" s="24"/>
      <c r="N454" s="186"/>
      <c r="O454" s="190"/>
      <c r="P454" s="204"/>
      <c r="Q454" s="142"/>
      <c r="T454" s="201"/>
      <c r="Z454" s="151"/>
      <c r="AB454" s="64"/>
      <c r="AC454" s="64"/>
      <c r="AD454" s="64"/>
      <c r="AE454" s="64"/>
      <c r="AF454" s="64"/>
      <c r="AG454" s="64"/>
      <c r="AH454" s="64"/>
      <c r="AI454" s="143"/>
      <c r="AJ454" s="134"/>
      <c r="AK454" s="194"/>
      <c r="AL454" s="90"/>
    </row>
    <row r="455" spans="1:38" ht="17.100000000000001" customHeight="1" x14ac:dyDescent="0.25">
      <c r="A455" s="197"/>
      <c r="G455" s="88"/>
      <c r="H455" s="182"/>
      <c r="L455" s="24"/>
      <c r="M455" s="24"/>
      <c r="N455" s="186"/>
      <c r="O455" s="190"/>
      <c r="P455" s="204"/>
      <c r="Q455" s="142"/>
      <c r="T455" s="201"/>
      <c r="Z455" s="151"/>
      <c r="AB455" s="64"/>
      <c r="AC455" s="64"/>
      <c r="AD455" s="64"/>
      <c r="AE455" s="64"/>
      <c r="AF455" s="64"/>
      <c r="AG455" s="64"/>
      <c r="AH455" s="64"/>
      <c r="AI455" s="143"/>
      <c r="AJ455" s="134"/>
      <c r="AK455" s="194"/>
      <c r="AL455" s="90"/>
    </row>
    <row r="456" spans="1:38" ht="17.100000000000001" customHeight="1" x14ac:dyDescent="0.25">
      <c r="A456" s="197"/>
      <c r="G456" s="88"/>
      <c r="H456" s="182"/>
      <c r="L456" s="24"/>
      <c r="M456" s="24"/>
      <c r="N456" s="186"/>
      <c r="O456" s="190"/>
      <c r="P456" s="204"/>
      <c r="Q456" s="142"/>
      <c r="T456" s="201"/>
      <c r="Z456" s="151"/>
      <c r="AB456" s="64"/>
      <c r="AC456" s="64"/>
      <c r="AD456" s="64"/>
      <c r="AE456" s="64"/>
      <c r="AF456" s="64"/>
      <c r="AG456" s="64"/>
      <c r="AH456" s="64"/>
      <c r="AI456" s="143"/>
      <c r="AJ456" s="134"/>
      <c r="AK456" s="194"/>
      <c r="AL456" s="90"/>
    </row>
    <row r="457" spans="1:38" ht="17.100000000000001" customHeight="1" x14ac:dyDescent="0.25">
      <c r="A457" s="197"/>
      <c r="G457" s="88"/>
      <c r="H457" s="182"/>
      <c r="L457" s="24"/>
      <c r="M457" s="24"/>
      <c r="N457" s="186"/>
      <c r="O457" s="190"/>
      <c r="P457" s="204"/>
      <c r="Q457" s="142"/>
      <c r="T457" s="201"/>
      <c r="Z457" s="151"/>
      <c r="AB457" s="64"/>
      <c r="AC457" s="64"/>
      <c r="AD457" s="64"/>
      <c r="AE457" s="64"/>
      <c r="AF457" s="64"/>
      <c r="AG457" s="64"/>
      <c r="AH457" s="64"/>
      <c r="AI457" s="143"/>
      <c r="AJ457" s="134"/>
      <c r="AK457" s="194"/>
      <c r="AL457" s="90"/>
    </row>
    <row r="458" spans="1:38" ht="17.100000000000001" customHeight="1" x14ac:dyDescent="0.25">
      <c r="A458" s="197"/>
      <c r="G458" s="88"/>
      <c r="H458" s="182"/>
      <c r="L458" s="24"/>
      <c r="M458" s="24"/>
      <c r="N458" s="186"/>
      <c r="O458" s="190"/>
      <c r="P458" s="204"/>
      <c r="Q458" s="142"/>
      <c r="T458" s="201"/>
      <c r="Z458" s="151"/>
      <c r="AB458" s="64"/>
      <c r="AC458" s="64"/>
      <c r="AD458" s="64"/>
      <c r="AE458" s="64"/>
      <c r="AF458" s="64"/>
      <c r="AG458" s="64"/>
      <c r="AH458" s="64"/>
      <c r="AI458" s="143"/>
      <c r="AJ458" s="134"/>
      <c r="AK458" s="194"/>
      <c r="AL458" s="90"/>
    </row>
    <row r="459" spans="1:38" ht="17.100000000000001" customHeight="1" x14ac:dyDescent="0.25">
      <c r="A459" s="197"/>
      <c r="G459" s="88"/>
      <c r="H459" s="182"/>
      <c r="L459" s="24"/>
      <c r="M459" s="24"/>
      <c r="N459" s="186"/>
      <c r="O459" s="190"/>
      <c r="P459" s="204"/>
      <c r="Q459" s="142"/>
      <c r="T459" s="201"/>
      <c r="Z459" s="151"/>
      <c r="AB459" s="64"/>
      <c r="AC459" s="64"/>
      <c r="AD459" s="64"/>
      <c r="AE459" s="64"/>
      <c r="AF459" s="64"/>
      <c r="AG459" s="64"/>
      <c r="AH459" s="64"/>
      <c r="AI459" s="143"/>
      <c r="AJ459" s="134"/>
      <c r="AK459" s="194"/>
      <c r="AL459" s="90"/>
    </row>
    <row r="460" spans="1:38" ht="17.100000000000001" customHeight="1" x14ac:dyDescent="0.25">
      <c r="A460" s="197"/>
      <c r="G460" s="88"/>
      <c r="H460" s="182"/>
      <c r="L460" s="24"/>
      <c r="M460" s="24"/>
      <c r="N460" s="186"/>
      <c r="O460" s="190"/>
      <c r="P460" s="204"/>
      <c r="Q460" s="142"/>
      <c r="T460" s="201"/>
      <c r="Z460" s="151"/>
      <c r="AB460" s="64"/>
      <c r="AC460" s="64"/>
      <c r="AD460" s="64"/>
      <c r="AE460" s="64"/>
      <c r="AF460" s="64"/>
      <c r="AG460" s="64"/>
      <c r="AH460" s="64"/>
      <c r="AI460" s="143"/>
      <c r="AJ460" s="134"/>
      <c r="AK460" s="194"/>
      <c r="AL460" s="90"/>
    </row>
    <row r="461" spans="1:38" ht="17.100000000000001" customHeight="1" x14ac:dyDescent="0.25">
      <c r="A461" s="197"/>
      <c r="G461" s="88"/>
      <c r="H461" s="182"/>
      <c r="L461" s="24"/>
      <c r="M461" s="24"/>
      <c r="N461" s="186"/>
      <c r="O461" s="190"/>
      <c r="P461" s="204"/>
      <c r="Q461" s="142"/>
      <c r="T461" s="201"/>
      <c r="Z461" s="151"/>
      <c r="AB461" s="64"/>
      <c r="AC461" s="64"/>
      <c r="AD461" s="64"/>
      <c r="AE461" s="64"/>
      <c r="AF461" s="64"/>
      <c r="AG461" s="64"/>
      <c r="AH461" s="64"/>
      <c r="AI461" s="143"/>
      <c r="AJ461" s="134"/>
      <c r="AK461" s="194"/>
      <c r="AL461" s="90"/>
    </row>
    <row r="462" spans="1:38" ht="17.100000000000001" customHeight="1" x14ac:dyDescent="0.25">
      <c r="A462" s="197"/>
      <c r="G462" s="88"/>
      <c r="H462" s="182"/>
      <c r="L462" s="24"/>
      <c r="M462" s="24"/>
      <c r="N462" s="186"/>
      <c r="O462" s="190"/>
      <c r="P462" s="204"/>
      <c r="Q462" s="142"/>
      <c r="T462" s="201"/>
      <c r="Z462" s="151"/>
      <c r="AB462" s="64"/>
      <c r="AC462" s="64"/>
      <c r="AD462" s="64"/>
      <c r="AE462" s="64"/>
      <c r="AF462" s="64"/>
      <c r="AG462" s="64"/>
      <c r="AH462" s="64"/>
      <c r="AI462" s="143"/>
      <c r="AJ462" s="134"/>
      <c r="AK462" s="194"/>
      <c r="AL462" s="90"/>
    </row>
    <row r="463" spans="1:38" ht="17.100000000000001" customHeight="1" x14ac:dyDescent="0.25">
      <c r="A463" s="197"/>
      <c r="G463" s="88"/>
      <c r="H463" s="182"/>
      <c r="L463" s="24"/>
      <c r="M463" s="24"/>
      <c r="N463" s="186"/>
      <c r="O463" s="190"/>
      <c r="P463" s="204"/>
      <c r="Q463" s="142"/>
      <c r="T463" s="201"/>
      <c r="Z463" s="151"/>
      <c r="AB463" s="64"/>
      <c r="AC463" s="64"/>
      <c r="AD463" s="64"/>
      <c r="AE463" s="64"/>
      <c r="AF463" s="64"/>
      <c r="AG463" s="64"/>
      <c r="AH463" s="64"/>
      <c r="AI463" s="143"/>
      <c r="AJ463" s="134"/>
      <c r="AK463" s="194"/>
      <c r="AL463" s="90"/>
    </row>
    <row r="464" spans="1:38" ht="17.100000000000001" customHeight="1" x14ac:dyDescent="0.25">
      <c r="A464" s="197"/>
      <c r="G464" s="88"/>
      <c r="H464" s="182"/>
      <c r="L464" s="24"/>
      <c r="M464" s="24"/>
      <c r="N464" s="186"/>
      <c r="O464" s="190"/>
      <c r="P464" s="204"/>
      <c r="Q464" s="142"/>
      <c r="T464" s="201"/>
      <c r="Z464" s="151"/>
      <c r="AB464" s="64"/>
      <c r="AC464" s="64"/>
      <c r="AD464" s="64"/>
      <c r="AE464" s="64"/>
      <c r="AF464" s="64"/>
      <c r="AG464" s="64"/>
      <c r="AH464" s="64"/>
      <c r="AI464" s="143"/>
      <c r="AJ464" s="134"/>
      <c r="AK464" s="194"/>
      <c r="AL464" s="90"/>
    </row>
    <row r="465" spans="1:38" ht="17.100000000000001" customHeight="1" x14ac:dyDescent="0.25">
      <c r="A465" s="197"/>
      <c r="G465" s="88"/>
      <c r="H465" s="182"/>
      <c r="L465" s="24"/>
      <c r="M465" s="24"/>
      <c r="N465" s="186"/>
      <c r="O465" s="190"/>
      <c r="P465" s="204"/>
      <c r="Q465" s="142"/>
      <c r="T465" s="201"/>
      <c r="Z465" s="151"/>
      <c r="AB465" s="64"/>
      <c r="AC465" s="64"/>
      <c r="AD465" s="64"/>
      <c r="AE465" s="64"/>
      <c r="AF465" s="64"/>
      <c r="AG465" s="64"/>
      <c r="AH465" s="64"/>
      <c r="AI465" s="143"/>
      <c r="AJ465" s="134"/>
      <c r="AK465" s="194"/>
      <c r="AL465" s="90"/>
    </row>
    <row r="466" spans="1:38" ht="17.100000000000001" customHeight="1" x14ac:dyDescent="0.25">
      <c r="A466" s="197"/>
      <c r="G466" s="88"/>
      <c r="H466" s="182"/>
      <c r="L466" s="24"/>
      <c r="M466" s="24"/>
      <c r="N466" s="186"/>
      <c r="O466" s="190"/>
      <c r="P466" s="204"/>
      <c r="Q466" s="142"/>
      <c r="T466" s="201"/>
      <c r="Z466" s="151"/>
      <c r="AB466" s="64"/>
      <c r="AC466" s="64"/>
      <c r="AD466" s="64"/>
      <c r="AE466" s="64"/>
      <c r="AF466" s="64"/>
      <c r="AG466" s="64"/>
      <c r="AH466" s="64"/>
      <c r="AI466" s="143"/>
      <c r="AJ466" s="134"/>
      <c r="AK466" s="194"/>
      <c r="AL466" s="90"/>
    </row>
    <row r="467" spans="1:38" ht="17.100000000000001" customHeight="1" thickBot="1" x14ac:dyDescent="0.3">
      <c r="A467" s="197"/>
      <c r="G467" s="88"/>
      <c r="H467" s="182"/>
      <c r="L467" s="24"/>
      <c r="M467" s="24"/>
      <c r="N467" s="186"/>
      <c r="O467" s="190"/>
      <c r="P467" s="204"/>
      <c r="Q467" s="142"/>
      <c r="T467" s="201"/>
      <c r="Z467" s="151"/>
      <c r="AB467" s="64"/>
      <c r="AC467" s="64"/>
      <c r="AD467" s="64"/>
      <c r="AE467" s="64"/>
      <c r="AF467" s="64"/>
      <c r="AG467" s="64"/>
      <c r="AH467" s="64"/>
      <c r="AI467" s="143"/>
      <c r="AJ467" s="134"/>
      <c r="AK467" s="194"/>
      <c r="AL467" s="90"/>
    </row>
    <row r="468" spans="1:38" ht="17.100000000000001" customHeight="1" x14ac:dyDescent="0.25">
      <c r="A468" s="198"/>
      <c r="B468" s="153"/>
      <c r="C468" s="154"/>
      <c r="D468" s="154"/>
      <c r="E468" s="154"/>
      <c r="F468" s="154"/>
      <c r="G468" s="155"/>
      <c r="H468" s="183"/>
      <c r="I468" s="156"/>
      <c r="J468" s="157"/>
      <c r="K468" s="158"/>
      <c r="L468" s="158"/>
      <c r="M468" s="158"/>
      <c r="N468" s="187"/>
      <c r="O468" s="191"/>
      <c r="P468" s="205"/>
      <c r="Q468" s="159"/>
      <c r="R468" s="160"/>
      <c r="S468" s="158"/>
      <c r="T468" s="202"/>
      <c r="U468" s="161"/>
      <c r="V468" s="156"/>
      <c r="W468" s="162"/>
      <c r="X468" s="156"/>
      <c r="Y468" s="158"/>
      <c r="Z468" s="163"/>
      <c r="AA468" s="156"/>
      <c r="AB468" s="164"/>
      <c r="AC468" s="164"/>
      <c r="AD468" s="164"/>
      <c r="AE468" s="164"/>
      <c r="AF468" s="164"/>
      <c r="AG468" s="164"/>
      <c r="AH468" s="164"/>
      <c r="AI468" s="165"/>
      <c r="AJ468" s="134"/>
      <c r="AK468" s="195"/>
      <c r="AL468" s="170"/>
    </row>
    <row r="469" spans="1:38" ht="17.100000000000001" customHeight="1" x14ac:dyDescent="0.25">
      <c r="A469" s="197"/>
      <c r="G469" s="88"/>
      <c r="H469" s="182"/>
      <c r="L469" s="24"/>
      <c r="M469" s="24"/>
      <c r="N469" s="186"/>
      <c r="O469" s="190"/>
      <c r="P469" s="204"/>
      <c r="Q469" s="142"/>
      <c r="T469" s="201"/>
      <c r="Z469" s="151"/>
      <c r="AB469" s="64"/>
      <c r="AC469" s="64"/>
      <c r="AD469" s="64"/>
      <c r="AE469" s="64"/>
      <c r="AF469" s="64"/>
      <c r="AG469" s="64"/>
      <c r="AH469" s="64"/>
      <c r="AI469" s="143"/>
      <c r="AJ469" s="134"/>
      <c r="AK469" s="194"/>
      <c r="AL469" s="90"/>
    </row>
    <row r="470" spans="1:38" ht="17.100000000000001" customHeight="1" x14ac:dyDescent="0.25">
      <c r="A470" s="197"/>
      <c r="G470" s="88"/>
      <c r="H470" s="182"/>
      <c r="L470" s="24"/>
      <c r="M470" s="24"/>
      <c r="N470" s="186"/>
      <c r="O470" s="190"/>
      <c r="P470" s="204"/>
      <c r="Q470" s="142"/>
      <c r="T470" s="201"/>
      <c r="Z470" s="151"/>
      <c r="AB470" s="64"/>
      <c r="AC470" s="64"/>
      <c r="AD470" s="64"/>
      <c r="AE470" s="64"/>
      <c r="AF470" s="64"/>
      <c r="AG470" s="64"/>
      <c r="AH470" s="64"/>
      <c r="AI470" s="143"/>
      <c r="AJ470" s="134"/>
      <c r="AK470" s="194"/>
      <c r="AL470" s="90"/>
    </row>
    <row r="471" spans="1:38" ht="17.100000000000001" customHeight="1" x14ac:dyDescent="0.25">
      <c r="A471" s="197"/>
      <c r="G471" s="88"/>
      <c r="H471" s="182"/>
      <c r="L471" s="24"/>
      <c r="M471" s="24"/>
      <c r="N471" s="186"/>
      <c r="O471" s="190"/>
      <c r="P471" s="204"/>
      <c r="Q471" s="142"/>
      <c r="T471" s="201"/>
      <c r="Z471" s="151"/>
      <c r="AB471" s="64"/>
      <c r="AC471" s="64"/>
      <c r="AD471" s="64"/>
      <c r="AE471" s="64"/>
      <c r="AF471" s="64"/>
      <c r="AG471" s="64"/>
      <c r="AH471" s="64"/>
      <c r="AI471" s="143"/>
      <c r="AJ471" s="134"/>
      <c r="AK471" s="194"/>
      <c r="AL471" s="90"/>
    </row>
    <row r="472" spans="1:38" ht="17.100000000000001" customHeight="1" x14ac:dyDescent="0.25">
      <c r="A472" s="197"/>
      <c r="G472" s="88"/>
      <c r="H472" s="182"/>
      <c r="L472" s="24"/>
      <c r="M472" s="24"/>
      <c r="N472" s="186"/>
      <c r="O472" s="190"/>
      <c r="P472" s="204"/>
      <c r="Q472" s="142"/>
      <c r="T472" s="201"/>
      <c r="Z472" s="151"/>
      <c r="AB472" s="64"/>
      <c r="AC472" s="64"/>
      <c r="AD472" s="64"/>
      <c r="AE472" s="64"/>
      <c r="AF472" s="64"/>
      <c r="AG472" s="64"/>
      <c r="AH472" s="64"/>
      <c r="AI472" s="143"/>
      <c r="AJ472" s="134"/>
      <c r="AK472" s="194"/>
      <c r="AL472" s="90"/>
    </row>
    <row r="473" spans="1:38" ht="17.100000000000001" customHeight="1" x14ac:dyDescent="0.25">
      <c r="A473" s="197"/>
      <c r="G473" s="88"/>
      <c r="H473" s="182"/>
      <c r="L473" s="24"/>
      <c r="M473" s="24"/>
      <c r="N473" s="186"/>
      <c r="O473" s="190"/>
      <c r="P473" s="204"/>
      <c r="Q473" s="142"/>
      <c r="T473" s="201"/>
      <c r="Z473" s="151"/>
      <c r="AB473" s="64"/>
      <c r="AC473" s="64"/>
      <c r="AD473" s="64"/>
      <c r="AE473" s="64"/>
      <c r="AF473" s="64"/>
      <c r="AG473" s="64"/>
      <c r="AH473" s="64"/>
      <c r="AI473" s="143"/>
      <c r="AJ473" s="134"/>
      <c r="AK473" s="194"/>
      <c r="AL473" s="90"/>
    </row>
    <row r="474" spans="1:38" ht="17.100000000000001" customHeight="1" x14ac:dyDescent="0.25">
      <c r="A474" s="197"/>
      <c r="G474" s="88"/>
      <c r="H474" s="182"/>
      <c r="L474" s="24"/>
      <c r="M474" s="24"/>
      <c r="N474" s="186"/>
      <c r="O474" s="190"/>
      <c r="P474" s="204"/>
      <c r="Q474" s="142"/>
      <c r="T474" s="201"/>
      <c r="Z474" s="151"/>
      <c r="AB474" s="64"/>
      <c r="AC474" s="64"/>
      <c r="AD474" s="64"/>
      <c r="AE474" s="64"/>
      <c r="AF474" s="64"/>
      <c r="AG474" s="64"/>
      <c r="AH474" s="64"/>
      <c r="AI474" s="143"/>
      <c r="AJ474" s="134"/>
      <c r="AK474" s="194"/>
      <c r="AL474" s="90"/>
    </row>
    <row r="475" spans="1:38" ht="17.100000000000001" customHeight="1" x14ac:dyDescent="0.25">
      <c r="A475" s="197"/>
      <c r="G475" s="88"/>
      <c r="H475" s="182"/>
      <c r="L475" s="24"/>
      <c r="M475" s="24"/>
      <c r="N475" s="186"/>
      <c r="O475" s="190"/>
      <c r="P475" s="204"/>
      <c r="Q475" s="142"/>
      <c r="T475" s="201"/>
      <c r="Z475" s="151"/>
      <c r="AB475" s="64"/>
      <c r="AC475" s="64"/>
      <c r="AD475" s="64"/>
      <c r="AE475" s="64"/>
      <c r="AF475" s="64"/>
      <c r="AG475" s="64"/>
      <c r="AH475" s="64"/>
      <c r="AI475" s="143"/>
      <c r="AJ475" s="134"/>
      <c r="AK475" s="194"/>
      <c r="AL475" s="90"/>
    </row>
    <row r="476" spans="1:38" ht="17.100000000000001" customHeight="1" x14ac:dyDescent="0.25">
      <c r="A476" s="197"/>
      <c r="G476" s="88"/>
      <c r="H476" s="182"/>
      <c r="L476" s="24"/>
      <c r="M476" s="24"/>
      <c r="N476" s="186"/>
      <c r="O476" s="190"/>
      <c r="P476" s="204"/>
      <c r="Q476" s="142"/>
      <c r="T476" s="201"/>
      <c r="Z476" s="151"/>
      <c r="AB476" s="64"/>
      <c r="AC476" s="64"/>
      <c r="AD476" s="64"/>
      <c r="AE476" s="64"/>
      <c r="AF476" s="64"/>
      <c r="AG476" s="64"/>
      <c r="AH476" s="64"/>
      <c r="AI476" s="143"/>
      <c r="AJ476" s="134"/>
      <c r="AK476" s="194"/>
      <c r="AL476" s="90"/>
    </row>
    <row r="477" spans="1:38" ht="17.100000000000001" customHeight="1" x14ac:dyDescent="0.25">
      <c r="A477" s="197"/>
      <c r="G477" s="88"/>
      <c r="H477" s="182"/>
      <c r="L477" s="24"/>
      <c r="M477" s="24"/>
      <c r="N477" s="186"/>
      <c r="O477" s="190"/>
      <c r="P477" s="204"/>
      <c r="Q477" s="142"/>
      <c r="T477" s="201"/>
      <c r="Z477" s="151"/>
      <c r="AB477" s="64"/>
      <c r="AC477" s="64"/>
      <c r="AD477" s="64"/>
      <c r="AE477" s="64"/>
      <c r="AF477" s="64"/>
      <c r="AG477" s="64"/>
      <c r="AH477" s="64"/>
      <c r="AI477" s="143"/>
      <c r="AJ477" s="134"/>
      <c r="AK477" s="194"/>
      <c r="AL477" s="90"/>
    </row>
    <row r="478" spans="1:38" ht="17.100000000000001" customHeight="1" x14ac:dyDescent="0.25">
      <c r="A478" s="197"/>
      <c r="G478" s="88"/>
      <c r="H478" s="182"/>
      <c r="L478" s="24"/>
      <c r="M478" s="24"/>
      <c r="N478" s="186"/>
      <c r="O478" s="190"/>
      <c r="P478" s="204"/>
      <c r="Q478" s="142"/>
      <c r="T478" s="201"/>
      <c r="Z478" s="151"/>
      <c r="AB478" s="64"/>
      <c r="AC478" s="64"/>
      <c r="AD478" s="64"/>
      <c r="AE478" s="64"/>
      <c r="AF478" s="64"/>
      <c r="AG478" s="64"/>
      <c r="AH478" s="64"/>
      <c r="AI478" s="143"/>
      <c r="AJ478" s="134"/>
      <c r="AK478" s="194"/>
      <c r="AL478" s="90"/>
    </row>
    <row r="479" spans="1:38" ht="17.100000000000001" customHeight="1" x14ac:dyDescent="0.25">
      <c r="A479" s="197"/>
      <c r="G479" s="88"/>
      <c r="H479" s="182"/>
      <c r="L479" s="24"/>
      <c r="M479" s="24"/>
      <c r="N479" s="186"/>
      <c r="O479" s="190"/>
      <c r="P479" s="204"/>
      <c r="Q479" s="142"/>
      <c r="T479" s="201"/>
      <c r="Z479" s="151"/>
      <c r="AB479" s="64"/>
      <c r="AC479" s="64"/>
      <c r="AD479" s="64"/>
      <c r="AE479" s="64"/>
      <c r="AF479" s="64"/>
      <c r="AG479" s="64"/>
      <c r="AH479" s="64"/>
      <c r="AI479" s="143"/>
      <c r="AJ479" s="134"/>
      <c r="AK479" s="194"/>
      <c r="AL479" s="90"/>
    </row>
    <row r="480" spans="1:38" ht="17.100000000000001" customHeight="1" x14ac:dyDescent="0.25">
      <c r="A480" s="197"/>
      <c r="G480" s="88"/>
      <c r="H480" s="182"/>
      <c r="L480" s="24"/>
      <c r="M480" s="24"/>
      <c r="N480" s="186"/>
      <c r="O480" s="190"/>
      <c r="P480" s="204"/>
      <c r="Q480" s="142"/>
      <c r="T480" s="201"/>
      <c r="Z480" s="151"/>
      <c r="AB480" s="64"/>
      <c r="AC480" s="64"/>
      <c r="AD480" s="64"/>
      <c r="AE480" s="64"/>
      <c r="AF480" s="64"/>
      <c r="AG480" s="64"/>
      <c r="AH480" s="64"/>
      <c r="AI480" s="143"/>
      <c r="AJ480" s="134"/>
      <c r="AK480" s="194"/>
      <c r="AL480" s="90"/>
    </row>
    <row r="481" spans="1:38" ht="17.100000000000001" customHeight="1" x14ac:dyDescent="0.25">
      <c r="A481" s="197"/>
      <c r="G481" s="88"/>
      <c r="H481" s="182"/>
      <c r="L481" s="24"/>
      <c r="M481" s="24"/>
      <c r="N481" s="186"/>
      <c r="O481" s="190"/>
      <c r="P481" s="204"/>
      <c r="Q481" s="142"/>
      <c r="T481" s="201"/>
      <c r="Z481" s="151"/>
      <c r="AB481" s="64"/>
      <c r="AC481" s="64"/>
      <c r="AD481" s="64"/>
      <c r="AE481" s="64"/>
      <c r="AF481" s="64"/>
      <c r="AG481" s="64"/>
      <c r="AH481" s="64"/>
      <c r="AI481" s="143"/>
      <c r="AJ481" s="134"/>
      <c r="AK481" s="194"/>
      <c r="AL481" s="90"/>
    </row>
    <row r="482" spans="1:38" ht="17.100000000000001" customHeight="1" x14ac:dyDescent="0.25">
      <c r="A482" s="197"/>
      <c r="G482" s="88"/>
      <c r="H482" s="182"/>
      <c r="L482" s="24"/>
      <c r="M482" s="24"/>
      <c r="N482" s="186"/>
      <c r="O482" s="190"/>
      <c r="P482" s="204"/>
      <c r="Q482" s="142"/>
      <c r="T482" s="201"/>
      <c r="Z482" s="151"/>
      <c r="AB482" s="64"/>
      <c r="AC482" s="64"/>
      <c r="AD482" s="64"/>
      <c r="AE482" s="64"/>
      <c r="AF482" s="64"/>
      <c r="AG482" s="64"/>
      <c r="AH482" s="64"/>
      <c r="AI482" s="143"/>
      <c r="AJ482" s="134"/>
      <c r="AK482" s="194"/>
      <c r="AL482" s="90"/>
    </row>
    <row r="483" spans="1:38" ht="17.100000000000001" customHeight="1" x14ac:dyDescent="0.25">
      <c r="A483" s="197"/>
      <c r="G483" s="88"/>
      <c r="H483" s="182"/>
      <c r="L483" s="24"/>
      <c r="M483" s="24"/>
      <c r="N483" s="186"/>
      <c r="O483" s="190"/>
      <c r="P483" s="204"/>
      <c r="Q483" s="142"/>
      <c r="T483" s="201"/>
      <c r="Z483" s="151"/>
      <c r="AB483" s="64"/>
      <c r="AC483" s="64"/>
      <c r="AD483" s="64"/>
      <c r="AE483" s="64"/>
      <c r="AF483" s="64"/>
      <c r="AG483" s="64"/>
      <c r="AH483" s="64"/>
      <c r="AI483" s="143"/>
      <c r="AJ483" s="134"/>
      <c r="AK483" s="194"/>
      <c r="AL483" s="90"/>
    </row>
    <row r="484" spans="1:38" ht="17.100000000000001" customHeight="1" x14ac:dyDescent="0.25">
      <c r="A484" s="197"/>
      <c r="G484" s="88"/>
      <c r="H484" s="182"/>
      <c r="L484" s="24"/>
      <c r="M484" s="24"/>
      <c r="N484" s="186"/>
      <c r="O484" s="190"/>
      <c r="P484" s="204"/>
      <c r="Q484" s="142"/>
      <c r="T484" s="201"/>
      <c r="Z484" s="151"/>
      <c r="AB484" s="64"/>
      <c r="AC484" s="64"/>
      <c r="AD484" s="64"/>
      <c r="AE484" s="64"/>
      <c r="AF484" s="64"/>
      <c r="AG484" s="64"/>
      <c r="AH484" s="64"/>
      <c r="AI484" s="143"/>
      <c r="AJ484" s="134"/>
      <c r="AK484" s="194"/>
      <c r="AL484" s="90"/>
    </row>
    <row r="485" spans="1:38" ht="17.100000000000001" customHeight="1" x14ac:dyDescent="0.25">
      <c r="A485" s="197"/>
      <c r="G485" s="88"/>
      <c r="H485" s="182"/>
      <c r="L485" s="24"/>
      <c r="M485" s="24"/>
      <c r="N485" s="186"/>
      <c r="O485" s="190"/>
      <c r="P485" s="204"/>
      <c r="Q485" s="142"/>
      <c r="T485" s="201"/>
      <c r="Z485" s="151"/>
      <c r="AB485" s="64"/>
      <c r="AC485" s="64"/>
      <c r="AD485" s="64"/>
      <c r="AE485" s="64"/>
      <c r="AF485" s="64"/>
      <c r="AG485" s="64"/>
      <c r="AH485" s="64"/>
      <c r="AI485" s="143"/>
      <c r="AJ485" s="134"/>
      <c r="AK485" s="194"/>
      <c r="AL485" s="90"/>
    </row>
    <row r="486" spans="1:38" ht="17.100000000000001" customHeight="1" x14ac:dyDescent="0.25">
      <c r="A486" s="197"/>
      <c r="G486" s="88"/>
      <c r="H486" s="182"/>
      <c r="L486" s="24"/>
      <c r="M486" s="24"/>
      <c r="N486" s="186"/>
      <c r="O486" s="190"/>
      <c r="P486" s="204"/>
      <c r="Q486" s="142"/>
      <c r="T486" s="201"/>
      <c r="Z486" s="151"/>
      <c r="AB486" s="64"/>
      <c r="AC486" s="64"/>
      <c r="AD486" s="64"/>
      <c r="AE486" s="64"/>
      <c r="AF486" s="64"/>
      <c r="AG486" s="64"/>
      <c r="AH486" s="64"/>
      <c r="AI486" s="143"/>
      <c r="AJ486" s="134"/>
      <c r="AK486" s="194"/>
      <c r="AL486" s="90"/>
    </row>
    <row r="487" spans="1:38" ht="17.100000000000001" customHeight="1" x14ac:dyDescent="0.25">
      <c r="A487" s="197"/>
      <c r="G487" s="88"/>
      <c r="H487" s="182"/>
      <c r="L487" s="24"/>
      <c r="M487" s="24"/>
      <c r="N487" s="186"/>
      <c r="O487" s="190"/>
      <c r="P487" s="204"/>
      <c r="Q487" s="142"/>
      <c r="T487" s="201"/>
      <c r="Z487" s="151"/>
      <c r="AB487" s="64"/>
      <c r="AC487" s="64"/>
      <c r="AD487" s="64"/>
      <c r="AE487" s="64"/>
      <c r="AF487" s="64"/>
      <c r="AG487" s="64"/>
      <c r="AH487" s="64"/>
      <c r="AI487" s="143"/>
      <c r="AJ487" s="134"/>
      <c r="AK487" s="194"/>
      <c r="AL487" s="90"/>
    </row>
    <row r="488" spans="1:38" ht="17.100000000000001" customHeight="1" x14ac:dyDescent="0.25">
      <c r="A488" s="197"/>
      <c r="G488" s="88"/>
      <c r="H488" s="182"/>
      <c r="L488" s="24"/>
      <c r="M488" s="24"/>
      <c r="N488" s="186"/>
      <c r="O488" s="190"/>
      <c r="P488" s="204"/>
      <c r="Q488" s="142"/>
      <c r="T488" s="201"/>
      <c r="Z488" s="151"/>
      <c r="AB488" s="64"/>
      <c r="AC488" s="64"/>
      <c r="AD488" s="64"/>
      <c r="AE488" s="64"/>
      <c r="AF488" s="64"/>
      <c r="AG488" s="64"/>
      <c r="AH488" s="64"/>
      <c r="AI488" s="143"/>
      <c r="AJ488" s="134"/>
      <c r="AK488" s="194"/>
      <c r="AL488" s="90"/>
    </row>
    <row r="489" spans="1:38" ht="17.100000000000001" customHeight="1" x14ac:dyDescent="0.25">
      <c r="A489" s="197"/>
      <c r="G489" s="88"/>
      <c r="H489" s="182"/>
      <c r="L489" s="24"/>
      <c r="M489" s="24"/>
      <c r="N489" s="186"/>
      <c r="O489" s="190"/>
      <c r="P489" s="204"/>
      <c r="Q489" s="142"/>
      <c r="T489" s="201"/>
      <c r="Z489" s="151"/>
      <c r="AB489" s="64"/>
      <c r="AC489" s="64"/>
      <c r="AD489" s="64"/>
      <c r="AE489" s="64"/>
      <c r="AF489" s="64"/>
      <c r="AG489" s="64"/>
      <c r="AH489" s="64"/>
      <c r="AI489" s="143"/>
      <c r="AJ489" s="134"/>
      <c r="AK489" s="194"/>
      <c r="AL489" s="90"/>
    </row>
    <row r="490" spans="1:38" ht="17.100000000000001" customHeight="1" x14ac:dyDescent="0.25">
      <c r="A490" s="197"/>
      <c r="G490" s="88"/>
      <c r="H490" s="182"/>
      <c r="L490" s="24"/>
      <c r="M490" s="24"/>
      <c r="N490" s="186"/>
      <c r="O490" s="190"/>
      <c r="P490" s="204"/>
      <c r="Q490" s="142"/>
      <c r="T490" s="201"/>
      <c r="Z490" s="151"/>
      <c r="AB490" s="64"/>
      <c r="AC490" s="64"/>
      <c r="AD490" s="64"/>
      <c r="AE490" s="64"/>
      <c r="AF490" s="64"/>
      <c r="AG490" s="64"/>
      <c r="AH490" s="64"/>
      <c r="AI490" s="143"/>
      <c r="AJ490" s="134"/>
      <c r="AK490" s="194"/>
      <c r="AL490" s="90"/>
    </row>
    <row r="491" spans="1:38" ht="17.100000000000001" customHeight="1" x14ac:dyDescent="0.25">
      <c r="A491" s="197"/>
      <c r="G491" s="88"/>
      <c r="H491" s="182"/>
      <c r="L491" s="24"/>
      <c r="M491" s="24"/>
      <c r="N491" s="186"/>
      <c r="O491" s="190"/>
      <c r="P491" s="204"/>
      <c r="Q491" s="142"/>
      <c r="T491" s="201"/>
      <c r="Z491" s="151"/>
      <c r="AB491" s="64"/>
      <c r="AC491" s="64"/>
      <c r="AD491" s="64"/>
      <c r="AE491" s="64"/>
      <c r="AF491" s="64"/>
      <c r="AG491" s="64"/>
      <c r="AH491" s="64"/>
      <c r="AI491" s="143"/>
      <c r="AJ491" s="134"/>
      <c r="AK491" s="194"/>
      <c r="AL491" s="90"/>
    </row>
    <row r="492" spans="1:38" ht="17.100000000000001" customHeight="1" x14ac:dyDescent="0.25">
      <c r="A492" s="197"/>
      <c r="G492" s="88"/>
      <c r="H492" s="182"/>
      <c r="L492" s="24"/>
      <c r="M492" s="24"/>
      <c r="N492" s="186"/>
      <c r="O492" s="190"/>
      <c r="P492" s="204"/>
      <c r="Q492" s="142"/>
      <c r="T492" s="201"/>
      <c r="Z492" s="151"/>
      <c r="AB492" s="64"/>
      <c r="AC492" s="64"/>
      <c r="AD492" s="64"/>
      <c r="AE492" s="64"/>
      <c r="AF492" s="64"/>
      <c r="AG492" s="64"/>
      <c r="AH492" s="64"/>
      <c r="AI492" s="143"/>
      <c r="AJ492" s="134"/>
      <c r="AK492" s="194"/>
      <c r="AL492" s="90"/>
    </row>
    <row r="493" spans="1:38" ht="17.100000000000001" customHeight="1" x14ac:dyDescent="0.25">
      <c r="A493" s="197"/>
      <c r="G493" s="88"/>
      <c r="H493" s="182"/>
      <c r="L493" s="24"/>
      <c r="M493" s="24"/>
      <c r="N493" s="186"/>
      <c r="O493" s="190"/>
      <c r="P493" s="204"/>
      <c r="Q493" s="142"/>
      <c r="T493" s="201"/>
      <c r="Z493" s="151"/>
      <c r="AB493" s="64"/>
      <c r="AC493" s="64"/>
      <c r="AD493" s="64"/>
      <c r="AE493" s="64"/>
      <c r="AF493" s="64"/>
      <c r="AG493" s="64"/>
      <c r="AH493" s="64"/>
      <c r="AI493" s="143"/>
      <c r="AJ493" s="134"/>
      <c r="AK493" s="194"/>
      <c r="AL493" s="90"/>
    </row>
    <row r="494" spans="1:38" ht="17.100000000000001" customHeight="1" x14ac:dyDescent="0.25">
      <c r="A494" s="197"/>
      <c r="G494" s="88"/>
      <c r="H494" s="182"/>
      <c r="L494" s="24"/>
      <c r="M494" s="24"/>
      <c r="N494" s="186"/>
      <c r="O494" s="190"/>
      <c r="P494" s="204"/>
      <c r="Q494" s="142"/>
      <c r="T494" s="201"/>
      <c r="Z494" s="151"/>
      <c r="AB494" s="64"/>
      <c r="AC494" s="64"/>
      <c r="AD494" s="64"/>
      <c r="AE494" s="64"/>
      <c r="AF494" s="64"/>
      <c r="AG494" s="64"/>
      <c r="AH494" s="64"/>
      <c r="AI494" s="143"/>
      <c r="AJ494" s="134"/>
      <c r="AK494" s="194"/>
      <c r="AL494" s="90"/>
    </row>
    <row r="495" spans="1:38" ht="17.100000000000001" customHeight="1" x14ac:dyDescent="0.25">
      <c r="A495" s="197"/>
      <c r="G495" s="88"/>
      <c r="H495" s="182"/>
      <c r="L495" s="24"/>
      <c r="M495" s="24"/>
      <c r="N495" s="186"/>
      <c r="O495" s="190"/>
      <c r="P495" s="204"/>
      <c r="Q495" s="142"/>
      <c r="T495" s="201"/>
      <c r="Z495" s="151"/>
      <c r="AB495" s="64"/>
      <c r="AC495" s="64"/>
      <c r="AD495" s="64"/>
      <c r="AE495" s="64"/>
      <c r="AF495" s="64"/>
      <c r="AG495" s="64"/>
      <c r="AH495" s="64"/>
      <c r="AI495" s="143"/>
      <c r="AJ495" s="134"/>
      <c r="AK495" s="194"/>
      <c r="AL495" s="90"/>
    </row>
    <row r="496" spans="1:38" ht="17.100000000000001" customHeight="1" x14ac:dyDescent="0.25">
      <c r="A496" s="197"/>
      <c r="G496" s="88"/>
      <c r="H496" s="182"/>
      <c r="L496" s="24"/>
      <c r="M496" s="24"/>
      <c r="N496" s="186"/>
      <c r="O496" s="190"/>
      <c r="P496" s="204"/>
      <c r="Q496" s="142"/>
      <c r="T496" s="201"/>
      <c r="Z496" s="151"/>
      <c r="AB496" s="64"/>
      <c r="AC496" s="64"/>
      <c r="AD496" s="64"/>
      <c r="AE496" s="64"/>
      <c r="AF496" s="64"/>
      <c r="AG496" s="64"/>
      <c r="AH496" s="64"/>
      <c r="AI496" s="143"/>
      <c r="AJ496" s="134"/>
      <c r="AK496" s="194"/>
      <c r="AL496" s="90"/>
    </row>
    <row r="497" spans="1:38" ht="17.100000000000001" customHeight="1" x14ac:dyDescent="0.25">
      <c r="A497" s="197"/>
      <c r="G497" s="88"/>
      <c r="H497" s="182"/>
      <c r="L497" s="24"/>
      <c r="M497" s="24"/>
      <c r="N497" s="186"/>
      <c r="O497" s="190"/>
      <c r="P497" s="204"/>
      <c r="Q497" s="142"/>
      <c r="T497" s="201"/>
      <c r="Z497" s="151"/>
      <c r="AB497" s="64"/>
      <c r="AC497" s="64"/>
      <c r="AD497" s="64"/>
      <c r="AE497" s="64"/>
      <c r="AF497" s="64"/>
      <c r="AG497" s="64"/>
      <c r="AH497" s="64"/>
      <c r="AI497" s="143"/>
      <c r="AJ497" s="134"/>
      <c r="AK497" s="194"/>
      <c r="AL497" s="90"/>
    </row>
    <row r="498" spans="1:38" ht="17.100000000000001" customHeight="1" x14ac:dyDescent="0.25">
      <c r="A498" s="197"/>
      <c r="G498" s="88"/>
      <c r="H498" s="182"/>
      <c r="L498" s="24"/>
      <c r="M498" s="24"/>
      <c r="N498" s="186"/>
      <c r="O498" s="190"/>
      <c r="P498" s="204"/>
      <c r="Q498" s="142"/>
      <c r="T498" s="201"/>
      <c r="Z498" s="151"/>
      <c r="AB498" s="64"/>
      <c r="AC498" s="64"/>
      <c r="AD498" s="64"/>
      <c r="AE498" s="64"/>
      <c r="AF498" s="64"/>
      <c r="AG498" s="64"/>
      <c r="AH498" s="64"/>
      <c r="AI498" s="143"/>
      <c r="AJ498" s="134"/>
      <c r="AK498" s="194"/>
      <c r="AL498" s="90"/>
    </row>
    <row r="499" spans="1:38" ht="17.100000000000001" customHeight="1" x14ac:dyDescent="0.25">
      <c r="A499" s="197"/>
      <c r="G499" s="88"/>
      <c r="H499" s="182"/>
      <c r="L499" s="24"/>
      <c r="M499" s="24"/>
      <c r="N499" s="186"/>
      <c r="O499" s="190"/>
      <c r="P499" s="204"/>
      <c r="Q499" s="142"/>
      <c r="T499" s="201"/>
      <c r="Z499" s="151"/>
      <c r="AB499" s="64"/>
      <c r="AC499" s="64"/>
      <c r="AD499" s="64"/>
      <c r="AE499" s="64"/>
      <c r="AF499" s="64"/>
      <c r="AG499" s="64"/>
      <c r="AH499" s="64"/>
      <c r="AI499" s="143"/>
      <c r="AJ499" s="134"/>
      <c r="AK499" s="194"/>
      <c r="AL499" s="90"/>
    </row>
    <row r="500" spans="1:38" ht="17.100000000000001" customHeight="1" x14ac:dyDescent="0.25">
      <c r="A500" s="197"/>
      <c r="G500" s="88"/>
      <c r="H500" s="182"/>
      <c r="L500" s="24"/>
      <c r="M500" s="24"/>
      <c r="N500" s="186"/>
      <c r="O500" s="190"/>
      <c r="P500" s="204"/>
      <c r="Q500" s="142"/>
      <c r="T500" s="201"/>
      <c r="Z500" s="151"/>
      <c r="AB500" s="64"/>
      <c r="AC500" s="64"/>
      <c r="AD500" s="64"/>
      <c r="AE500" s="64"/>
      <c r="AF500" s="64"/>
      <c r="AG500" s="64"/>
      <c r="AH500" s="64"/>
      <c r="AI500" s="143"/>
      <c r="AJ500" s="134"/>
      <c r="AK500" s="194"/>
      <c r="AL500" s="90"/>
    </row>
    <row r="501" spans="1:38" ht="17.100000000000001" customHeight="1" x14ac:dyDescent="0.25">
      <c r="A501" s="197"/>
      <c r="G501" s="88"/>
      <c r="H501" s="182"/>
      <c r="L501" s="24"/>
      <c r="M501" s="24"/>
      <c r="N501" s="186"/>
      <c r="O501" s="190"/>
      <c r="P501" s="204"/>
      <c r="Q501" s="142"/>
      <c r="T501" s="201"/>
      <c r="Z501" s="151"/>
      <c r="AB501" s="64"/>
      <c r="AC501" s="64"/>
      <c r="AD501" s="64"/>
      <c r="AE501" s="64"/>
      <c r="AF501" s="64"/>
      <c r="AG501" s="64"/>
      <c r="AH501" s="64"/>
      <c r="AI501" s="143"/>
      <c r="AJ501" s="134"/>
      <c r="AK501" s="194"/>
      <c r="AL501" s="90"/>
    </row>
    <row r="502" spans="1:38" ht="17.100000000000001" customHeight="1" x14ac:dyDescent="0.25">
      <c r="A502" s="197"/>
      <c r="G502" s="88"/>
      <c r="H502" s="182"/>
      <c r="L502" s="24"/>
      <c r="M502" s="24"/>
      <c r="N502" s="186"/>
      <c r="O502" s="190"/>
      <c r="P502" s="204"/>
      <c r="Q502" s="142"/>
      <c r="T502" s="201"/>
      <c r="Z502" s="151"/>
      <c r="AB502" s="64"/>
      <c r="AC502" s="64"/>
      <c r="AD502" s="64"/>
      <c r="AE502" s="64"/>
      <c r="AF502" s="64"/>
      <c r="AG502" s="64"/>
      <c r="AH502" s="64"/>
      <c r="AI502" s="143"/>
      <c r="AJ502" s="134"/>
      <c r="AK502" s="194"/>
      <c r="AL502" s="90"/>
    </row>
    <row r="503" spans="1:38" ht="17.100000000000001" customHeight="1" x14ac:dyDescent="0.25">
      <c r="A503" s="197"/>
      <c r="G503" s="88"/>
      <c r="H503" s="182"/>
      <c r="L503" s="24"/>
      <c r="M503" s="24"/>
      <c r="N503" s="186"/>
      <c r="O503" s="190"/>
      <c r="P503" s="204"/>
      <c r="Q503" s="142"/>
      <c r="T503" s="201"/>
      <c r="Z503" s="151"/>
      <c r="AB503" s="64"/>
      <c r="AC503" s="64"/>
      <c r="AD503" s="64"/>
      <c r="AE503" s="64"/>
      <c r="AF503" s="64"/>
      <c r="AG503" s="64"/>
      <c r="AH503" s="64"/>
      <c r="AI503" s="143"/>
      <c r="AJ503" s="134"/>
      <c r="AK503" s="194"/>
      <c r="AL503" s="90"/>
    </row>
    <row r="504" spans="1:38" ht="17.100000000000001" customHeight="1" x14ac:dyDescent="0.25">
      <c r="A504" s="197"/>
      <c r="G504" s="88"/>
      <c r="H504" s="182"/>
      <c r="L504" s="24"/>
      <c r="M504" s="24"/>
      <c r="N504" s="186"/>
      <c r="O504" s="190"/>
      <c r="P504" s="204"/>
      <c r="Q504" s="142"/>
      <c r="T504" s="201"/>
      <c r="Z504" s="151"/>
      <c r="AB504" s="64"/>
      <c r="AC504" s="64"/>
      <c r="AD504" s="64"/>
      <c r="AE504" s="64"/>
      <c r="AF504" s="64"/>
      <c r="AG504" s="64"/>
      <c r="AH504" s="64"/>
      <c r="AI504" s="143"/>
      <c r="AJ504" s="134"/>
      <c r="AK504" s="194"/>
      <c r="AL504" s="90"/>
    </row>
    <row r="505" spans="1:38" ht="17.100000000000001" customHeight="1" thickBot="1" x14ac:dyDescent="0.3">
      <c r="A505" s="197"/>
      <c r="G505" s="88"/>
      <c r="H505" s="182"/>
      <c r="L505" s="24"/>
      <c r="M505" s="24"/>
      <c r="N505" s="186"/>
      <c r="O505" s="190"/>
      <c r="P505" s="204"/>
      <c r="Q505" s="142"/>
      <c r="T505" s="201"/>
      <c r="Z505" s="151"/>
      <c r="AB505" s="64"/>
      <c r="AC505" s="64"/>
      <c r="AD505" s="64"/>
      <c r="AE505" s="64"/>
      <c r="AF505" s="64"/>
      <c r="AG505" s="64"/>
      <c r="AH505" s="64"/>
      <c r="AI505" s="143"/>
      <c r="AJ505" s="134"/>
      <c r="AK505" s="194"/>
      <c r="AL505" s="90"/>
    </row>
    <row r="506" spans="1:38" ht="17.100000000000001" customHeight="1" x14ac:dyDescent="0.25">
      <c r="A506" s="198"/>
      <c r="B506" s="153"/>
      <c r="C506" s="154"/>
      <c r="D506" s="154"/>
      <c r="E506" s="154"/>
      <c r="F506" s="154"/>
      <c r="G506" s="155"/>
      <c r="H506" s="183"/>
      <c r="I506" s="156"/>
      <c r="J506" s="157"/>
      <c r="K506" s="158"/>
      <c r="L506" s="158"/>
      <c r="M506" s="158"/>
      <c r="N506" s="187"/>
      <c r="O506" s="191"/>
      <c r="P506" s="205"/>
      <c r="Q506" s="159"/>
      <c r="R506" s="160"/>
      <c r="S506" s="158"/>
      <c r="T506" s="202"/>
      <c r="U506" s="161"/>
      <c r="V506" s="156"/>
      <c r="W506" s="162"/>
      <c r="X506" s="156"/>
      <c r="Y506" s="158"/>
      <c r="Z506" s="163"/>
      <c r="AA506" s="156"/>
      <c r="AB506" s="164"/>
      <c r="AC506" s="164"/>
      <c r="AD506" s="164"/>
      <c r="AE506" s="164"/>
      <c r="AF506" s="164"/>
      <c r="AG506" s="164"/>
      <c r="AH506" s="164"/>
      <c r="AI506" s="165"/>
      <c r="AJ506" s="134"/>
      <c r="AK506" s="194"/>
      <c r="AL506" s="90"/>
    </row>
    <row r="507" spans="1:38" ht="17.100000000000001" customHeight="1" x14ac:dyDescent="0.25">
      <c r="A507" s="197"/>
      <c r="G507" s="88"/>
      <c r="H507" s="182"/>
      <c r="L507" s="24"/>
      <c r="M507" s="24"/>
      <c r="N507" s="186"/>
      <c r="O507" s="190"/>
      <c r="P507" s="204"/>
      <c r="Q507" s="142"/>
      <c r="T507" s="201"/>
      <c r="Z507" s="151"/>
      <c r="AB507" s="64"/>
      <c r="AC507" s="64"/>
      <c r="AD507" s="64"/>
      <c r="AE507" s="64"/>
      <c r="AF507" s="64"/>
      <c r="AG507" s="64"/>
      <c r="AH507" s="64"/>
      <c r="AI507" s="143"/>
      <c r="AJ507" s="134"/>
      <c r="AK507" s="194"/>
      <c r="AL507" s="90"/>
    </row>
    <row r="508" spans="1:38" ht="17.100000000000001" customHeight="1" x14ac:dyDescent="0.25">
      <c r="A508" s="197"/>
      <c r="G508" s="88"/>
      <c r="H508" s="182"/>
      <c r="L508" s="24"/>
      <c r="M508" s="24"/>
      <c r="N508" s="186"/>
      <c r="O508" s="190"/>
      <c r="P508" s="204"/>
      <c r="Q508" s="142"/>
      <c r="T508" s="201"/>
      <c r="Z508" s="151"/>
      <c r="AB508" s="64"/>
      <c r="AC508" s="64"/>
      <c r="AD508" s="64"/>
      <c r="AE508" s="64"/>
      <c r="AF508" s="64"/>
      <c r="AG508" s="64"/>
      <c r="AH508" s="64"/>
      <c r="AI508" s="143"/>
      <c r="AJ508" s="134"/>
      <c r="AK508" s="194"/>
      <c r="AL508" s="90"/>
    </row>
    <row r="509" spans="1:38" ht="17.100000000000001" customHeight="1" x14ac:dyDescent="0.25">
      <c r="A509" s="197"/>
      <c r="G509" s="88"/>
      <c r="H509" s="182"/>
      <c r="L509" s="24"/>
      <c r="M509" s="24"/>
      <c r="N509" s="186"/>
      <c r="O509" s="190"/>
      <c r="P509" s="204"/>
      <c r="Q509" s="142"/>
      <c r="T509" s="201"/>
      <c r="Z509" s="151"/>
      <c r="AB509" s="64"/>
      <c r="AC509" s="64"/>
      <c r="AD509" s="64"/>
      <c r="AE509" s="64"/>
      <c r="AF509" s="64"/>
      <c r="AG509" s="64"/>
      <c r="AH509" s="64"/>
      <c r="AI509" s="143"/>
      <c r="AJ509" s="134"/>
      <c r="AK509" s="194"/>
      <c r="AL509" s="90"/>
    </row>
    <row r="510" spans="1:38" ht="17.100000000000001" customHeight="1" x14ac:dyDescent="0.25">
      <c r="A510" s="197"/>
      <c r="G510" s="88"/>
      <c r="H510" s="182"/>
      <c r="L510" s="24"/>
      <c r="M510" s="24"/>
      <c r="N510" s="186"/>
      <c r="O510" s="190"/>
      <c r="P510" s="204"/>
      <c r="Q510" s="142"/>
      <c r="T510" s="201"/>
      <c r="Z510" s="151"/>
      <c r="AB510" s="64"/>
      <c r="AC510" s="64"/>
      <c r="AD510" s="64"/>
      <c r="AE510" s="64"/>
      <c r="AF510" s="64"/>
      <c r="AG510" s="64"/>
      <c r="AH510" s="64"/>
      <c r="AI510" s="143"/>
      <c r="AJ510" s="134"/>
      <c r="AK510" s="194"/>
      <c r="AL510" s="90"/>
    </row>
    <row r="511" spans="1:38" ht="17.100000000000001" customHeight="1" x14ac:dyDescent="0.25">
      <c r="A511" s="197"/>
      <c r="G511" s="88"/>
      <c r="H511" s="182"/>
      <c r="L511" s="24"/>
      <c r="M511" s="24"/>
      <c r="N511" s="186"/>
      <c r="O511" s="190"/>
      <c r="P511" s="204"/>
      <c r="Q511" s="142"/>
      <c r="T511" s="201"/>
      <c r="Z511" s="151"/>
      <c r="AB511" s="64"/>
      <c r="AC511" s="64"/>
      <c r="AD511" s="64"/>
      <c r="AE511" s="64"/>
      <c r="AF511" s="64"/>
      <c r="AG511" s="64"/>
      <c r="AH511" s="64"/>
      <c r="AI511" s="143"/>
      <c r="AJ511" s="134"/>
      <c r="AK511" s="194"/>
      <c r="AL511" s="90"/>
    </row>
    <row r="512" spans="1:38" ht="17.100000000000001" customHeight="1" x14ac:dyDescent="0.25">
      <c r="A512" s="197"/>
      <c r="G512" s="88"/>
      <c r="H512" s="182"/>
      <c r="L512" s="24"/>
      <c r="M512" s="24"/>
      <c r="N512" s="186"/>
      <c r="O512" s="190"/>
      <c r="P512" s="204"/>
      <c r="Q512" s="142"/>
      <c r="T512" s="201"/>
      <c r="Z512" s="151"/>
      <c r="AB512" s="64"/>
      <c r="AC512" s="64"/>
      <c r="AD512" s="64"/>
      <c r="AE512" s="64"/>
      <c r="AF512" s="64"/>
      <c r="AG512" s="64"/>
      <c r="AH512" s="64"/>
      <c r="AI512" s="143"/>
      <c r="AJ512" s="134"/>
      <c r="AK512" s="194"/>
      <c r="AL512" s="90"/>
    </row>
    <row r="513" spans="1:38" ht="17.100000000000001" customHeight="1" x14ac:dyDescent="0.25">
      <c r="A513" s="197"/>
      <c r="G513" s="88"/>
      <c r="H513" s="182"/>
      <c r="L513" s="24"/>
      <c r="M513" s="24"/>
      <c r="N513" s="186"/>
      <c r="O513" s="190"/>
      <c r="P513" s="204"/>
      <c r="Q513" s="142"/>
      <c r="T513" s="201"/>
      <c r="Z513" s="151"/>
      <c r="AB513" s="64"/>
      <c r="AC513" s="64"/>
      <c r="AD513" s="64"/>
      <c r="AE513" s="64"/>
      <c r="AF513" s="64"/>
      <c r="AG513" s="64"/>
      <c r="AH513" s="64"/>
      <c r="AI513" s="143"/>
      <c r="AJ513" s="134"/>
      <c r="AK513" s="194"/>
      <c r="AL513" s="90"/>
    </row>
    <row r="514" spans="1:38" ht="17.100000000000001" customHeight="1" x14ac:dyDescent="0.25">
      <c r="A514" s="197"/>
      <c r="G514" s="88"/>
      <c r="H514" s="182"/>
      <c r="L514" s="24"/>
      <c r="M514" s="24"/>
      <c r="N514" s="186"/>
      <c r="O514" s="190"/>
      <c r="P514" s="204"/>
      <c r="Q514" s="142"/>
      <c r="T514" s="201"/>
      <c r="Z514" s="151"/>
      <c r="AB514" s="64"/>
      <c r="AC514" s="64"/>
      <c r="AD514" s="64"/>
      <c r="AE514" s="64"/>
      <c r="AF514" s="64"/>
      <c r="AG514" s="64"/>
      <c r="AH514" s="64"/>
      <c r="AI514" s="143"/>
      <c r="AJ514" s="134"/>
      <c r="AK514" s="194"/>
      <c r="AL514" s="90"/>
    </row>
    <row r="515" spans="1:38" ht="17.100000000000001" customHeight="1" x14ac:dyDescent="0.25">
      <c r="A515" s="197"/>
      <c r="G515" s="88"/>
      <c r="H515" s="182"/>
      <c r="L515" s="24"/>
      <c r="M515" s="24"/>
      <c r="N515" s="186"/>
      <c r="O515" s="190"/>
      <c r="P515" s="204"/>
      <c r="Q515" s="142"/>
      <c r="T515" s="201"/>
      <c r="Z515" s="151"/>
      <c r="AB515" s="64"/>
      <c r="AC515" s="64"/>
      <c r="AD515" s="64"/>
      <c r="AE515" s="64"/>
      <c r="AF515" s="64"/>
      <c r="AG515" s="64"/>
      <c r="AH515" s="64"/>
      <c r="AI515" s="143"/>
      <c r="AJ515" s="134"/>
      <c r="AK515" s="194"/>
      <c r="AL515" s="90"/>
    </row>
    <row r="516" spans="1:38" ht="17.100000000000001" customHeight="1" x14ac:dyDescent="0.25">
      <c r="A516" s="197"/>
      <c r="G516" s="88"/>
      <c r="H516" s="182"/>
      <c r="L516" s="24"/>
      <c r="M516" s="24"/>
      <c r="N516" s="186"/>
      <c r="O516" s="190"/>
      <c r="P516" s="204"/>
      <c r="Q516" s="142"/>
      <c r="T516" s="201"/>
      <c r="Z516" s="151"/>
      <c r="AB516" s="64"/>
      <c r="AC516" s="64"/>
      <c r="AD516" s="64"/>
      <c r="AE516" s="64"/>
      <c r="AF516" s="64"/>
      <c r="AG516" s="64"/>
      <c r="AH516" s="64"/>
      <c r="AI516" s="143"/>
      <c r="AJ516" s="134"/>
      <c r="AK516" s="194"/>
      <c r="AL516" s="90"/>
    </row>
    <row r="517" spans="1:38" ht="17.100000000000001" customHeight="1" x14ac:dyDescent="0.25">
      <c r="A517" s="197"/>
      <c r="G517" s="88"/>
      <c r="H517" s="182"/>
      <c r="L517" s="24"/>
      <c r="M517" s="24"/>
      <c r="N517" s="186"/>
      <c r="O517" s="190"/>
      <c r="P517" s="204"/>
      <c r="Q517" s="142"/>
      <c r="T517" s="201"/>
      <c r="Z517" s="151"/>
      <c r="AB517" s="64"/>
      <c r="AC517" s="64"/>
      <c r="AD517" s="64"/>
      <c r="AE517" s="64"/>
      <c r="AF517" s="64"/>
      <c r="AG517" s="64"/>
      <c r="AH517" s="64"/>
      <c r="AI517" s="143"/>
      <c r="AJ517" s="134"/>
      <c r="AK517" s="194"/>
      <c r="AL517" s="90"/>
    </row>
    <row r="518" spans="1:38" ht="17.100000000000001" customHeight="1" x14ac:dyDescent="0.25">
      <c r="A518" s="197"/>
      <c r="G518" s="88"/>
      <c r="H518" s="182"/>
      <c r="L518" s="24"/>
      <c r="M518" s="24"/>
      <c r="N518" s="186"/>
      <c r="O518" s="190"/>
      <c r="P518" s="204"/>
      <c r="Q518" s="142"/>
      <c r="T518" s="201"/>
      <c r="Z518" s="151"/>
      <c r="AB518" s="64"/>
      <c r="AC518" s="64"/>
      <c r="AD518" s="64"/>
      <c r="AE518" s="64"/>
      <c r="AF518" s="64"/>
      <c r="AG518" s="64"/>
      <c r="AH518" s="64"/>
      <c r="AI518" s="143"/>
      <c r="AJ518" s="134"/>
      <c r="AK518" s="194"/>
      <c r="AL518" s="90"/>
    </row>
    <row r="519" spans="1:38" ht="17.100000000000001" customHeight="1" x14ac:dyDescent="0.25">
      <c r="A519" s="197"/>
      <c r="G519" s="88"/>
      <c r="H519" s="182"/>
      <c r="L519" s="24"/>
      <c r="M519" s="24"/>
      <c r="N519" s="186"/>
      <c r="O519" s="190"/>
      <c r="P519" s="204"/>
      <c r="Q519" s="142"/>
      <c r="T519" s="201"/>
      <c r="Z519" s="151"/>
      <c r="AB519" s="64"/>
      <c r="AC519" s="64"/>
      <c r="AD519" s="64"/>
      <c r="AE519" s="64"/>
      <c r="AF519" s="64"/>
      <c r="AG519" s="64"/>
      <c r="AH519" s="64"/>
      <c r="AI519" s="143"/>
      <c r="AJ519" s="134"/>
      <c r="AK519" s="194"/>
      <c r="AL519" s="90"/>
    </row>
    <row r="520" spans="1:38" ht="17.100000000000001" customHeight="1" x14ac:dyDescent="0.25">
      <c r="A520" s="197"/>
      <c r="G520" s="88"/>
      <c r="H520" s="182"/>
      <c r="L520" s="24"/>
      <c r="M520" s="24"/>
      <c r="N520" s="186"/>
      <c r="O520" s="190"/>
      <c r="P520" s="204"/>
      <c r="Q520" s="142"/>
      <c r="T520" s="201"/>
      <c r="Z520" s="151"/>
      <c r="AB520" s="64"/>
      <c r="AC520" s="64"/>
      <c r="AD520" s="64"/>
      <c r="AE520" s="64"/>
      <c r="AF520" s="64"/>
      <c r="AG520" s="64"/>
      <c r="AH520" s="64"/>
      <c r="AI520" s="143"/>
      <c r="AJ520" s="134"/>
      <c r="AK520" s="194"/>
      <c r="AL520" s="90"/>
    </row>
    <row r="521" spans="1:38" ht="17.100000000000001" customHeight="1" x14ac:dyDescent="0.25">
      <c r="A521" s="197"/>
      <c r="G521" s="88"/>
      <c r="H521" s="182"/>
      <c r="L521" s="24"/>
      <c r="M521" s="24"/>
      <c r="N521" s="186"/>
      <c r="O521" s="190"/>
      <c r="P521" s="204"/>
      <c r="Q521" s="142"/>
      <c r="T521" s="201"/>
      <c r="Z521" s="151"/>
      <c r="AB521" s="64"/>
      <c r="AC521" s="64"/>
      <c r="AD521" s="64"/>
      <c r="AE521" s="64"/>
      <c r="AF521" s="64"/>
      <c r="AG521" s="64"/>
      <c r="AH521" s="64"/>
      <c r="AI521" s="143"/>
      <c r="AJ521" s="134"/>
      <c r="AK521" s="194"/>
      <c r="AL521" s="90"/>
    </row>
    <row r="522" spans="1:38" ht="17.100000000000001" customHeight="1" x14ac:dyDescent="0.25">
      <c r="A522" s="197"/>
      <c r="G522" s="88"/>
      <c r="H522" s="182"/>
      <c r="L522" s="24"/>
      <c r="M522" s="24"/>
      <c r="N522" s="186"/>
      <c r="O522" s="190"/>
      <c r="P522" s="204"/>
      <c r="Q522" s="142"/>
      <c r="T522" s="201"/>
      <c r="Z522" s="151"/>
      <c r="AB522" s="64"/>
      <c r="AC522" s="64"/>
      <c r="AD522" s="64"/>
      <c r="AE522" s="64"/>
      <c r="AF522" s="64"/>
      <c r="AG522" s="64"/>
      <c r="AH522" s="64"/>
      <c r="AI522" s="143"/>
      <c r="AJ522" s="134"/>
      <c r="AK522" s="194"/>
      <c r="AL522" s="90"/>
    </row>
    <row r="523" spans="1:38" ht="17.100000000000001" customHeight="1" x14ac:dyDescent="0.25">
      <c r="A523" s="197"/>
      <c r="G523" s="88"/>
      <c r="H523" s="182"/>
      <c r="L523" s="24"/>
      <c r="M523" s="24"/>
      <c r="N523" s="186"/>
      <c r="O523" s="190"/>
      <c r="P523" s="204"/>
      <c r="Q523" s="142"/>
      <c r="T523" s="201"/>
      <c r="Z523" s="151"/>
      <c r="AB523" s="64"/>
      <c r="AC523" s="64"/>
      <c r="AD523" s="64"/>
      <c r="AE523" s="64"/>
      <c r="AF523" s="64"/>
      <c r="AG523" s="64"/>
      <c r="AH523" s="64"/>
      <c r="AI523" s="143"/>
      <c r="AJ523" s="134"/>
      <c r="AK523" s="194"/>
      <c r="AL523" s="90"/>
    </row>
    <row r="524" spans="1:38" ht="17.100000000000001" customHeight="1" x14ac:dyDescent="0.25">
      <c r="A524" s="197"/>
      <c r="G524" s="88"/>
      <c r="H524" s="182"/>
      <c r="L524" s="24"/>
      <c r="M524" s="24"/>
      <c r="N524" s="186"/>
      <c r="O524" s="190"/>
      <c r="P524" s="204"/>
      <c r="Q524" s="142"/>
      <c r="T524" s="201"/>
      <c r="Z524" s="151"/>
      <c r="AB524" s="64"/>
      <c r="AC524" s="64"/>
      <c r="AD524" s="64"/>
      <c r="AE524" s="64"/>
      <c r="AF524" s="64"/>
      <c r="AG524" s="64"/>
      <c r="AH524" s="64"/>
      <c r="AI524" s="143"/>
      <c r="AJ524" s="134"/>
      <c r="AK524" s="194"/>
      <c r="AL524" s="90"/>
    </row>
    <row r="525" spans="1:38" ht="17.100000000000001" customHeight="1" x14ac:dyDescent="0.25">
      <c r="A525" s="197"/>
      <c r="G525" s="88"/>
      <c r="H525" s="182"/>
      <c r="L525" s="24"/>
      <c r="M525" s="24"/>
      <c r="N525" s="186"/>
      <c r="O525" s="190"/>
      <c r="P525" s="204"/>
      <c r="Q525" s="142"/>
      <c r="T525" s="201"/>
      <c r="Z525" s="151"/>
      <c r="AB525" s="64"/>
      <c r="AC525" s="64"/>
      <c r="AD525" s="64"/>
      <c r="AE525" s="64"/>
      <c r="AF525" s="64"/>
      <c r="AG525" s="64"/>
      <c r="AH525" s="64"/>
      <c r="AI525" s="143"/>
      <c r="AJ525" s="134"/>
      <c r="AK525" s="194"/>
      <c r="AL525" s="90"/>
    </row>
    <row r="526" spans="1:38" ht="17.100000000000001" customHeight="1" x14ac:dyDescent="0.25">
      <c r="A526" s="197"/>
      <c r="G526" s="88"/>
      <c r="H526" s="182"/>
      <c r="L526" s="24"/>
      <c r="M526" s="24"/>
      <c r="N526" s="186"/>
      <c r="O526" s="190"/>
      <c r="P526" s="204"/>
      <c r="Q526" s="142"/>
      <c r="T526" s="201"/>
      <c r="Z526" s="151"/>
      <c r="AB526" s="64"/>
      <c r="AC526" s="64"/>
      <c r="AD526" s="64"/>
      <c r="AE526" s="64"/>
      <c r="AF526" s="64"/>
      <c r="AG526" s="64"/>
      <c r="AH526" s="64"/>
      <c r="AI526" s="143"/>
      <c r="AJ526" s="134"/>
      <c r="AK526" s="194"/>
      <c r="AL526" s="90"/>
    </row>
    <row r="527" spans="1:38" ht="17.100000000000001" customHeight="1" x14ac:dyDescent="0.25">
      <c r="A527" s="197"/>
      <c r="G527" s="88"/>
      <c r="H527" s="182"/>
      <c r="L527" s="24"/>
      <c r="M527" s="24"/>
      <c r="N527" s="186"/>
      <c r="O527" s="190"/>
      <c r="P527" s="204"/>
      <c r="Q527" s="142"/>
      <c r="T527" s="201"/>
      <c r="Z527" s="151"/>
      <c r="AB527" s="64"/>
      <c r="AC527" s="64"/>
      <c r="AD527" s="64"/>
      <c r="AE527" s="64"/>
      <c r="AF527" s="64"/>
      <c r="AG527" s="64"/>
      <c r="AH527" s="64"/>
      <c r="AI527" s="143"/>
      <c r="AJ527" s="134"/>
      <c r="AK527" s="194"/>
      <c r="AL527" s="90"/>
    </row>
    <row r="528" spans="1:38" ht="17.100000000000001" customHeight="1" x14ac:dyDescent="0.25">
      <c r="A528" s="197"/>
      <c r="G528" s="88"/>
      <c r="H528" s="182"/>
      <c r="L528" s="24"/>
      <c r="M528" s="24"/>
      <c r="N528" s="186"/>
      <c r="O528" s="190"/>
      <c r="P528" s="204"/>
      <c r="Q528" s="142"/>
      <c r="T528" s="201"/>
      <c r="Z528" s="151"/>
      <c r="AB528" s="64"/>
      <c r="AC528" s="64"/>
      <c r="AD528" s="64"/>
      <c r="AE528" s="64"/>
      <c r="AF528" s="64"/>
      <c r="AG528" s="64"/>
      <c r="AH528" s="64"/>
      <c r="AI528" s="143"/>
      <c r="AJ528" s="134"/>
      <c r="AK528" s="194"/>
      <c r="AL528" s="90"/>
    </row>
    <row r="529" spans="1:38" ht="17.100000000000001" customHeight="1" x14ac:dyDescent="0.25">
      <c r="A529" s="197"/>
      <c r="G529" s="88"/>
      <c r="H529" s="182"/>
      <c r="L529" s="24"/>
      <c r="M529" s="24"/>
      <c r="N529" s="186"/>
      <c r="O529" s="190"/>
      <c r="P529" s="204"/>
      <c r="Q529" s="142"/>
      <c r="T529" s="201"/>
      <c r="Z529" s="151"/>
      <c r="AB529" s="64"/>
      <c r="AC529" s="64"/>
      <c r="AD529" s="64"/>
      <c r="AE529" s="64"/>
      <c r="AF529" s="64"/>
      <c r="AG529" s="64"/>
      <c r="AH529" s="64"/>
      <c r="AI529" s="143"/>
      <c r="AJ529" s="134"/>
      <c r="AK529" s="194"/>
      <c r="AL529" s="90"/>
    </row>
    <row r="530" spans="1:38" ht="17.100000000000001" customHeight="1" x14ac:dyDescent="0.25">
      <c r="A530" s="197"/>
      <c r="G530" s="88"/>
      <c r="H530" s="182"/>
      <c r="L530" s="24"/>
      <c r="M530" s="24"/>
      <c r="N530" s="186"/>
      <c r="O530" s="190"/>
      <c r="P530" s="204"/>
      <c r="Q530" s="142"/>
      <c r="T530" s="201"/>
      <c r="Z530" s="151"/>
      <c r="AB530" s="64"/>
      <c r="AC530" s="64"/>
      <c r="AD530" s="64"/>
      <c r="AE530" s="64"/>
      <c r="AF530" s="64"/>
      <c r="AG530" s="64"/>
      <c r="AH530" s="64"/>
      <c r="AI530" s="143"/>
      <c r="AJ530" s="134"/>
      <c r="AK530" s="194"/>
      <c r="AL530" s="90"/>
    </row>
    <row r="531" spans="1:38" ht="17.100000000000001" customHeight="1" x14ac:dyDescent="0.25">
      <c r="A531" s="197"/>
      <c r="G531" s="88"/>
      <c r="H531" s="182"/>
      <c r="L531" s="24"/>
      <c r="M531" s="24"/>
      <c r="N531" s="186"/>
      <c r="O531" s="190"/>
      <c r="P531" s="204"/>
      <c r="Q531" s="142"/>
      <c r="T531" s="201"/>
      <c r="Z531" s="151"/>
      <c r="AB531" s="64"/>
      <c r="AC531" s="64"/>
      <c r="AD531" s="64"/>
      <c r="AE531" s="64"/>
      <c r="AF531" s="64"/>
      <c r="AG531" s="64"/>
      <c r="AH531" s="64"/>
      <c r="AI531" s="143"/>
      <c r="AJ531" s="134"/>
      <c r="AK531" s="194"/>
      <c r="AL531" s="90"/>
    </row>
    <row r="532" spans="1:38" ht="17.100000000000001" customHeight="1" x14ac:dyDescent="0.25">
      <c r="A532" s="197"/>
      <c r="G532" s="88"/>
      <c r="H532" s="182"/>
      <c r="L532" s="24"/>
      <c r="M532" s="24"/>
      <c r="N532" s="186"/>
      <c r="O532" s="190"/>
      <c r="P532" s="204"/>
      <c r="Q532" s="142"/>
      <c r="T532" s="201"/>
      <c r="Z532" s="151"/>
      <c r="AB532" s="64"/>
      <c r="AC532" s="64"/>
      <c r="AD532" s="64"/>
      <c r="AE532" s="64"/>
      <c r="AF532" s="64"/>
      <c r="AG532" s="64"/>
      <c r="AH532" s="64"/>
      <c r="AI532" s="143"/>
      <c r="AJ532" s="134"/>
      <c r="AK532" s="194"/>
      <c r="AL532" s="90"/>
    </row>
    <row r="533" spans="1:38" ht="17.100000000000001" customHeight="1" x14ac:dyDescent="0.25">
      <c r="A533" s="197"/>
      <c r="G533" s="88"/>
      <c r="H533" s="182"/>
      <c r="L533" s="24"/>
      <c r="M533" s="24"/>
      <c r="N533" s="186"/>
      <c r="O533" s="190"/>
      <c r="P533" s="204"/>
      <c r="Q533" s="142"/>
      <c r="T533" s="201"/>
      <c r="Z533" s="151"/>
      <c r="AB533" s="64"/>
      <c r="AC533" s="64"/>
      <c r="AD533" s="64"/>
      <c r="AE533" s="64"/>
      <c r="AF533" s="64"/>
      <c r="AG533" s="64"/>
      <c r="AH533" s="64"/>
      <c r="AI533" s="143"/>
      <c r="AJ533" s="134"/>
      <c r="AK533" s="194"/>
      <c r="AL533" s="90"/>
    </row>
    <row r="534" spans="1:38" ht="17.100000000000001" customHeight="1" x14ac:dyDescent="0.25">
      <c r="A534" s="197"/>
      <c r="G534" s="88"/>
      <c r="H534" s="182"/>
      <c r="L534" s="24"/>
      <c r="M534" s="24"/>
      <c r="N534" s="186"/>
      <c r="O534" s="190"/>
      <c r="P534" s="204"/>
      <c r="Q534" s="142"/>
      <c r="T534" s="201"/>
      <c r="Z534" s="151"/>
      <c r="AB534" s="64"/>
      <c r="AC534" s="64"/>
      <c r="AD534" s="64"/>
      <c r="AE534" s="64"/>
      <c r="AF534" s="64"/>
      <c r="AG534" s="64"/>
      <c r="AH534" s="64"/>
      <c r="AI534" s="143"/>
      <c r="AJ534" s="134"/>
      <c r="AK534" s="194"/>
      <c r="AL534" s="90"/>
    </row>
    <row r="535" spans="1:38" ht="17.100000000000001" customHeight="1" x14ac:dyDescent="0.25">
      <c r="A535" s="197"/>
      <c r="G535" s="88"/>
      <c r="H535" s="182"/>
      <c r="L535" s="24"/>
      <c r="M535" s="24"/>
      <c r="N535" s="186"/>
      <c r="O535" s="190"/>
      <c r="P535" s="204"/>
      <c r="Q535" s="142"/>
      <c r="T535" s="201"/>
      <c r="Z535" s="151"/>
      <c r="AB535" s="64"/>
      <c r="AC535" s="64"/>
      <c r="AD535" s="64"/>
      <c r="AE535" s="64"/>
      <c r="AF535" s="64"/>
      <c r="AG535" s="64"/>
      <c r="AH535" s="64"/>
      <c r="AI535" s="143"/>
      <c r="AJ535" s="134"/>
      <c r="AK535" s="194"/>
      <c r="AL535" s="90"/>
    </row>
    <row r="536" spans="1:38" ht="17.100000000000001" customHeight="1" x14ac:dyDescent="0.25">
      <c r="A536" s="197"/>
      <c r="G536" s="88"/>
      <c r="H536" s="182"/>
      <c r="L536" s="24"/>
      <c r="M536" s="24"/>
      <c r="N536" s="186"/>
      <c r="O536" s="190"/>
      <c r="P536" s="204"/>
      <c r="Q536" s="142"/>
      <c r="T536" s="201"/>
      <c r="Z536" s="151"/>
      <c r="AB536" s="64"/>
      <c r="AC536" s="64"/>
      <c r="AD536" s="64"/>
      <c r="AE536" s="64"/>
      <c r="AF536" s="64"/>
      <c r="AG536" s="64"/>
      <c r="AH536" s="64"/>
      <c r="AI536" s="143"/>
      <c r="AJ536" s="134"/>
      <c r="AK536" s="194"/>
      <c r="AL536" s="90"/>
    </row>
    <row r="537" spans="1:38" ht="17.100000000000001" customHeight="1" x14ac:dyDescent="0.25">
      <c r="A537" s="197"/>
      <c r="G537" s="88"/>
      <c r="H537" s="182"/>
      <c r="L537" s="24"/>
      <c r="M537" s="24"/>
      <c r="N537" s="186"/>
      <c r="O537" s="190"/>
      <c r="P537" s="204"/>
      <c r="Q537" s="142"/>
      <c r="T537" s="201"/>
      <c r="Z537" s="151"/>
      <c r="AB537" s="64"/>
      <c r="AC537" s="64"/>
      <c r="AD537" s="64"/>
      <c r="AE537" s="64"/>
      <c r="AF537" s="64"/>
      <c r="AG537" s="64"/>
      <c r="AH537" s="64"/>
      <c r="AI537" s="143"/>
      <c r="AJ537" s="134"/>
      <c r="AK537" s="194"/>
      <c r="AL537" s="90"/>
    </row>
    <row r="538" spans="1:38" ht="17.100000000000001" customHeight="1" x14ac:dyDescent="0.25">
      <c r="A538" s="197"/>
      <c r="G538" s="88"/>
      <c r="H538" s="182"/>
      <c r="L538" s="24"/>
      <c r="M538" s="24"/>
      <c r="N538" s="186"/>
      <c r="O538" s="190"/>
      <c r="P538" s="204"/>
      <c r="Q538" s="142"/>
      <c r="T538" s="201"/>
      <c r="Z538" s="151"/>
      <c r="AB538" s="64"/>
      <c r="AC538" s="64"/>
      <c r="AD538" s="64"/>
      <c r="AE538" s="64"/>
      <c r="AF538" s="64"/>
      <c r="AG538" s="64"/>
      <c r="AH538" s="64"/>
      <c r="AI538" s="143"/>
      <c r="AJ538" s="134"/>
      <c r="AK538" s="194"/>
      <c r="AL538" s="90"/>
    </row>
    <row r="539" spans="1:38" ht="17.100000000000001" customHeight="1" x14ac:dyDescent="0.25">
      <c r="A539" s="197"/>
      <c r="G539" s="88"/>
      <c r="H539" s="182"/>
      <c r="L539" s="24"/>
      <c r="M539" s="24"/>
      <c r="N539" s="186"/>
      <c r="O539" s="190"/>
      <c r="P539" s="204"/>
      <c r="Q539" s="142"/>
      <c r="T539" s="201"/>
      <c r="Z539" s="151"/>
      <c r="AB539" s="64"/>
      <c r="AC539" s="64"/>
      <c r="AD539" s="64"/>
      <c r="AE539" s="64"/>
      <c r="AF539" s="64"/>
      <c r="AG539" s="64"/>
      <c r="AH539" s="64"/>
      <c r="AI539" s="143"/>
      <c r="AJ539" s="134"/>
      <c r="AK539" s="194"/>
      <c r="AL539" s="90"/>
    </row>
    <row r="540" spans="1:38" ht="17.100000000000001" customHeight="1" x14ac:dyDescent="0.25">
      <c r="A540" s="197"/>
      <c r="G540" s="88"/>
      <c r="H540" s="182"/>
      <c r="L540" s="24"/>
      <c r="M540" s="24"/>
      <c r="N540" s="186"/>
      <c r="O540" s="190"/>
      <c r="P540" s="204"/>
      <c r="Q540" s="142"/>
      <c r="T540" s="201"/>
      <c r="Z540" s="151"/>
      <c r="AB540" s="64"/>
      <c r="AC540" s="64"/>
      <c r="AD540" s="64"/>
      <c r="AE540" s="64"/>
      <c r="AF540" s="64"/>
      <c r="AG540" s="64"/>
      <c r="AH540" s="64"/>
      <c r="AI540" s="143"/>
      <c r="AJ540" s="134"/>
      <c r="AK540" s="194"/>
      <c r="AL540" s="90"/>
    </row>
    <row r="541" spans="1:38" ht="17.100000000000001" customHeight="1" x14ac:dyDescent="0.25">
      <c r="A541" s="197"/>
      <c r="G541" s="88"/>
      <c r="H541" s="182"/>
      <c r="L541" s="24"/>
      <c r="M541" s="24"/>
      <c r="N541" s="186"/>
      <c r="O541" s="190"/>
      <c r="P541" s="204"/>
      <c r="Q541" s="142"/>
      <c r="T541" s="201"/>
      <c r="Z541" s="151"/>
      <c r="AB541" s="64"/>
      <c r="AC541" s="64"/>
      <c r="AD541" s="64"/>
      <c r="AE541" s="64"/>
      <c r="AF541" s="64"/>
      <c r="AG541" s="64"/>
      <c r="AH541" s="64"/>
      <c r="AI541" s="143"/>
      <c r="AJ541" s="134"/>
      <c r="AK541" s="194"/>
      <c r="AL541" s="90"/>
    </row>
    <row r="542" spans="1:38" ht="17.100000000000001" customHeight="1" thickBot="1" x14ac:dyDescent="0.3">
      <c r="A542" s="197"/>
      <c r="G542" s="88"/>
      <c r="H542" s="182"/>
      <c r="L542" s="24"/>
      <c r="M542" s="24"/>
      <c r="N542" s="186"/>
      <c r="O542" s="190"/>
      <c r="P542" s="204"/>
      <c r="Q542" s="142"/>
      <c r="T542" s="201"/>
      <c r="Z542" s="151"/>
      <c r="AB542" s="64"/>
      <c r="AC542" s="64"/>
      <c r="AD542" s="64"/>
      <c r="AE542" s="64"/>
      <c r="AF542" s="64"/>
      <c r="AG542" s="64"/>
      <c r="AH542" s="64"/>
      <c r="AI542" s="143"/>
      <c r="AJ542" s="134"/>
      <c r="AK542" s="194"/>
      <c r="AL542" s="90"/>
    </row>
    <row r="543" spans="1:38" ht="17.100000000000001" customHeight="1" x14ac:dyDescent="0.25">
      <c r="A543" s="198"/>
      <c r="B543" s="153"/>
      <c r="C543" s="154"/>
      <c r="D543" s="154"/>
      <c r="E543" s="154"/>
      <c r="F543" s="154"/>
      <c r="G543" s="155"/>
      <c r="H543" s="183"/>
      <c r="I543" s="156"/>
      <c r="J543" s="157"/>
      <c r="K543" s="158"/>
      <c r="L543" s="158"/>
      <c r="M543" s="158"/>
      <c r="N543" s="187"/>
      <c r="O543" s="191"/>
      <c r="P543" s="205"/>
      <c r="Q543" s="159"/>
      <c r="R543" s="160"/>
      <c r="S543" s="158"/>
      <c r="T543" s="202"/>
      <c r="U543" s="161"/>
      <c r="V543" s="156"/>
      <c r="W543" s="162"/>
      <c r="X543" s="156"/>
      <c r="Y543" s="158"/>
      <c r="Z543" s="163"/>
      <c r="AA543" s="156"/>
      <c r="AB543" s="164"/>
      <c r="AC543" s="164"/>
      <c r="AD543" s="164"/>
      <c r="AE543" s="164"/>
      <c r="AF543" s="164"/>
      <c r="AG543" s="164"/>
      <c r="AH543" s="164"/>
      <c r="AI543" s="165"/>
      <c r="AJ543" s="134"/>
      <c r="AK543" s="194"/>
      <c r="AL543" s="90"/>
    </row>
    <row r="544" spans="1:38" ht="17.100000000000001" customHeight="1" x14ac:dyDescent="0.25">
      <c r="A544" s="197"/>
      <c r="G544" s="88"/>
      <c r="H544" s="182"/>
      <c r="L544" s="24"/>
      <c r="M544" s="24"/>
      <c r="N544" s="186"/>
      <c r="O544" s="190"/>
      <c r="P544" s="204"/>
      <c r="Q544" s="142"/>
      <c r="T544" s="201"/>
      <c r="Z544" s="151"/>
      <c r="AB544" s="64"/>
      <c r="AC544" s="64"/>
      <c r="AD544" s="64"/>
      <c r="AE544" s="64"/>
      <c r="AF544" s="64"/>
      <c r="AG544" s="64"/>
      <c r="AH544" s="64"/>
      <c r="AI544" s="143"/>
      <c r="AJ544" s="134"/>
      <c r="AK544" s="194"/>
      <c r="AL544" s="90"/>
    </row>
    <row r="545" spans="1:38" ht="17.100000000000001" customHeight="1" x14ac:dyDescent="0.25">
      <c r="A545" s="197"/>
      <c r="G545" s="88"/>
      <c r="H545" s="182"/>
      <c r="L545" s="24"/>
      <c r="M545" s="24"/>
      <c r="N545" s="186"/>
      <c r="O545" s="190"/>
      <c r="P545" s="204"/>
      <c r="Q545" s="142"/>
      <c r="T545" s="201"/>
      <c r="Z545" s="151"/>
      <c r="AB545" s="64"/>
      <c r="AC545" s="64"/>
      <c r="AD545" s="64"/>
      <c r="AE545" s="64"/>
      <c r="AF545" s="64"/>
      <c r="AG545" s="64"/>
      <c r="AH545" s="64"/>
      <c r="AI545" s="143"/>
      <c r="AJ545" s="134"/>
      <c r="AK545" s="194"/>
      <c r="AL545" s="90"/>
    </row>
    <row r="546" spans="1:38" ht="17.100000000000001" customHeight="1" x14ac:dyDescent="0.25">
      <c r="A546" s="197"/>
      <c r="G546" s="88"/>
      <c r="H546" s="182"/>
      <c r="L546" s="24"/>
      <c r="M546" s="24"/>
      <c r="N546" s="186"/>
      <c r="O546" s="190"/>
      <c r="P546" s="204"/>
      <c r="Q546" s="142"/>
      <c r="T546" s="201"/>
      <c r="Z546" s="151"/>
      <c r="AB546" s="64"/>
      <c r="AC546" s="64"/>
      <c r="AD546" s="64"/>
      <c r="AE546" s="64"/>
      <c r="AF546" s="64"/>
      <c r="AG546" s="64"/>
      <c r="AH546" s="64"/>
      <c r="AI546" s="143"/>
      <c r="AJ546" s="134"/>
      <c r="AK546" s="194"/>
      <c r="AL546" s="90"/>
    </row>
    <row r="547" spans="1:38" ht="17.100000000000001" customHeight="1" x14ac:dyDescent="0.25">
      <c r="A547" s="197"/>
      <c r="G547" s="88"/>
      <c r="H547" s="182"/>
      <c r="L547" s="24"/>
      <c r="M547" s="24"/>
      <c r="N547" s="186"/>
      <c r="O547" s="190"/>
      <c r="P547" s="204"/>
      <c r="Q547" s="142"/>
      <c r="T547" s="201"/>
      <c r="Z547" s="151"/>
      <c r="AB547" s="64"/>
      <c r="AC547" s="64"/>
      <c r="AD547" s="64"/>
      <c r="AE547" s="64"/>
      <c r="AF547" s="64"/>
      <c r="AG547" s="64"/>
      <c r="AH547" s="64"/>
      <c r="AI547" s="143"/>
      <c r="AJ547" s="134"/>
      <c r="AK547" s="194"/>
      <c r="AL547" s="90"/>
    </row>
    <row r="548" spans="1:38" ht="17.100000000000001" customHeight="1" x14ac:dyDescent="0.25">
      <c r="A548" s="197"/>
      <c r="G548" s="88"/>
      <c r="H548" s="182"/>
      <c r="L548" s="24"/>
      <c r="M548" s="24"/>
      <c r="N548" s="186"/>
      <c r="O548" s="190"/>
      <c r="P548" s="204"/>
      <c r="Q548" s="142"/>
      <c r="T548" s="201"/>
      <c r="Z548" s="151"/>
      <c r="AB548" s="64"/>
      <c r="AC548" s="64"/>
      <c r="AD548" s="64"/>
      <c r="AE548" s="64"/>
      <c r="AF548" s="64"/>
      <c r="AG548" s="64"/>
      <c r="AH548" s="64"/>
      <c r="AI548" s="143"/>
      <c r="AJ548" s="134"/>
      <c r="AK548" s="194"/>
      <c r="AL548" s="90"/>
    </row>
    <row r="549" spans="1:38" ht="17.100000000000001" customHeight="1" x14ac:dyDescent="0.25">
      <c r="A549" s="197"/>
      <c r="G549" s="88"/>
      <c r="H549" s="182"/>
      <c r="L549" s="24"/>
      <c r="M549" s="24"/>
      <c r="N549" s="186"/>
      <c r="O549" s="190"/>
      <c r="P549" s="204"/>
      <c r="Q549" s="142"/>
      <c r="T549" s="201"/>
      <c r="Z549" s="151"/>
      <c r="AB549" s="64"/>
      <c r="AC549" s="64"/>
      <c r="AD549" s="64"/>
      <c r="AE549" s="64"/>
      <c r="AF549" s="64"/>
      <c r="AG549" s="64"/>
      <c r="AH549" s="64"/>
      <c r="AI549" s="143"/>
      <c r="AJ549" s="134"/>
      <c r="AK549" s="194"/>
      <c r="AL549" s="90"/>
    </row>
    <row r="550" spans="1:38" ht="17.100000000000001" customHeight="1" x14ac:dyDescent="0.25">
      <c r="A550" s="197"/>
      <c r="G550" s="88"/>
      <c r="H550" s="182"/>
      <c r="L550" s="24"/>
      <c r="M550" s="24"/>
      <c r="N550" s="186"/>
      <c r="O550" s="190"/>
      <c r="P550" s="204"/>
      <c r="Q550" s="142"/>
      <c r="T550" s="201"/>
      <c r="Z550" s="151"/>
      <c r="AB550" s="64"/>
      <c r="AC550" s="64"/>
      <c r="AD550" s="64"/>
      <c r="AE550" s="64"/>
      <c r="AF550" s="64"/>
      <c r="AG550" s="64"/>
      <c r="AH550" s="64"/>
      <c r="AI550" s="143"/>
      <c r="AJ550" s="134"/>
      <c r="AK550" s="194"/>
      <c r="AL550" s="90"/>
    </row>
    <row r="551" spans="1:38" ht="17.100000000000001" customHeight="1" x14ac:dyDescent="0.25">
      <c r="A551" s="197"/>
      <c r="G551" s="88"/>
      <c r="H551" s="182"/>
      <c r="L551" s="24"/>
      <c r="M551" s="24"/>
      <c r="N551" s="186"/>
      <c r="O551" s="190"/>
      <c r="P551" s="204"/>
      <c r="Q551" s="142"/>
      <c r="T551" s="201"/>
      <c r="Z551" s="151"/>
      <c r="AB551" s="64"/>
      <c r="AC551" s="64"/>
      <c r="AD551" s="64"/>
      <c r="AE551" s="64"/>
      <c r="AF551" s="64"/>
      <c r="AG551" s="64"/>
      <c r="AH551" s="64"/>
      <c r="AI551" s="143"/>
      <c r="AJ551" s="134"/>
      <c r="AK551" s="194"/>
      <c r="AL551" s="90"/>
    </row>
    <row r="552" spans="1:38" ht="17.100000000000001" customHeight="1" x14ac:dyDescent="0.25">
      <c r="A552" s="197"/>
      <c r="G552" s="88"/>
      <c r="H552" s="182"/>
      <c r="L552" s="24"/>
      <c r="M552" s="24"/>
      <c r="N552" s="186"/>
      <c r="O552" s="190"/>
      <c r="P552" s="204"/>
      <c r="Q552" s="142"/>
      <c r="T552" s="201"/>
      <c r="Z552" s="151"/>
      <c r="AB552" s="64"/>
      <c r="AC552" s="64"/>
      <c r="AD552" s="64"/>
      <c r="AE552" s="64"/>
      <c r="AF552" s="64"/>
      <c r="AG552" s="64"/>
      <c r="AH552" s="64"/>
      <c r="AI552" s="143"/>
      <c r="AJ552" s="134"/>
      <c r="AK552" s="194"/>
      <c r="AL552" s="90"/>
    </row>
    <row r="553" spans="1:38" ht="17.100000000000001" customHeight="1" x14ac:dyDescent="0.25">
      <c r="A553" s="197"/>
      <c r="G553" s="88"/>
      <c r="H553" s="182"/>
      <c r="L553" s="24"/>
      <c r="M553" s="24"/>
      <c r="N553" s="186"/>
      <c r="O553" s="190"/>
      <c r="P553" s="204"/>
      <c r="Q553" s="142"/>
      <c r="T553" s="201"/>
      <c r="Z553" s="151"/>
      <c r="AB553" s="64"/>
      <c r="AC553" s="64"/>
      <c r="AD553" s="64"/>
      <c r="AE553" s="64"/>
      <c r="AF553" s="64"/>
      <c r="AG553" s="64"/>
      <c r="AH553" s="64"/>
      <c r="AI553" s="143"/>
      <c r="AJ553" s="134"/>
      <c r="AK553" s="194"/>
      <c r="AL553" s="90"/>
    </row>
    <row r="554" spans="1:38" ht="17.100000000000001" customHeight="1" x14ac:dyDescent="0.25">
      <c r="A554" s="197"/>
      <c r="G554" s="88"/>
      <c r="H554" s="182"/>
      <c r="L554" s="24"/>
      <c r="M554" s="24"/>
      <c r="N554" s="186"/>
      <c r="O554" s="190"/>
      <c r="P554" s="204"/>
      <c r="Q554" s="142"/>
      <c r="T554" s="201"/>
      <c r="Z554" s="151"/>
      <c r="AB554" s="64"/>
      <c r="AC554" s="64"/>
      <c r="AD554" s="64"/>
      <c r="AE554" s="64"/>
      <c r="AF554" s="64"/>
      <c r="AG554" s="64"/>
      <c r="AH554" s="64"/>
      <c r="AI554" s="143"/>
      <c r="AJ554" s="134"/>
      <c r="AK554" s="194"/>
      <c r="AL554" s="90"/>
    </row>
    <row r="555" spans="1:38" ht="17.100000000000001" customHeight="1" x14ac:dyDescent="0.25">
      <c r="A555" s="197"/>
      <c r="G555" s="88"/>
      <c r="H555" s="182"/>
      <c r="L555" s="24"/>
      <c r="M555" s="24"/>
      <c r="N555" s="186"/>
      <c r="O555" s="190"/>
      <c r="P555" s="204"/>
      <c r="Q555" s="142"/>
      <c r="T555" s="201"/>
      <c r="Z555" s="151"/>
      <c r="AB555" s="64"/>
      <c r="AC555" s="64"/>
      <c r="AD555" s="64"/>
      <c r="AE555" s="64"/>
      <c r="AF555" s="64"/>
      <c r="AG555" s="64"/>
      <c r="AH555" s="64"/>
      <c r="AI555" s="143"/>
      <c r="AJ555" s="134"/>
      <c r="AK555" s="194"/>
      <c r="AL555" s="90"/>
    </row>
    <row r="556" spans="1:38" ht="17.100000000000001" customHeight="1" x14ac:dyDescent="0.25">
      <c r="A556" s="197"/>
      <c r="G556" s="88"/>
      <c r="H556" s="182"/>
      <c r="L556" s="24"/>
      <c r="M556" s="24"/>
      <c r="N556" s="186"/>
      <c r="O556" s="190"/>
      <c r="P556" s="204"/>
      <c r="Q556" s="142"/>
      <c r="T556" s="201"/>
      <c r="Z556" s="151"/>
      <c r="AB556" s="64"/>
      <c r="AC556" s="64"/>
      <c r="AD556" s="64"/>
      <c r="AE556" s="64"/>
      <c r="AF556" s="64"/>
      <c r="AG556" s="64"/>
      <c r="AH556" s="64"/>
      <c r="AI556" s="143"/>
      <c r="AJ556" s="134"/>
      <c r="AK556" s="194"/>
      <c r="AL556" s="90"/>
    </row>
    <row r="557" spans="1:38" ht="17.100000000000001" customHeight="1" x14ac:dyDescent="0.25">
      <c r="A557" s="197"/>
      <c r="G557" s="88"/>
      <c r="H557" s="182"/>
      <c r="L557" s="24"/>
      <c r="M557" s="24"/>
      <c r="N557" s="186"/>
      <c r="O557" s="190"/>
      <c r="P557" s="204"/>
      <c r="Q557" s="142"/>
      <c r="T557" s="201"/>
      <c r="Z557" s="151"/>
      <c r="AB557" s="64"/>
      <c r="AC557" s="64"/>
      <c r="AD557" s="64"/>
      <c r="AE557" s="64"/>
      <c r="AF557" s="64"/>
      <c r="AG557" s="64"/>
      <c r="AH557" s="64"/>
      <c r="AI557" s="143"/>
      <c r="AJ557" s="134"/>
      <c r="AK557" s="194"/>
      <c r="AL557" s="90"/>
    </row>
    <row r="558" spans="1:38" ht="17.100000000000001" customHeight="1" x14ac:dyDescent="0.25">
      <c r="A558" s="197"/>
      <c r="G558" s="88"/>
      <c r="H558" s="182"/>
      <c r="L558" s="24"/>
      <c r="M558" s="24"/>
      <c r="N558" s="186"/>
      <c r="O558" s="190"/>
      <c r="P558" s="204"/>
      <c r="Q558" s="142"/>
      <c r="T558" s="201"/>
      <c r="Z558" s="151"/>
      <c r="AB558" s="64"/>
      <c r="AC558" s="64"/>
      <c r="AD558" s="64"/>
      <c r="AE558" s="64"/>
      <c r="AF558" s="64"/>
      <c r="AG558" s="64"/>
      <c r="AH558" s="64"/>
      <c r="AI558" s="143"/>
      <c r="AJ558" s="134"/>
      <c r="AK558" s="194"/>
      <c r="AL558" s="90"/>
    </row>
    <row r="559" spans="1:38" ht="17.100000000000001" customHeight="1" x14ac:dyDescent="0.25">
      <c r="A559" s="197"/>
      <c r="G559" s="88"/>
      <c r="H559" s="182"/>
      <c r="L559" s="24"/>
      <c r="M559" s="24"/>
      <c r="N559" s="186"/>
      <c r="O559" s="190"/>
      <c r="P559" s="204"/>
      <c r="Q559" s="142"/>
      <c r="T559" s="201"/>
      <c r="Z559" s="151"/>
      <c r="AB559" s="64"/>
      <c r="AC559" s="64"/>
      <c r="AD559" s="64"/>
      <c r="AE559" s="64"/>
      <c r="AF559" s="64"/>
      <c r="AG559" s="64"/>
      <c r="AH559" s="64"/>
      <c r="AI559" s="143"/>
      <c r="AJ559" s="134"/>
      <c r="AK559" s="194"/>
      <c r="AL559" s="90"/>
    </row>
    <row r="560" spans="1:38" ht="17.100000000000001" customHeight="1" x14ac:dyDescent="0.25">
      <c r="A560" s="197"/>
      <c r="G560" s="88"/>
      <c r="H560" s="182"/>
      <c r="L560" s="24"/>
      <c r="M560" s="24"/>
      <c r="N560" s="186"/>
      <c r="O560" s="190"/>
      <c r="P560" s="204"/>
      <c r="Q560" s="142"/>
      <c r="T560" s="201"/>
      <c r="Z560" s="151"/>
      <c r="AB560" s="64"/>
      <c r="AC560" s="64"/>
      <c r="AD560" s="64"/>
      <c r="AE560" s="64"/>
      <c r="AF560" s="64"/>
      <c r="AG560" s="64"/>
      <c r="AH560" s="64"/>
      <c r="AI560" s="143"/>
      <c r="AJ560" s="134"/>
      <c r="AK560" s="194"/>
      <c r="AL560" s="90"/>
    </row>
    <row r="561" spans="1:38" ht="17.100000000000001" customHeight="1" x14ac:dyDescent="0.25">
      <c r="A561" s="197"/>
      <c r="G561" s="88"/>
      <c r="H561" s="182"/>
      <c r="L561" s="24"/>
      <c r="M561" s="24"/>
      <c r="N561" s="186"/>
      <c r="O561" s="190"/>
      <c r="P561" s="204"/>
      <c r="Q561" s="142"/>
      <c r="T561" s="201"/>
      <c r="Z561" s="24"/>
      <c r="AB561" s="64"/>
      <c r="AC561" s="64"/>
      <c r="AD561" s="64"/>
      <c r="AE561" s="64"/>
      <c r="AF561" s="64"/>
      <c r="AG561" s="64"/>
      <c r="AH561" s="64"/>
      <c r="AI561" s="143"/>
      <c r="AJ561" s="134"/>
      <c r="AK561" s="194"/>
      <c r="AL561" s="90"/>
    </row>
    <row r="562" spans="1:38" ht="17.100000000000001" customHeight="1" x14ac:dyDescent="0.25">
      <c r="A562" s="197"/>
      <c r="G562" s="88"/>
      <c r="H562" s="182"/>
      <c r="L562" s="24"/>
      <c r="M562" s="24"/>
      <c r="N562" s="186"/>
      <c r="O562" s="190"/>
      <c r="P562" s="204"/>
      <c r="Q562" s="142"/>
      <c r="T562" s="201"/>
      <c r="Z562" s="151"/>
      <c r="AB562" s="64"/>
      <c r="AC562" s="64"/>
      <c r="AD562" s="64"/>
      <c r="AE562" s="64"/>
      <c r="AF562" s="64"/>
      <c r="AG562" s="64"/>
      <c r="AH562" s="64"/>
      <c r="AI562" s="143"/>
      <c r="AJ562" s="134"/>
      <c r="AK562" s="194"/>
      <c r="AL562" s="90"/>
    </row>
    <row r="563" spans="1:38" ht="17.100000000000001" customHeight="1" x14ac:dyDescent="0.25">
      <c r="A563" s="197"/>
      <c r="G563" s="88"/>
      <c r="H563" s="182"/>
      <c r="L563" s="24"/>
      <c r="M563" s="24"/>
      <c r="N563" s="186"/>
      <c r="O563" s="190"/>
      <c r="P563" s="204"/>
      <c r="Q563" s="142"/>
      <c r="T563" s="201"/>
      <c r="Z563" s="151"/>
      <c r="AB563" s="64"/>
      <c r="AC563" s="64"/>
      <c r="AD563" s="64"/>
      <c r="AE563" s="64"/>
      <c r="AF563" s="64"/>
      <c r="AG563" s="64"/>
      <c r="AH563" s="64"/>
      <c r="AI563" s="143"/>
      <c r="AJ563" s="134"/>
      <c r="AK563" s="194"/>
      <c r="AL563" s="90"/>
    </row>
    <row r="564" spans="1:38" ht="17.100000000000001" customHeight="1" x14ac:dyDescent="0.25">
      <c r="A564" s="197"/>
      <c r="G564" s="88"/>
      <c r="H564" s="182"/>
      <c r="L564" s="24"/>
      <c r="M564" s="24"/>
      <c r="N564" s="186"/>
      <c r="O564" s="190"/>
      <c r="P564" s="204"/>
      <c r="Q564" s="142"/>
      <c r="T564" s="201"/>
      <c r="Z564" s="151"/>
      <c r="AB564" s="64"/>
      <c r="AC564" s="64"/>
      <c r="AD564" s="64"/>
      <c r="AE564" s="64"/>
      <c r="AF564" s="64"/>
      <c r="AG564" s="64"/>
      <c r="AH564" s="64"/>
      <c r="AI564" s="143"/>
      <c r="AJ564" s="134"/>
      <c r="AK564" s="194"/>
      <c r="AL564" s="90"/>
    </row>
    <row r="565" spans="1:38" ht="17.100000000000001" customHeight="1" x14ac:dyDescent="0.25">
      <c r="A565" s="197"/>
      <c r="G565" s="88"/>
      <c r="H565" s="182"/>
      <c r="L565" s="24"/>
      <c r="M565" s="24"/>
      <c r="N565" s="186"/>
      <c r="O565" s="190"/>
      <c r="P565" s="204"/>
      <c r="Q565" s="142"/>
      <c r="T565" s="201"/>
      <c r="Z565" s="151"/>
      <c r="AB565" s="64"/>
      <c r="AC565" s="64"/>
      <c r="AD565" s="64"/>
      <c r="AE565" s="64"/>
      <c r="AF565" s="64"/>
      <c r="AG565" s="64"/>
      <c r="AH565" s="64"/>
      <c r="AI565" s="143"/>
      <c r="AJ565" s="134"/>
      <c r="AK565" s="194"/>
      <c r="AL565" s="90"/>
    </row>
    <row r="566" spans="1:38" ht="17.100000000000001" customHeight="1" x14ac:dyDescent="0.25">
      <c r="A566" s="197"/>
      <c r="G566" s="88"/>
      <c r="H566" s="182"/>
      <c r="L566" s="24"/>
      <c r="M566" s="24"/>
      <c r="N566" s="186"/>
      <c r="O566" s="190"/>
      <c r="P566" s="204"/>
      <c r="Q566" s="142"/>
      <c r="T566" s="201"/>
      <c r="Z566" s="151"/>
      <c r="AB566" s="64"/>
      <c r="AC566" s="64"/>
      <c r="AD566" s="64"/>
      <c r="AE566" s="64"/>
      <c r="AF566" s="64"/>
      <c r="AG566" s="64"/>
      <c r="AH566" s="64"/>
      <c r="AI566" s="143"/>
      <c r="AJ566" s="134"/>
      <c r="AK566" s="194"/>
      <c r="AL566" s="90"/>
    </row>
    <row r="567" spans="1:38" ht="17.100000000000001" customHeight="1" x14ac:dyDescent="0.25">
      <c r="A567" s="197"/>
      <c r="G567" s="88"/>
      <c r="H567" s="182"/>
      <c r="L567" s="24"/>
      <c r="M567" s="24"/>
      <c r="N567" s="186"/>
      <c r="O567" s="190"/>
      <c r="P567" s="204"/>
      <c r="Q567" s="142"/>
      <c r="T567" s="201"/>
      <c r="Z567" s="151"/>
      <c r="AB567" s="64"/>
      <c r="AC567" s="64"/>
      <c r="AD567" s="64"/>
      <c r="AE567" s="64"/>
      <c r="AF567" s="64"/>
      <c r="AG567" s="64"/>
      <c r="AH567" s="64"/>
      <c r="AI567" s="143"/>
      <c r="AJ567" s="134"/>
      <c r="AK567" s="194"/>
      <c r="AL567" s="90"/>
    </row>
    <row r="568" spans="1:38" ht="17.100000000000001" customHeight="1" x14ac:dyDescent="0.25">
      <c r="A568" s="197"/>
      <c r="G568" s="88"/>
      <c r="H568" s="182"/>
      <c r="L568" s="24"/>
      <c r="M568" s="24"/>
      <c r="N568" s="186"/>
      <c r="O568" s="190"/>
      <c r="P568" s="204"/>
      <c r="Q568" s="142"/>
      <c r="T568" s="201"/>
      <c r="Z568" s="151"/>
      <c r="AB568" s="64"/>
      <c r="AC568" s="64"/>
      <c r="AD568" s="64"/>
      <c r="AE568" s="64"/>
      <c r="AF568" s="64"/>
      <c r="AG568" s="64"/>
      <c r="AH568" s="64"/>
      <c r="AI568" s="143"/>
      <c r="AJ568" s="134"/>
      <c r="AK568" s="194"/>
      <c r="AL568" s="90"/>
    </row>
    <row r="569" spans="1:38" ht="17.100000000000001" customHeight="1" x14ac:dyDescent="0.25">
      <c r="A569" s="197"/>
      <c r="G569" s="88"/>
      <c r="H569" s="182"/>
      <c r="L569" s="24"/>
      <c r="M569" s="24"/>
      <c r="N569" s="186"/>
      <c r="O569" s="190"/>
      <c r="P569" s="204"/>
      <c r="Q569" s="142"/>
      <c r="T569" s="201"/>
      <c r="Z569" s="151"/>
      <c r="AB569" s="64"/>
      <c r="AC569" s="64"/>
      <c r="AD569" s="64"/>
      <c r="AE569" s="64"/>
      <c r="AF569" s="64"/>
      <c r="AG569" s="64"/>
      <c r="AH569" s="64"/>
      <c r="AI569" s="143"/>
      <c r="AJ569" s="134"/>
      <c r="AK569" s="194"/>
      <c r="AL569" s="90"/>
    </row>
    <row r="570" spans="1:38" ht="17.100000000000001" customHeight="1" x14ac:dyDescent="0.25">
      <c r="A570" s="197"/>
      <c r="G570" s="88"/>
      <c r="H570" s="182"/>
      <c r="L570" s="24"/>
      <c r="M570" s="24"/>
      <c r="N570" s="186"/>
      <c r="O570" s="190"/>
      <c r="P570" s="204"/>
      <c r="Q570" s="142"/>
      <c r="T570" s="201"/>
      <c r="Z570" s="151"/>
      <c r="AB570" s="64"/>
      <c r="AC570" s="64"/>
      <c r="AD570" s="64"/>
      <c r="AE570" s="64"/>
      <c r="AF570" s="64"/>
      <c r="AG570" s="64"/>
      <c r="AH570" s="64"/>
      <c r="AI570" s="143"/>
      <c r="AJ570" s="134"/>
      <c r="AK570" s="194"/>
      <c r="AL570" s="90"/>
    </row>
    <row r="571" spans="1:38" ht="17.100000000000001" customHeight="1" x14ac:dyDescent="0.25">
      <c r="A571" s="197"/>
      <c r="G571" s="88"/>
      <c r="H571" s="182"/>
      <c r="L571" s="24"/>
      <c r="M571" s="24"/>
      <c r="N571" s="186"/>
      <c r="O571" s="190"/>
      <c r="P571" s="204"/>
      <c r="Q571" s="142"/>
      <c r="T571" s="201"/>
      <c r="Z571" s="151"/>
      <c r="AB571" s="64"/>
      <c r="AC571" s="64"/>
      <c r="AD571" s="64"/>
      <c r="AE571" s="64"/>
      <c r="AF571" s="64"/>
      <c r="AG571" s="64"/>
      <c r="AH571" s="64"/>
      <c r="AI571" s="143"/>
      <c r="AJ571" s="134"/>
      <c r="AK571" s="194"/>
      <c r="AL571" s="90"/>
    </row>
    <row r="572" spans="1:38" ht="17.100000000000001" customHeight="1" thickBot="1" x14ac:dyDescent="0.3">
      <c r="A572" s="197"/>
      <c r="G572" s="88"/>
      <c r="H572" s="182"/>
      <c r="L572" s="24"/>
      <c r="M572" s="24"/>
      <c r="N572" s="186"/>
      <c r="O572" s="190"/>
      <c r="P572" s="204"/>
      <c r="Q572" s="142"/>
      <c r="T572" s="201"/>
      <c r="Z572" s="151"/>
      <c r="AB572" s="64"/>
      <c r="AC572" s="64"/>
      <c r="AD572" s="64"/>
      <c r="AE572" s="64"/>
      <c r="AF572" s="64"/>
      <c r="AG572" s="64"/>
      <c r="AH572" s="64"/>
      <c r="AI572" s="143"/>
      <c r="AJ572" s="134"/>
      <c r="AK572" s="194"/>
      <c r="AL572" s="90"/>
    </row>
    <row r="573" spans="1:38" ht="17.100000000000001" customHeight="1" x14ac:dyDescent="0.25">
      <c r="A573" s="198"/>
      <c r="B573" s="153"/>
      <c r="C573" s="154"/>
      <c r="D573" s="154"/>
      <c r="E573" s="154"/>
      <c r="F573" s="154"/>
      <c r="G573" s="155"/>
      <c r="H573" s="183"/>
      <c r="I573" s="156"/>
      <c r="J573" s="157"/>
      <c r="K573" s="158"/>
      <c r="L573" s="158"/>
      <c r="M573" s="158"/>
      <c r="N573" s="187"/>
      <c r="O573" s="191"/>
      <c r="P573" s="205"/>
      <c r="Q573" s="159"/>
      <c r="R573" s="160"/>
      <c r="S573" s="158"/>
      <c r="T573" s="202"/>
      <c r="U573" s="161"/>
      <c r="V573" s="156"/>
      <c r="W573" s="162"/>
      <c r="X573" s="156"/>
      <c r="Y573" s="158"/>
      <c r="Z573" s="163"/>
      <c r="AA573" s="156"/>
      <c r="AB573" s="164"/>
      <c r="AC573" s="164"/>
      <c r="AD573" s="164"/>
      <c r="AE573" s="164"/>
      <c r="AF573" s="164"/>
      <c r="AG573" s="164"/>
      <c r="AH573" s="164"/>
      <c r="AI573" s="165"/>
      <c r="AJ573" s="134"/>
      <c r="AK573" s="195"/>
      <c r="AL573" s="170"/>
    </row>
    <row r="574" spans="1:38" ht="17.100000000000001" customHeight="1" x14ac:dyDescent="0.25">
      <c r="A574" s="197"/>
      <c r="G574" s="88"/>
      <c r="H574" s="182"/>
      <c r="L574" s="24"/>
      <c r="M574" s="24"/>
      <c r="N574" s="186"/>
      <c r="O574" s="190"/>
      <c r="P574" s="204"/>
      <c r="Q574" s="142"/>
      <c r="T574" s="201"/>
      <c r="Z574" s="151"/>
      <c r="AB574" s="64"/>
      <c r="AC574" s="64"/>
      <c r="AD574" s="64"/>
      <c r="AE574" s="64"/>
      <c r="AF574" s="64"/>
      <c r="AG574" s="64"/>
      <c r="AH574" s="64"/>
      <c r="AI574" s="143"/>
      <c r="AJ574" s="134"/>
      <c r="AK574" s="194"/>
      <c r="AL574" s="90"/>
    </row>
    <row r="575" spans="1:38" ht="17.100000000000001" customHeight="1" x14ac:dyDescent="0.25">
      <c r="A575" s="197"/>
      <c r="G575" s="88"/>
      <c r="H575" s="182"/>
      <c r="L575" s="24"/>
      <c r="M575" s="24"/>
      <c r="N575" s="186"/>
      <c r="O575" s="190"/>
      <c r="P575" s="204"/>
      <c r="Q575" s="142"/>
      <c r="T575" s="201"/>
      <c r="Z575" s="151"/>
      <c r="AB575" s="64"/>
      <c r="AC575" s="64"/>
      <c r="AD575" s="64"/>
      <c r="AE575" s="64"/>
      <c r="AF575" s="64"/>
      <c r="AG575" s="64"/>
      <c r="AH575" s="64"/>
      <c r="AI575" s="143"/>
      <c r="AJ575" s="134"/>
      <c r="AK575" s="194"/>
      <c r="AL575" s="90"/>
    </row>
    <row r="576" spans="1:38" ht="17.100000000000001" customHeight="1" x14ac:dyDescent="0.25">
      <c r="A576" s="197"/>
      <c r="G576" s="88"/>
      <c r="H576" s="182"/>
      <c r="L576" s="24"/>
      <c r="M576" s="24"/>
      <c r="N576" s="186"/>
      <c r="O576" s="190"/>
      <c r="P576" s="204"/>
      <c r="Q576" s="142"/>
      <c r="T576" s="201"/>
      <c r="Z576" s="151"/>
      <c r="AB576" s="64"/>
      <c r="AC576" s="64"/>
      <c r="AD576" s="64"/>
      <c r="AE576" s="64"/>
      <c r="AF576" s="64"/>
      <c r="AG576" s="64"/>
      <c r="AH576" s="64"/>
      <c r="AI576" s="143"/>
      <c r="AJ576" s="134"/>
      <c r="AK576" s="194"/>
      <c r="AL576" s="90"/>
    </row>
    <row r="577" spans="1:38" ht="17.100000000000001" customHeight="1" x14ac:dyDescent="0.25">
      <c r="A577" s="197"/>
      <c r="G577" s="88"/>
      <c r="H577" s="182"/>
      <c r="L577" s="24"/>
      <c r="M577" s="24"/>
      <c r="N577" s="186"/>
      <c r="O577" s="190"/>
      <c r="P577" s="204"/>
      <c r="Q577" s="142"/>
      <c r="T577" s="201"/>
      <c r="Z577" s="151"/>
      <c r="AB577" s="64"/>
      <c r="AC577" s="64"/>
      <c r="AD577" s="64"/>
      <c r="AE577" s="64"/>
      <c r="AF577" s="64"/>
      <c r="AG577" s="64"/>
      <c r="AH577" s="64"/>
      <c r="AI577" s="143"/>
      <c r="AJ577" s="134"/>
      <c r="AK577" s="194"/>
      <c r="AL577" s="90"/>
    </row>
    <row r="578" spans="1:38" ht="17.100000000000001" customHeight="1" x14ac:dyDescent="0.25">
      <c r="A578" s="197"/>
      <c r="G578" s="88"/>
      <c r="H578" s="182"/>
      <c r="L578" s="24"/>
      <c r="M578" s="24"/>
      <c r="N578" s="186"/>
      <c r="O578" s="190"/>
      <c r="P578" s="204"/>
      <c r="Q578" s="142"/>
      <c r="T578" s="201"/>
      <c r="Z578" s="151"/>
      <c r="AB578" s="64"/>
      <c r="AC578" s="64"/>
      <c r="AD578" s="64"/>
      <c r="AE578" s="64"/>
      <c r="AF578" s="64"/>
      <c r="AG578" s="64"/>
      <c r="AH578" s="64"/>
      <c r="AI578" s="143"/>
      <c r="AJ578" s="134"/>
      <c r="AK578" s="194"/>
      <c r="AL578" s="90"/>
    </row>
    <row r="579" spans="1:38" ht="17.100000000000001" customHeight="1" x14ac:dyDescent="0.25">
      <c r="A579" s="197"/>
      <c r="G579" s="88"/>
      <c r="H579" s="182"/>
      <c r="L579" s="24"/>
      <c r="M579" s="24"/>
      <c r="N579" s="186"/>
      <c r="O579" s="190"/>
      <c r="P579" s="204"/>
      <c r="Q579" s="142"/>
      <c r="T579" s="201"/>
      <c r="Z579" s="151"/>
      <c r="AB579" s="64"/>
      <c r="AC579" s="64"/>
      <c r="AD579" s="64"/>
      <c r="AE579" s="64"/>
      <c r="AF579" s="64"/>
      <c r="AG579" s="64"/>
      <c r="AH579" s="64"/>
      <c r="AI579" s="143"/>
      <c r="AJ579" s="134"/>
      <c r="AK579" s="194"/>
      <c r="AL579" s="90"/>
    </row>
    <row r="580" spans="1:38" ht="17.100000000000001" customHeight="1" x14ac:dyDescent="0.25">
      <c r="A580" s="197"/>
      <c r="G580" s="88"/>
      <c r="H580" s="182"/>
      <c r="L580" s="24"/>
      <c r="M580" s="24"/>
      <c r="N580" s="186"/>
      <c r="O580" s="190"/>
      <c r="P580" s="204"/>
      <c r="Q580" s="142"/>
      <c r="T580" s="201"/>
      <c r="Z580" s="151"/>
      <c r="AB580" s="64"/>
      <c r="AC580" s="64"/>
      <c r="AD580" s="64"/>
      <c r="AE580" s="64"/>
      <c r="AF580" s="64"/>
      <c r="AG580" s="64"/>
      <c r="AH580" s="64"/>
      <c r="AI580" s="143"/>
      <c r="AJ580" s="134"/>
      <c r="AK580" s="194"/>
      <c r="AL580" s="90"/>
    </row>
    <row r="581" spans="1:38" ht="17.100000000000001" customHeight="1" x14ac:dyDescent="0.25">
      <c r="A581" s="197"/>
      <c r="G581" s="88"/>
      <c r="H581" s="182"/>
      <c r="L581" s="24"/>
      <c r="M581" s="24"/>
      <c r="N581" s="186"/>
      <c r="O581" s="190"/>
      <c r="P581" s="204"/>
      <c r="Q581" s="142"/>
      <c r="T581" s="201"/>
      <c r="Z581" s="151"/>
      <c r="AB581" s="64"/>
      <c r="AC581" s="64"/>
      <c r="AD581" s="64"/>
      <c r="AE581" s="64"/>
      <c r="AF581" s="64"/>
      <c r="AG581" s="64"/>
      <c r="AH581" s="64"/>
      <c r="AI581" s="143"/>
      <c r="AJ581" s="134"/>
      <c r="AK581" s="194"/>
      <c r="AL581" s="90"/>
    </row>
    <row r="582" spans="1:38" ht="17.100000000000001" customHeight="1" x14ac:dyDescent="0.25">
      <c r="A582" s="197"/>
      <c r="G582" s="88"/>
      <c r="H582" s="182"/>
      <c r="L582" s="24"/>
      <c r="M582" s="24"/>
      <c r="N582" s="186"/>
      <c r="O582" s="190"/>
      <c r="P582" s="204"/>
      <c r="Q582" s="142"/>
      <c r="T582" s="201"/>
      <c r="Z582" s="151"/>
      <c r="AB582" s="64"/>
      <c r="AC582" s="64"/>
      <c r="AD582" s="64"/>
      <c r="AE582" s="64"/>
      <c r="AF582" s="64"/>
      <c r="AG582" s="64"/>
      <c r="AH582" s="64"/>
      <c r="AI582" s="143"/>
      <c r="AJ582" s="134"/>
      <c r="AK582" s="194"/>
      <c r="AL582" s="90"/>
    </row>
    <row r="583" spans="1:38" ht="17.100000000000001" customHeight="1" x14ac:dyDescent="0.25">
      <c r="A583" s="197"/>
      <c r="G583" s="88"/>
      <c r="H583" s="182"/>
      <c r="L583" s="24"/>
      <c r="M583" s="24"/>
      <c r="N583" s="186"/>
      <c r="O583" s="190"/>
      <c r="P583" s="204"/>
      <c r="Q583" s="142"/>
      <c r="T583" s="201"/>
      <c r="Z583" s="151"/>
      <c r="AB583" s="64"/>
      <c r="AC583" s="64"/>
      <c r="AD583" s="64"/>
      <c r="AE583" s="64"/>
      <c r="AF583" s="64"/>
      <c r="AG583" s="64"/>
      <c r="AH583" s="64"/>
      <c r="AI583" s="143"/>
      <c r="AJ583" s="134"/>
      <c r="AK583" s="194"/>
      <c r="AL583" s="90"/>
    </row>
    <row r="584" spans="1:38" ht="17.100000000000001" customHeight="1" x14ac:dyDescent="0.25">
      <c r="A584" s="197"/>
      <c r="G584" s="88"/>
      <c r="H584" s="182"/>
      <c r="L584" s="24"/>
      <c r="M584" s="24"/>
      <c r="N584" s="186"/>
      <c r="O584" s="190"/>
      <c r="P584" s="204"/>
      <c r="Q584" s="142"/>
      <c r="T584" s="201"/>
      <c r="Z584" s="151"/>
      <c r="AB584" s="64"/>
      <c r="AC584" s="64"/>
      <c r="AD584" s="64"/>
      <c r="AE584" s="64"/>
      <c r="AF584" s="64"/>
      <c r="AG584" s="64"/>
      <c r="AH584" s="64"/>
      <c r="AI584" s="143"/>
      <c r="AJ584" s="134"/>
      <c r="AK584" s="194"/>
      <c r="AL584" s="90"/>
    </row>
    <row r="585" spans="1:38" ht="17.100000000000001" customHeight="1" x14ac:dyDescent="0.25">
      <c r="A585" s="197"/>
      <c r="G585" s="88"/>
      <c r="H585" s="182"/>
      <c r="L585" s="24"/>
      <c r="M585" s="24"/>
      <c r="N585" s="186"/>
      <c r="O585" s="190"/>
      <c r="P585" s="204"/>
      <c r="Q585" s="142"/>
      <c r="T585" s="201"/>
      <c r="Z585" s="151"/>
      <c r="AB585" s="64"/>
      <c r="AC585" s="64"/>
      <c r="AD585" s="64"/>
      <c r="AE585" s="64"/>
      <c r="AF585" s="64"/>
      <c r="AG585" s="64"/>
      <c r="AH585" s="64"/>
      <c r="AI585" s="143"/>
      <c r="AJ585" s="134"/>
      <c r="AK585" s="194"/>
      <c r="AL585" s="90"/>
    </row>
    <row r="586" spans="1:38" ht="17.100000000000001" customHeight="1" x14ac:dyDescent="0.25">
      <c r="A586" s="197"/>
      <c r="G586" s="88"/>
      <c r="H586" s="182"/>
      <c r="L586" s="24"/>
      <c r="M586" s="24"/>
      <c r="N586" s="186"/>
      <c r="O586" s="190"/>
      <c r="P586" s="204"/>
      <c r="Q586" s="142"/>
      <c r="T586" s="201"/>
      <c r="Z586" s="151"/>
      <c r="AB586" s="64"/>
      <c r="AC586" s="64"/>
      <c r="AD586" s="64"/>
      <c r="AE586" s="64"/>
      <c r="AF586" s="64"/>
      <c r="AG586" s="64"/>
      <c r="AH586" s="64"/>
      <c r="AI586" s="143"/>
      <c r="AJ586" s="134"/>
      <c r="AK586" s="194"/>
      <c r="AL586" s="90"/>
    </row>
    <row r="587" spans="1:38" ht="17.100000000000001" customHeight="1" x14ac:dyDescent="0.25">
      <c r="A587" s="197"/>
      <c r="G587" s="88"/>
      <c r="H587" s="182"/>
      <c r="L587" s="24"/>
      <c r="M587" s="24"/>
      <c r="N587" s="186"/>
      <c r="O587" s="190"/>
      <c r="P587" s="204"/>
      <c r="Q587" s="142"/>
      <c r="T587" s="201"/>
      <c r="Z587" s="151"/>
      <c r="AB587" s="64"/>
      <c r="AC587" s="64"/>
      <c r="AD587" s="64"/>
      <c r="AE587" s="64"/>
      <c r="AF587" s="64"/>
      <c r="AG587" s="64"/>
      <c r="AH587" s="64"/>
      <c r="AI587" s="143"/>
      <c r="AJ587" s="134"/>
      <c r="AK587" s="194"/>
      <c r="AL587" s="90"/>
    </row>
    <row r="588" spans="1:38" ht="17.100000000000001" customHeight="1" x14ac:dyDescent="0.25">
      <c r="A588" s="197"/>
      <c r="G588" s="88"/>
      <c r="H588" s="182"/>
      <c r="L588" s="24"/>
      <c r="M588" s="24"/>
      <c r="N588" s="186"/>
      <c r="O588" s="190"/>
      <c r="P588" s="204"/>
      <c r="Q588" s="142"/>
      <c r="T588" s="201"/>
      <c r="Z588" s="151"/>
      <c r="AB588" s="64"/>
      <c r="AC588" s="64"/>
      <c r="AD588" s="64"/>
      <c r="AE588" s="64"/>
      <c r="AF588" s="64"/>
      <c r="AG588" s="64"/>
      <c r="AH588" s="64"/>
      <c r="AI588" s="143"/>
      <c r="AJ588" s="134"/>
      <c r="AK588" s="194"/>
      <c r="AL588" s="90"/>
    </row>
    <row r="589" spans="1:38" ht="17.100000000000001" customHeight="1" x14ac:dyDescent="0.25">
      <c r="A589" s="197"/>
      <c r="G589" s="88"/>
      <c r="H589" s="182"/>
      <c r="L589" s="24"/>
      <c r="M589" s="24"/>
      <c r="N589" s="186"/>
      <c r="O589" s="190"/>
      <c r="P589" s="204"/>
      <c r="Q589" s="142"/>
      <c r="T589" s="201"/>
      <c r="Z589" s="151"/>
      <c r="AB589" s="64"/>
      <c r="AC589" s="64"/>
      <c r="AD589" s="64"/>
      <c r="AE589" s="64"/>
      <c r="AF589" s="64"/>
      <c r="AG589" s="64"/>
      <c r="AH589" s="64"/>
      <c r="AI589" s="143"/>
      <c r="AJ589" s="134"/>
      <c r="AK589" s="194"/>
      <c r="AL589" s="90"/>
    </row>
    <row r="590" spans="1:38" ht="17.100000000000001" customHeight="1" x14ac:dyDescent="0.25">
      <c r="A590" s="197"/>
      <c r="G590" s="88"/>
      <c r="H590" s="182"/>
      <c r="L590" s="24"/>
      <c r="M590" s="24"/>
      <c r="N590" s="186"/>
      <c r="O590" s="190"/>
      <c r="P590" s="204"/>
      <c r="Q590" s="142"/>
      <c r="T590" s="201"/>
      <c r="Z590" s="151"/>
      <c r="AB590" s="64"/>
      <c r="AC590" s="64"/>
      <c r="AD590" s="64"/>
      <c r="AE590" s="64"/>
      <c r="AF590" s="64"/>
      <c r="AG590" s="64"/>
      <c r="AH590" s="64"/>
      <c r="AI590" s="143"/>
      <c r="AJ590" s="134"/>
      <c r="AK590" s="194"/>
      <c r="AL590" s="90"/>
    </row>
    <row r="591" spans="1:38" ht="17.100000000000001" customHeight="1" x14ac:dyDescent="0.25">
      <c r="A591" s="197"/>
      <c r="G591" s="88"/>
      <c r="H591" s="182"/>
      <c r="L591" s="24"/>
      <c r="M591" s="24"/>
      <c r="N591" s="186"/>
      <c r="O591" s="190"/>
      <c r="P591" s="204"/>
      <c r="Q591" s="142"/>
      <c r="T591" s="201"/>
      <c r="Z591" s="151"/>
      <c r="AB591" s="64"/>
      <c r="AC591" s="64"/>
      <c r="AD591" s="64"/>
      <c r="AE591" s="64"/>
      <c r="AF591" s="64"/>
      <c r="AG591" s="64"/>
      <c r="AH591" s="64"/>
      <c r="AI591" s="143"/>
      <c r="AJ591" s="134"/>
      <c r="AK591" s="194"/>
      <c r="AL591" s="90"/>
    </row>
    <row r="592" spans="1:38" ht="17.100000000000001" customHeight="1" x14ac:dyDescent="0.25">
      <c r="A592" s="197"/>
      <c r="G592" s="88"/>
      <c r="H592" s="182"/>
      <c r="L592" s="24"/>
      <c r="M592" s="24"/>
      <c r="N592" s="186"/>
      <c r="O592" s="190"/>
      <c r="P592" s="204"/>
      <c r="Q592" s="142"/>
      <c r="T592" s="201"/>
      <c r="Z592" s="151"/>
      <c r="AB592" s="64"/>
      <c r="AC592" s="64"/>
      <c r="AD592" s="64"/>
      <c r="AE592" s="64"/>
      <c r="AF592" s="64"/>
      <c r="AG592" s="64"/>
      <c r="AH592" s="64"/>
      <c r="AI592" s="143"/>
      <c r="AJ592" s="134"/>
      <c r="AK592" s="194"/>
      <c r="AL592" s="90"/>
    </row>
    <row r="593" spans="1:38" ht="17.100000000000001" customHeight="1" x14ac:dyDescent="0.25">
      <c r="A593" s="197"/>
      <c r="G593" s="88"/>
      <c r="H593" s="182"/>
      <c r="L593" s="24"/>
      <c r="M593" s="24"/>
      <c r="N593" s="186"/>
      <c r="O593" s="190"/>
      <c r="P593" s="204"/>
      <c r="Q593" s="142"/>
      <c r="T593" s="201"/>
      <c r="Z593" s="151"/>
      <c r="AB593" s="64"/>
      <c r="AC593" s="64"/>
      <c r="AD593" s="64"/>
      <c r="AE593" s="64"/>
      <c r="AF593" s="64"/>
      <c r="AG593" s="64"/>
      <c r="AH593" s="64"/>
      <c r="AI593" s="143"/>
      <c r="AJ593" s="134"/>
      <c r="AK593" s="194"/>
      <c r="AL593" s="90"/>
    </row>
    <row r="594" spans="1:38" ht="17.100000000000001" customHeight="1" x14ac:dyDescent="0.25">
      <c r="A594" s="197"/>
      <c r="G594" s="88"/>
      <c r="H594" s="182"/>
      <c r="L594" s="24"/>
      <c r="M594" s="24"/>
      <c r="N594" s="186"/>
      <c r="O594" s="190"/>
      <c r="P594" s="204"/>
      <c r="Q594" s="142"/>
      <c r="T594" s="201"/>
      <c r="Z594" s="151"/>
      <c r="AB594" s="64"/>
      <c r="AC594" s="64"/>
      <c r="AD594" s="64"/>
      <c r="AE594" s="64"/>
      <c r="AF594" s="64"/>
      <c r="AG594" s="64"/>
      <c r="AH594" s="64"/>
      <c r="AI594" s="143"/>
      <c r="AJ594" s="134"/>
      <c r="AK594" s="194"/>
      <c r="AL594" s="90"/>
    </row>
    <row r="595" spans="1:38" ht="17.100000000000001" customHeight="1" x14ac:dyDescent="0.25">
      <c r="A595" s="197"/>
      <c r="G595" s="88"/>
      <c r="H595" s="182"/>
      <c r="L595" s="24"/>
      <c r="M595" s="24"/>
      <c r="N595" s="186"/>
      <c r="O595" s="190"/>
      <c r="P595" s="204"/>
      <c r="Q595" s="142"/>
      <c r="T595" s="201"/>
      <c r="Z595" s="151"/>
      <c r="AB595" s="64"/>
      <c r="AC595" s="64"/>
      <c r="AD595" s="64"/>
      <c r="AE595" s="64"/>
      <c r="AF595" s="64"/>
      <c r="AG595" s="64"/>
      <c r="AH595" s="64"/>
      <c r="AI595" s="143"/>
      <c r="AJ595" s="134"/>
      <c r="AK595" s="194"/>
      <c r="AL595" s="90"/>
    </row>
    <row r="596" spans="1:38" ht="17.100000000000001" customHeight="1" x14ac:dyDescent="0.25">
      <c r="A596" s="197"/>
      <c r="G596" s="88"/>
      <c r="H596" s="182"/>
      <c r="L596" s="24"/>
      <c r="M596" s="24"/>
      <c r="N596" s="186"/>
      <c r="O596" s="190"/>
      <c r="P596" s="204"/>
      <c r="Q596" s="142"/>
      <c r="T596" s="201"/>
      <c r="Z596" s="151"/>
      <c r="AB596" s="64"/>
      <c r="AC596" s="64"/>
      <c r="AD596" s="64"/>
      <c r="AE596" s="64"/>
      <c r="AF596" s="64"/>
      <c r="AG596" s="64"/>
      <c r="AH596" s="64"/>
      <c r="AI596" s="143"/>
      <c r="AJ596" s="134"/>
      <c r="AK596" s="194"/>
      <c r="AL596" s="90"/>
    </row>
    <row r="597" spans="1:38" ht="17.100000000000001" customHeight="1" x14ac:dyDescent="0.25">
      <c r="A597" s="197"/>
      <c r="G597" s="88"/>
      <c r="H597" s="182"/>
      <c r="L597" s="24"/>
      <c r="M597" s="24"/>
      <c r="N597" s="186"/>
      <c r="O597" s="190"/>
      <c r="P597" s="204"/>
      <c r="Q597" s="142"/>
      <c r="T597" s="201"/>
      <c r="Z597" s="151"/>
      <c r="AB597" s="64"/>
      <c r="AC597" s="64"/>
      <c r="AD597" s="64"/>
      <c r="AE597" s="64"/>
      <c r="AF597" s="64"/>
      <c r="AG597" s="64"/>
      <c r="AH597" s="64"/>
      <c r="AI597" s="143"/>
      <c r="AJ597" s="134"/>
      <c r="AK597" s="194"/>
      <c r="AL597" s="90"/>
    </row>
    <row r="598" spans="1:38" ht="17.100000000000001" customHeight="1" x14ac:dyDescent="0.25">
      <c r="A598" s="197"/>
      <c r="G598" s="88"/>
      <c r="H598" s="182"/>
      <c r="L598" s="24"/>
      <c r="M598" s="24"/>
      <c r="N598" s="186"/>
      <c r="O598" s="190"/>
      <c r="P598" s="204"/>
      <c r="Q598" s="142"/>
      <c r="T598" s="201"/>
      <c r="Z598" s="151"/>
      <c r="AB598" s="64"/>
      <c r="AC598" s="64"/>
      <c r="AD598" s="64"/>
      <c r="AE598" s="64"/>
      <c r="AF598" s="64"/>
      <c r="AG598" s="64"/>
      <c r="AH598" s="64"/>
      <c r="AI598" s="143"/>
      <c r="AJ598" s="134"/>
      <c r="AK598" s="194"/>
      <c r="AL598" s="90"/>
    </row>
    <row r="599" spans="1:38" ht="17.100000000000001" customHeight="1" x14ac:dyDescent="0.25">
      <c r="A599" s="197"/>
      <c r="G599" s="88"/>
      <c r="H599" s="182"/>
      <c r="L599" s="24"/>
      <c r="M599" s="24"/>
      <c r="N599" s="186"/>
      <c r="O599" s="190"/>
      <c r="P599" s="204"/>
      <c r="Q599" s="142"/>
      <c r="T599" s="201"/>
      <c r="Z599" s="151"/>
      <c r="AB599" s="64"/>
      <c r="AC599" s="64"/>
      <c r="AD599" s="64"/>
      <c r="AE599" s="64"/>
      <c r="AF599" s="64"/>
      <c r="AG599" s="64"/>
      <c r="AH599" s="64"/>
      <c r="AI599" s="143"/>
      <c r="AJ599" s="134"/>
      <c r="AK599" s="194"/>
      <c r="AL599" s="90"/>
    </row>
    <row r="600" spans="1:38" ht="17.100000000000001" customHeight="1" x14ac:dyDescent="0.25">
      <c r="A600" s="197"/>
      <c r="G600" s="88"/>
      <c r="H600" s="182"/>
      <c r="L600" s="24"/>
      <c r="M600" s="24"/>
      <c r="N600" s="186"/>
      <c r="O600" s="190"/>
      <c r="P600" s="204"/>
      <c r="Q600" s="142"/>
      <c r="T600" s="201"/>
      <c r="Z600" s="151"/>
      <c r="AB600" s="64"/>
      <c r="AC600" s="64"/>
      <c r="AD600" s="64"/>
      <c r="AE600" s="64"/>
      <c r="AF600" s="64"/>
      <c r="AG600" s="64"/>
      <c r="AH600" s="64"/>
      <c r="AI600" s="143"/>
      <c r="AJ600" s="134"/>
      <c r="AK600" s="194"/>
      <c r="AL600" s="90"/>
    </row>
    <row r="601" spans="1:38" ht="17.100000000000001" customHeight="1" x14ac:dyDescent="0.25">
      <c r="A601" s="197"/>
      <c r="G601" s="88"/>
      <c r="H601" s="182"/>
      <c r="L601" s="24"/>
      <c r="M601" s="24"/>
      <c r="N601" s="186"/>
      <c r="O601" s="190"/>
      <c r="P601" s="204"/>
      <c r="Q601" s="142"/>
      <c r="T601" s="201"/>
      <c r="Z601" s="151"/>
      <c r="AB601" s="64"/>
      <c r="AC601" s="64"/>
      <c r="AD601" s="64"/>
      <c r="AE601" s="64"/>
      <c r="AF601" s="64"/>
      <c r="AG601" s="64"/>
      <c r="AH601" s="64"/>
      <c r="AI601" s="143"/>
      <c r="AJ601" s="134"/>
      <c r="AK601" s="194"/>
      <c r="AL601" s="90"/>
    </row>
    <row r="602" spans="1:38" ht="17.100000000000001" customHeight="1" x14ac:dyDescent="0.25">
      <c r="A602" s="197"/>
      <c r="G602" s="88"/>
      <c r="H602" s="182"/>
      <c r="L602" s="24"/>
      <c r="M602" s="24"/>
      <c r="N602" s="186"/>
      <c r="O602" s="190"/>
      <c r="P602" s="204"/>
      <c r="Q602" s="142"/>
      <c r="T602" s="201"/>
      <c r="Z602" s="151"/>
      <c r="AB602" s="64"/>
      <c r="AC602" s="64"/>
      <c r="AD602" s="64"/>
      <c r="AE602" s="64"/>
      <c r="AF602" s="64"/>
      <c r="AG602" s="64"/>
      <c r="AH602" s="64"/>
      <c r="AI602" s="143"/>
      <c r="AJ602" s="134"/>
      <c r="AK602" s="194"/>
      <c r="AL602" s="90"/>
    </row>
    <row r="603" spans="1:38" ht="17.100000000000001" customHeight="1" x14ac:dyDescent="0.25">
      <c r="A603" s="197"/>
      <c r="G603" s="88"/>
      <c r="H603" s="182"/>
      <c r="L603" s="24"/>
      <c r="M603" s="24"/>
      <c r="N603" s="186"/>
      <c r="O603" s="190"/>
      <c r="P603" s="204"/>
      <c r="Q603" s="142"/>
      <c r="T603" s="201"/>
      <c r="Z603" s="151"/>
      <c r="AB603" s="64"/>
      <c r="AC603" s="64"/>
      <c r="AD603" s="64"/>
      <c r="AE603" s="64"/>
      <c r="AF603" s="64"/>
      <c r="AG603" s="64"/>
      <c r="AH603" s="64"/>
      <c r="AI603" s="143"/>
      <c r="AJ603" s="134"/>
      <c r="AK603" s="194"/>
      <c r="AL603" s="90"/>
    </row>
    <row r="604" spans="1:38" ht="17.100000000000001" customHeight="1" x14ac:dyDescent="0.25">
      <c r="A604" s="197"/>
      <c r="G604" s="88"/>
      <c r="H604" s="182"/>
      <c r="L604" s="24"/>
      <c r="M604" s="24"/>
      <c r="N604" s="186"/>
      <c r="O604" s="190"/>
      <c r="P604" s="204"/>
      <c r="Q604" s="142"/>
      <c r="T604" s="201"/>
      <c r="Z604" s="151"/>
      <c r="AB604" s="64"/>
      <c r="AC604" s="64"/>
      <c r="AD604" s="64"/>
      <c r="AE604" s="64"/>
      <c r="AF604" s="64"/>
      <c r="AG604" s="64"/>
      <c r="AH604" s="64"/>
      <c r="AI604" s="143"/>
      <c r="AJ604" s="134"/>
      <c r="AK604" s="194"/>
      <c r="AL604" s="90"/>
    </row>
    <row r="605" spans="1:38" ht="17.100000000000001" customHeight="1" x14ac:dyDescent="0.25">
      <c r="A605" s="197"/>
      <c r="G605" s="88"/>
      <c r="H605" s="182"/>
      <c r="L605" s="24"/>
      <c r="M605" s="24"/>
      <c r="N605" s="186"/>
      <c r="O605" s="190"/>
      <c r="P605" s="204"/>
      <c r="Q605" s="142"/>
      <c r="T605" s="201"/>
      <c r="Z605" s="151"/>
      <c r="AB605" s="64"/>
      <c r="AC605" s="64"/>
      <c r="AD605" s="64"/>
      <c r="AE605" s="64"/>
      <c r="AF605" s="64"/>
      <c r="AG605" s="64"/>
      <c r="AH605" s="64"/>
      <c r="AI605" s="143"/>
      <c r="AJ605" s="134"/>
      <c r="AK605" s="194"/>
      <c r="AL605" s="90"/>
    </row>
    <row r="606" spans="1:38" ht="17.100000000000001" customHeight="1" x14ac:dyDescent="0.25">
      <c r="A606" s="197"/>
      <c r="G606" s="88"/>
      <c r="H606" s="182"/>
      <c r="L606" s="24"/>
      <c r="M606" s="24"/>
      <c r="N606" s="186"/>
      <c r="O606" s="190"/>
      <c r="P606" s="204"/>
      <c r="Q606" s="142"/>
      <c r="T606" s="201"/>
      <c r="Z606" s="151"/>
      <c r="AB606" s="64"/>
      <c r="AC606" s="64"/>
      <c r="AD606" s="64"/>
      <c r="AE606" s="64"/>
      <c r="AF606" s="64"/>
      <c r="AG606" s="64"/>
      <c r="AH606" s="64"/>
      <c r="AI606" s="143"/>
      <c r="AJ606" s="134"/>
      <c r="AK606" s="194"/>
      <c r="AL606" s="90"/>
    </row>
    <row r="607" spans="1:38" ht="17.100000000000001" customHeight="1" x14ac:dyDescent="0.25">
      <c r="A607" s="197"/>
      <c r="G607" s="88"/>
      <c r="H607" s="182"/>
      <c r="L607" s="24"/>
      <c r="M607" s="24"/>
      <c r="N607" s="186"/>
      <c r="O607" s="190"/>
      <c r="P607" s="204"/>
      <c r="Q607" s="142"/>
      <c r="T607" s="201"/>
      <c r="Z607" s="151"/>
      <c r="AB607" s="64"/>
      <c r="AC607" s="64"/>
      <c r="AD607" s="64"/>
      <c r="AE607" s="64"/>
      <c r="AF607" s="64"/>
      <c r="AG607" s="64"/>
      <c r="AH607" s="64"/>
      <c r="AI607" s="143"/>
      <c r="AJ607" s="134"/>
      <c r="AK607" s="194"/>
      <c r="AL607" s="90"/>
    </row>
    <row r="608" spans="1:38" ht="17.100000000000001" customHeight="1" x14ac:dyDescent="0.25">
      <c r="A608" s="197"/>
      <c r="G608" s="88"/>
      <c r="H608" s="182"/>
      <c r="L608" s="24"/>
      <c r="M608" s="24"/>
      <c r="N608" s="186"/>
      <c r="O608" s="190"/>
      <c r="P608" s="204"/>
      <c r="Q608" s="142"/>
      <c r="T608" s="201"/>
      <c r="Z608" s="151"/>
      <c r="AB608" s="64"/>
      <c r="AC608" s="64"/>
      <c r="AD608" s="64"/>
      <c r="AE608" s="64"/>
      <c r="AF608" s="64"/>
      <c r="AG608" s="64"/>
      <c r="AH608" s="64"/>
      <c r="AI608" s="143"/>
      <c r="AJ608" s="134"/>
      <c r="AK608" s="194"/>
      <c r="AL608" s="90"/>
    </row>
    <row r="609" spans="1:38" ht="17.100000000000001" customHeight="1" x14ac:dyDescent="0.25">
      <c r="A609" s="197"/>
      <c r="G609" s="88"/>
      <c r="H609" s="182"/>
      <c r="L609" s="24"/>
      <c r="M609" s="24"/>
      <c r="N609" s="186"/>
      <c r="O609" s="190"/>
      <c r="P609" s="204"/>
      <c r="Q609" s="142"/>
      <c r="T609" s="201"/>
      <c r="Z609" s="151"/>
      <c r="AB609" s="64"/>
      <c r="AC609" s="64"/>
      <c r="AD609" s="64"/>
      <c r="AE609" s="64"/>
      <c r="AF609" s="64"/>
      <c r="AG609" s="64"/>
      <c r="AH609" s="64"/>
      <c r="AI609" s="143"/>
      <c r="AJ609" s="134"/>
      <c r="AK609" s="194"/>
      <c r="AL609" s="90"/>
    </row>
    <row r="610" spans="1:38" ht="17.100000000000001" customHeight="1" x14ac:dyDescent="0.25">
      <c r="A610" s="197"/>
      <c r="G610" s="88"/>
      <c r="H610" s="182"/>
      <c r="L610" s="24"/>
      <c r="M610" s="24"/>
      <c r="N610" s="186"/>
      <c r="O610" s="190"/>
      <c r="P610" s="204"/>
      <c r="Q610" s="142"/>
      <c r="T610" s="201"/>
      <c r="Z610" s="151"/>
      <c r="AB610" s="64"/>
      <c r="AC610" s="64"/>
      <c r="AD610" s="64"/>
      <c r="AE610" s="64"/>
      <c r="AF610" s="64"/>
      <c r="AG610" s="64"/>
      <c r="AH610" s="64"/>
      <c r="AI610" s="143"/>
      <c r="AJ610" s="134"/>
      <c r="AK610" s="194"/>
      <c r="AL610" s="90"/>
    </row>
    <row r="611" spans="1:38" ht="17.100000000000001" customHeight="1" x14ac:dyDescent="0.25">
      <c r="A611" s="197"/>
      <c r="G611" s="88"/>
      <c r="H611" s="182"/>
      <c r="L611" s="24"/>
      <c r="M611" s="24"/>
      <c r="N611" s="186"/>
      <c r="O611" s="190"/>
      <c r="P611" s="204"/>
      <c r="Q611" s="142"/>
      <c r="T611" s="201"/>
      <c r="Z611" s="151"/>
      <c r="AB611" s="64"/>
      <c r="AC611" s="64"/>
      <c r="AD611" s="64"/>
      <c r="AE611" s="64"/>
      <c r="AF611" s="64"/>
      <c r="AG611" s="64"/>
      <c r="AH611" s="64"/>
      <c r="AI611" s="143"/>
      <c r="AJ611" s="134"/>
      <c r="AK611" s="194"/>
      <c r="AL611" s="90"/>
    </row>
    <row r="612" spans="1:38" ht="17.100000000000001" customHeight="1" x14ac:dyDescent="0.25">
      <c r="A612" s="197"/>
      <c r="G612" s="88"/>
      <c r="H612" s="182"/>
      <c r="L612" s="24"/>
      <c r="M612" s="24"/>
      <c r="N612" s="186"/>
      <c r="O612" s="190"/>
      <c r="P612" s="204"/>
      <c r="Q612" s="142"/>
      <c r="T612" s="201"/>
      <c r="Z612" s="151"/>
      <c r="AB612" s="64"/>
      <c r="AC612" s="64"/>
      <c r="AD612" s="64"/>
      <c r="AE612" s="64"/>
      <c r="AF612" s="64"/>
      <c r="AG612" s="64"/>
      <c r="AH612" s="64"/>
      <c r="AI612" s="143"/>
      <c r="AJ612" s="134"/>
      <c r="AK612" s="194"/>
      <c r="AL612" s="90"/>
    </row>
    <row r="613" spans="1:38" ht="17.100000000000001" customHeight="1" x14ac:dyDescent="0.25">
      <c r="A613" s="197"/>
      <c r="G613" s="88"/>
      <c r="H613" s="182"/>
      <c r="L613" s="24"/>
      <c r="M613" s="24"/>
      <c r="N613" s="186"/>
      <c r="O613" s="190"/>
      <c r="P613" s="204"/>
      <c r="Q613" s="142"/>
      <c r="T613" s="201"/>
      <c r="Z613" s="151"/>
      <c r="AB613" s="64"/>
      <c r="AC613" s="64"/>
      <c r="AD613" s="64"/>
      <c r="AE613" s="64"/>
      <c r="AF613" s="64"/>
      <c r="AG613" s="64"/>
      <c r="AH613" s="64"/>
      <c r="AI613" s="143"/>
      <c r="AJ613" s="134"/>
      <c r="AK613" s="194"/>
      <c r="AL613" s="90"/>
    </row>
    <row r="614" spans="1:38" ht="17.100000000000001" customHeight="1" x14ac:dyDescent="0.25">
      <c r="A614" s="197"/>
      <c r="G614" s="88"/>
      <c r="H614" s="182"/>
      <c r="L614" s="24"/>
      <c r="M614" s="24"/>
      <c r="N614" s="186"/>
      <c r="O614" s="190"/>
      <c r="P614" s="204"/>
      <c r="Q614" s="142"/>
      <c r="T614" s="201"/>
      <c r="Z614" s="151"/>
      <c r="AB614" s="64"/>
      <c r="AC614" s="64"/>
      <c r="AD614" s="64"/>
      <c r="AE614" s="64"/>
      <c r="AF614" s="64"/>
      <c r="AG614" s="64"/>
      <c r="AH614" s="64"/>
      <c r="AI614" s="143"/>
      <c r="AJ614" s="134"/>
      <c r="AK614" s="194"/>
      <c r="AL614" s="90"/>
    </row>
    <row r="615" spans="1:38" ht="17.100000000000001" customHeight="1" x14ac:dyDescent="0.25">
      <c r="A615" s="197"/>
      <c r="G615" s="88"/>
      <c r="H615" s="182"/>
      <c r="L615" s="24"/>
      <c r="M615" s="24"/>
      <c r="N615" s="186"/>
      <c r="O615" s="190"/>
      <c r="P615" s="204"/>
      <c r="Q615" s="142"/>
      <c r="T615" s="201"/>
      <c r="Z615" s="151"/>
      <c r="AB615" s="64"/>
      <c r="AC615" s="64"/>
      <c r="AD615" s="64"/>
      <c r="AE615" s="64"/>
      <c r="AF615" s="64"/>
      <c r="AG615" s="64"/>
      <c r="AH615" s="64"/>
      <c r="AI615" s="143"/>
      <c r="AJ615" s="134"/>
      <c r="AK615" s="194"/>
      <c r="AL615" s="90"/>
    </row>
    <row r="616" spans="1:38" ht="17.100000000000001" customHeight="1" x14ac:dyDescent="0.25">
      <c r="A616" s="197"/>
      <c r="G616" s="88"/>
      <c r="H616" s="182"/>
      <c r="L616" s="24"/>
      <c r="M616" s="24"/>
      <c r="N616" s="186"/>
      <c r="O616" s="190"/>
      <c r="P616" s="204"/>
      <c r="Q616" s="142"/>
      <c r="T616" s="201"/>
      <c r="Z616" s="151"/>
      <c r="AB616" s="64"/>
      <c r="AC616" s="64"/>
      <c r="AD616" s="64"/>
      <c r="AE616" s="64"/>
      <c r="AF616" s="64"/>
      <c r="AG616" s="64"/>
      <c r="AH616" s="64"/>
      <c r="AI616" s="143"/>
      <c r="AJ616" s="134"/>
      <c r="AK616" s="194"/>
      <c r="AL616" s="90"/>
    </row>
    <row r="617" spans="1:38" ht="17.100000000000001" customHeight="1" thickBot="1" x14ac:dyDescent="0.3">
      <c r="A617" s="197"/>
      <c r="G617" s="88"/>
      <c r="H617" s="182"/>
      <c r="L617" s="24"/>
      <c r="M617" s="24"/>
      <c r="N617" s="186"/>
      <c r="O617" s="190"/>
      <c r="P617" s="204"/>
      <c r="Q617" s="142"/>
      <c r="T617" s="201"/>
      <c r="Z617" s="151"/>
      <c r="AB617" s="64"/>
      <c r="AC617" s="64"/>
      <c r="AD617" s="64"/>
      <c r="AE617" s="64"/>
      <c r="AF617" s="64"/>
      <c r="AG617" s="64"/>
      <c r="AH617" s="64"/>
      <c r="AI617" s="143"/>
      <c r="AJ617" s="134"/>
      <c r="AK617" s="194"/>
      <c r="AL617" s="90"/>
    </row>
    <row r="618" spans="1:38" ht="17.100000000000001" customHeight="1" x14ac:dyDescent="0.25">
      <c r="A618" s="198"/>
      <c r="B618" s="153"/>
      <c r="C618" s="154"/>
      <c r="D618" s="154"/>
      <c r="E618" s="154"/>
      <c r="F618" s="154"/>
      <c r="G618" s="155"/>
      <c r="H618" s="183"/>
      <c r="I618" s="156"/>
      <c r="J618" s="157"/>
      <c r="K618" s="158"/>
      <c r="L618" s="158"/>
      <c r="M618" s="158"/>
      <c r="N618" s="187"/>
      <c r="O618" s="191"/>
      <c r="P618" s="205"/>
      <c r="Q618" s="159"/>
      <c r="R618" s="160"/>
      <c r="S618" s="158"/>
      <c r="T618" s="202"/>
      <c r="U618" s="161"/>
      <c r="V618" s="156"/>
      <c r="W618" s="162"/>
      <c r="X618" s="156"/>
      <c r="Y618" s="158"/>
      <c r="Z618" s="163"/>
      <c r="AA618" s="156"/>
      <c r="AB618" s="164"/>
      <c r="AC618" s="164"/>
      <c r="AD618" s="164"/>
      <c r="AE618" s="164"/>
      <c r="AF618" s="164"/>
      <c r="AG618" s="164"/>
      <c r="AH618" s="164"/>
      <c r="AI618" s="165"/>
      <c r="AJ618" s="134"/>
      <c r="AK618" s="195"/>
      <c r="AL618" s="170"/>
    </row>
    <row r="619" spans="1:38" ht="17.100000000000001" customHeight="1" x14ac:dyDescent="0.25">
      <c r="A619" s="197"/>
      <c r="G619" s="88"/>
      <c r="H619" s="182"/>
      <c r="L619" s="24"/>
      <c r="M619" s="24"/>
      <c r="N619" s="186"/>
      <c r="O619" s="190"/>
      <c r="P619" s="204"/>
      <c r="Q619" s="142"/>
      <c r="T619" s="201"/>
      <c r="Z619" s="151"/>
      <c r="AB619" s="64"/>
      <c r="AC619" s="64"/>
      <c r="AD619" s="64"/>
      <c r="AE619" s="64"/>
      <c r="AF619" s="64"/>
      <c r="AG619" s="64"/>
      <c r="AH619" s="64"/>
      <c r="AI619" s="143"/>
      <c r="AJ619" s="134"/>
      <c r="AK619" s="194"/>
      <c r="AL619" s="90"/>
    </row>
    <row r="620" spans="1:38" ht="17.100000000000001" customHeight="1" x14ac:dyDescent="0.25">
      <c r="A620" s="197"/>
      <c r="G620" s="88"/>
      <c r="H620" s="182"/>
      <c r="L620" s="24"/>
      <c r="M620" s="24"/>
      <c r="N620" s="186"/>
      <c r="O620" s="190"/>
      <c r="P620" s="204"/>
      <c r="Q620" s="142"/>
      <c r="T620" s="201"/>
      <c r="Z620" s="151"/>
      <c r="AB620" s="64"/>
      <c r="AC620" s="64"/>
      <c r="AD620" s="64"/>
      <c r="AE620" s="64"/>
      <c r="AF620" s="64"/>
      <c r="AG620" s="64"/>
      <c r="AH620" s="64"/>
      <c r="AI620" s="143"/>
      <c r="AJ620" s="134"/>
      <c r="AK620" s="194"/>
      <c r="AL620" s="90"/>
    </row>
    <row r="621" spans="1:38" ht="17.100000000000001" customHeight="1" x14ac:dyDescent="0.25">
      <c r="A621" s="197"/>
      <c r="G621" s="88"/>
      <c r="H621" s="182"/>
      <c r="L621" s="24"/>
      <c r="M621" s="24"/>
      <c r="N621" s="186"/>
      <c r="O621" s="190"/>
      <c r="P621" s="204"/>
      <c r="Q621" s="142"/>
      <c r="T621" s="201"/>
      <c r="Z621" s="151"/>
      <c r="AB621" s="64"/>
      <c r="AC621" s="64"/>
      <c r="AD621" s="64"/>
      <c r="AE621" s="64"/>
      <c r="AF621" s="64"/>
      <c r="AG621" s="64"/>
      <c r="AH621" s="64"/>
      <c r="AI621" s="143"/>
      <c r="AJ621" s="134"/>
      <c r="AK621" s="194"/>
      <c r="AL621" s="90"/>
    </row>
    <row r="622" spans="1:38" ht="17.100000000000001" customHeight="1" x14ac:dyDescent="0.25">
      <c r="A622" s="197"/>
      <c r="G622" s="88"/>
      <c r="H622" s="182"/>
      <c r="L622" s="24"/>
      <c r="M622" s="24"/>
      <c r="N622" s="186"/>
      <c r="O622" s="190"/>
      <c r="P622" s="204"/>
      <c r="Q622" s="142"/>
      <c r="T622" s="201"/>
      <c r="Z622" s="151"/>
      <c r="AB622" s="64"/>
      <c r="AC622" s="64"/>
      <c r="AD622" s="64"/>
      <c r="AE622" s="64"/>
      <c r="AF622" s="64"/>
      <c r="AG622" s="64"/>
      <c r="AH622" s="64"/>
      <c r="AI622" s="143"/>
      <c r="AJ622" s="134"/>
      <c r="AK622" s="194"/>
      <c r="AL622" s="90"/>
    </row>
    <row r="623" spans="1:38" ht="17.100000000000001" customHeight="1" x14ac:dyDescent="0.25">
      <c r="A623" s="197"/>
      <c r="G623" s="88"/>
      <c r="H623" s="182"/>
      <c r="L623" s="24"/>
      <c r="M623" s="24"/>
      <c r="N623" s="186"/>
      <c r="O623" s="190"/>
      <c r="P623" s="204"/>
      <c r="Q623" s="142"/>
      <c r="T623" s="201"/>
      <c r="Z623" s="151"/>
      <c r="AB623" s="64"/>
      <c r="AC623" s="64"/>
      <c r="AD623" s="64"/>
      <c r="AE623" s="64"/>
      <c r="AF623" s="64"/>
      <c r="AG623" s="64"/>
      <c r="AH623" s="64"/>
      <c r="AI623" s="143"/>
      <c r="AJ623" s="134"/>
      <c r="AK623" s="194"/>
      <c r="AL623" s="90"/>
    </row>
    <row r="624" spans="1:38" ht="17.100000000000001" customHeight="1" x14ac:dyDescent="0.25">
      <c r="A624" s="197"/>
      <c r="G624" s="88"/>
      <c r="H624" s="182"/>
      <c r="L624" s="24"/>
      <c r="M624" s="24"/>
      <c r="N624" s="186"/>
      <c r="O624" s="190"/>
      <c r="P624" s="204"/>
      <c r="Q624" s="142"/>
      <c r="T624" s="201"/>
      <c r="Z624" s="151"/>
      <c r="AB624" s="64"/>
      <c r="AC624" s="64"/>
      <c r="AD624" s="64"/>
      <c r="AE624" s="64"/>
      <c r="AF624" s="64"/>
      <c r="AG624" s="64"/>
      <c r="AH624" s="64"/>
      <c r="AI624" s="143"/>
      <c r="AJ624" s="134"/>
      <c r="AK624" s="194"/>
      <c r="AL624" s="90"/>
    </row>
    <row r="625" spans="1:38" ht="17.100000000000001" customHeight="1" x14ac:dyDescent="0.25">
      <c r="A625" s="197"/>
      <c r="G625" s="88"/>
      <c r="H625" s="182"/>
      <c r="L625" s="24"/>
      <c r="M625" s="24"/>
      <c r="N625" s="186"/>
      <c r="O625" s="190"/>
      <c r="P625" s="204"/>
      <c r="Q625" s="142"/>
      <c r="T625" s="201"/>
      <c r="Z625" s="151"/>
      <c r="AB625" s="64"/>
      <c r="AC625" s="64"/>
      <c r="AD625" s="64"/>
      <c r="AE625" s="64"/>
      <c r="AF625" s="64"/>
      <c r="AG625" s="64"/>
      <c r="AH625" s="64"/>
      <c r="AI625" s="143"/>
      <c r="AJ625" s="134"/>
      <c r="AK625" s="194"/>
      <c r="AL625" s="90"/>
    </row>
    <row r="626" spans="1:38" ht="17.100000000000001" customHeight="1" x14ac:dyDescent="0.25">
      <c r="A626" s="197"/>
      <c r="G626" s="88"/>
      <c r="H626" s="182"/>
      <c r="L626" s="24"/>
      <c r="M626" s="24"/>
      <c r="N626" s="186"/>
      <c r="O626" s="190"/>
      <c r="P626" s="204"/>
      <c r="Q626" s="142"/>
      <c r="T626" s="201"/>
      <c r="Z626" s="151"/>
      <c r="AB626" s="64"/>
      <c r="AC626" s="64"/>
      <c r="AD626" s="64"/>
      <c r="AE626" s="64"/>
      <c r="AF626" s="64"/>
      <c r="AG626" s="64"/>
      <c r="AH626" s="64"/>
      <c r="AI626" s="143"/>
      <c r="AJ626" s="134"/>
      <c r="AK626" s="194"/>
      <c r="AL626" s="90"/>
    </row>
    <row r="627" spans="1:38" ht="17.100000000000001" customHeight="1" x14ac:dyDescent="0.25">
      <c r="A627" s="197"/>
      <c r="G627" s="88"/>
      <c r="H627" s="182"/>
      <c r="L627" s="24"/>
      <c r="M627" s="24"/>
      <c r="N627" s="186"/>
      <c r="O627" s="190"/>
      <c r="P627" s="204"/>
      <c r="Q627" s="142"/>
      <c r="T627" s="201"/>
      <c r="Z627" s="151"/>
      <c r="AB627" s="64"/>
      <c r="AC627" s="64"/>
      <c r="AD627" s="64"/>
      <c r="AE627" s="64"/>
      <c r="AF627" s="64"/>
      <c r="AG627" s="64"/>
      <c r="AH627" s="64"/>
      <c r="AI627" s="143"/>
      <c r="AJ627" s="134"/>
      <c r="AK627" s="194"/>
      <c r="AL627" s="90"/>
    </row>
    <row r="628" spans="1:38" ht="17.100000000000001" customHeight="1" x14ac:dyDescent="0.25">
      <c r="A628" s="197"/>
      <c r="G628" s="88"/>
      <c r="H628" s="182"/>
      <c r="L628" s="24"/>
      <c r="M628" s="24"/>
      <c r="N628" s="186"/>
      <c r="O628" s="190"/>
      <c r="P628" s="204"/>
      <c r="Q628" s="142"/>
      <c r="T628" s="201"/>
      <c r="Z628" s="151"/>
      <c r="AB628" s="64"/>
      <c r="AC628" s="64"/>
      <c r="AD628" s="64"/>
      <c r="AE628" s="64"/>
      <c r="AF628" s="64"/>
      <c r="AG628" s="64"/>
      <c r="AH628" s="64"/>
      <c r="AI628" s="143"/>
      <c r="AJ628" s="134"/>
      <c r="AK628" s="194"/>
      <c r="AL628" s="90"/>
    </row>
    <row r="629" spans="1:38" ht="17.100000000000001" customHeight="1" x14ac:dyDescent="0.25">
      <c r="A629" s="197"/>
      <c r="G629" s="88"/>
      <c r="H629" s="182"/>
      <c r="L629" s="24"/>
      <c r="M629" s="24"/>
      <c r="N629" s="186"/>
      <c r="O629" s="190"/>
      <c r="P629" s="204"/>
      <c r="Q629" s="142"/>
      <c r="T629" s="201"/>
      <c r="Z629" s="151"/>
      <c r="AB629" s="64"/>
      <c r="AC629" s="64"/>
      <c r="AD629" s="64"/>
      <c r="AE629" s="64"/>
      <c r="AF629" s="64"/>
      <c r="AG629" s="64"/>
      <c r="AH629" s="64"/>
      <c r="AI629" s="143"/>
      <c r="AJ629" s="134"/>
      <c r="AK629" s="194"/>
      <c r="AL629" s="90"/>
    </row>
    <row r="630" spans="1:38" ht="17.100000000000001" customHeight="1" x14ac:dyDescent="0.25">
      <c r="A630" s="197"/>
      <c r="G630" s="88"/>
      <c r="H630" s="182"/>
      <c r="L630" s="24"/>
      <c r="M630" s="24"/>
      <c r="N630" s="186"/>
      <c r="O630" s="190"/>
      <c r="P630" s="204"/>
      <c r="Q630" s="142"/>
      <c r="T630" s="201"/>
      <c r="Z630" s="151"/>
      <c r="AB630" s="64"/>
      <c r="AC630" s="64"/>
      <c r="AD630" s="64"/>
      <c r="AE630" s="64"/>
      <c r="AF630" s="64"/>
      <c r="AG630" s="64"/>
      <c r="AH630" s="64"/>
      <c r="AI630" s="143"/>
      <c r="AJ630" s="134"/>
      <c r="AK630" s="194"/>
      <c r="AL630" s="90"/>
    </row>
    <row r="631" spans="1:38" ht="17.100000000000001" customHeight="1" x14ac:dyDescent="0.25">
      <c r="A631" s="197"/>
      <c r="G631" s="88"/>
      <c r="H631" s="182"/>
      <c r="L631" s="24"/>
      <c r="M631" s="24"/>
      <c r="N631" s="186"/>
      <c r="O631" s="190"/>
      <c r="P631" s="204"/>
      <c r="Q631" s="142"/>
      <c r="T631" s="201"/>
      <c r="Z631" s="151"/>
      <c r="AB631" s="64"/>
      <c r="AC631" s="64"/>
      <c r="AD631" s="64"/>
      <c r="AE631" s="64"/>
      <c r="AF631" s="64"/>
      <c r="AG631" s="64"/>
      <c r="AH631" s="64"/>
      <c r="AI631" s="143"/>
      <c r="AJ631" s="134"/>
      <c r="AK631" s="194"/>
      <c r="AL631" s="90"/>
    </row>
    <row r="632" spans="1:38" ht="17.100000000000001" customHeight="1" x14ac:dyDescent="0.25">
      <c r="A632" s="197"/>
      <c r="G632" s="88"/>
      <c r="H632" s="182"/>
      <c r="L632" s="24"/>
      <c r="M632" s="24"/>
      <c r="N632" s="186"/>
      <c r="O632" s="190"/>
      <c r="P632" s="204"/>
      <c r="Q632" s="142"/>
      <c r="T632" s="201"/>
      <c r="Z632" s="151"/>
      <c r="AB632" s="64"/>
      <c r="AC632" s="64"/>
      <c r="AD632" s="64"/>
      <c r="AE632" s="64"/>
      <c r="AF632" s="64"/>
      <c r="AG632" s="64"/>
      <c r="AH632" s="64"/>
      <c r="AI632" s="143"/>
      <c r="AJ632" s="134"/>
      <c r="AK632" s="194"/>
      <c r="AL632" s="90"/>
    </row>
    <row r="633" spans="1:38" ht="17.100000000000001" customHeight="1" x14ac:dyDescent="0.25">
      <c r="A633" s="197"/>
      <c r="G633" s="88"/>
      <c r="H633" s="182"/>
      <c r="L633" s="24"/>
      <c r="M633" s="24"/>
      <c r="N633" s="186"/>
      <c r="O633" s="190"/>
      <c r="P633" s="204"/>
      <c r="Q633" s="142"/>
      <c r="T633" s="201"/>
      <c r="Z633" s="151"/>
      <c r="AB633" s="64"/>
      <c r="AC633" s="64"/>
      <c r="AD633" s="64"/>
      <c r="AE633" s="64"/>
      <c r="AF633" s="64"/>
      <c r="AG633" s="64"/>
      <c r="AH633" s="64"/>
      <c r="AI633" s="143"/>
      <c r="AJ633" s="134"/>
      <c r="AK633" s="194"/>
      <c r="AL633" s="90"/>
    </row>
    <row r="634" spans="1:38" ht="17.100000000000001" customHeight="1" x14ac:dyDescent="0.25">
      <c r="A634" s="197"/>
      <c r="G634" s="88"/>
      <c r="H634" s="182"/>
      <c r="L634" s="24"/>
      <c r="M634" s="24"/>
      <c r="N634" s="186"/>
      <c r="O634" s="190"/>
      <c r="P634" s="204"/>
      <c r="Q634" s="142"/>
      <c r="T634" s="201"/>
      <c r="Z634" s="151"/>
      <c r="AB634" s="64"/>
      <c r="AC634" s="64"/>
      <c r="AD634" s="64"/>
      <c r="AE634" s="64"/>
      <c r="AF634" s="64"/>
      <c r="AG634" s="64"/>
      <c r="AH634" s="64"/>
      <c r="AI634" s="143"/>
      <c r="AJ634" s="134"/>
      <c r="AK634" s="194"/>
      <c r="AL634" s="90"/>
    </row>
    <row r="635" spans="1:38" ht="17.100000000000001" customHeight="1" x14ac:dyDescent="0.25">
      <c r="A635" s="197"/>
      <c r="G635" s="88"/>
      <c r="H635" s="182"/>
      <c r="L635" s="24"/>
      <c r="M635" s="24"/>
      <c r="N635" s="186"/>
      <c r="O635" s="190"/>
      <c r="P635" s="204"/>
      <c r="Q635" s="142"/>
      <c r="T635" s="201"/>
      <c r="Z635" s="151"/>
      <c r="AB635" s="64"/>
      <c r="AC635" s="64"/>
      <c r="AD635" s="64"/>
      <c r="AE635" s="64"/>
      <c r="AF635" s="64"/>
      <c r="AG635" s="64"/>
      <c r="AH635" s="64"/>
      <c r="AI635" s="143"/>
      <c r="AJ635" s="134"/>
      <c r="AK635" s="194"/>
      <c r="AL635" s="90"/>
    </row>
    <row r="636" spans="1:38" ht="17.100000000000001" customHeight="1" x14ac:dyDescent="0.25">
      <c r="A636" s="197"/>
      <c r="G636" s="88"/>
      <c r="H636" s="182"/>
      <c r="L636" s="24"/>
      <c r="M636" s="24"/>
      <c r="N636" s="186"/>
      <c r="O636" s="190"/>
      <c r="P636" s="204"/>
      <c r="Q636" s="142"/>
      <c r="T636" s="201"/>
      <c r="Z636" s="151"/>
      <c r="AB636" s="64"/>
      <c r="AC636" s="64"/>
      <c r="AD636" s="64"/>
      <c r="AE636" s="64"/>
      <c r="AF636" s="64"/>
      <c r="AG636" s="64"/>
      <c r="AH636" s="64"/>
      <c r="AI636" s="143"/>
      <c r="AJ636" s="134"/>
      <c r="AK636" s="194"/>
      <c r="AL636" s="90"/>
    </row>
    <row r="637" spans="1:38" ht="17.100000000000001" customHeight="1" x14ac:dyDescent="0.25">
      <c r="A637" s="197"/>
      <c r="G637" s="88"/>
      <c r="H637" s="182"/>
      <c r="L637" s="24"/>
      <c r="M637" s="24"/>
      <c r="N637" s="186"/>
      <c r="O637" s="190"/>
      <c r="P637" s="204"/>
      <c r="Q637" s="142"/>
      <c r="T637" s="201"/>
      <c r="Z637" s="151"/>
      <c r="AB637" s="64"/>
      <c r="AC637" s="64"/>
      <c r="AD637" s="64"/>
      <c r="AE637" s="64"/>
      <c r="AF637" s="64"/>
      <c r="AG637" s="64"/>
      <c r="AH637" s="64"/>
      <c r="AI637" s="143"/>
      <c r="AJ637" s="134"/>
      <c r="AK637" s="194"/>
      <c r="AL637" s="90"/>
    </row>
    <row r="638" spans="1:38" ht="17.100000000000001" customHeight="1" x14ac:dyDescent="0.25">
      <c r="A638" s="197"/>
      <c r="G638" s="88"/>
      <c r="H638" s="182"/>
      <c r="L638" s="24"/>
      <c r="M638" s="24"/>
      <c r="N638" s="186"/>
      <c r="O638" s="190"/>
      <c r="P638" s="204"/>
      <c r="Q638" s="142"/>
      <c r="T638" s="201"/>
      <c r="Z638" s="151"/>
      <c r="AB638" s="64"/>
      <c r="AC638" s="64"/>
      <c r="AD638" s="64"/>
      <c r="AE638" s="64"/>
      <c r="AF638" s="64"/>
      <c r="AG638" s="64"/>
      <c r="AH638" s="64"/>
      <c r="AI638" s="143"/>
      <c r="AJ638" s="134"/>
      <c r="AK638" s="194"/>
      <c r="AL638" s="90"/>
    </row>
    <row r="639" spans="1:38" ht="17.100000000000001" customHeight="1" x14ac:dyDescent="0.25">
      <c r="A639" s="197"/>
      <c r="G639" s="88"/>
      <c r="H639" s="182"/>
      <c r="L639" s="24"/>
      <c r="M639" s="24"/>
      <c r="N639" s="186"/>
      <c r="O639" s="190"/>
      <c r="P639" s="204"/>
      <c r="Q639" s="142"/>
      <c r="T639" s="201"/>
      <c r="Z639" s="151"/>
      <c r="AB639" s="64"/>
      <c r="AC639" s="64"/>
      <c r="AD639" s="64"/>
      <c r="AE639" s="64"/>
      <c r="AF639" s="64"/>
      <c r="AG639" s="64"/>
      <c r="AH639" s="64"/>
      <c r="AI639" s="143"/>
      <c r="AJ639" s="134"/>
      <c r="AK639" s="194"/>
      <c r="AL639" s="90"/>
    </row>
    <row r="640" spans="1:38" ht="17.100000000000001" customHeight="1" x14ac:dyDescent="0.25">
      <c r="A640" s="197"/>
      <c r="G640" s="88"/>
      <c r="H640" s="182"/>
      <c r="L640" s="24"/>
      <c r="M640" s="24"/>
      <c r="N640" s="186"/>
      <c r="O640" s="190"/>
      <c r="P640" s="204"/>
      <c r="Q640" s="142"/>
      <c r="T640" s="201"/>
      <c r="Z640" s="151"/>
      <c r="AB640" s="64"/>
      <c r="AC640" s="64"/>
      <c r="AD640" s="64"/>
      <c r="AE640" s="64"/>
      <c r="AF640" s="64"/>
      <c r="AG640" s="64"/>
      <c r="AH640" s="64"/>
      <c r="AI640" s="143"/>
      <c r="AJ640" s="134"/>
      <c r="AK640" s="194"/>
      <c r="AL640" s="90"/>
    </row>
    <row r="641" spans="1:38" ht="17.100000000000001" customHeight="1" x14ac:dyDescent="0.25">
      <c r="A641" s="197"/>
      <c r="G641" s="88"/>
      <c r="H641" s="182"/>
      <c r="L641" s="24"/>
      <c r="M641" s="24"/>
      <c r="N641" s="186"/>
      <c r="O641" s="190"/>
      <c r="P641" s="204"/>
      <c r="Q641" s="142"/>
      <c r="T641" s="201"/>
      <c r="Z641" s="151"/>
      <c r="AB641" s="64"/>
      <c r="AC641" s="64"/>
      <c r="AD641" s="64"/>
      <c r="AE641" s="64"/>
      <c r="AF641" s="64"/>
      <c r="AG641" s="64"/>
      <c r="AH641" s="64"/>
      <c r="AI641" s="143"/>
      <c r="AJ641" s="134"/>
      <c r="AK641" s="194"/>
      <c r="AL641" s="90"/>
    </row>
    <row r="642" spans="1:38" ht="17.100000000000001" customHeight="1" x14ac:dyDescent="0.25">
      <c r="A642" s="197"/>
      <c r="G642" s="88"/>
      <c r="H642" s="182"/>
      <c r="L642" s="24"/>
      <c r="M642" s="24"/>
      <c r="N642" s="186"/>
      <c r="O642" s="190"/>
      <c r="P642" s="204"/>
      <c r="Q642" s="142"/>
      <c r="T642" s="201"/>
      <c r="Z642" s="151"/>
      <c r="AB642" s="64"/>
      <c r="AC642" s="64"/>
      <c r="AD642" s="64"/>
      <c r="AE642" s="64"/>
      <c r="AF642" s="64"/>
      <c r="AG642" s="64"/>
      <c r="AH642" s="64"/>
      <c r="AI642" s="143"/>
      <c r="AJ642" s="134"/>
      <c r="AK642" s="194"/>
      <c r="AL642" s="90"/>
    </row>
    <row r="643" spans="1:38" ht="17.100000000000001" customHeight="1" x14ac:dyDescent="0.25">
      <c r="A643" s="197"/>
      <c r="G643" s="88"/>
      <c r="H643" s="182"/>
      <c r="L643" s="24"/>
      <c r="M643" s="24"/>
      <c r="N643" s="186"/>
      <c r="O643" s="190"/>
      <c r="P643" s="204"/>
      <c r="Q643" s="142"/>
      <c r="T643" s="201"/>
      <c r="Z643" s="151"/>
      <c r="AB643" s="64"/>
      <c r="AC643" s="64"/>
      <c r="AD643" s="64"/>
      <c r="AE643" s="64"/>
      <c r="AF643" s="64"/>
      <c r="AG643" s="64"/>
      <c r="AH643" s="64"/>
      <c r="AI643" s="143"/>
      <c r="AJ643" s="134"/>
      <c r="AK643" s="194"/>
      <c r="AL643" s="90"/>
    </row>
    <row r="644" spans="1:38" ht="17.100000000000001" customHeight="1" thickBot="1" x14ac:dyDescent="0.3">
      <c r="A644" s="197"/>
      <c r="G644" s="88"/>
      <c r="H644" s="182"/>
      <c r="L644" s="24"/>
      <c r="M644" s="24"/>
      <c r="N644" s="186"/>
      <c r="O644" s="190"/>
      <c r="P644" s="204"/>
      <c r="Q644" s="142"/>
      <c r="T644" s="201"/>
      <c r="Z644" s="151"/>
      <c r="AB644" s="64"/>
      <c r="AC644" s="64"/>
      <c r="AD644" s="64"/>
      <c r="AE644" s="64"/>
      <c r="AF644" s="64"/>
      <c r="AG644" s="64"/>
      <c r="AH644" s="64"/>
      <c r="AI644" s="143"/>
      <c r="AJ644" s="134"/>
      <c r="AK644" s="194"/>
      <c r="AL644" s="90"/>
    </row>
    <row r="645" spans="1:38" ht="17.100000000000001" customHeight="1" x14ac:dyDescent="0.25">
      <c r="A645" s="198"/>
      <c r="B645" s="153"/>
      <c r="C645" s="154"/>
      <c r="D645" s="154"/>
      <c r="E645" s="154"/>
      <c r="F645" s="154"/>
      <c r="G645" s="155"/>
      <c r="H645" s="183"/>
      <c r="I645" s="156"/>
      <c r="J645" s="157"/>
      <c r="K645" s="158"/>
      <c r="L645" s="158"/>
      <c r="M645" s="158"/>
      <c r="N645" s="187"/>
      <c r="O645" s="191"/>
      <c r="P645" s="205"/>
      <c r="Q645" s="159"/>
      <c r="R645" s="160"/>
      <c r="S645" s="158"/>
      <c r="T645" s="202"/>
      <c r="U645" s="161"/>
      <c r="V645" s="156"/>
      <c r="W645" s="162"/>
      <c r="X645" s="156"/>
      <c r="Y645" s="158"/>
      <c r="Z645" s="163"/>
      <c r="AA645" s="156"/>
      <c r="AB645" s="164"/>
      <c r="AC645" s="164"/>
      <c r="AD645" s="164"/>
      <c r="AE645" s="164"/>
      <c r="AF645" s="164"/>
      <c r="AG645" s="164"/>
      <c r="AH645" s="164"/>
      <c r="AI645" s="165"/>
      <c r="AJ645" s="134"/>
      <c r="AK645" s="195"/>
      <c r="AL645" s="170"/>
    </row>
    <row r="646" spans="1:38" ht="17.100000000000001" customHeight="1" x14ac:dyDescent="0.25">
      <c r="A646" s="197"/>
      <c r="G646" s="88"/>
      <c r="H646" s="182"/>
      <c r="L646" s="24"/>
      <c r="M646" s="24"/>
      <c r="N646" s="186"/>
      <c r="O646" s="190"/>
      <c r="P646" s="204"/>
      <c r="Q646" s="142"/>
      <c r="T646" s="201"/>
      <c r="Z646" s="151"/>
      <c r="AB646" s="64"/>
      <c r="AC646" s="64"/>
      <c r="AD646" s="64"/>
      <c r="AE646" s="64"/>
      <c r="AF646" s="64"/>
      <c r="AG646" s="64"/>
      <c r="AH646" s="64"/>
      <c r="AI646" s="143"/>
      <c r="AJ646" s="134"/>
      <c r="AK646" s="194"/>
      <c r="AL646" s="90"/>
    </row>
    <row r="647" spans="1:38" ht="17.100000000000001" customHeight="1" x14ac:dyDescent="0.25">
      <c r="A647" s="197"/>
      <c r="G647" s="88"/>
      <c r="H647" s="182"/>
      <c r="L647" s="24"/>
      <c r="M647" s="24"/>
      <c r="N647" s="186"/>
      <c r="O647" s="190"/>
      <c r="P647" s="204"/>
      <c r="Q647" s="142"/>
      <c r="T647" s="201"/>
      <c r="Z647" s="151"/>
      <c r="AB647" s="64"/>
      <c r="AC647" s="64"/>
      <c r="AD647" s="64"/>
      <c r="AE647" s="64"/>
      <c r="AF647" s="64"/>
      <c r="AG647" s="64"/>
      <c r="AH647" s="64"/>
      <c r="AI647" s="143"/>
      <c r="AJ647" s="134"/>
      <c r="AK647" s="194"/>
      <c r="AL647" s="90"/>
    </row>
    <row r="648" spans="1:38" ht="17.100000000000001" customHeight="1" x14ac:dyDescent="0.25">
      <c r="A648" s="197"/>
      <c r="G648" s="88"/>
      <c r="H648" s="182"/>
      <c r="L648" s="24"/>
      <c r="M648" s="24"/>
      <c r="N648" s="186"/>
      <c r="O648" s="190"/>
      <c r="P648" s="204"/>
      <c r="Q648" s="142"/>
      <c r="T648" s="201"/>
      <c r="Z648" s="151"/>
      <c r="AB648" s="64"/>
      <c r="AC648" s="64"/>
      <c r="AD648" s="64"/>
      <c r="AE648" s="64"/>
      <c r="AF648" s="64"/>
      <c r="AG648" s="64"/>
      <c r="AH648" s="64"/>
      <c r="AI648" s="143"/>
      <c r="AJ648" s="134"/>
      <c r="AK648" s="194"/>
      <c r="AL648" s="90"/>
    </row>
    <row r="649" spans="1:38" ht="17.100000000000001" customHeight="1" x14ac:dyDescent="0.25">
      <c r="A649" s="197"/>
      <c r="G649" s="88"/>
      <c r="H649" s="182"/>
      <c r="L649" s="24"/>
      <c r="M649" s="24"/>
      <c r="N649" s="186"/>
      <c r="O649" s="190"/>
      <c r="P649" s="204"/>
      <c r="Q649" s="142"/>
      <c r="T649" s="201"/>
      <c r="Z649" s="151"/>
      <c r="AB649" s="64"/>
      <c r="AC649" s="64"/>
      <c r="AD649" s="64"/>
      <c r="AE649" s="64"/>
      <c r="AF649" s="64"/>
      <c r="AG649" s="64"/>
      <c r="AH649" s="64"/>
      <c r="AI649" s="143"/>
      <c r="AJ649" s="134"/>
      <c r="AK649" s="194"/>
      <c r="AL649" s="90"/>
    </row>
    <row r="650" spans="1:38" ht="17.100000000000001" customHeight="1" x14ac:dyDescent="0.25">
      <c r="A650" s="197"/>
      <c r="G650" s="88"/>
      <c r="H650" s="182"/>
      <c r="L650" s="24"/>
      <c r="M650" s="24"/>
      <c r="N650" s="186"/>
      <c r="O650" s="190"/>
      <c r="P650" s="204"/>
      <c r="Q650" s="142"/>
      <c r="T650" s="201"/>
      <c r="Z650" s="151"/>
      <c r="AB650" s="64"/>
      <c r="AC650" s="64"/>
      <c r="AD650" s="64"/>
      <c r="AE650" s="64"/>
      <c r="AF650" s="64"/>
      <c r="AG650" s="64"/>
      <c r="AH650" s="64"/>
      <c r="AI650" s="143"/>
      <c r="AJ650" s="134"/>
      <c r="AK650" s="194"/>
      <c r="AL650" s="90"/>
    </row>
    <row r="651" spans="1:38" ht="17.100000000000001" customHeight="1" x14ac:dyDescent="0.25">
      <c r="A651" s="197"/>
      <c r="G651" s="88"/>
      <c r="H651" s="182"/>
      <c r="L651" s="24"/>
      <c r="M651" s="24"/>
      <c r="N651" s="186"/>
      <c r="O651" s="190"/>
      <c r="P651" s="204"/>
      <c r="Q651" s="142"/>
      <c r="T651" s="201"/>
      <c r="Z651" s="151"/>
      <c r="AB651" s="64"/>
      <c r="AC651" s="64"/>
      <c r="AD651" s="64"/>
      <c r="AE651" s="64"/>
      <c r="AF651" s="64"/>
      <c r="AG651" s="64"/>
      <c r="AH651" s="64"/>
      <c r="AI651" s="143"/>
      <c r="AJ651" s="134"/>
      <c r="AK651" s="194"/>
      <c r="AL651" s="90"/>
    </row>
    <row r="652" spans="1:38" ht="17.100000000000001" customHeight="1" x14ac:dyDescent="0.25">
      <c r="A652" s="197"/>
      <c r="G652" s="88"/>
      <c r="H652" s="182"/>
      <c r="L652" s="24"/>
      <c r="M652" s="24"/>
      <c r="N652" s="186"/>
      <c r="O652" s="190"/>
      <c r="P652" s="204"/>
      <c r="Q652" s="142"/>
      <c r="T652" s="201"/>
      <c r="Z652" s="151"/>
      <c r="AB652" s="64"/>
      <c r="AC652" s="64"/>
      <c r="AD652" s="64"/>
      <c r="AE652" s="64"/>
      <c r="AF652" s="64"/>
      <c r="AG652" s="64"/>
      <c r="AH652" s="64"/>
      <c r="AI652" s="143"/>
      <c r="AJ652" s="134"/>
      <c r="AK652" s="194"/>
      <c r="AL652" s="90"/>
    </row>
    <row r="653" spans="1:38" ht="17.100000000000001" customHeight="1" x14ac:dyDescent="0.25">
      <c r="A653" s="197"/>
      <c r="G653" s="88"/>
      <c r="H653" s="182"/>
      <c r="L653" s="24"/>
      <c r="M653" s="24"/>
      <c r="N653" s="186"/>
      <c r="O653" s="190"/>
      <c r="P653" s="204"/>
      <c r="Q653" s="142"/>
      <c r="T653" s="201"/>
      <c r="Z653" s="151"/>
      <c r="AB653" s="64"/>
      <c r="AC653" s="64"/>
      <c r="AD653" s="64"/>
      <c r="AE653" s="64"/>
      <c r="AF653" s="64"/>
      <c r="AG653" s="64"/>
      <c r="AH653" s="64"/>
      <c r="AI653" s="143"/>
      <c r="AJ653" s="134"/>
      <c r="AK653" s="194"/>
      <c r="AL653" s="90"/>
    </row>
    <row r="654" spans="1:38" ht="17.100000000000001" customHeight="1" x14ac:dyDescent="0.25">
      <c r="A654" s="197"/>
      <c r="G654" s="88"/>
      <c r="H654" s="182"/>
      <c r="L654" s="24"/>
      <c r="M654" s="24"/>
      <c r="N654" s="186"/>
      <c r="O654" s="190"/>
      <c r="P654" s="204"/>
      <c r="Q654" s="142"/>
      <c r="T654" s="201"/>
      <c r="Z654" s="151"/>
      <c r="AB654" s="64"/>
      <c r="AC654" s="64"/>
      <c r="AD654" s="64"/>
      <c r="AE654" s="64"/>
      <c r="AF654" s="64"/>
      <c r="AG654" s="64"/>
      <c r="AH654" s="64"/>
      <c r="AI654" s="143"/>
      <c r="AJ654" s="134"/>
      <c r="AK654" s="194"/>
      <c r="AL654" s="90"/>
    </row>
    <row r="655" spans="1:38" ht="17.100000000000001" customHeight="1" x14ac:dyDescent="0.25">
      <c r="A655" s="197"/>
      <c r="G655" s="88"/>
      <c r="H655" s="182"/>
      <c r="L655" s="24"/>
      <c r="M655" s="24"/>
      <c r="N655" s="186"/>
      <c r="O655" s="190"/>
      <c r="P655" s="204"/>
      <c r="Q655" s="142"/>
      <c r="T655" s="201"/>
      <c r="Z655" s="151"/>
      <c r="AB655" s="64"/>
      <c r="AC655" s="64"/>
      <c r="AD655" s="64"/>
      <c r="AE655" s="64"/>
      <c r="AF655" s="64"/>
      <c r="AG655" s="64"/>
      <c r="AH655" s="64"/>
      <c r="AI655" s="143"/>
      <c r="AJ655" s="134"/>
      <c r="AK655" s="194"/>
      <c r="AL655" s="90"/>
    </row>
    <row r="656" spans="1:38" ht="17.100000000000001" customHeight="1" x14ac:dyDescent="0.25">
      <c r="A656" s="197"/>
      <c r="G656" s="88"/>
      <c r="H656" s="182"/>
      <c r="L656" s="24"/>
      <c r="M656" s="24"/>
      <c r="N656" s="186"/>
      <c r="O656" s="190"/>
      <c r="P656" s="204"/>
      <c r="Q656" s="142"/>
      <c r="T656" s="201"/>
      <c r="Z656" s="151"/>
      <c r="AB656" s="64"/>
      <c r="AC656" s="64"/>
      <c r="AD656" s="64"/>
      <c r="AE656" s="64"/>
      <c r="AF656" s="64"/>
      <c r="AG656" s="64"/>
      <c r="AH656" s="64"/>
      <c r="AI656" s="143"/>
      <c r="AJ656" s="134"/>
      <c r="AK656" s="194"/>
      <c r="AL656" s="90"/>
    </row>
    <row r="657" spans="1:38" ht="17.100000000000001" customHeight="1" x14ac:dyDescent="0.25">
      <c r="A657" s="197"/>
      <c r="G657" s="88"/>
      <c r="H657" s="182"/>
      <c r="L657" s="24"/>
      <c r="M657" s="24"/>
      <c r="N657" s="186"/>
      <c r="O657" s="190"/>
      <c r="P657" s="204"/>
      <c r="Q657" s="142"/>
      <c r="T657" s="201"/>
      <c r="Z657" s="151"/>
      <c r="AB657" s="64"/>
      <c r="AC657" s="64"/>
      <c r="AD657" s="64"/>
      <c r="AE657" s="64"/>
      <c r="AF657" s="64"/>
      <c r="AG657" s="64"/>
      <c r="AH657" s="64"/>
      <c r="AI657" s="143"/>
      <c r="AJ657" s="134"/>
      <c r="AK657" s="194"/>
      <c r="AL657" s="90"/>
    </row>
    <row r="658" spans="1:38" ht="17.100000000000001" customHeight="1" x14ac:dyDescent="0.25">
      <c r="A658" s="197"/>
      <c r="G658" s="88"/>
      <c r="H658" s="182"/>
      <c r="L658" s="24"/>
      <c r="M658" s="24"/>
      <c r="N658" s="186"/>
      <c r="O658" s="190"/>
      <c r="P658" s="204"/>
      <c r="Q658" s="142"/>
      <c r="T658" s="201"/>
      <c r="Z658" s="151"/>
      <c r="AB658" s="64"/>
      <c r="AC658" s="64"/>
      <c r="AD658" s="64"/>
      <c r="AE658" s="64"/>
      <c r="AF658" s="64"/>
      <c r="AG658" s="64"/>
      <c r="AH658" s="64"/>
      <c r="AI658" s="143"/>
      <c r="AJ658" s="134"/>
      <c r="AK658" s="194"/>
      <c r="AL658" s="90"/>
    </row>
    <row r="659" spans="1:38" ht="17.100000000000001" customHeight="1" x14ac:dyDescent="0.25">
      <c r="A659" s="197"/>
      <c r="G659" s="88"/>
      <c r="H659" s="182"/>
      <c r="L659" s="24"/>
      <c r="M659" s="24"/>
      <c r="N659" s="186"/>
      <c r="O659" s="190"/>
      <c r="P659" s="204"/>
      <c r="Q659" s="142"/>
      <c r="T659" s="201"/>
      <c r="Z659" s="151"/>
      <c r="AB659" s="64"/>
      <c r="AC659" s="64"/>
      <c r="AD659" s="64"/>
      <c r="AE659" s="64"/>
      <c r="AF659" s="64"/>
      <c r="AG659" s="64"/>
      <c r="AH659" s="64"/>
      <c r="AI659" s="143"/>
      <c r="AJ659" s="134"/>
      <c r="AK659" s="194"/>
      <c r="AL659" s="90"/>
    </row>
    <row r="660" spans="1:38" ht="17.100000000000001" customHeight="1" x14ac:dyDescent="0.25">
      <c r="A660" s="197"/>
      <c r="G660" s="88"/>
      <c r="H660" s="182"/>
      <c r="L660" s="24"/>
      <c r="M660" s="24"/>
      <c r="N660" s="186"/>
      <c r="O660" s="190"/>
      <c r="P660" s="204"/>
      <c r="Q660" s="142"/>
      <c r="T660" s="201"/>
      <c r="Z660" s="151"/>
      <c r="AB660" s="64"/>
      <c r="AC660" s="64"/>
      <c r="AD660" s="64"/>
      <c r="AE660" s="64"/>
      <c r="AF660" s="64"/>
      <c r="AG660" s="64"/>
      <c r="AH660" s="64"/>
      <c r="AI660" s="143"/>
      <c r="AJ660" s="134"/>
      <c r="AK660" s="194"/>
      <c r="AL660" s="90"/>
    </row>
    <row r="661" spans="1:38" ht="17.100000000000001" customHeight="1" x14ac:dyDescent="0.25">
      <c r="A661" s="197"/>
      <c r="G661" s="88"/>
      <c r="H661" s="182"/>
      <c r="L661" s="24"/>
      <c r="M661" s="24"/>
      <c r="N661" s="186"/>
      <c r="O661" s="190"/>
      <c r="P661" s="204"/>
      <c r="Q661" s="142"/>
      <c r="T661" s="201"/>
      <c r="Z661" s="151"/>
      <c r="AB661" s="64"/>
      <c r="AC661" s="64"/>
      <c r="AD661" s="64"/>
      <c r="AE661" s="64"/>
      <c r="AF661" s="64"/>
      <c r="AG661" s="64"/>
      <c r="AH661" s="64"/>
      <c r="AI661" s="143"/>
      <c r="AJ661" s="134"/>
      <c r="AK661" s="194"/>
      <c r="AL661" s="90"/>
    </row>
    <row r="662" spans="1:38" ht="17.100000000000001" customHeight="1" x14ac:dyDescent="0.25">
      <c r="A662" s="197"/>
      <c r="G662" s="88"/>
      <c r="H662" s="182"/>
      <c r="L662" s="24"/>
      <c r="M662" s="24"/>
      <c r="N662" s="186"/>
      <c r="O662" s="190"/>
      <c r="P662" s="204"/>
      <c r="Q662" s="142"/>
      <c r="T662" s="201"/>
      <c r="Z662" s="151"/>
      <c r="AB662" s="64"/>
      <c r="AC662" s="64"/>
      <c r="AD662" s="64"/>
      <c r="AE662" s="64"/>
      <c r="AF662" s="64"/>
      <c r="AG662" s="64"/>
      <c r="AH662" s="64"/>
      <c r="AI662" s="143"/>
      <c r="AJ662" s="134"/>
      <c r="AK662" s="194"/>
      <c r="AL662" s="90"/>
    </row>
    <row r="663" spans="1:38" ht="17.100000000000001" customHeight="1" x14ac:dyDescent="0.25">
      <c r="A663" s="197"/>
      <c r="G663" s="88"/>
      <c r="H663" s="182"/>
      <c r="L663" s="24"/>
      <c r="M663" s="24"/>
      <c r="N663" s="186"/>
      <c r="O663" s="190"/>
      <c r="P663" s="204"/>
      <c r="Q663" s="142"/>
      <c r="T663" s="201"/>
      <c r="Z663" s="151"/>
      <c r="AB663" s="64"/>
      <c r="AC663" s="64"/>
      <c r="AD663" s="64"/>
      <c r="AE663" s="64"/>
      <c r="AF663" s="64"/>
      <c r="AG663" s="64"/>
      <c r="AH663" s="64"/>
      <c r="AI663" s="143"/>
      <c r="AJ663" s="134"/>
      <c r="AK663" s="194"/>
      <c r="AL663" s="90"/>
    </row>
    <row r="664" spans="1:38" ht="17.100000000000001" customHeight="1" thickBot="1" x14ac:dyDescent="0.3">
      <c r="A664" s="197"/>
      <c r="G664" s="88"/>
      <c r="H664" s="182"/>
      <c r="L664" s="24"/>
      <c r="M664" s="24"/>
      <c r="N664" s="186"/>
      <c r="O664" s="190"/>
      <c r="P664" s="204"/>
      <c r="Q664" s="142"/>
      <c r="T664" s="201"/>
      <c r="Z664" s="151"/>
      <c r="AB664" s="64"/>
      <c r="AC664" s="64"/>
      <c r="AD664" s="64"/>
      <c r="AE664" s="64"/>
      <c r="AF664" s="64"/>
      <c r="AG664" s="64"/>
      <c r="AH664" s="64"/>
      <c r="AI664" s="143"/>
      <c r="AJ664" s="134"/>
      <c r="AK664" s="194"/>
      <c r="AL664" s="90"/>
    </row>
    <row r="665" spans="1:38" ht="17.100000000000001" customHeight="1" x14ac:dyDescent="0.25">
      <c r="A665" s="198"/>
      <c r="B665" s="153"/>
      <c r="C665" s="154"/>
      <c r="D665" s="154"/>
      <c r="E665" s="154"/>
      <c r="F665" s="154"/>
      <c r="G665" s="155"/>
      <c r="H665" s="183"/>
      <c r="I665" s="156"/>
      <c r="J665" s="157"/>
      <c r="K665" s="158"/>
      <c r="L665" s="158"/>
      <c r="M665" s="158"/>
      <c r="N665" s="187"/>
      <c r="O665" s="191"/>
      <c r="P665" s="205"/>
      <c r="Q665" s="159"/>
      <c r="R665" s="160"/>
      <c r="S665" s="158"/>
      <c r="T665" s="202"/>
      <c r="U665" s="161"/>
      <c r="V665" s="156"/>
      <c r="W665" s="162"/>
      <c r="X665" s="156"/>
      <c r="Y665" s="158"/>
      <c r="Z665" s="163"/>
      <c r="AA665" s="156"/>
      <c r="AB665" s="164"/>
      <c r="AC665" s="164"/>
      <c r="AD665" s="164"/>
      <c r="AE665" s="164"/>
      <c r="AF665" s="164"/>
      <c r="AG665" s="164"/>
      <c r="AH665" s="164"/>
      <c r="AI665" s="165"/>
      <c r="AJ665" s="134"/>
      <c r="AK665" s="195"/>
      <c r="AL665" s="170"/>
    </row>
    <row r="666" spans="1:38" ht="17.100000000000001" customHeight="1" x14ac:dyDescent="0.25">
      <c r="A666" s="197"/>
      <c r="G666" s="88"/>
      <c r="H666" s="182"/>
      <c r="L666" s="24"/>
      <c r="M666" s="24"/>
      <c r="N666" s="186"/>
      <c r="O666" s="190"/>
      <c r="P666" s="204"/>
      <c r="Q666" s="142"/>
      <c r="T666" s="201"/>
      <c r="Z666" s="151"/>
      <c r="AB666" s="64"/>
      <c r="AC666" s="64"/>
      <c r="AD666" s="64"/>
      <c r="AE666" s="64"/>
      <c r="AF666" s="64"/>
      <c r="AG666" s="64"/>
      <c r="AH666" s="64"/>
      <c r="AI666" s="143"/>
      <c r="AJ666" s="134"/>
      <c r="AK666" s="194"/>
      <c r="AL666" s="90"/>
    </row>
    <row r="667" spans="1:38" ht="17.100000000000001" customHeight="1" x14ac:dyDescent="0.25">
      <c r="A667" s="197"/>
      <c r="G667" s="88"/>
      <c r="H667" s="182"/>
      <c r="L667" s="24"/>
      <c r="M667" s="24"/>
      <c r="N667" s="186"/>
      <c r="O667" s="190"/>
      <c r="P667" s="204"/>
      <c r="Q667" s="142"/>
      <c r="T667" s="201"/>
      <c r="Z667" s="151"/>
      <c r="AB667" s="64"/>
      <c r="AC667" s="64"/>
      <c r="AD667" s="64"/>
      <c r="AE667" s="64"/>
      <c r="AF667" s="64"/>
      <c r="AG667" s="64"/>
      <c r="AH667" s="64"/>
      <c r="AI667" s="143"/>
      <c r="AJ667" s="134"/>
      <c r="AK667" s="194"/>
      <c r="AL667" s="90"/>
    </row>
    <row r="668" spans="1:38" ht="17.100000000000001" customHeight="1" x14ac:dyDescent="0.25">
      <c r="A668" s="197"/>
      <c r="G668" s="88"/>
      <c r="H668" s="182"/>
      <c r="L668" s="24"/>
      <c r="M668" s="24"/>
      <c r="N668" s="186"/>
      <c r="O668" s="190"/>
      <c r="P668" s="204"/>
      <c r="Q668" s="142"/>
      <c r="T668" s="201"/>
      <c r="Z668" s="151"/>
      <c r="AB668" s="64"/>
      <c r="AC668" s="64"/>
      <c r="AD668" s="64"/>
      <c r="AE668" s="64"/>
      <c r="AF668" s="64"/>
      <c r="AG668" s="64"/>
      <c r="AH668" s="64"/>
      <c r="AI668" s="143"/>
      <c r="AJ668" s="134"/>
      <c r="AK668" s="194"/>
      <c r="AL668" s="90"/>
    </row>
    <row r="669" spans="1:38" ht="17.100000000000001" customHeight="1" x14ac:dyDescent="0.25">
      <c r="A669" s="197"/>
      <c r="G669" s="88"/>
      <c r="H669" s="182"/>
      <c r="L669" s="24"/>
      <c r="M669" s="24"/>
      <c r="N669" s="186"/>
      <c r="O669" s="190"/>
      <c r="P669" s="204"/>
      <c r="Q669" s="142"/>
      <c r="T669" s="201"/>
      <c r="Z669" s="151"/>
      <c r="AB669" s="64"/>
      <c r="AC669" s="64"/>
      <c r="AD669" s="64"/>
      <c r="AE669" s="64"/>
      <c r="AF669" s="64"/>
      <c r="AG669" s="64"/>
      <c r="AH669" s="64"/>
      <c r="AI669" s="143"/>
      <c r="AJ669" s="134"/>
      <c r="AK669" s="194"/>
      <c r="AL669" s="90"/>
    </row>
    <row r="670" spans="1:38" ht="17.100000000000001" customHeight="1" x14ac:dyDescent="0.25">
      <c r="A670" s="197"/>
      <c r="G670" s="88"/>
      <c r="H670" s="182"/>
      <c r="L670" s="24"/>
      <c r="M670" s="24"/>
      <c r="N670" s="186"/>
      <c r="O670" s="190"/>
      <c r="P670" s="204"/>
      <c r="Q670" s="142"/>
      <c r="T670" s="201"/>
      <c r="Z670" s="151"/>
      <c r="AB670" s="64"/>
      <c r="AC670" s="64"/>
      <c r="AD670" s="64"/>
      <c r="AE670" s="64"/>
      <c r="AF670" s="64"/>
      <c r="AG670" s="64"/>
      <c r="AH670" s="64"/>
      <c r="AI670" s="143"/>
      <c r="AJ670" s="134"/>
      <c r="AK670" s="194"/>
      <c r="AL670" s="90"/>
    </row>
    <row r="671" spans="1:38" ht="17.100000000000001" customHeight="1" x14ac:dyDescent="0.25">
      <c r="A671" s="197"/>
      <c r="G671" s="88"/>
      <c r="H671" s="182"/>
      <c r="L671" s="24"/>
      <c r="M671" s="24"/>
      <c r="N671" s="186"/>
      <c r="O671" s="190"/>
      <c r="P671" s="204"/>
      <c r="Q671" s="142"/>
      <c r="T671" s="201"/>
      <c r="Z671" s="151"/>
      <c r="AB671" s="64"/>
      <c r="AC671" s="64"/>
      <c r="AD671" s="64"/>
      <c r="AE671" s="64"/>
      <c r="AF671" s="64"/>
      <c r="AG671" s="64"/>
      <c r="AH671" s="64"/>
      <c r="AI671" s="143"/>
      <c r="AJ671" s="134"/>
      <c r="AK671" s="194"/>
      <c r="AL671" s="90"/>
    </row>
    <row r="672" spans="1:38" ht="17.100000000000001" customHeight="1" x14ac:dyDescent="0.25">
      <c r="A672" s="197"/>
      <c r="G672" s="88"/>
      <c r="H672" s="182"/>
      <c r="L672" s="24"/>
      <c r="M672" s="24"/>
      <c r="N672" s="186"/>
      <c r="O672" s="190"/>
      <c r="P672" s="204"/>
      <c r="Q672" s="142"/>
      <c r="T672" s="201"/>
      <c r="Z672" s="151"/>
      <c r="AB672" s="64"/>
      <c r="AC672" s="64"/>
      <c r="AD672" s="64"/>
      <c r="AE672" s="64"/>
      <c r="AF672" s="64"/>
      <c r="AG672" s="64"/>
      <c r="AH672" s="64"/>
      <c r="AI672" s="143"/>
      <c r="AJ672" s="134"/>
      <c r="AK672" s="194"/>
      <c r="AL672" s="90"/>
    </row>
    <row r="673" spans="1:38" ht="17.100000000000001" customHeight="1" x14ac:dyDescent="0.25">
      <c r="A673" s="197"/>
      <c r="G673" s="88"/>
      <c r="H673" s="182"/>
      <c r="L673" s="24"/>
      <c r="M673" s="24"/>
      <c r="N673" s="186"/>
      <c r="O673" s="190"/>
      <c r="P673" s="204"/>
      <c r="Q673" s="142"/>
      <c r="T673" s="201"/>
      <c r="Z673" s="151"/>
      <c r="AB673" s="64"/>
      <c r="AC673" s="64"/>
      <c r="AD673" s="64"/>
      <c r="AE673" s="64"/>
      <c r="AF673" s="64"/>
      <c r="AG673" s="64"/>
      <c r="AH673" s="64"/>
      <c r="AI673" s="143"/>
      <c r="AJ673" s="134"/>
      <c r="AK673" s="194"/>
      <c r="AL673" s="90"/>
    </row>
    <row r="674" spans="1:38" ht="17.100000000000001" customHeight="1" x14ac:dyDescent="0.25">
      <c r="A674" s="197"/>
      <c r="G674" s="88"/>
      <c r="H674" s="182"/>
      <c r="L674" s="24"/>
      <c r="M674" s="24"/>
      <c r="N674" s="186"/>
      <c r="O674" s="190"/>
      <c r="P674" s="204"/>
      <c r="Q674" s="142"/>
      <c r="T674" s="201"/>
      <c r="Z674" s="151"/>
      <c r="AB674" s="64"/>
      <c r="AC674" s="64"/>
      <c r="AD674" s="64"/>
      <c r="AE674" s="64"/>
      <c r="AF674" s="64"/>
      <c r="AG674" s="64"/>
      <c r="AH674" s="64"/>
      <c r="AI674" s="143"/>
      <c r="AJ674" s="134"/>
      <c r="AK674" s="194"/>
      <c r="AL674" s="90"/>
    </row>
    <row r="675" spans="1:38" ht="17.100000000000001" customHeight="1" x14ac:dyDescent="0.25">
      <c r="A675" s="197"/>
      <c r="G675" s="88"/>
      <c r="H675" s="182"/>
      <c r="L675" s="24"/>
      <c r="M675" s="24"/>
      <c r="N675" s="186"/>
      <c r="O675" s="190"/>
      <c r="P675" s="204"/>
      <c r="Q675" s="142"/>
      <c r="T675" s="201"/>
      <c r="Z675" s="151"/>
      <c r="AB675" s="64"/>
      <c r="AC675" s="64"/>
      <c r="AD675" s="64"/>
      <c r="AE675" s="64"/>
      <c r="AF675" s="64"/>
      <c r="AG675" s="64"/>
      <c r="AH675" s="64"/>
      <c r="AI675" s="143"/>
      <c r="AJ675" s="134"/>
      <c r="AK675" s="194"/>
      <c r="AL675" s="90"/>
    </row>
    <row r="676" spans="1:38" ht="17.100000000000001" customHeight="1" x14ac:dyDescent="0.25">
      <c r="A676" s="197"/>
      <c r="G676" s="88"/>
      <c r="H676" s="182"/>
      <c r="L676" s="24"/>
      <c r="M676" s="24"/>
      <c r="N676" s="186"/>
      <c r="O676" s="190"/>
      <c r="P676" s="204"/>
      <c r="Q676" s="142"/>
      <c r="T676" s="201"/>
      <c r="Z676" s="151"/>
      <c r="AB676" s="64"/>
      <c r="AC676" s="64"/>
      <c r="AD676" s="64"/>
      <c r="AE676" s="64"/>
      <c r="AF676" s="64"/>
      <c r="AG676" s="64"/>
      <c r="AH676" s="64"/>
      <c r="AI676" s="143"/>
      <c r="AJ676" s="134"/>
      <c r="AK676" s="194"/>
      <c r="AL676" s="90"/>
    </row>
    <row r="677" spans="1:38" ht="17.100000000000001" customHeight="1" x14ac:dyDescent="0.25">
      <c r="A677" s="197"/>
      <c r="G677" s="88"/>
      <c r="H677" s="182"/>
      <c r="L677" s="24"/>
      <c r="M677" s="24"/>
      <c r="N677" s="186"/>
      <c r="O677" s="190"/>
      <c r="P677" s="204"/>
      <c r="Q677" s="142"/>
      <c r="T677" s="201"/>
      <c r="Z677" s="151"/>
      <c r="AB677" s="64"/>
      <c r="AC677" s="64"/>
      <c r="AD677" s="64"/>
      <c r="AE677" s="64"/>
      <c r="AF677" s="64"/>
      <c r="AG677" s="64"/>
      <c r="AH677" s="64"/>
      <c r="AI677" s="143"/>
      <c r="AJ677" s="134"/>
      <c r="AK677" s="194"/>
      <c r="AL677" s="90"/>
    </row>
    <row r="678" spans="1:38" ht="17.100000000000001" customHeight="1" x14ac:dyDescent="0.25">
      <c r="A678" s="197"/>
      <c r="G678" s="88"/>
      <c r="H678" s="182"/>
      <c r="L678" s="24"/>
      <c r="M678" s="24"/>
      <c r="N678" s="186"/>
      <c r="O678" s="190"/>
      <c r="P678" s="204"/>
      <c r="Q678" s="142"/>
      <c r="T678" s="201"/>
      <c r="Z678" s="151"/>
      <c r="AB678" s="64"/>
      <c r="AC678" s="64"/>
      <c r="AD678" s="64"/>
      <c r="AE678" s="64"/>
      <c r="AF678" s="64"/>
      <c r="AG678" s="64"/>
      <c r="AH678" s="64"/>
      <c r="AI678" s="143"/>
      <c r="AJ678" s="134"/>
      <c r="AK678" s="194"/>
      <c r="AL678" s="90"/>
    </row>
    <row r="679" spans="1:38" ht="17.100000000000001" customHeight="1" x14ac:dyDescent="0.25">
      <c r="A679" s="197"/>
      <c r="G679" s="88"/>
      <c r="H679" s="182"/>
      <c r="L679" s="24"/>
      <c r="M679" s="24"/>
      <c r="N679" s="186"/>
      <c r="O679" s="190"/>
      <c r="P679" s="204"/>
      <c r="Q679" s="142"/>
      <c r="T679" s="201"/>
      <c r="Z679" s="151"/>
      <c r="AB679" s="64"/>
      <c r="AC679" s="64"/>
      <c r="AD679" s="64"/>
      <c r="AE679" s="64"/>
      <c r="AF679" s="64"/>
      <c r="AG679" s="64"/>
      <c r="AH679" s="64"/>
      <c r="AI679" s="143"/>
      <c r="AJ679" s="134"/>
      <c r="AK679" s="194"/>
      <c r="AL679" s="90"/>
    </row>
    <row r="680" spans="1:38" ht="17.100000000000001" customHeight="1" x14ac:dyDescent="0.25">
      <c r="A680" s="197"/>
      <c r="G680" s="88"/>
      <c r="H680" s="182"/>
      <c r="L680" s="24"/>
      <c r="M680" s="24"/>
      <c r="N680" s="186"/>
      <c r="O680" s="190"/>
      <c r="P680" s="204"/>
      <c r="Q680" s="142"/>
      <c r="T680" s="201"/>
      <c r="Z680" s="151"/>
      <c r="AB680" s="64"/>
      <c r="AC680" s="64"/>
      <c r="AD680" s="64"/>
      <c r="AE680" s="64"/>
      <c r="AF680" s="64"/>
      <c r="AG680" s="64"/>
      <c r="AH680" s="64"/>
      <c r="AI680" s="143"/>
      <c r="AJ680" s="134"/>
      <c r="AK680" s="194"/>
      <c r="AL680" s="90"/>
    </row>
    <row r="681" spans="1:38" ht="17.100000000000001" customHeight="1" x14ac:dyDescent="0.25">
      <c r="A681" s="197"/>
      <c r="G681" s="88"/>
      <c r="H681" s="182"/>
      <c r="L681" s="24"/>
      <c r="M681" s="24"/>
      <c r="N681" s="186"/>
      <c r="O681" s="190"/>
      <c r="P681" s="204"/>
      <c r="Q681" s="142"/>
      <c r="T681" s="201"/>
      <c r="Z681" s="151"/>
      <c r="AB681" s="64"/>
      <c r="AC681" s="64"/>
      <c r="AD681" s="64"/>
      <c r="AE681" s="64"/>
      <c r="AF681" s="64"/>
      <c r="AG681" s="64"/>
      <c r="AH681" s="64"/>
      <c r="AI681" s="143"/>
      <c r="AJ681" s="134"/>
      <c r="AK681" s="194"/>
      <c r="AL681" s="90"/>
    </row>
    <row r="682" spans="1:38" ht="17.100000000000001" customHeight="1" x14ac:dyDescent="0.25">
      <c r="A682" s="197"/>
      <c r="G682" s="88"/>
      <c r="H682" s="182"/>
      <c r="L682" s="24"/>
      <c r="M682" s="24"/>
      <c r="N682" s="186"/>
      <c r="O682" s="190"/>
      <c r="P682" s="204"/>
      <c r="Q682" s="142"/>
      <c r="T682" s="201"/>
      <c r="Z682" s="151"/>
      <c r="AB682" s="64"/>
      <c r="AC682" s="64"/>
      <c r="AD682" s="64"/>
      <c r="AE682" s="64"/>
      <c r="AF682" s="64"/>
      <c r="AG682" s="64"/>
      <c r="AH682" s="64"/>
      <c r="AI682" s="143"/>
      <c r="AJ682" s="134"/>
      <c r="AK682" s="194"/>
      <c r="AL682" s="90"/>
    </row>
    <row r="683" spans="1:38" ht="17.100000000000001" customHeight="1" x14ac:dyDescent="0.25">
      <c r="A683" s="197"/>
      <c r="G683" s="88"/>
      <c r="H683" s="182"/>
      <c r="L683" s="24"/>
      <c r="M683" s="24"/>
      <c r="N683" s="186"/>
      <c r="O683" s="190"/>
      <c r="P683" s="204"/>
      <c r="Q683" s="142"/>
      <c r="T683" s="201"/>
      <c r="Z683" s="151"/>
      <c r="AB683" s="64"/>
      <c r="AC683" s="64"/>
      <c r="AD683" s="64"/>
      <c r="AE683" s="64"/>
      <c r="AF683" s="64"/>
      <c r="AG683" s="64"/>
      <c r="AH683" s="64"/>
      <c r="AI683" s="143"/>
      <c r="AJ683" s="134"/>
      <c r="AK683" s="194"/>
      <c r="AL683" s="90"/>
    </row>
    <row r="684" spans="1:38" ht="17.100000000000001" customHeight="1" x14ac:dyDescent="0.25">
      <c r="A684" s="197"/>
      <c r="G684" s="88"/>
      <c r="H684" s="182"/>
      <c r="L684" s="24"/>
      <c r="M684" s="24"/>
      <c r="N684" s="186"/>
      <c r="O684" s="190"/>
      <c r="P684" s="204"/>
      <c r="Q684" s="142"/>
      <c r="T684" s="201"/>
      <c r="Z684" s="151"/>
      <c r="AB684" s="64"/>
      <c r="AC684" s="64"/>
      <c r="AD684" s="64"/>
      <c r="AE684" s="64"/>
      <c r="AF684" s="64"/>
      <c r="AG684" s="64"/>
      <c r="AH684" s="64"/>
      <c r="AI684" s="143"/>
      <c r="AJ684" s="134"/>
      <c r="AK684" s="194"/>
      <c r="AL684" s="90"/>
    </row>
    <row r="685" spans="1:38" ht="17.100000000000001" customHeight="1" x14ac:dyDescent="0.25">
      <c r="A685" s="197"/>
      <c r="G685" s="88"/>
      <c r="H685" s="182"/>
      <c r="L685" s="24"/>
      <c r="M685" s="24"/>
      <c r="N685" s="186"/>
      <c r="O685" s="190"/>
      <c r="P685" s="204"/>
      <c r="Q685" s="142"/>
      <c r="T685" s="201"/>
      <c r="Z685" s="151"/>
      <c r="AB685" s="64"/>
      <c r="AC685" s="64"/>
      <c r="AD685" s="64"/>
      <c r="AE685" s="64"/>
      <c r="AF685" s="64"/>
      <c r="AG685" s="64"/>
      <c r="AH685" s="64"/>
      <c r="AI685" s="143"/>
      <c r="AJ685" s="134"/>
      <c r="AK685" s="194"/>
      <c r="AL685" s="90"/>
    </row>
    <row r="686" spans="1:38" ht="17.100000000000001" customHeight="1" x14ac:dyDescent="0.25">
      <c r="A686" s="197"/>
      <c r="G686" s="88"/>
      <c r="H686" s="182"/>
      <c r="L686" s="24"/>
      <c r="M686" s="24"/>
      <c r="N686" s="186"/>
      <c r="O686" s="190"/>
      <c r="P686" s="204"/>
      <c r="Q686" s="142"/>
      <c r="T686" s="201"/>
      <c r="Z686" s="151"/>
      <c r="AB686" s="64"/>
      <c r="AC686" s="64"/>
      <c r="AD686" s="64"/>
      <c r="AE686" s="64"/>
      <c r="AF686" s="64"/>
      <c r="AG686" s="64"/>
      <c r="AH686" s="64"/>
      <c r="AI686" s="143"/>
      <c r="AJ686" s="134"/>
      <c r="AK686" s="194"/>
      <c r="AL686" s="90"/>
    </row>
    <row r="687" spans="1:38" ht="17.100000000000001" customHeight="1" x14ac:dyDescent="0.25">
      <c r="A687" s="197"/>
      <c r="G687" s="88"/>
      <c r="H687" s="182"/>
      <c r="L687" s="24"/>
      <c r="M687" s="24"/>
      <c r="N687" s="186"/>
      <c r="O687" s="190"/>
      <c r="P687" s="204"/>
      <c r="Q687" s="142"/>
      <c r="T687" s="201"/>
      <c r="Z687" s="151"/>
      <c r="AB687" s="64"/>
      <c r="AC687" s="64"/>
      <c r="AD687" s="64"/>
      <c r="AE687" s="64"/>
      <c r="AF687" s="64"/>
      <c r="AG687" s="64"/>
      <c r="AH687" s="64"/>
      <c r="AI687" s="143"/>
      <c r="AJ687" s="134"/>
      <c r="AK687" s="194"/>
      <c r="AL687" s="90"/>
    </row>
    <row r="688" spans="1:38" ht="17.100000000000001" customHeight="1" x14ac:dyDescent="0.25">
      <c r="A688" s="197"/>
      <c r="G688" s="88"/>
      <c r="H688" s="182"/>
      <c r="L688" s="24"/>
      <c r="M688" s="24"/>
      <c r="N688" s="186"/>
      <c r="O688" s="190"/>
      <c r="P688" s="204"/>
      <c r="Q688" s="142"/>
      <c r="T688" s="201"/>
      <c r="Z688" s="151"/>
      <c r="AB688" s="64"/>
      <c r="AC688" s="64"/>
      <c r="AD688" s="64"/>
      <c r="AE688" s="64"/>
      <c r="AF688" s="64"/>
      <c r="AG688" s="64"/>
      <c r="AH688" s="64"/>
      <c r="AI688" s="143"/>
      <c r="AJ688" s="134"/>
      <c r="AK688" s="194"/>
      <c r="AL688" s="90"/>
    </row>
    <row r="689" spans="1:38" ht="17.100000000000001" customHeight="1" x14ac:dyDescent="0.25">
      <c r="A689" s="197"/>
      <c r="G689" s="88"/>
      <c r="H689" s="182"/>
      <c r="L689" s="24"/>
      <c r="M689" s="24"/>
      <c r="N689" s="186"/>
      <c r="O689" s="190"/>
      <c r="P689" s="204"/>
      <c r="Q689" s="142"/>
      <c r="T689" s="201"/>
      <c r="Z689" s="151"/>
      <c r="AB689" s="64"/>
      <c r="AC689" s="64"/>
      <c r="AD689" s="64"/>
      <c r="AE689" s="64"/>
      <c r="AF689" s="64"/>
      <c r="AG689" s="64"/>
      <c r="AH689" s="64"/>
      <c r="AI689" s="143"/>
      <c r="AJ689" s="134"/>
      <c r="AK689" s="194"/>
      <c r="AL689" s="90"/>
    </row>
    <row r="690" spans="1:38" ht="17.100000000000001" customHeight="1" x14ac:dyDescent="0.25">
      <c r="A690" s="197"/>
      <c r="G690" s="88"/>
      <c r="H690" s="182"/>
      <c r="L690" s="24"/>
      <c r="M690" s="24"/>
      <c r="N690" s="186"/>
      <c r="O690" s="190"/>
      <c r="P690" s="204"/>
      <c r="Q690" s="142"/>
      <c r="T690" s="201"/>
      <c r="Z690" s="151"/>
      <c r="AB690" s="64"/>
      <c r="AC690" s="64"/>
      <c r="AD690" s="64"/>
      <c r="AE690" s="64"/>
      <c r="AF690" s="64"/>
      <c r="AG690" s="64"/>
      <c r="AH690" s="64"/>
      <c r="AI690" s="143"/>
      <c r="AJ690" s="134"/>
      <c r="AK690" s="194"/>
      <c r="AL690" s="90"/>
    </row>
    <row r="691" spans="1:38" ht="17.100000000000001" customHeight="1" thickBot="1" x14ac:dyDescent="0.3">
      <c r="A691" s="197"/>
      <c r="G691" s="88"/>
      <c r="H691" s="182"/>
      <c r="L691" s="24"/>
      <c r="M691" s="24"/>
      <c r="N691" s="186"/>
      <c r="O691" s="190"/>
      <c r="P691" s="204"/>
      <c r="Q691" s="142"/>
      <c r="T691" s="201"/>
      <c r="Z691" s="151"/>
      <c r="AB691" s="64"/>
      <c r="AC691" s="64"/>
      <c r="AD691" s="64"/>
      <c r="AE691" s="64"/>
      <c r="AF691" s="64"/>
      <c r="AG691" s="64"/>
      <c r="AH691" s="64"/>
      <c r="AI691" s="143"/>
      <c r="AJ691" s="134"/>
      <c r="AK691" s="194"/>
      <c r="AL691" s="90"/>
    </row>
    <row r="692" spans="1:38" ht="17.100000000000001" customHeight="1" x14ac:dyDescent="0.25">
      <c r="A692" s="198"/>
      <c r="B692" s="153"/>
      <c r="C692" s="154"/>
      <c r="D692" s="154"/>
      <c r="E692" s="154"/>
      <c r="F692" s="154"/>
      <c r="G692" s="155"/>
      <c r="H692" s="183"/>
      <c r="I692" s="156"/>
      <c r="J692" s="157"/>
      <c r="K692" s="158"/>
      <c r="L692" s="158"/>
      <c r="M692" s="158"/>
      <c r="N692" s="187"/>
      <c r="O692" s="191"/>
      <c r="P692" s="205"/>
      <c r="Q692" s="159"/>
      <c r="R692" s="160"/>
      <c r="S692" s="158"/>
      <c r="T692" s="202"/>
      <c r="U692" s="161"/>
      <c r="V692" s="156"/>
      <c r="W692" s="162"/>
      <c r="X692" s="156"/>
      <c r="Y692" s="158"/>
      <c r="Z692" s="163"/>
      <c r="AA692" s="156"/>
      <c r="AB692" s="164"/>
      <c r="AC692" s="164"/>
      <c r="AD692" s="164"/>
      <c r="AE692" s="164"/>
      <c r="AF692" s="164"/>
      <c r="AG692" s="164"/>
      <c r="AH692" s="164"/>
      <c r="AI692" s="165"/>
      <c r="AJ692" s="134"/>
      <c r="AK692" s="195"/>
      <c r="AL692" s="170"/>
    </row>
    <row r="693" spans="1:38" ht="17.100000000000001" customHeight="1" x14ac:dyDescent="0.25">
      <c r="A693" s="197"/>
      <c r="G693" s="88"/>
      <c r="H693" s="182"/>
      <c r="L693" s="24"/>
      <c r="M693" s="24"/>
      <c r="N693" s="186"/>
      <c r="O693" s="190"/>
      <c r="P693" s="204"/>
      <c r="Q693" s="142"/>
      <c r="T693" s="201"/>
      <c r="Z693" s="151"/>
      <c r="AB693" s="64"/>
      <c r="AC693" s="64"/>
      <c r="AD693" s="64"/>
      <c r="AE693" s="64"/>
      <c r="AF693" s="64"/>
      <c r="AG693" s="64"/>
      <c r="AH693" s="64"/>
      <c r="AI693" s="143"/>
      <c r="AJ693" s="134"/>
      <c r="AK693" s="194"/>
      <c r="AL693" s="90"/>
    </row>
    <row r="694" spans="1:38" ht="17.100000000000001" customHeight="1" x14ac:dyDescent="0.25">
      <c r="A694" s="197"/>
      <c r="G694" s="88"/>
      <c r="H694" s="182"/>
      <c r="L694" s="24"/>
      <c r="M694" s="24"/>
      <c r="N694" s="186"/>
      <c r="O694" s="190"/>
      <c r="P694" s="204"/>
      <c r="Q694" s="142"/>
      <c r="T694" s="201"/>
      <c r="Z694" s="151"/>
      <c r="AB694" s="64"/>
      <c r="AC694" s="64"/>
      <c r="AD694" s="64"/>
      <c r="AE694" s="64"/>
      <c r="AF694" s="64"/>
      <c r="AG694" s="64"/>
      <c r="AH694" s="64"/>
      <c r="AI694" s="143"/>
      <c r="AJ694" s="134"/>
      <c r="AK694" s="194"/>
      <c r="AL694" s="90"/>
    </row>
    <row r="695" spans="1:38" ht="17.100000000000001" customHeight="1" x14ac:dyDescent="0.25">
      <c r="A695" s="197"/>
      <c r="G695" s="88"/>
      <c r="H695" s="182"/>
      <c r="L695" s="24"/>
      <c r="M695" s="24"/>
      <c r="N695" s="186"/>
      <c r="O695" s="190"/>
      <c r="P695" s="204"/>
      <c r="Q695" s="142"/>
      <c r="T695" s="201"/>
      <c r="Z695" s="151"/>
      <c r="AB695" s="64"/>
      <c r="AC695" s="64"/>
      <c r="AD695" s="64"/>
      <c r="AE695" s="64"/>
      <c r="AF695" s="64"/>
      <c r="AG695" s="64"/>
      <c r="AH695" s="64"/>
      <c r="AI695" s="143"/>
      <c r="AJ695" s="134"/>
      <c r="AK695" s="194"/>
      <c r="AL695" s="90"/>
    </row>
    <row r="696" spans="1:38" ht="17.100000000000001" customHeight="1" x14ac:dyDescent="0.25">
      <c r="A696" s="197"/>
      <c r="G696" s="88"/>
      <c r="H696" s="182"/>
      <c r="L696" s="24"/>
      <c r="M696" s="24"/>
      <c r="N696" s="186"/>
      <c r="O696" s="190"/>
      <c r="P696" s="204"/>
      <c r="Q696" s="142"/>
      <c r="T696" s="201"/>
      <c r="Z696" s="151"/>
      <c r="AB696" s="64"/>
      <c r="AC696" s="64"/>
      <c r="AD696" s="64"/>
      <c r="AE696" s="64"/>
      <c r="AF696" s="64"/>
      <c r="AG696" s="64"/>
      <c r="AH696" s="64"/>
      <c r="AI696" s="143"/>
      <c r="AJ696" s="134"/>
      <c r="AK696" s="194"/>
      <c r="AL696" s="90"/>
    </row>
    <row r="697" spans="1:38" ht="17.100000000000001" customHeight="1" x14ac:dyDescent="0.25">
      <c r="A697" s="197"/>
      <c r="G697" s="88"/>
      <c r="H697" s="182"/>
      <c r="L697" s="24"/>
      <c r="M697" s="24"/>
      <c r="N697" s="186"/>
      <c r="O697" s="190"/>
      <c r="P697" s="204"/>
      <c r="Q697" s="142"/>
      <c r="T697" s="201"/>
      <c r="Z697" s="151"/>
      <c r="AB697" s="64"/>
      <c r="AC697" s="64"/>
      <c r="AD697" s="64"/>
      <c r="AE697" s="64"/>
      <c r="AF697" s="64"/>
      <c r="AG697" s="64"/>
      <c r="AH697" s="64"/>
      <c r="AI697" s="143"/>
      <c r="AJ697" s="134"/>
      <c r="AK697" s="194"/>
      <c r="AL697" s="90"/>
    </row>
    <row r="698" spans="1:38" ht="17.100000000000001" customHeight="1" x14ac:dyDescent="0.25">
      <c r="A698" s="197"/>
      <c r="G698" s="88"/>
      <c r="H698" s="182"/>
      <c r="L698" s="24"/>
      <c r="M698" s="24"/>
      <c r="N698" s="186"/>
      <c r="O698" s="190"/>
      <c r="P698" s="204"/>
      <c r="Q698" s="142"/>
      <c r="T698" s="201"/>
      <c r="Z698" s="151"/>
      <c r="AB698" s="64"/>
      <c r="AC698" s="64"/>
      <c r="AD698" s="64"/>
      <c r="AE698" s="64"/>
      <c r="AF698" s="64"/>
      <c r="AG698" s="64"/>
      <c r="AH698" s="64"/>
      <c r="AI698" s="143"/>
      <c r="AJ698" s="134"/>
      <c r="AK698" s="194"/>
      <c r="AL698" s="90"/>
    </row>
    <row r="699" spans="1:38" ht="17.100000000000001" customHeight="1" x14ac:dyDescent="0.25">
      <c r="A699" s="197"/>
      <c r="G699" s="88"/>
      <c r="H699" s="182"/>
      <c r="L699" s="24"/>
      <c r="M699" s="24"/>
      <c r="N699" s="186"/>
      <c r="O699" s="190"/>
      <c r="P699" s="204"/>
      <c r="Q699" s="142"/>
      <c r="T699" s="201"/>
      <c r="Z699" s="151"/>
      <c r="AB699" s="64"/>
      <c r="AC699" s="64"/>
      <c r="AD699" s="64"/>
      <c r="AE699" s="64"/>
      <c r="AF699" s="64"/>
      <c r="AG699" s="64"/>
      <c r="AH699" s="64"/>
      <c r="AI699" s="143"/>
      <c r="AJ699" s="134"/>
      <c r="AK699" s="194"/>
      <c r="AL699" s="90"/>
    </row>
    <row r="700" spans="1:38" ht="17.100000000000001" customHeight="1" x14ac:dyDescent="0.25">
      <c r="A700" s="197"/>
      <c r="G700" s="88"/>
      <c r="H700" s="182"/>
      <c r="L700" s="24"/>
      <c r="M700" s="24"/>
      <c r="N700" s="186"/>
      <c r="O700" s="190"/>
      <c r="P700" s="204"/>
      <c r="Q700" s="142"/>
      <c r="T700" s="201"/>
      <c r="Z700" s="151"/>
      <c r="AB700" s="64"/>
      <c r="AC700" s="64"/>
      <c r="AD700" s="64"/>
      <c r="AE700" s="64"/>
      <c r="AF700" s="64"/>
      <c r="AG700" s="64"/>
      <c r="AH700" s="64"/>
      <c r="AI700" s="143"/>
      <c r="AJ700" s="134"/>
      <c r="AK700" s="194"/>
      <c r="AL700" s="90"/>
    </row>
    <row r="701" spans="1:38" ht="17.100000000000001" customHeight="1" x14ac:dyDescent="0.25">
      <c r="A701" s="197"/>
      <c r="G701" s="88"/>
      <c r="H701" s="182"/>
      <c r="L701" s="24"/>
      <c r="M701" s="24"/>
      <c r="N701" s="186"/>
      <c r="O701" s="190"/>
      <c r="P701" s="204"/>
      <c r="Q701" s="142"/>
      <c r="T701" s="201"/>
      <c r="Z701" s="151"/>
      <c r="AB701" s="64"/>
      <c r="AC701" s="64"/>
      <c r="AD701" s="64"/>
      <c r="AE701" s="64"/>
      <c r="AF701" s="64"/>
      <c r="AG701" s="64"/>
      <c r="AH701" s="64"/>
      <c r="AI701" s="143"/>
      <c r="AJ701" s="134"/>
      <c r="AK701" s="194"/>
      <c r="AL701" s="90"/>
    </row>
    <row r="702" spans="1:38" ht="17.100000000000001" customHeight="1" x14ac:dyDescent="0.25">
      <c r="A702" s="197"/>
      <c r="G702" s="88"/>
      <c r="H702" s="182"/>
      <c r="L702" s="24"/>
      <c r="M702" s="24"/>
      <c r="N702" s="186"/>
      <c r="O702" s="190"/>
      <c r="P702" s="204"/>
      <c r="Q702" s="142"/>
      <c r="T702" s="201"/>
      <c r="Z702" s="151"/>
      <c r="AB702" s="64"/>
      <c r="AC702" s="64"/>
      <c r="AD702" s="64"/>
      <c r="AE702" s="64"/>
      <c r="AF702" s="64"/>
      <c r="AG702" s="64"/>
      <c r="AH702" s="64"/>
      <c r="AI702" s="143"/>
      <c r="AJ702" s="134"/>
      <c r="AK702" s="194"/>
      <c r="AL702" s="90"/>
    </row>
    <row r="703" spans="1:38" ht="17.100000000000001" customHeight="1" x14ac:dyDescent="0.25">
      <c r="A703" s="197"/>
      <c r="G703" s="88"/>
      <c r="H703" s="182"/>
      <c r="L703" s="24"/>
      <c r="M703" s="24"/>
      <c r="N703" s="186"/>
      <c r="O703" s="190"/>
      <c r="P703" s="204"/>
      <c r="Q703" s="142"/>
      <c r="T703" s="201"/>
      <c r="Z703" s="151"/>
      <c r="AB703" s="64"/>
      <c r="AC703" s="64"/>
      <c r="AD703" s="64"/>
      <c r="AE703" s="64"/>
      <c r="AF703" s="64"/>
      <c r="AG703" s="64"/>
      <c r="AH703" s="64"/>
      <c r="AI703" s="143"/>
      <c r="AJ703" s="134"/>
      <c r="AK703" s="194"/>
      <c r="AL703" s="90"/>
    </row>
    <row r="704" spans="1:38" ht="17.100000000000001" customHeight="1" x14ac:dyDescent="0.25">
      <c r="A704" s="197"/>
      <c r="G704" s="88"/>
      <c r="H704" s="182"/>
      <c r="L704" s="24"/>
      <c r="M704" s="24"/>
      <c r="N704" s="186"/>
      <c r="O704" s="190"/>
      <c r="P704" s="204"/>
      <c r="Q704" s="142"/>
      <c r="T704" s="201"/>
      <c r="Z704" s="151"/>
      <c r="AB704" s="64"/>
      <c r="AC704" s="64"/>
      <c r="AD704" s="64"/>
      <c r="AE704" s="64"/>
      <c r="AF704" s="64"/>
      <c r="AG704" s="64"/>
      <c r="AH704" s="64"/>
      <c r="AI704" s="143"/>
      <c r="AJ704" s="134"/>
      <c r="AK704" s="194"/>
      <c r="AL704" s="90"/>
    </row>
    <row r="705" spans="1:38" ht="17.100000000000001" customHeight="1" x14ac:dyDescent="0.25">
      <c r="A705" s="197"/>
      <c r="G705" s="88"/>
      <c r="H705" s="182"/>
      <c r="L705" s="24"/>
      <c r="M705" s="24"/>
      <c r="N705" s="186"/>
      <c r="O705" s="190"/>
      <c r="P705" s="204"/>
      <c r="Q705" s="142"/>
      <c r="T705" s="201"/>
      <c r="Z705" s="151"/>
      <c r="AB705" s="64"/>
      <c r="AC705" s="64"/>
      <c r="AD705" s="64"/>
      <c r="AE705" s="64"/>
      <c r="AF705" s="64"/>
      <c r="AG705" s="64"/>
      <c r="AH705" s="64"/>
      <c r="AI705" s="143"/>
      <c r="AJ705" s="134"/>
      <c r="AK705" s="194"/>
      <c r="AL705" s="90"/>
    </row>
    <row r="706" spans="1:38" ht="17.100000000000001" customHeight="1" x14ac:dyDescent="0.25">
      <c r="A706" s="197"/>
      <c r="G706" s="88"/>
      <c r="H706" s="182"/>
      <c r="L706" s="24"/>
      <c r="M706" s="24"/>
      <c r="N706" s="186"/>
      <c r="O706" s="190"/>
      <c r="P706" s="204"/>
      <c r="Q706" s="142"/>
      <c r="T706" s="201"/>
      <c r="Z706" s="151"/>
      <c r="AB706" s="64"/>
      <c r="AC706" s="64"/>
      <c r="AD706" s="64"/>
      <c r="AE706" s="64"/>
      <c r="AF706" s="64"/>
      <c r="AG706" s="64"/>
      <c r="AH706" s="64"/>
      <c r="AI706" s="143"/>
      <c r="AJ706" s="134"/>
      <c r="AK706" s="194"/>
      <c r="AL706" s="90"/>
    </row>
    <row r="707" spans="1:38" ht="17.100000000000001" customHeight="1" x14ac:dyDescent="0.25">
      <c r="A707" s="197"/>
      <c r="G707" s="88"/>
      <c r="H707" s="182"/>
      <c r="L707" s="24"/>
      <c r="M707" s="24"/>
      <c r="N707" s="186"/>
      <c r="O707" s="190"/>
      <c r="P707" s="204"/>
      <c r="Q707" s="142"/>
      <c r="T707" s="201"/>
      <c r="Z707" s="151"/>
      <c r="AB707" s="64"/>
      <c r="AC707" s="64"/>
      <c r="AD707" s="64"/>
      <c r="AE707" s="64"/>
      <c r="AF707" s="64"/>
      <c r="AG707" s="64"/>
      <c r="AH707" s="64"/>
      <c r="AI707" s="143"/>
      <c r="AJ707" s="134"/>
      <c r="AK707" s="194"/>
      <c r="AL707" s="90"/>
    </row>
    <row r="708" spans="1:38" ht="17.100000000000001" customHeight="1" x14ac:dyDescent="0.25">
      <c r="A708" s="197"/>
      <c r="G708" s="88"/>
      <c r="H708" s="182"/>
      <c r="L708" s="24"/>
      <c r="M708" s="24"/>
      <c r="N708" s="186"/>
      <c r="O708" s="190"/>
      <c r="P708" s="204"/>
      <c r="Q708" s="142"/>
      <c r="T708" s="201"/>
      <c r="Z708" s="151"/>
      <c r="AB708" s="64"/>
      <c r="AC708" s="64"/>
      <c r="AD708" s="64"/>
      <c r="AE708" s="64"/>
      <c r="AF708" s="64"/>
      <c r="AG708" s="64"/>
      <c r="AH708" s="64"/>
      <c r="AI708" s="143"/>
      <c r="AJ708" s="134"/>
      <c r="AK708" s="194"/>
      <c r="AL708" s="90"/>
    </row>
    <row r="709" spans="1:38" ht="17.100000000000001" customHeight="1" x14ac:dyDescent="0.25">
      <c r="A709" s="197"/>
      <c r="G709" s="88"/>
      <c r="H709" s="182"/>
      <c r="L709" s="24"/>
      <c r="M709" s="24"/>
      <c r="N709" s="186"/>
      <c r="O709" s="190"/>
      <c r="P709" s="204"/>
      <c r="Q709" s="142"/>
      <c r="T709" s="201"/>
      <c r="Z709" s="151"/>
      <c r="AB709" s="64"/>
      <c r="AC709" s="64"/>
      <c r="AD709" s="64"/>
      <c r="AE709" s="64"/>
      <c r="AF709" s="64"/>
      <c r="AG709" s="64"/>
      <c r="AH709" s="64"/>
      <c r="AI709" s="143"/>
      <c r="AJ709" s="134"/>
      <c r="AK709" s="194"/>
      <c r="AL709" s="90"/>
    </row>
    <row r="710" spans="1:38" ht="17.100000000000001" customHeight="1" x14ac:dyDescent="0.25">
      <c r="A710" s="197"/>
      <c r="G710" s="88"/>
      <c r="H710" s="182"/>
      <c r="L710" s="24"/>
      <c r="M710" s="24"/>
      <c r="N710" s="186"/>
      <c r="O710" s="190"/>
      <c r="P710" s="204"/>
      <c r="Q710" s="142"/>
      <c r="T710" s="201"/>
      <c r="Z710" s="151"/>
      <c r="AB710" s="64"/>
      <c r="AC710" s="64"/>
      <c r="AD710" s="64"/>
      <c r="AE710" s="64"/>
      <c r="AF710" s="64"/>
      <c r="AG710" s="64"/>
      <c r="AH710" s="64"/>
      <c r="AI710" s="143"/>
      <c r="AJ710" s="134"/>
      <c r="AK710" s="194"/>
      <c r="AL710" s="90"/>
    </row>
    <row r="711" spans="1:38" ht="17.100000000000001" customHeight="1" x14ac:dyDescent="0.25">
      <c r="A711" s="197"/>
      <c r="G711" s="88"/>
      <c r="H711" s="182"/>
      <c r="L711" s="24"/>
      <c r="M711" s="24"/>
      <c r="N711" s="186"/>
      <c r="O711" s="190"/>
      <c r="P711" s="204"/>
      <c r="Q711" s="142"/>
      <c r="T711" s="201"/>
      <c r="Z711" s="151"/>
      <c r="AB711" s="64"/>
      <c r="AC711" s="64"/>
      <c r="AD711" s="64"/>
      <c r="AE711" s="64"/>
      <c r="AF711" s="64"/>
      <c r="AG711" s="64"/>
      <c r="AH711" s="64"/>
      <c r="AI711" s="143"/>
      <c r="AJ711" s="134"/>
      <c r="AK711" s="194"/>
      <c r="AL711" s="90"/>
    </row>
    <row r="712" spans="1:38" ht="17.100000000000001" customHeight="1" x14ac:dyDescent="0.25">
      <c r="A712" s="197"/>
      <c r="G712" s="88"/>
      <c r="H712" s="182"/>
      <c r="L712" s="24"/>
      <c r="M712" s="24"/>
      <c r="N712" s="186"/>
      <c r="O712" s="190"/>
      <c r="P712" s="204"/>
      <c r="Q712" s="142"/>
      <c r="T712" s="201"/>
      <c r="Z712" s="151"/>
      <c r="AB712" s="64"/>
      <c r="AC712" s="64"/>
      <c r="AD712" s="64"/>
      <c r="AE712" s="64"/>
      <c r="AF712" s="64"/>
      <c r="AG712" s="64"/>
      <c r="AH712" s="64"/>
      <c r="AI712" s="143"/>
      <c r="AJ712" s="134"/>
      <c r="AK712" s="194"/>
      <c r="AL712" s="90"/>
    </row>
    <row r="713" spans="1:38" ht="17.100000000000001" customHeight="1" x14ac:dyDescent="0.25">
      <c r="A713" s="197"/>
      <c r="G713" s="88"/>
      <c r="H713" s="182"/>
      <c r="L713" s="24"/>
      <c r="M713" s="24"/>
      <c r="N713" s="186"/>
      <c r="O713" s="190"/>
      <c r="P713" s="204"/>
      <c r="Q713" s="142"/>
      <c r="T713" s="201"/>
      <c r="Z713" s="151"/>
      <c r="AB713" s="64"/>
      <c r="AC713" s="64"/>
      <c r="AD713" s="64"/>
      <c r="AE713" s="64"/>
      <c r="AF713" s="64"/>
      <c r="AG713" s="64"/>
      <c r="AH713" s="64"/>
      <c r="AI713" s="143"/>
      <c r="AJ713" s="134"/>
      <c r="AK713" s="194"/>
      <c r="AL713" s="90"/>
    </row>
    <row r="714" spans="1:38" ht="17.100000000000001" customHeight="1" x14ac:dyDescent="0.25">
      <c r="A714" s="197"/>
      <c r="G714" s="88"/>
      <c r="H714" s="182"/>
      <c r="L714" s="24"/>
      <c r="M714" s="24"/>
      <c r="N714" s="186"/>
      <c r="O714" s="190"/>
      <c r="P714" s="204"/>
      <c r="Q714" s="142"/>
      <c r="T714" s="201"/>
      <c r="Z714" s="151"/>
      <c r="AB714" s="64"/>
      <c r="AC714" s="64"/>
      <c r="AD714" s="64"/>
      <c r="AE714" s="64"/>
      <c r="AF714" s="64"/>
      <c r="AG714" s="64"/>
      <c r="AH714" s="64"/>
      <c r="AI714" s="143"/>
      <c r="AJ714" s="134"/>
      <c r="AK714" s="194"/>
      <c r="AL714" s="90"/>
    </row>
    <row r="715" spans="1:38" ht="17.100000000000001" customHeight="1" x14ac:dyDescent="0.25">
      <c r="A715" s="197"/>
      <c r="G715" s="88"/>
      <c r="H715" s="182"/>
      <c r="L715" s="24"/>
      <c r="M715" s="24"/>
      <c r="N715" s="186"/>
      <c r="O715" s="190"/>
      <c r="P715" s="204"/>
      <c r="Q715" s="142"/>
      <c r="T715" s="201"/>
      <c r="Z715" s="151"/>
      <c r="AB715" s="64"/>
      <c r="AC715" s="64"/>
      <c r="AD715" s="64"/>
      <c r="AE715" s="64"/>
      <c r="AF715" s="64"/>
      <c r="AG715" s="64"/>
      <c r="AH715" s="64"/>
      <c r="AI715" s="143"/>
      <c r="AJ715" s="134"/>
      <c r="AK715" s="194"/>
      <c r="AL715" s="90"/>
    </row>
    <row r="716" spans="1:38" ht="17.100000000000001" customHeight="1" x14ac:dyDescent="0.25">
      <c r="A716" s="197"/>
      <c r="G716" s="88"/>
      <c r="H716" s="182"/>
      <c r="L716" s="24"/>
      <c r="M716" s="24"/>
      <c r="N716" s="186"/>
      <c r="O716" s="190"/>
      <c r="P716" s="204"/>
      <c r="Q716" s="142"/>
      <c r="T716" s="201"/>
      <c r="Z716" s="151"/>
      <c r="AB716" s="64"/>
      <c r="AC716" s="64"/>
      <c r="AD716" s="64"/>
      <c r="AE716" s="64"/>
      <c r="AF716" s="64"/>
      <c r="AG716" s="64"/>
      <c r="AH716" s="64"/>
      <c r="AI716" s="143"/>
      <c r="AJ716" s="134"/>
      <c r="AK716" s="194"/>
      <c r="AL716" s="90"/>
    </row>
    <row r="717" spans="1:38" ht="17.100000000000001" customHeight="1" x14ac:dyDescent="0.25">
      <c r="A717" s="197"/>
      <c r="G717" s="88"/>
      <c r="H717" s="182"/>
      <c r="L717" s="24"/>
      <c r="M717" s="24"/>
      <c r="N717" s="186"/>
      <c r="O717" s="190"/>
      <c r="P717" s="204"/>
      <c r="Q717" s="142"/>
      <c r="T717" s="201"/>
      <c r="Z717" s="151"/>
      <c r="AB717" s="64"/>
      <c r="AC717" s="64"/>
      <c r="AD717" s="64"/>
      <c r="AE717" s="64"/>
      <c r="AF717" s="64"/>
      <c r="AG717" s="64"/>
      <c r="AH717" s="64"/>
      <c r="AI717" s="143"/>
      <c r="AJ717" s="134"/>
      <c r="AK717" s="194"/>
      <c r="AL717" s="90"/>
    </row>
    <row r="718" spans="1:38" ht="17.100000000000001" customHeight="1" x14ac:dyDescent="0.25">
      <c r="A718" s="197"/>
      <c r="G718" s="88"/>
      <c r="H718" s="182"/>
      <c r="L718" s="24"/>
      <c r="M718" s="24"/>
      <c r="N718" s="186"/>
      <c r="O718" s="190"/>
      <c r="P718" s="204"/>
      <c r="Q718" s="142"/>
      <c r="T718" s="201"/>
      <c r="Z718" s="151"/>
      <c r="AB718" s="64"/>
      <c r="AC718" s="64"/>
      <c r="AD718" s="64"/>
      <c r="AE718" s="64"/>
      <c r="AF718" s="64"/>
      <c r="AG718" s="64"/>
      <c r="AH718" s="64"/>
      <c r="AI718" s="143"/>
      <c r="AJ718" s="134"/>
      <c r="AK718" s="194"/>
      <c r="AL718" s="90"/>
    </row>
    <row r="719" spans="1:38" ht="17.100000000000001" customHeight="1" thickBot="1" x14ac:dyDescent="0.3">
      <c r="A719" s="197"/>
      <c r="G719" s="88"/>
      <c r="H719" s="182"/>
      <c r="L719" s="24"/>
      <c r="M719" s="24"/>
      <c r="N719" s="186"/>
      <c r="O719" s="190"/>
      <c r="P719" s="204"/>
      <c r="Q719" s="142"/>
      <c r="T719" s="201"/>
      <c r="Z719" s="151"/>
      <c r="AB719" s="64"/>
      <c r="AC719" s="64"/>
      <c r="AD719" s="64"/>
      <c r="AE719" s="64"/>
      <c r="AF719" s="64"/>
      <c r="AG719" s="64"/>
      <c r="AH719" s="64"/>
      <c r="AI719" s="143"/>
      <c r="AJ719" s="134"/>
      <c r="AK719" s="194"/>
      <c r="AL719" s="90"/>
    </row>
    <row r="720" spans="1:38" ht="17.100000000000001" customHeight="1" x14ac:dyDescent="0.25">
      <c r="A720" s="198"/>
      <c r="B720" s="153"/>
      <c r="C720" s="154"/>
      <c r="D720" s="154"/>
      <c r="E720" s="154"/>
      <c r="F720" s="154"/>
      <c r="G720" s="155"/>
      <c r="H720" s="183"/>
      <c r="I720" s="156"/>
      <c r="J720" s="157"/>
      <c r="K720" s="158"/>
      <c r="L720" s="158"/>
      <c r="M720" s="158"/>
      <c r="N720" s="187"/>
      <c r="O720" s="191"/>
      <c r="P720" s="205"/>
      <c r="Q720" s="159"/>
      <c r="R720" s="160"/>
      <c r="S720" s="158"/>
      <c r="T720" s="202"/>
      <c r="U720" s="161"/>
      <c r="V720" s="156"/>
      <c r="W720" s="162"/>
      <c r="X720" s="156"/>
      <c r="Y720" s="158"/>
      <c r="Z720" s="163"/>
      <c r="AA720" s="156"/>
      <c r="AB720" s="164"/>
      <c r="AC720" s="164"/>
      <c r="AD720" s="164"/>
      <c r="AE720" s="164"/>
      <c r="AF720" s="164"/>
      <c r="AG720" s="164"/>
      <c r="AH720" s="164"/>
      <c r="AI720" s="165"/>
      <c r="AJ720" s="134"/>
      <c r="AK720" s="195"/>
      <c r="AL720" s="170"/>
    </row>
    <row r="721" spans="1:38" ht="17.100000000000001" customHeight="1" x14ac:dyDescent="0.25">
      <c r="A721" s="197"/>
      <c r="G721" s="88"/>
      <c r="H721" s="182"/>
      <c r="L721" s="24"/>
      <c r="M721" s="24"/>
      <c r="N721" s="186"/>
      <c r="O721" s="190"/>
      <c r="P721" s="204"/>
      <c r="Q721" s="142"/>
      <c r="T721" s="201"/>
      <c r="Z721" s="151"/>
      <c r="AB721" s="64"/>
      <c r="AC721" s="64"/>
      <c r="AD721" s="64"/>
      <c r="AE721" s="64"/>
      <c r="AF721" s="64"/>
      <c r="AG721" s="64"/>
      <c r="AH721" s="64"/>
      <c r="AI721" s="143"/>
      <c r="AJ721" s="134"/>
      <c r="AK721" s="194"/>
      <c r="AL721" s="90"/>
    </row>
    <row r="722" spans="1:38" ht="17.100000000000001" customHeight="1" x14ac:dyDescent="0.25">
      <c r="A722" s="197"/>
      <c r="G722" s="88"/>
      <c r="H722" s="182"/>
      <c r="L722" s="24"/>
      <c r="M722" s="24"/>
      <c r="N722" s="186"/>
      <c r="O722" s="190"/>
      <c r="P722" s="204"/>
      <c r="Q722" s="142"/>
      <c r="T722" s="201"/>
      <c r="Z722" s="151"/>
      <c r="AB722" s="64"/>
      <c r="AC722" s="64"/>
      <c r="AD722" s="64"/>
      <c r="AE722" s="64"/>
      <c r="AF722" s="64"/>
      <c r="AG722" s="64"/>
      <c r="AH722" s="64"/>
      <c r="AI722" s="143"/>
      <c r="AJ722" s="134"/>
      <c r="AK722" s="194"/>
      <c r="AL722" s="90"/>
    </row>
    <row r="723" spans="1:38" ht="17.100000000000001" customHeight="1" x14ac:dyDescent="0.25">
      <c r="A723" s="197"/>
      <c r="G723" s="88"/>
      <c r="H723" s="182"/>
      <c r="L723" s="24"/>
      <c r="M723" s="24"/>
      <c r="N723" s="186"/>
      <c r="O723" s="190"/>
      <c r="P723" s="204"/>
      <c r="Q723" s="142"/>
      <c r="T723" s="201"/>
      <c r="Z723" s="151"/>
      <c r="AB723" s="64"/>
      <c r="AC723" s="64"/>
      <c r="AD723" s="64"/>
      <c r="AE723" s="64"/>
      <c r="AF723" s="64"/>
      <c r="AG723" s="64"/>
      <c r="AH723" s="64"/>
      <c r="AI723" s="143"/>
      <c r="AJ723" s="134"/>
      <c r="AK723" s="194"/>
      <c r="AL723" s="90"/>
    </row>
    <row r="724" spans="1:38" ht="17.100000000000001" customHeight="1" x14ac:dyDescent="0.25">
      <c r="A724" s="197"/>
      <c r="G724" s="88"/>
      <c r="H724" s="182"/>
      <c r="L724" s="24"/>
      <c r="M724" s="24"/>
      <c r="N724" s="186"/>
      <c r="O724" s="190"/>
      <c r="P724" s="204"/>
      <c r="Q724" s="142"/>
      <c r="T724" s="201"/>
      <c r="Z724" s="151"/>
      <c r="AB724" s="64"/>
      <c r="AC724" s="64"/>
      <c r="AD724" s="64"/>
      <c r="AE724" s="64"/>
      <c r="AF724" s="64"/>
      <c r="AG724" s="64"/>
      <c r="AH724" s="64"/>
      <c r="AI724" s="143"/>
      <c r="AJ724" s="134"/>
      <c r="AK724" s="194"/>
      <c r="AL724" s="90"/>
    </row>
    <row r="725" spans="1:38" ht="17.100000000000001" customHeight="1" x14ac:dyDescent="0.25">
      <c r="A725" s="197"/>
      <c r="G725" s="88"/>
      <c r="H725" s="182"/>
      <c r="L725" s="24"/>
      <c r="M725" s="24"/>
      <c r="N725" s="186"/>
      <c r="O725" s="190"/>
      <c r="P725" s="204"/>
      <c r="Q725" s="142"/>
      <c r="T725" s="201"/>
      <c r="Z725" s="151"/>
      <c r="AB725" s="64"/>
      <c r="AC725" s="64"/>
      <c r="AD725" s="64"/>
      <c r="AE725" s="64"/>
      <c r="AF725" s="64"/>
      <c r="AG725" s="64"/>
      <c r="AH725" s="64"/>
      <c r="AI725" s="143"/>
      <c r="AJ725" s="134"/>
      <c r="AK725" s="194"/>
      <c r="AL725" s="90"/>
    </row>
    <row r="726" spans="1:38" ht="17.100000000000001" customHeight="1" x14ac:dyDescent="0.25">
      <c r="A726" s="197"/>
      <c r="G726" s="88"/>
      <c r="H726" s="182"/>
      <c r="L726" s="24"/>
      <c r="M726" s="24"/>
      <c r="N726" s="186"/>
      <c r="O726" s="190"/>
      <c r="P726" s="204"/>
      <c r="Q726" s="142"/>
      <c r="T726" s="201"/>
      <c r="Z726" s="151"/>
      <c r="AB726" s="64"/>
      <c r="AC726" s="64"/>
      <c r="AD726" s="64"/>
      <c r="AE726" s="64"/>
      <c r="AF726" s="64"/>
      <c r="AG726" s="64"/>
      <c r="AH726" s="64"/>
      <c r="AI726" s="143"/>
      <c r="AJ726" s="134"/>
      <c r="AK726" s="194"/>
      <c r="AL726" s="90"/>
    </row>
    <row r="727" spans="1:38" ht="17.100000000000001" customHeight="1" x14ac:dyDescent="0.25">
      <c r="A727" s="197"/>
      <c r="G727" s="88"/>
      <c r="H727" s="182"/>
      <c r="L727" s="24"/>
      <c r="M727" s="24"/>
      <c r="N727" s="186"/>
      <c r="O727" s="190"/>
      <c r="P727" s="204"/>
      <c r="Q727" s="142"/>
      <c r="T727" s="201"/>
      <c r="Z727" s="151"/>
      <c r="AB727" s="64"/>
      <c r="AC727" s="64"/>
      <c r="AD727" s="64"/>
      <c r="AE727" s="64"/>
      <c r="AF727" s="64"/>
      <c r="AG727" s="64"/>
      <c r="AH727" s="64"/>
      <c r="AI727" s="143"/>
      <c r="AJ727" s="134"/>
      <c r="AK727" s="194"/>
      <c r="AL727" s="90"/>
    </row>
    <row r="728" spans="1:38" ht="17.100000000000001" customHeight="1" x14ac:dyDescent="0.25">
      <c r="A728" s="197"/>
      <c r="G728" s="88"/>
      <c r="H728" s="182"/>
      <c r="L728" s="24"/>
      <c r="M728" s="24"/>
      <c r="N728" s="186"/>
      <c r="O728" s="190"/>
      <c r="P728" s="204"/>
      <c r="Q728" s="142"/>
      <c r="T728" s="201"/>
      <c r="Z728" s="151"/>
      <c r="AB728" s="64"/>
      <c r="AC728" s="64"/>
      <c r="AD728" s="64"/>
      <c r="AE728" s="64"/>
      <c r="AF728" s="64"/>
      <c r="AG728" s="64"/>
      <c r="AH728" s="64"/>
      <c r="AI728" s="143"/>
      <c r="AJ728" s="134"/>
      <c r="AK728" s="194"/>
      <c r="AL728" s="90"/>
    </row>
    <row r="729" spans="1:38" ht="17.100000000000001" customHeight="1" x14ac:dyDescent="0.25">
      <c r="A729" s="197"/>
      <c r="G729" s="88"/>
      <c r="H729" s="182"/>
      <c r="L729" s="24"/>
      <c r="M729" s="24"/>
      <c r="N729" s="186"/>
      <c r="O729" s="190"/>
      <c r="P729" s="204"/>
      <c r="Q729" s="142"/>
      <c r="T729" s="201"/>
      <c r="Z729" s="151"/>
      <c r="AB729" s="64"/>
      <c r="AC729" s="64"/>
      <c r="AD729" s="64"/>
      <c r="AE729" s="64"/>
      <c r="AF729" s="64"/>
      <c r="AG729" s="64"/>
      <c r="AH729" s="64"/>
      <c r="AI729" s="143"/>
      <c r="AJ729" s="134"/>
      <c r="AK729" s="194"/>
      <c r="AL729" s="90"/>
    </row>
    <row r="730" spans="1:38" ht="17.100000000000001" customHeight="1" x14ac:dyDescent="0.25">
      <c r="A730" s="197"/>
      <c r="G730" s="88"/>
      <c r="H730" s="182"/>
      <c r="L730" s="24"/>
      <c r="M730" s="24"/>
      <c r="N730" s="186"/>
      <c r="O730" s="190"/>
      <c r="P730" s="204"/>
      <c r="Q730" s="142"/>
      <c r="T730" s="201"/>
      <c r="Z730" s="151"/>
      <c r="AB730" s="64"/>
      <c r="AC730" s="64"/>
      <c r="AD730" s="64"/>
      <c r="AE730" s="64"/>
      <c r="AF730" s="64"/>
      <c r="AG730" s="64"/>
      <c r="AH730" s="64"/>
      <c r="AI730" s="143"/>
      <c r="AJ730" s="134"/>
      <c r="AK730" s="194"/>
      <c r="AL730" s="90"/>
    </row>
    <row r="731" spans="1:38" ht="17.100000000000001" customHeight="1" x14ac:dyDescent="0.25">
      <c r="A731" s="197"/>
      <c r="G731" s="88"/>
      <c r="H731" s="182"/>
      <c r="L731" s="24"/>
      <c r="M731" s="24"/>
      <c r="N731" s="186"/>
      <c r="O731" s="190"/>
      <c r="P731" s="204"/>
      <c r="Q731" s="142"/>
      <c r="T731" s="201"/>
      <c r="Z731" s="151"/>
      <c r="AB731" s="64"/>
      <c r="AC731" s="64"/>
      <c r="AD731" s="64"/>
      <c r="AE731" s="64"/>
      <c r="AF731" s="64"/>
      <c r="AG731" s="64"/>
      <c r="AH731" s="64"/>
      <c r="AI731" s="143"/>
      <c r="AJ731" s="134"/>
      <c r="AK731" s="194"/>
      <c r="AL731" s="90"/>
    </row>
    <row r="732" spans="1:38" ht="17.100000000000001" customHeight="1" x14ac:dyDescent="0.25">
      <c r="A732" s="197"/>
      <c r="G732" s="88"/>
      <c r="H732" s="182"/>
      <c r="L732" s="24"/>
      <c r="M732" s="24"/>
      <c r="N732" s="186"/>
      <c r="O732" s="190"/>
      <c r="P732" s="204"/>
      <c r="Q732" s="142"/>
      <c r="T732" s="201"/>
      <c r="Z732" s="151"/>
      <c r="AB732" s="64"/>
      <c r="AC732" s="64"/>
      <c r="AD732" s="64"/>
      <c r="AE732" s="64"/>
      <c r="AF732" s="64"/>
      <c r="AG732" s="64"/>
      <c r="AH732" s="64"/>
      <c r="AI732" s="143"/>
      <c r="AJ732" s="134"/>
      <c r="AK732" s="194"/>
      <c r="AL732" s="90"/>
    </row>
    <row r="733" spans="1:38" ht="17.100000000000001" customHeight="1" x14ac:dyDescent="0.25">
      <c r="A733" s="197"/>
      <c r="G733" s="88"/>
      <c r="H733" s="182"/>
      <c r="L733" s="24"/>
      <c r="M733" s="24"/>
      <c r="N733" s="186"/>
      <c r="O733" s="190"/>
      <c r="P733" s="204"/>
      <c r="Q733" s="142"/>
      <c r="T733" s="201"/>
      <c r="Z733" s="151"/>
      <c r="AB733" s="64"/>
      <c r="AC733" s="64"/>
      <c r="AD733" s="64"/>
      <c r="AE733" s="64"/>
      <c r="AF733" s="64"/>
      <c r="AG733" s="64"/>
      <c r="AH733" s="64"/>
      <c r="AI733" s="143"/>
      <c r="AJ733" s="134"/>
      <c r="AK733" s="194"/>
      <c r="AL733" s="90"/>
    </row>
    <row r="734" spans="1:38" ht="17.100000000000001" customHeight="1" x14ac:dyDescent="0.25">
      <c r="A734" s="197"/>
      <c r="G734" s="88"/>
      <c r="H734" s="182"/>
      <c r="L734" s="24"/>
      <c r="M734" s="24"/>
      <c r="N734" s="186"/>
      <c r="O734" s="190"/>
      <c r="P734" s="204"/>
      <c r="Q734" s="142"/>
      <c r="T734" s="201"/>
      <c r="Z734" s="151"/>
      <c r="AB734" s="64"/>
      <c r="AC734" s="64"/>
      <c r="AD734" s="64"/>
      <c r="AE734" s="64"/>
      <c r="AF734" s="64"/>
      <c r="AG734" s="64"/>
      <c r="AH734" s="64"/>
      <c r="AI734" s="143"/>
      <c r="AJ734" s="134"/>
      <c r="AK734" s="194"/>
      <c r="AL734" s="90"/>
    </row>
    <row r="735" spans="1:38" ht="17.100000000000001" customHeight="1" x14ac:dyDescent="0.25">
      <c r="A735" s="197"/>
      <c r="G735" s="88"/>
      <c r="H735" s="182"/>
      <c r="L735" s="24"/>
      <c r="M735" s="24"/>
      <c r="N735" s="186"/>
      <c r="O735" s="190"/>
      <c r="P735" s="204"/>
      <c r="Q735" s="142"/>
      <c r="T735" s="201"/>
      <c r="Z735" s="151"/>
      <c r="AB735" s="64"/>
      <c r="AC735" s="64"/>
      <c r="AD735" s="64"/>
      <c r="AE735" s="64"/>
      <c r="AF735" s="64"/>
      <c r="AG735" s="64"/>
      <c r="AH735" s="64"/>
      <c r="AI735" s="143"/>
      <c r="AJ735" s="134"/>
      <c r="AK735" s="194"/>
      <c r="AL735" s="90"/>
    </row>
    <row r="736" spans="1:38" ht="17.100000000000001" customHeight="1" x14ac:dyDescent="0.25">
      <c r="A736" s="197"/>
      <c r="G736" s="88"/>
      <c r="H736" s="182"/>
      <c r="L736" s="24"/>
      <c r="M736" s="24"/>
      <c r="N736" s="186"/>
      <c r="O736" s="190"/>
      <c r="P736" s="204"/>
      <c r="Q736" s="142"/>
      <c r="T736" s="201"/>
      <c r="Z736" s="151"/>
      <c r="AB736" s="64"/>
      <c r="AC736" s="64"/>
      <c r="AD736" s="64"/>
      <c r="AE736" s="64"/>
      <c r="AF736" s="64"/>
      <c r="AG736" s="64"/>
      <c r="AH736" s="64"/>
      <c r="AI736" s="143"/>
      <c r="AJ736" s="134"/>
      <c r="AK736" s="194"/>
      <c r="AL736" s="90"/>
    </row>
    <row r="737" spans="1:38" ht="17.100000000000001" customHeight="1" x14ac:dyDescent="0.25">
      <c r="A737" s="197"/>
      <c r="G737" s="88"/>
      <c r="H737" s="182"/>
      <c r="L737" s="24"/>
      <c r="M737" s="24"/>
      <c r="N737" s="186"/>
      <c r="O737" s="190"/>
      <c r="P737" s="204"/>
      <c r="Q737" s="142"/>
      <c r="T737" s="201"/>
      <c r="Z737" s="151"/>
      <c r="AB737" s="64"/>
      <c r="AC737" s="64"/>
      <c r="AD737" s="64"/>
      <c r="AE737" s="64"/>
      <c r="AF737" s="64"/>
      <c r="AG737" s="64"/>
      <c r="AH737" s="64"/>
      <c r="AI737" s="143"/>
      <c r="AJ737" s="134"/>
      <c r="AK737" s="194"/>
      <c r="AL737" s="90"/>
    </row>
    <row r="738" spans="1:38" ht="17.100000000000001" customHeight="1" x14ac:dyDescent="0.25">
      <c r="A738" s="197"/>
      <c r="G738" s="88"/>
      <c r="H738" s="182"/>
      <c r="L738" s="24"/>
      <c r="M738" s="24"/>
      <c r="N738" s="186"/>
      <c r="O738" s="190"/>
      <c r="P738" s="204"/>
      <c r="Q738" s="142"/>
      <c r="T738" s="201"/>
      <c r="Z738" s="151"/>
      <c r="AB738" s="64"/>
      <c r="AC738" s="64"/>
      <c r="AD738" s="64"/>
      <c r="AE738" s="64"/>
      <c r="AF738" s="64"/>
      <c r="AG738" s="64"/>
      <c r="AH738" s="64"/>
      <c r="AI738" s="143"/>
      <c r="AJ738" s="134"/>
      <c r="AK738" s="194"/>
      <c r="AL738" s="90"/>
    </row>
    <row r="739" spans="1:38" ht="17.100000000000001" customHeight="1" x14ac:dyDescent="0.25">
      <c r="A739" s="197"/>
      <c r="G739" s="88"/>
      <c r="H739" s="182"/>
      <c r="L739" s="24"/>
      <c r="M739" s="24"/>
      <c r="N739" s="186"/>
      <c r="O739" s="190"/>
      <c r="P739" s="204"/>
      <c r="Q739" s="142"/>
      <c r="T739" s="201"/>
      <c r="Z739" s="151"/>
      <c r="AB739" s="64"/>
      <c r="AC739" s="64"/>
      <c r="AD739" s="64"/>
      <c r="AE739" s="64"/>
      <c r="AF739" s="64"/>
      <c r="AG739" s="64"/>
      <c r="AH739" s="64"/>
      <c r="AI739" s="143"/>
      <c r="AJ739" s="134"/>
      <c r="AK739" s="194"/>
      <c r="AL739" s="90"/>
    </row>
    <row r="740" spans="1:38" ht="17.100000000000001" customHeight="1" x14ac:dyDescent="0.25">
      <c r="A740" s="197"/>
      <c r="G740" s="88"/>
      <c r="H740" s="182"/>
      <c r="L740" s="24"/>
      <c r="M740" s="24"/>
      <c r="N740" s="186"/>
      <c r="O740" s="190"/>
      <c r="P740" s="204"/>
      <c r="Q740" s="142"/>
      <c r="T740" s="201"/>
      <c r="Z740" s="151"/>
      <c r="AB740" s="64"/>
      <c r="AC740" s="64"/>
      <c r="AD740" s="64"/>
      <c r="AE740" s="64"/>
      <c r="AF740" s="64"/>
      <c r="AG740" s="64"/>
      <c r="AH740" s="64"/>
      <c r="AI740" s="143"/>
      <c r="AJ740" s="134"/>
      <c r="AK740" s="194"/>
      <c r="AL740" s="90"/>
    </row>
    <row r="741" spans="1:38" ht="17.100000000000001" customHeight="1" x14ac:dyDescent="0.25">
      <c r="A741" s="197"/>
      <c r="G741" s="88"/>
      <c r="H741" s="182"/>
      <c r="L741" s="24"/>
      <c r="M741" s="24"/>
      <c r="N741" s="186"/>
      <c r="O741" s="190"/>
      <c r="P741" s="204"/>
      <c r="Q741" s="142"/>
      <c r="T741" s="201"/>
      <c r="Z741" s="151"/>
      <c r="AB741" s="64"/>
      <c r="AC741" s="64"/>
      <c r="AD741" s="64"/>
      <c r="AE741" s="64"/>
      <c r="AF741" s="64"/>
      <c r="AG741" s="64"/>
      <c r="AH741" s="64"/>
      <c r="AI741" s="143"/>
      <c r="AJ741" s="134"/>
      <c r="AK741" s="194"/>
      <c r="AL741" s="90"/>
    </row>
    <row r="742" spans="1:38" ht="17.100000000000001" customHeight="1" x14ac:dyDescent="0.25">
      <c r="A742" s="197"/>
      <c r="G742" s="88"/>
      <c r="H742" s="182"/>
      <c r="L742" s="24"/>
      <c r="M742" s="24"/>
      <c r="N742" s="186"/>
      <c r="O742" s="190"/>
      <c r="P742" s="204"/>
      <c r="Q742" s="142"/>
      <c r="T742" s="201"/>
      <c r="Z742" s="151"/>
      <c r="AB742" s="64"/>
      <c r="AC742" s="64"/>
      <c r="AD742" s="64"/>
      <c r="AE742" s="64"/>
      <c r="AF742" s="64"/>
      <c r="AG742" s="64"/>
      <c r="AH742" s="64"/>
      <c r="AI742" s="143"/>
      <c r="AJ742" s="134"/>
      <c r="AK742" s="194"/>
      <c r="AL742" s="90"/>
    </row>
    <row r="743" spans="1:38" ht="17.100000000000001" customHeight="1" x14ac:dyDescent="0.25">
      <c r="A743" s="197"/>
      <c r="G743" s="88"/>
      <c r="H743" s="182"/>
      <c r="L743" s="24"/>
      <c r="M743" s="24"/>
      <c r="N743" s="186"/>
      <c r="O743" s="190"/>
      <c r="P743" s="204"/>
      <c r="Q743" s="142"/>
      <c r="T743" s="201"/>
      <c r="Z743" s="151"/>
      <c r="AB743" s="64"/>
      <c r="AC743" s="64"/>
      <c r="AD743" s="64"/>
      <c r="AE743" s="64"/>
      <c r="AF743" s="64"/>
      <c r="AG743" s="64"/>
      <c r="AH743" s="64"/>
      <c r="AI743" s="143"/>
      <c r="AJ743" s="134"/>
      <c r="AK743" s="194"/>
      <c r="AL743" s="90"/>
    </row>
    <row r="744" spans="1:38" ht="17.100000000000001" customHeight="1" x14ac:dyDescent="0.25">
      <c r="A744" s="197"/>
      <c r="G744" s="88"/>
      <c r="H744" s="182"/>
      <c r="L744" s="24"/>
      <c r="M744" s="24"/>
      <c r="N744" s="186"/>
      <c r="O744" s="190"/>
      <c r="P744" s="204"/>
      <c r="Q744" s="142"/>
      <c r="T744" s="201"/>
      <c r="Z744" s="151"/>
      <c r="AB744" s="64"/>
      <c r="AC744" s="64"/>
      <c r="AD744" s="64"/>
      <c r="AE744" s="64"/>
      <c r="AF744" s="64"/>
      <c r="AG744" s="64"/>
      <c r="AH744" s="64"/>
      <c r="AI744" s="143"/>
      <c r="AJ744" s="134"/>
      <c r="AK744" s="194"/>
      <c r="AL744" s="90"/>
    </row>
    <row r="745" spans="1:38" ht="17.100000000000001" customHeight="1" x14ac:dyDescent="0.25">
      <c r="A745" s="197"/>
      <c r="G745" s="88"/>
      <c r="H745" s="182"/>
      <c r="L745" s="24"/>
      <c r="M745" s="24"/>
      <c r="N745" s="186"/>
      <c r="O745" s="190"/>
      <c r="P745" s="204"/>
      <c r="Q745" s="142"/>
      <c r="T745" s="201"/>
      <c r="Z745" s="151"/>
      <c r="AB745" s="64"/>
      <c r="AC745" s="64"/>
      <c r="AD745" s="64"/>
      <c r="AE745" s="64"/>
      <c r="AF745" s="64"/>
      <c r="AG745" s="64"/>
      <c r="AH745" s="64"/>
      <c r="AI745" s="143"/>
      <c r="AJ745" s="134"/>
      <c r="AK745" s="194"/>
      <c r="AL745" s="90"/>
    </row>
    <row r="746" spans="1:38" ht="17.100000000000001" customHeight="1" x14ac:dyDescent="0.25">
      <c r="A746" s="197"/>
      <c r="G746" s="88"/>
      <c r="H746" s="182"/>
      <c r="L746" s="24"/>
      <c r="M746" s="24"/>
      <c r="N746" s="186"/>
      <c r="O746" s="190"/>
      <c r="P746" s="204"/>
      <c r="Q746" s="142"/>
      <c r="T746" s="201"/>
      <c r="Z746" s="151"/>
      <c r="AB746" s="64"/>
      <c r="AC746" s="64"/>
      <c r="AD746" s="64"/>
      <c r="AE746" s="64"/>
      <c r="AF746" s="64"/>
      <c r="AG746" s="64"/>
      <c r="AH746" s="64"/>
      <c r="AI746" s="143"/>
      <c r="AJ746" s="134"/>
      <c r="AK746" s="194"/>
      <c r="AL746" s="90"/>
    </row>
    <row r="747" spans="1:38" ht="17.100000000000001" customHeight="1" x14ac:dyDescent="0.25">
      <c r="A747" s="197"/>
      <c r="G747" s="88"/>
      <c r="H747" s="182"/>
      <c r="L747" s="24"/>
      <c r="M747" s="24"/>
      <c r="N747" s="186"/>
      <c r="O747" s="190"/>
      <c r="P747" s="204"/>
      <c r="Q747" s="142"/>
      <c r="T747" s="201"/>
      <c r="Z747" s="151"/>
      <c r="AB747" s="64"/>
      <c r="AC747" s="64"/>
      <c r="AD747" s="64"/>
      <c r="AE747" s="64"/>
      <c r="AF747" s="64"/>
      <c r="AG747" s="64"/>
      <c r="AH747" s="64"/>
      <c r="AI747" s="143"/>
      <c r="AJ747" s="134"/>
      <c r="AK747" s="194"/>
      <c r="AL747" s="90"/>
    </row>
    <row r="748" spans="1:38" ht="17.100000000000001" customHeight="1" x14ac:dyDescent="0.25">
      <c r="A748" s="197"/>
      <c r="G748" s="88"/>
      <c r="H748" s="182"/>
      <c r="L748" s="24"/>
      <c r="M748" s="24"/>
      <c r="N748" s="186"/>
      <c r="O748" s="190"/>
      <c r="P748" s="204"/>
      <c r="Q748" s="142"/>
      <c r="T748" s="201"/>
      <c r="Z748" s="151"/>
      <c r="AB748" s="64"/>
      <c r="AC748" s="64"/>
      <c r="AD748" s="64"/>
      <c r="AE748" s="64"/>
      <c r="AF748" s="64"/>
      <c r="AG748" s="64"/>
      <c r="AH748" s="64"/>
      <c r="AI748" s="143"/>
      <c r="AJ748" s="134"/>
      <c r="AK748" s="194"/>
      <c r="AL748" s="90"/>
    </row>
    <row r="749" spans="1:38" ht="17.100000000000001" customHeight="1" x14ac:dyDescent="0.25">
      <c r="A749" s="197"/>
      <c r="G749" s="88"/>
      <c r="H749" s="182"/>
      <c r="L749" s="24"/>
      <c r="M749" s="24"/>
      <c r="N749" s="186"/>
      <c r="O749" s="190"/>
      <c r="P749" s="204"/>
      <c r="Q749" s="142"/>
      <c r="T749" s="201"/>
      <c r="Z749" s="151"/>
      <c r="AB749" s="64"/>
      <c r="AC749" s="64"/>
      <c r="AD749" s="64"/>
      <c r="AE749" s="64"/>
      <c r="AF749" s="64"/>
      <c r="AG749" s="64"/>
      <c r="AH749" s="64"/>
      <c r="AI749" s="143"/>
      <c r="AJ749" s="134"/>
      <c r="AK749" s="194"/>
      <c r="AL749" s="90"/>
    </row>
    <row r="750" spans="1:38" ht="17.100000000000001" customHeight="1" x14ac:dyDescent="0.25">
      <c r="A750" s="197"/>
      <c r="G750" s="88"/>
      <c r="H750" s="182"/>
      <c r="L750" s="24"/>
      <c r="M750" s="24"/>
      <c r="N750" s="186"/>
      <c r="O750" s="190"/>
      <c r="P750" s="204"/>
      <c r="Q750" s="142"/>
      <c r="T750" s="201"/>
      <c r="Z750" s="151"/>
      <c r="AB750" s="64"/>
      <c r="AC750" s="64"/>
      <c r="AD750" s="64"/>
      <c r="AE750" s="64"/>
      <c r="AF750" s="64"/>
      <c r="AG750" s="64"/>
      <c r="AH750" s="64"/>
      <c r="AI750" s="143"/>
      <c r="AJ750" s="134"/>
      <c r="AK750" s="194"/>
      <c r="AL750" s="90"/>
    </row>
    <row r="751" spans="1:38" ht="17.100000000000001" customHeight="1" x14ac:dyDescent="0.25">
      <c r="A751" s="197"/>
      <c r="G751" s="88"/>
      <c r="H751" s="182"/>
      <c r="L751" s="24"/>
      <c r="M751" s="24"/>
      <c r="N751" s="186"/>
      <c r="O751" s="190"/>
      <c r="P751" s="204"/>
      <c r="Q751" s="142"/>
      <c r="T751" s="201"/>
      <c r="Z751" s="151"/>
      <c r="AB751" s="64"/>
      <c r="AC751" s="64"/>
      <c r="AD751" s="64"/>
      <c r="AE751" s="64"/>
      <c r="AF751" s="64"/>
      <c r="AG751" s="64"/>
      <c r="AH751" s="64"/>
      <c r="AI751" s="143"/>
      <c r="AJ751" s="134"/>
      <c r="AK751" s="194"/>
      <c r="AL751" s="90"/>
    </row>
    <row r="752" spans="1:38" ht="17.100000000000001" customHeight="1" x14ac:dyDescent="0.25">
      <c r="A752" s="197"/>
      <c r="G752" s="88"/>
      <c r="H752" s="182"/>
      <c r="L752" s="24"/>
      <c r="M752" s="24"/>
      <c r="N752" s="186"/>
      <c r="O752" s="190"/>
      <c r="P752" s="204"/>
      <c r="Q752" s="142"/>
      <c r="T752" s="201"/>
      <c r="Z752" s="151"/>
      <c r="AB752" s="64"/>
      <c r="AC752" s="64"/>
      <c r="AD752" s="64"/>
      <c r="AE752" s="64"/>
      <c r="AF752" s="64"/>
      <c r="AG752" s="64"/>
      <c r="AH752" s="64"/>
      <c r="AI752" s="143"/>
      <c r="AJ752" s="134"/>
      <c r="AK752" s="194"/>
      <c r="AL752" s="90"/>
    </row>
    <row r="753" spans="1:38" ht="17.100000000000001" customHeight="1" x14ac:dyDescent="0.25">
      <c r="A753" s="197"/>
      <c r="G753" s="88"/>
      <c r="H753" s="182"/>
      <c r="L753" s="24"/>
      <c r="M753" s="24"/>
      <c r="N753" s="186"/>
      <c r="O753" s="190"/>
      <c r="P753" s="204"/>
      <c r="Q753" s="142"/>
      <c r="T753" s="201"/>
      <c r="Z753" s="151"/>
      <c r="AB753" s="64"/>
      <c r="AC753" s="64"/>
      <c r="AD753" s="64"/>
      <c r="AE753" s="64"/>
      <c r="AF753" s="64"/>
      <c r="AG753" s="64"/>
      <c r="AH753" s="64"/>
      <c r="AI753" s="143"/>
      <c r="AJ753" s="134"/>
      <c r="AK753" s="194"/>
      <c r="AL753" s="90"/>
    </row>
    <row r="754" spans="1:38" ht="17.100000000000001" customHeight="1" x14ac:dyDescent="0.25">
      <c r="A754" s="197"/>
      <c r="G754" s="88"/>
      <c r="H754" s="182"/>
      <c r="L754" s="24"/>
      <c r="M754" s="24"/>
      <c r="N754" s="186"/>
      <c r="O754" s="190"/>
      <c r="P754" s="204"/>
      <c r="Q754" s="142"/>
      <c r="T754" s="201"/>
      <c r="Z754" s="151"/>
      <c r="AB754" s="64"/>
      <c r="AC754" s="64"/>
      <c r="AD754" s="64"/>
      <c r="AE754" s="64"/>
      <c r="AF754" s="64"/>
      <c r="AG754" s="64"/>
      <c r="AH754" s="64"/>
      <c r="AI754" s="143"/>
      <c r="AJ754" s="134"/>
      <c r="AK754" s="194"/>
      <c r="AL754" s="90"/>
    </row>
    <row r="755" spans="1:38" ht="17.100000000000001" customHeight="1" x14ac:dyDescent="0.25">
      <c r="A755" s="197"/>
      <c r="G755" s="88"/>
      <c r="H755" s="182"/>
      <c r="L755" s="24"/>
      <c r="M755" s="24"/>
      <c r="N755" s="186"/>
      <c r="O755" s="190"/>
      <c r="P755" s="204"/>
      <c r="Q755" s="142"/>
      <c r="T755" s="201"/>
      <c r="Z755" s="151"/>
      <c r="AB755" s="64"/>
      <c r="AC755" s="64"/>
      <c r="AD755" s="64"/>
      <c r="AE755" s="64"/>
      <c r="AF755" s="64"/>
      <c r="AG755" s="64"/>
      <c r="AH755" s="64"/>
      <c r="AI755" s="143"/>
      <c r="AJ755" s="134"/>
      <c r="AK755" s="194"/>
      <c r="AL755" s="90"/>
    </row>
    <row r="756" spans="1:38" ht="17.100000000000001" customHeight="1" x14ac:dyDescent="0.25">
      <c r="A756" s="197"/>
      <c r="G756" s="88"/>
      <c r="H756" s="182"/>
      <c r="L756" s="24"/>
      <c r="M756" s="24"/>
      <c r="N756" s="186"/>
      <c r="O756" s="190"/>
      <c r="P756" s="204"/>
      <c r="Q756" s="142"/>
      <c r="T756" s="201"/>
      <c r="Z756" s="151"/>
      <c r="AB756" s="64"/>
      <c r="AC756" s="64"/>
      <c r="AD756" s="64"/>
      <c r="AE756" s="64"/>
      <c r="AF756" s="64"/>
      <c r="AG756" s="64"/>
      <c r="AH756" s="64"/>
      <c r="AI756" s="143"/>
      <c r="AJ756" s="134"/>
      <c r="AK756" s="194"/>
      <c r="AL756" s="90"/>
    </row>
    <row r="757" spans="1:38" ht="17.100000000000001" customHeight="1" x14ac:dyDescent="0.25">
      <c r="A757" s="197"/>
      <c r="G757" s="88"/>
      <c r="H757" s="182"/>
      <c r="L757" s="24"/>
      <c r="M757" s="24"/>
      <c r="N757" s="186"/>
      <c r="O757" s="190"/>
      <c r="P757" s="204"/>
      <c r="Q757" s="142"/>
      <c r="T757" s="201"/>
      <c r="Z757" s="151"/>
      <c r="AB757" s="64"/>
      <c r="AC757" s="64"/>
      <c r="AD757" s="64"/>
      <c r="AE757" s="64"/>
      <c r="AF757" s="64"/>
      <c r="AG757" s="64"/>
      <c r="AH757" s="64"/>
      <c r="AI757" s="143"/>
      <c r="AJ757" s="134"/>
      <c r="AK757" s="194"/>
      <c r="AL757" s="90"/>
    </row>
    <row r="758" spans="1:38" ht="17.100000000000001" customHeight="1" x14ac:dyDescent="0.25">
      <c r="A758" s="197"/>
      <c r="G758" s="88"/>
      <c r="H758" s="182"/>
      <c r="L758" s="24"/>
      <c r="M758" s="24"/>
      <c r="N758" s="186"/>
      <c r="O758" s="190"/>
      <c r="P758" s="204"/>
      <c r="Q758" s="142"/>
      <c r="T758" s="201"/>
      <c r="Z758" s="151"/>
      <c r="AB758" s="64"/>
      <c r="AC758" s="64"/>
      <c r="AD758" s="64"/>
      <c r="AE758" s="64"/>
      <c r="AF758" s="64"/>
      <c r="AG758" s="64"/>
      <c r="AH758" s="64"/>
      <c r="AI758" s="143"/>
      <c r="AJ758" s="134"/>
      <c r="AK758" s="194"/>
      <c r="AL758" s="90"/>
    </row>
    <row r="759" spans="1:38" ht="17.100000000000001" customHeight="1" x14ac:dyDescent="0.25">
      <c r="A759" s="197"/>
      <c r="G759" s="88"/>
      <c r="H759" s="182"/>
      <c r="L759" s="24"/>
      <c r="M759" s="24"/>
      <c r="N759" s="186"/>
      <c r="O759" s="190"/>
      <c r="P759" s="204"/>
      <c r="Q759" s="142"/>
      <c r="T759" s="201"/>
      <c r="Z759" s="151"/>
      <c r="AB759" s="64"/>
      <c r="AC759" s="64"/>
      <c r="AD759" s="64"/>
      <c r="AE759" s="64"/>
      <c r="AF759" s="64"/>
      <c r="AG759" s="64"/>
      <c r="AH759" s="64"/>
      <c r="AI759" s="143"/>
      <c r="AJ759" s="134"/>
      <c r="AK759" s="194"/>
      <c r="AL759" s="90"/>
    </row>
    <row r="760" spans="1:38" ht="17.100000000000001" customHeight="1" x14ac:dyDescent="0.25">
      <c r="A760" s="197"/>
      <c r="G760" s="88"/>
      <c r="H760" s="182"/>
      <c r="L760" s="24"/>
      <c r="M760" s="24"/>
      <c r="N760" s="186"/>
      <c r="O760" s="190"/>
      <c r="P760" s="204"/>
      <c r="Q760" s="142"/>
      <c r="T760" s="201"/>
      <c r="Z760" s="151"/>
      <c r="AB760" s="64"/>
      <c r="AC760" s="64"/>
      <c r="AD760" s="64"/>
      <c r="AE760" s="64"/>
      <c r="AF760" s="64"/>
      <c r="AG760" s="64"/>
      <c r="AH760" s="64"/>
      <c r="AI760" s="143"/>
      <c r="AJ760" s="134"/>
      <c r="AK760" s="194"/>
      <c r="AL760" s="90"/>
    </row>
    <row r="761" spans="1:38" ht="17.100000000000001" customHeight="1" x14ac:dyDescent="0.25">
      <c r="A761" s="197"/>
      <c r="G761" s="88"/>
      <c r="H761" s="182"/>
      <c r="L761" s="24"/>
      <c r="M761" s="24"/>
      <c r="N761" s="186"/>
      <c r="O761" s="190"/>
      <c r="P761" s="204"/>
      <c r="Q761" s="142"/>
      <c r="T761" s="201"/>
      <c r="Z761" s="151"/>
      <c r="AB761" s="64"/>
      <c r="AC761" s="64"/>
      <c r="AD761" s="64"/>
      <c r="AE761" s="64"/>
      <c r="AF761" s="64"/>
      <c r="AG761" s="64"/>
      <c r="AH761" s="64"/>
      <c r="AI761" s="143"/>
      <c r="AJ761" s="134"/>
      <c r="AK761" s="194"/>
      <c r="AL761" s="90"/>
    </row>
    <row r="762" spans="1:38" ht="17.100000000000001" customHeight="1" x14ac:dyDescent="0.25">
      <c r="A762" s="197"/>
      <c r="G762" s="88"/>
      <c r="H762" s="182"/>
      <c r="L762" s="24"/>
      <c r="M762" s="24"/>
      <c r="N762" s="186"/>
      <c r="O762" s="190"/>
      <c r="P762" s="204"/>
      <c r="Q762" s="142"/>
      <c r="T762" s="201"/>
      <c r="Z762" s="151"/>
      <c r="AB762" s="64"/>
      <c r="AC762" s="64"/>
      <c r="AD762" s="64"/>
      <c r="AE762" s="64"/>
      <c r="AF762" s="64"/>
      <c r="AG762" s="64"/>
      <c r="AH762" s="64"/>
      <c r="AI762" s="143"/>
      <c r="AJ762" s="134"/>
      <c r="AK762" s="194"/>
      <c r="AL762" s="90"/>
    </row>
    <row r="763" spans="1:38" ht="17.100000000000001" customHeight="1" x14ac:dyDescent="0.25">
      <c r="A763" s="197"/>
      <c r="G763" s="88"/>
      <c r="H763" s="182"/>
      <c r="L763" s="24"/>
      <c r="M763" s="24"/>
      <c r="N763" s="186"/>
      <c r="O763" s="190"/>
      <c r="P763" s="204"/>
      <c r="Q763" s="142"/>
      <c r="T763" s="201"/>
      <c r="Z763" s="151"/>
      <c r="AB763" s="64"/>
      <c r="AC763" s="64"/>
      <c r="AD763" s="64"/>
      <c r="AE763" s="64"/>
      <c r="AF763" s="64"/>
      <c r="AG763" s="64"/>
      <c r="AH763" s="64"/>
      <c r="AI763" s="143"/>
      <c r="AJ763" s="134"/>
      <c r="AK763" s="194"/>
      <c r="AL763" s="90"/>
    </row>
    <row r="764" spans="1:38" ht="17.100000000000001" customHeight="1" x14ac:dyDescent="0.25">
      <c r="A764" s="197"/>
      <c r="G764" s="88"/>
      <c r="H764" s="182"/>
      <c r="L764" s="24"/>
      <c r="M764" s="24"/>
      <c r="N764" s="186"/>
      <c r="O764" s="190"/>
      <c r="P764" s="204"/>
      <c r="Q764" s="142"/>
      <c r="T764" s="201"/>
      <c r="Z764" s="151"/>
      <c r="AB764" s="64"/>
      <c r="AC764" s="64"/>
      <c r="AD764" s="64"/>
      <c r="AE764" s="64"/>
      <c r="AF764" s="64"/>
      <c r="AG764" s="64"/>
      <c r="AH764" s="64"/>
      <c r="AI764" s="143"/>
      <c r="AJ764" s="134"/>
      <c r="AK764" s="194"/>
      <c r="AL764" s="90"/>
    </row>
    <row r="765" spans="1:38" ht="17.100000000000001" customHeight="1" x14ac:dyDescent="0.25">
      <c r="A765" s="197"/>
      <c r="G765" s="88"/>
      <c r="H765" s="182"/>
      <c r="L765" s="24"/>
      <c r="M765" s="24"/>
      <c r="N765" s="186"/>
      <c r="O765" s="190"/>
      <c r="P765" s="204"/>
      <c r="Q765" s="142"/>
      <c r="T765" s="201"/>
      <c r="Z765" s="151"/>
      <c r="AB765" s="64"/>
      <c r="AC765" s="64"/>
      <c r="AD765" s="64"/>
      <c r="AE765" s="64"/>
      <c r="AF765" s="64"/>
      <c r="AG765" s="64"/>
      <c r="AH765" s="64"/>
      <c r="AI765" s="143"/>
      <c r="AJ765" s="134"/>
      <c r="AK765" s="194"/>
      <c r="AL765" s="90"/>
    </row>
    <row r="766" spans="1:38" ht="17.100000000000001" customHeight="1" x14ac:dyDescent="0.25">
      <c r="A766" s="197"/>
      <c r="G766" s="88"/>
      <c r="H766" s="182"/>
      <c r="L766" s="24"/>
      <c r="M766" s="24"/>
      <c r="N766" s="186"/>
      <c r="O766" s="190"/>
      <c r="P766" s="204"/>
      <c r="Q766" s="142"/>
      <c r="T766" s="201"/>
      <c r="Z766" s="151"/>
      <c r="AB766" s="64"/>
      <c r="AC766" s="64"/>
      <c r="AD766" s="64"/>
      <c r="AE766" s="64"/>
      <c r="AF766" s="64"/>
      <c r="AG766" s="64"/>
      <c r="AH766" s="64"/>
      <c r="AI766" s="143"/>
      <c r="AJ766" s="134"/>
      <c r="AK766" s="194"/>
      <c r="AL766" s="90"/>
    </row>
    <row r="767" spans="1:38" ht="17.100000000000001" customHeight="1" x14ac:dyDescent="0.25">
      <c r="A767" s="197"/>
      <c r="G767" s="88"/>
      <c r="H767" s="182"/>
      <c r="L767" s="24"/>
      <c r="M767" s="24"/>
      <c r="N767" s="186"/>
      <c r="O767" s="190"/>
      <c r="P767" s="204"/>
      <c r="Q767" s="142"/>
      <c r="T767" s="201"/>
      <c r="Z767" s="151"/>
      <c r="AB767" s="64"/>
      <c r="AC767" s="64"/>
      <c r="AD767" s="64"/>
      <c r="AE767" s="64"/>
      <c r="AF767" s="64"/>
      <c r="AG767" s="64"/>
      <c r="AH767" s="64"/>
      <c r="AI767" s="143"/>
      <c r="AJ767" s="134"/>
      <c r="AK767" s="194"/>
      <c r="AL767" s="90"/>
    </row>
    <row r="768" spans="1:38" ht="17.100000000000001" customHeight="1" x14ac:dyDescent="0.25">
      <c r="A768" s="197"/>
      <c r="G768" s="88"/>
      <c r="H768" s="182"/>
      <c r="L768" s="24"/>
      <c r="M768" s="24"/>
      <c r="N768" s="186"/>
      <c r="O768" s="190"/>
      <c r="P768" s="204"/>
      <c r="Q768" s="142"/>
      <c r="T768" s="201"/>
      <c r="Z768" s="151"/>
      <c r="AB768" s="64"/>
      <c r="AC768" s="64"/>
      <c r="AD768" s="64"/>
      <c r="AE768" s="64"/>
      <c r="AF768" s="64"/>
      <c r="AG768" s="64"/>
      <c r="AH768" s="64"/>
      <c r="AI768" s="143"/>
      <c r="AJ768" s="134"/>
      <c r="AK768" s="194"/>
      <c r="AL768" s="90"/>
    </row>
    <row r="769" spans="1:38" ht="17.100000000000001" customHeight="1" x14ac:dyDescent="0.25">
      <c r="A769" s="197"/>
      <c r="G769" s="88"/>
      <c r="H769" s="182"/>
      <c r="L769" s="24"/>
      <c r="M769" s="24"/>
      <c r="N769" s="186"/>
      <c r="O769" s="190"/>
      <c r="P769" s="204"/>
      <c r="Q769" s="142"/>
      <c r="T769" s="201"/>
      <c r="Z769" s="151"/>
      <c r="AB769" s="64"/>
      <c r="AC769" s="64"/>
      <c r="AD769" s="64"/>
      <c r="AE769" s="64"/>
      <c r="AF769" s="64"/>
      <c r="AG769" s="64"/>
      <c r="AH769" s="64"/>
      <c r="AI769" s="143"/>
      <c r="AJ769" s="134"/>
      <c r="AK769" s="194"/>
      <c r="AL769" s="90"/>
    </row>
    <row r="770" spans="1:38" ht="17.100000000000001" customHeight="1" x14ac:dyDescent="0.25">
      <c r="A770" s="197"/>
      <c r="G770" s="88"/>
      <c r="H770" s="182"/>
      <c r="L770" s="24"/>
      <c r="M770" s="24"/>
      <c r="N770" s="186"/>
      <c r="O770" s="190"/>
      <c r="P770" s="204"/>
      <c r="Q770" s="142"/>
      <c r="T770" s="201"/>
      <c r="Z770" s="151"/>
      <c r="AB770" s="64"/>
      <c r="AC770" s="64"/>
      <c r="AD770" s="64"/>
      <c r="AE770" s="64"/>
      <c r="AF770" s="64"/>
      <c r="AG770" s="64"/>
      <c r="AH770" s="64"/>
      <c r="AI770" s="143"/>
      <c r="AJ770" s="134"/>
      <c r="AK770" s="194"/>
      <c r="AL770" s="90"/>
    </row>
    <row r="771" spans="1:38" ht="17.100000000000001" customHeight="1" x14ac:dyDescent="0.25">
      <c r="A771" s="197"/>
      <c r="G771" s="88"/>
      <c r="H771" s="182"/>
      <c r="L771" s="24"/>
      <c r="M771" s="24"/>
      <c r="N771" s="186"/>
      <c r="O771" s="190"/>
      <c r="P771" s="204"/>
      <c r="Q771" s="142"/>
      <c r="T771" s="201"/>
      <c r="Z771" s="151"/>
      <c r="AB771" s="64"/>
      <c r="AC771" s="64"/>
      <c r="AD771" s="64"/>
      <c r="AE771" s="64"/>
      <c r="AF771" s="64"/>
      <c r="AG771" s="64"/>
      <c r="AH771" s="64"/>
      <c r="AI771" s="143"/>
      <c r="AJ771" s="134"/>
      <c r="AK771" s="194"/>
      <c r="AL771" s="90"/>
    </row>
    <row r="772" spans="1:38" ht="17.100000000000001" customHeight="1" x14ac:dyDescent="0.25">
      <c r="A772" s="197"/>
      <c r="G772" s="88"/>
      <c r="H772" s="182"/>
      <c r="L772" s="24"/>
      <c r="M772" s="24"/>
      <c r="N772" s="186"/>
      <c r="O772" s="190"/>
      <c r="P772" s="204"/>
      <c r="Q772" s="142"/>
      <c r="T772" s="201"/>
      <c r="Z772" s="151"/>
      <c r="AB772" s="64"/>
      <c r="AC772" s="64"/>
      <c r="AD772" s="64"/>
      <c r="AE772" s="64"/>
      <c r="AF772" s="64"/>
      <c r="AG772" s="64"/>
      <c r="AH772" s="64"/>
      <c r="AI772" s="143"/>
      <c r="AJ772" s="134"/>
      <c r="AK772" s="194"/>
      <c r="AL772" s="90"/>
    </row>
    <row r="773" spans="1:38" ht="17.100000000000001" customHeight="1" x14ac:dyDescent="0.25">
      <c r="A773" s="197"/>
      <c r="G773" s="88"/>
      <c r="H773" s="182"/>
      <c r="L773" s="24"/>
      <c r="M773" s="24"/>
      <c r="N773" s="186"/>
      <c r="O773" s="190"/>
      <c r="P773" s="204"/>
      <c r="Q773" s="142"/>
      <c r="T773" s="201"/>
      <c r="Z773" s="151"/>
      <c r="AB773" s="64"/>
      <c r="AC773" s="64"/>
      <c r="AD773" s="64"/>
      <c r="AE773" s="64"/>
      <c r="AF773" s="64"/>
      <c r="AG773" s="64"/>
      <c r="AH773" s="64"/>
      <c r="AI773" s="143"/>
      <c r="AJ773" s="134"/>
      <c r="AK773" s="194"/>
      <c r="AL773" s="90"/>
    </row>
    <row r="774" spans="1:38" ht="17.100000000000001" customHeight="1" x14ac:dyDescent="0.25">
      <c r="A774" s="197"/>
      <c r="G774" s="88"/>
      <c r="H774" s="182"/>
      <c r="L774" s="24"/>
      <c r="M774" s="24"/>
      <c r="N774" s="186"/>
      <c r="O774" s="190"/>
      <c r="P774" s="204"/>
      <c r="Q774" s="142"/>
      <c r="T774" s="201"/>
      <c r="Z774" s="151"/>
      <c r="AB774" s="64"/>
      <c r="AC774" s="64"/>
      <c r="AD774" s="64"/>
      <c r="AE774" s="64"/>
      <c r="AF774" s="64"/>
      <c r="AG774" s="64"/>
      <c r="AH774" s="64"/>
      <c r="AI774" s="143"/>
      <c r="AJ774" s="134"/>
      <c r="AK774" s="194"/>
      <c r="AL774" s="90"/>
    </row>
    <row r="775" spans="1:38" ht="17.100000000000001" customHeight="1" x14ac:dyDescent="0.25">
      <c r="A775" s="197"/>
      <c r="G775" s="88"/>
      <c r="H775" s="182"/>
      <c r="L775" s="24"/>
      <c r="M775" s="24"/>
      <c r="N775" s="186"/>
      <c r="O775" s="190"/>
      <c r="P775" s="204"/>
      <c r="Q775" s="142"/>
      <c r="T775" s="201"/>
      <c r="Z775" s="151"/>
      <c r="AB775" s="64"/>
      <c r="AC775" s="64"/>
      <c r="AD775" s="64"/>
      <c r="AE775" s="64"/>
      <c r="AF775" s="64"/>
      <c r="AG775" s="64"/>
      <c r="AH775" s="64"/>
      <c r="AI775" s="143"/>
      <c r="AJ775" s="134"/>
      <c r="AK775" s="194"/>
      <c r="AL775" s="90"/>
    </row>
    <row r="776" spans="1:38" ht="17.100000000000001" customHeight="1" x14ac:dyDescent="0.25">
      <c r="A776" s="197"/>
      <c r="G776" s="88"/>
      <c r="H776" s="182"/>
      <c r="L776" s="24"/>
      <c r="M776" s="24"/>
      <c r="N776" s="186"/>
      <c r="O776" s="190"/>
      <c r="P776" s="204"/>
      <c r="Q776" s="142"/>
      <c r="T776" s="201"/>
      <c r="Z776" s="151"/>
      <c r="AB776" s="64"/>
      <c r="AC776" s="64"/>
      <c r="AD776" s="64"/>
      <c r="AE776" s="64"/>
      <c r="AF776" s="64"/>
      <c r="AG776" s="64"/>
      <c r="AH776" s="64"/>
      <c r="AI776" s="143"/>
      <c r="AJ776" s="134"/>
      <c r="AK776" s="194"/>
      <c r="AL776" s="90"/>
    </row>
    <row r="777" spans="1:38" ht="17.100000000000001" customHeight="1" x14ac:dyDescent="0.25">
      <c r="A777" s="197"/>
      <c r="G777" s="88"/>
      <c r="H777" s="182"/>
      <c r="L777" s="24"/>
      <c r="M777" s="24"/>
      <c r="N777" s="186"/>
      <c r="O777" s="190"/>
      <c r="P777" s="204"/>
      <c r="Q777" s="142"/>
      <c r="T777" s="201"/>
      <c r="Z777" s="151"/>
      <c r="AB777" s="64"/>
      <c r="AC777" s="64"/>
      <c r="AD777" s="64"/>
      <c r="AE777" s="64"/>
      <c r="AF777" s="64"/>
      <c r="AG777" s="64"/>
      <c r="AH777" s="64"/>
      <c r="AI777" s="143"/>
      <c r="AJ777" s="134"/>
      <c r="AK777" s="194"/>
      <c r="AL777" s="90"/>
    </row>
    <row r="778" spans="1:38" ht="17.100000000000001" customHeight="1" x14ac:dyDescent="0.25">
      <c r="A778" s="197"/>
      <c r="G778" s="88"/>
      <c r="H778" s="182"/>
      <c r="L778" s="24"/>
      <c r="M778" s="24"/>
      <c r="N778" s="186"/>
      <c r="O778" s="190"/>
      <c r="P778" s="204"/>
      <c r="Q778" s="142"/>
      <c r="T778" s="201"/>
      <c r="Z778" s="151"/>
      <c r="AB778" s="64"/>
      <c r="AC778" s="64"/>
      <c r="AD778" s="64"/>
      <c r="AE778" s="64"/>
      <c r="AF778" s="64"/>
      <c r="AG778" s="64"/>
      <c r="AH778" s="64"/>
      <c r="AI778" s="143"/>
      <c r="AJ778" s="134"/>
      <c r="AK778" s="194"/>
      <c r="AL778" s="90"/>
    </row>
    <row r="779" spans="1:38" ht="17.100000000000001" customHeight="1" x14ac:dyDescent="0.25">
      <c r="A779" s="197"/>
      <c r="G779" s="88"/>
      <c r="H779" s="182"/>
      <c r="L779" s="24"/>
      <c r="M779" s="24"/>
      <c r="N779" s="186"/>
      <c r="O779" s="190"/>
      <c r="P779" s="204"/>
      <c r="Q779" s="142"/>
      <c r="T779" s="201"/>
      <c r="Z779" s="151"/>
      <c r="AB779" s="64"/>
      <c r="AC779" s="64"/>
      <c r="AD779" s="64"/>
      <c r="AE779" s="64"/>
      <c r="AF779" s="64"/>
      <c r="AG779" s="64"/>
      <c r="AH779" s="64"/>
      <c r="AI779" s="143"/>
      <c r="AJ779" s="134"/>
      <c r="AK779" s="194"/>
      <c r="AL779" s="90"/>
    </row>
    <row r="780" spans="1:38" ht="17.100000000000001" customHeight="1" x14ac:dyDescent="0.25">
      <c r="A780" s="197"/>
      <c r="G780" s="88"/>
      <c r="H780" s="182"/>
      <c r="L780" s="24"/>
      <c r="M780" s="24"/>
      <c r="N780" s="186"/>
      <c r="O780" s="190"/>
      <c r="P780" s="204"/>
      <c r="Q780" s="142"/>
      <c r="T780" s="201"/>
      <c r="Z780" s="151"/>
      <c r="AB780" s="64"/>
      <c r="AC780" s="64"/>
      <c r="AD780" s="64"/>
      <c r="AE780" s="64"/>
      <c r="AF780" s="64"/>
      <c r="AG780" s="64"/>
      <c r="AH780" s="64"/>
      <c r="AI780" s="143"/>
      <c r="AJ780" s="134"/>
      <c r="AK780" s="194"/>
      <c r="AL780" s="90"/>
    </row>
    <row r="781" spans="1:38" ht="17.100000000000001" customHeight="1" x14ac:dyDescent="0.25">
      <c r="A781" s="197"/>
      <c r="G781" s="88"/>
      <c r="H781" s="182"/>
      <c r="L781" s="24"/>
      <c r="M781" s="24"/>
      <c r="N781" s="186"/>
      <c r="O781" s="190"/>
      <c r="P781" s="204"/>
      <c r="Q781" s="142"/>
      <c r="T781" s="201"/>
      <c r="Z781" s="151"/>
      <c r="AB781" s="64"/>
      <c r="AC781" s="64"/>
      <c r="AD781" s="64"/>
      <c r="AE781" s="64"/>
      <c r="AF781" s="64"/>
      <c r="AG781" s="64"/>
      <c r="AH781" s="64"/>
      <c r="AI781" s="143"/>
      <c r="AJ781" s="134"/>
      <c r="AK781" s="194"/>
      <c r="AL781" s="90"/>
    </row>
    <row r="782" spans="1:38" ht="17.100000000000001" customHeight="1" x14ac:dyDescent="0.25">
      <c r="A782" s="197"/>
      <c r="G782" s="88"/>
      <c r="H782" s="182"/>
      <c r="L782" s="24"/>
      <c r="M782" s="24"/>
      <c r="N782" s="186"/>
      <c r="O782" s="190"/>
      <c r="P782" s="204"/>
      <c r="Q782" s="142"/>
      <c r="T782" s="201"/>
      <c r="Z782" s="151"/>
      <c r="AB782" s="64"/>
      <c r="AC782" s="64"/>
      <c r="AD782" s="64"/>
      <c r="AE782" s="64"/>
      <c r="AF782" s="64"/>
      <c r="AG782" s="64"/>
      <c r="AH782" s="64"/>
      <c r="AI782" s="143"/>
      <c r="AJ782" s="134"/>
      <c r="AK782" s="194"/>
      <c r="AL782" s="90"/>
    </row>
    <row r="783" spans="1:38" ht="17.100000000000001" customHeight="1" x14ac:dyDescent="0.25">
      <c r="A783" s="197"/>
      <c r="G783" s="88"/>
      <c r="H783" s="182"/>
      <c r="L783" s="24"/>
      <c r="M783" s="24"/>
      <c r="N783" s="186"/>
      <c r="O783" s="190"/>
      <c r="P783" s="204"/>
      <c r="Q783" s="142"/>
      <c r="T783" s="201"/>
      <c r="Z783" s="151"/>
      <c r="AB783" s="64"/>
      <c r="AC783" s="64"/>
      <c r="AD783" s="64"/>
      <c r="AE783" s="64"/>
      <c r="AF783" s="64"/>
      <c r="AG783" s="64"/>
      <c r="AH783" s="64"/>
      <c r="AI783" s="143"/>
      <c r="AJ783" s="134"/>
      <c r="AK783" s="194"/>
      <c r="AL783" s="90"/>
    </row>
    <row r="784" spans="1:38" ht="17.100000000000001" customHeight="1" x14ac:dyDescent="0.25">
      <c r="A784" s="197"/>
      <c r="G784" s="88"/>
      <c r="H784" s="182"/>
      <c r="L784" s="24"/>
      <c r="M784" s="24"/>
      <c r="N784" s="186"/>
      <c r="O784" s="190"/>
      <c r="P784" s="204"/>
      <c r="Q784" s="142"/>
      <c r="T784" s="201"/>
      <c r="Z784" s="151"/>
      <c r="AB784" s="64"/>
      <c r="AC784" s="64"/>
      <c r="AD784" s="64"/>
      <c r="AE784" s="64"/>
      <c r="AF784" s="64"/>
      <c r="AG784" s="64"/>
      <c r="AH784" s="64"/>
      <c r="AI784" s="143"/>
      <c r="AJ784" s="134"/>
      <c r="AK784" s="194"/>
      <c r="AL784" s="90"/>
    </row>
    <row r="785" spans="1:38" ht="17.100000000000001" customHeight="1" x14ac:dyDescent="0.25">
      <c r="A785" s="197"/>
      <c r="G785" s="88"/>
      <c r="H785" s="182"/>
      <c r="L785" s="24"/>
      <c r="M785" s="24"/>
      <c r="N785" s="186"/>
      <c r="O785" s="190"/>
      <c r="P785" s="204"/>
      <c r="Q785" s="142"/>
      <c r="T785" s="201"/>
      <c r="Z785" s="151"/>
      <c r="AB785" s="64"/>
      <c r="AC785" s="64"/>
      <c r="AD785" s="64"/>
      <c r="AE785" s="64"/>
      <c r="AF785" s="64"/>
      <c r="AG785" s="64"/>
      <c r="AH785" s="64"/>
      <c r="AI785" s="143"/>
      <c r="AJ785" s="134"/>
      <c r="AK785" s="194"/>
      <c r="AL785" s="90"/>
    </row>
    <row r="786" spans="1:38" ht="17.100000000000001" customHeight="1" x14ac:dyDescent="0.25">
      <c r="A786" s="197"/>
      <c r="G786" s="88"/>
      <c r="H786" s="182"/>
      <c r="L786" s="24"/>
      <c r="M786" s="24"/>
      <c r="N786" s="186"/>
      <c r="O786" s="190"/>
      <c r="P786" s="204"/>
      <c r="Q786" s="142"/>
      <c r="T786" s="201"/>
      <c r="Z786" s="151"/>
      <c r="AB786" s="64"/>
      <c r="AC786" s="64"/>
      <c r="AD786" s="64"/>
      <c r="AE786" s="64"/>
      <c r="AF786" s="64"/>
      <c r="AG786" s="64"/>
      <c r="AH786" s="64"/>
      <c r="AI786" s="143"/>
      <c r="AJ786" s="134"/>
      <c r="AK786" s="194"/>
      <c r="AL786" s="90"/>
    </row>
    <row r="787" spans="1:38" ht="17.100000000000001" customHeight="1" thickBot="1" x14ac:dyDescent="0.3">
      <c r="A787" s="197"/>
      <c r="G787" s="88"/>
      <c r="H787" s="182"/>
      <c r="L787" s="24"/>
      <c r="M787" s="24"/>
      <c r="N787" s="186"/>
      <c r="O787" s="190"/>
      <c r="P787" s="204"/>
      <c r="Q787" s="142"/>
      <c r="T787" s="201"/>
      <c r="Z787" s="151"/>
      <c r="AB787" s="64"/>
      <c r="AC787" s="64"/>
      <c r="AD787" s="64"/>
      <c r="AE787" s="64"/>
      <c r="AF787" s="64"/>
      <c r="AG787" s="64"/>
      <c r="AH787" s="64"/>
      <c r="AI787" s="143"/>
      <c r="AJ787" s="134"/>
      <c r="AK787" s="194"/>
      <c r="AL787" s="90"/>
    </row>
    <row r="788" spans="1:38" ht="17.100000000000001" customHeight="1" x14ac:dyDescent="0.25">
      <c r="A788" s="198"/>
      <c r="B788" s="153"/>
      <c r="C788" s="154"/>
      <c r="D788" s="154"/>
      <c r="E788" s="154"/>
      <c r="F788" s="154"/>
      <c r="G788" s="155"/>
      <c r="H788" s="183"/>
      <c r="I788" s="156"/>
      <c r="J788" s="157"/>
      <c r="K788" s="158"/>
      <c r="L788" s="158"/>
      <c r="M788" s="158"/>
      <c r="N788" s="187"/>
      <c r="O788" s="191"/>
      <c r="P788" s="205"/>
      <c r="Q788" s="159"/>
      <c r="R788" s="160"/>
      <c r="S788" s="158"/>
      <c r="T788" s="202"/>
      <c r="U788" s="161"/>
      <c r="V788" s="156"/>
      <c r="W788" s="162"/>
      <c r="X788" s="156"/>
      <c r="Y788" s="158"/>
      <c r="Z788" s="163"/>
      <c r="AA788" s="156"/>
      <c r="AB788" s="164"/>
      <c r="AC788" s="164"/>
      <c r="AD788" s="164"/>
      <c r="AE788" s="164"/>
      <c r="AF788" s="164"/>
      <c r="AG788" s="164"/>
      <c r="AH788" s="164"/>
      <c r="AI788" s="165"/>
      <c r="AJ788" s="134"/>
      <c r="AK788" s="195"/>
      <c r="AL788" s="170"/>
    </row>
    <row r="789" spans="1:38" ht="17.100000000000001" customHeight="1" x14ac:dyDescent="0.25">
      <c r="A789" s="197"/>
      <c r="G789" s="88"/>
      <c r="H789" s="182"/>
      <c r="L789" s="24"/>
      <c r="M789" s="24"/>
      <c r="N789" s="186"/>
      <c r="O789" s="190"/>
      <c r="P789" s="204"/>
      <c r="Q789" s="142"/>
      <c r="T789" s="201"/>
      <c r="Z789" s="151"/>
      <c r="AB789" s="64"/>
      <c r="AC789" s="64"/>
      <c r="AD789" s="64"/>
      <c r="AE789" s="64"/>
      <c r="AF789" s="64"/>
      <c r="AG789" s="64"/>
      <c r="AH789" s="64"/>
      <c r="AI789" s="143"/>
      <c r="AJ789" s="134"/>
      <c r="AK789" s="194"/>
      <c r="AL789" s="90"/>
    </row>
    <row r="790" spans="1:38" ht="17.100000000000001" customHeight="1" x14ac:dyDescent="0.25">
      <c r="A790" s="197"/>
      <c r="G790" s="88"/>
      <c r="H790" s="182"/>
      <c r="L790" s="24"/>
      <c r="M790" s="24"/>
      <c r="N790" s="186"/>
      <c r="O790" s="190"/>
      <c r="P790" s="204"/>
      <c r="Q790" s="142"/>
      <c r="T790" s="201"/>
      <c r="Z790" s="151"/>
      <c r="AB790" s="64"/>
      <c r="AC790" s="64"/>
      <c r="AD790" s="64"/>
      <c r="AE790" s="64"/>
      <c r="AF790" s="64"/>
      <c r="AG790" s="64"/>
      <c r="AH790" s="64"/>
      <c r="AI790" s="143"/>
      <c r="AJ790" s="134"/>
      <c r="AK790" s="194"/>
      <c r="AL790" s="90"/>
    </row>
    <row r="791" spans="1:38" ht="17.100000000000001" customHeight="1" x14ac:dyDescent="0.25">
      <c r="A791" s="197"/>
      <c r="G791" s="88"/>
      <c r="H791" s="182"/>
      <c r="L791" s="24"/>
      <c r="M791" s="24"/>
      <c r="N791" s="186"/>
      <c r="O791" s="190"/>
      <c r="P791" s="204"/>
      <c r="Q791" s="142"/>
      <c r="T791" s="201"/>
      <c r="Z791" s="151"/>
      <c r="AB791" s="64"/>
      <c r="AC791" s="64"/>
      <c r="AD791" s="64"/>
      <c r="AE791" s="64"/>
      <c r="AF791" s="64"/>
      <c r="AG791" s="64"/>
      <c r="AH791" s="64"/>
      <c r="AI791" s="143"/>
      <c r="AJ791" s="134"/>
      <c r="AK791" s="194"/>
      <c r="AL791" s="90"/>
    </row>
    <row r="792" spans="1:38" ht="17.100000000000001" customHeight="1" x14ac:dyDescent="0.25">
      <c r="A792" s="197"/>
      <c r="G792" s="88"/>
      <c r="H792" s="182"/>
      <c r="L792" s="24"/>
      <c r="M792" s="24"/>
      <c r="N792" s="186"/>
      <c r="O792" s="190"/>
      <c r="P792" s="204"/>
      <c r="Q792" s="142"/>
      <c r="T792" s="201"/>
      <c r="Z792" s="151"/>
      <c r="AB792" s="64"/>
      <c r="AC792" s="64"/>
      <c r="AD792" s="64"/>
      <c r="AE792" s="64"/>
      <c r="AF792" s="64"/>
      <c r="AG792" s="64"/>
      <c r="AH792" s="64"/>
      <c r="AI792" s="143"/>
      <c r="AJ792" s="134"/>
      <c r="AK792" s="194"/>
      <c r="AL792" s="90"/>
    </row>
    <row r="793" spans="1:38" ht="17.100000000000001" customHeight="1" x14ac:dyDescent="0.25">
      <c r="A793" s="197"/>
      <c r="G793" s="88"/>
      <c r="H793" s="182"/>
      <c r="L793" s="24"/>
      <c r="M793" s="24"/>
      <c r="N793" s="186"/>
      <c r="O793" s="190"/>
      <c r="P793" s="204"/>
      <c r="Q793" s="142"/>
      <c r="T793" s="201"/>
      <c r="Z793" s="151"/>
      <c r="AB793" s="64"/>
      <c r="AC793" s="64"/>
      <c r="AD793" s="64"/>
      <c r="AE793" s="64"/>
      <c r="AF793" s="64"/>
      <c r="AG793" s="64"/>
      <c r="AH793" s="64"/>
      <c r="AI793" s="143"/>
      <c r="AJ793" s="134"/>
      <c r="AK793" s="194"/>
      <c r="AL793" s="90"/>
    </row>
    <row r="794" spans="1:38" ht="17.100000000000001" customHeight="1" x14ac:dyDescent="0.25">
      <c r="A794" s="197"/>
      <c r="G794" s="88"/>
      <c r="H794" s="182"/>
      <c r="L794" s="24"/>
      <c r="M794" s="24"/>
      <c r="N794" s="186"/>
      <c r="O794" s="190"/>
      <c r="P794" s="204"/>
      <c r="Q794" s="142"/>
      <c r="T794" s="201"/>
      <c r="Z794" s="151"/>
      <c r="AB794" s="64"/>
      <c r="AC794" s="64"/>
      <c r="AD794" s="64"/>
      <c r="AE794" s="64"/>
      <c r="AF794" s="64"/>
      <c r="AG794" s="64"/>
      <c r="AH794" s="64"/>
      <c r="AI794" s="143"/>
      <c r="AJ794" s="134"/>
      <c r="AK794" s="194"/>
      <c r="AL794" s="90"/>
    </row>
    <row r="795" spans="1:38" ht="17.100000000000001" customHeight="1" x14ac:dyDescent="0.25">
      <c r="A795" s="197"/>
      <c r="G795" s="88"/>
      <c r="H795" s="182"/>
      <c r="L795" s="24"/>
      <c r="M795" s="24"/>
      <c r="N795" s="186"/>
      <c r="O795" s="190"/>
      <c r="P795" s="204"/>
      <c r="Q795" s="142"/>
      <c r="T795" s="201"/>
      <c r="Z795" s="151"/>
      <c r="AB795" s="64"/>
      <c r="AC795" s="64"/>
      <c r="AD795" s="64"/>
      <c r="AE795" s="64"/>
      <c r="AF795" s="64"/>
      <c r="AG795" s="64"/>
      <c r="AH795" s="64"/>
      <c r="AI795" s="143"/>
      <c r="AJ795" s="134"/>
      <c r="AK795" s="194"/>
      <c r="AL795" s="90"/>
    </row>
    <row r="796" spans="1:38" ht="17.100000000000001" customHeight="1" x14ac:dyDescent="0.25">
      <c r="A796" s="197"/>
      <c r="G796" s="88"/>
      <c r="H796" s="182"/>
      <c r="L796" s="24"/>
      <c r="M796" s="24"/>
      <c r="N796" s="186"/>
      <c r="O796" s="190"/>
      <c r="P796" s="204"/>
      <c r="Q796" s="142"/>
      <c r="T796" s="201"/>
      <c r="Z796" s="151"/>
      <c r="AB796" s="64"/>
      <c r="AC796" s="64"/>
      <c r="AD796" s="64"/>
      <c r="AE796" s="64"/>
      <c r="AF796" s="64"/>
      <c r="AG796" s="64"/>
      <c r="AH796" s="64"/>
      <c r="AI796" s="143"/>
      <c r="AJ796" s="134"/>
      <c r="AK796" s="194"/>
      <c r="AL796" s="90"/>
    </row>
    <row r="797" spans="1:38" ht="17.100000000000001" customHeight="1" x14ac:dyDescent="0.25">
      <c r="A797" s="197"/>
      <c r="G797" s="88"/>
      <c r="H797" s="182"/>
      <c r="L797" s="24"/>
      <c r="M797" s="24"/>
      <c r="N797" s="186"/>
      <c r="O797" s="190"/>
      <c r="P797" s="204"/>
      <c r="Q797" s="142"/>
      <c r="T797" s="201"/>
      <c r="Z797" s="151"/>
      <c r="AB797" s="64"/>
      <c r="AC797" s="64"/>
      <c r="AD797" s="64"/>
      <c r="AE797" s="64"/>
      <c r="AF797" s="64"/>
      <c r="AG797" s="64"/>
      <c r="AH797" s="64"/>
      <c r="AI797" s="143"/>
      <c r="AJ797" s="134"/>
      <c r="AK797" s="194"/>
      <c r="AL797" s="90"/>
    </row>
    <row r="798" spans="1:38" ht="17.100000000000001" customHeight="1" x14ac:dyDescent="0.25">
      <c r="A798" s="197"/>
      <c r="G798" s="88"/>
      <c r="H798" s="182"/>
      <c r="L798" s="24"/>
      <c r="M798" s="24"/>
      <c r="N798" s="186"/>
      <c r="O798" s="190"/>
      <c r="P798" s="204"/>
      <c r="Q798" s="142"/>
      <c r="T798" s="201"/>
      <c r="Z798" s="151"/>
      <c r="AB798" s="64"/>
      <c r="AC798" s="64"/>
      <c r="AD798" s="64"/>
      <c r="AE798" s="64"/>
      <c r="AF798" s="64"/>
      <c r="AG798" s="64"/>
      <c r="AH798" s="64"/>
      <c r="AI798" s="143"/>
      <c r="AJ798" s="134"/>
      <c r="AK798" s="194"/>
      <c r="AL798" s="90"/>
    </row>
    <row r="799" spans="1:38" ht="17.100000000000001" customHeight="1" x14ac:dyDescent="0.25">
      <c r="A799" s="197"/>
      <c r="G799" s="88"/>
      <c r="H799" s="182"/>
      <c r="L799" s="24"/>
      <c r="M799" s="24"/>
      <c r="N799" s="186"/>
      <c r="O799" s="190"/>
      <c r="P799" s="204"/>
      <c r="Q799" s="142"/>
      <c r="T799" s="201"/>
      <c r="Z799" s="151"/>
      <c r="AB799" s="64"/>
      <c r="AC799" s="64"/>
      <c r="AD799" s="64"/>
      <c r="AE799" s="64"/>
      <c r="AF799" s="64"/>
      <c r="AG799" s="64"/>
      <c r="AH799" s="64"/>
      <c r="AI799" s="143"/>
      <c r="AJ799" s="134"/>
      <c r="AK799" s="194"/>
      <c r="AL799" s="90"/>
    </row>
    <row r="800" spans="1:38" ht="17.100000000000001" customHeight="1" x14ac:dyDescent="0.25">
      <c r="A800" s="197"/>
      <c r="G800" s="88"/>
      <c r="H800" s="182"/>
      <c r="L800" s="24"/>
      <c r="M800" s="24"/>
      <c r="N800" s="186"/>
      <c r="O800" s="190"/>
      <c r="P800" s="204"/>
      <c r="Q800" s="142"/>
      <c r="T800" s="201"/>
      <c r="Z800" s="151"/>
      <c r="AB800" s="64"/>
      <c r="AC800" s="64"/>
      <c r="AD800" s="64"/>
      <c r="AE800" s="64"/>
      <c r="AF800" s="64"/>
      <c r="AG800" s="64"/>
      <c r="AH800" s="64"/>
      <c r="AI800" s="143"/>
      <c r="AJ800" s="134"/>
      <c r="AK800" s="194"/>
      <c r="AL800" s="90"/>
    </row>
    <row r="801" spans="1:38" ht="17.100000000000001" customHeight="1" x14ac:dyDescent="0.25">
      <c r="A801" s="197"/>
      <c r="G801" s="88"/>
      <c r="H801" s="182"/>
      <c r="L801" s="24"/>
      <c r="M801" s="24"/>
      <c r="N801" s="186"/>
      <c r="O801" s="190"/>
      <c r="P801" s="204"/>
      <c r="Q801" s="142"/>
      <c r="T801" s="201"/>
      <c r="Z801" s="151"/>
      <c r="AB801" s="64"/>
      <c r="AC801" s="64"/>
      <c r="AD801" s="64"/>
      <c r="AE801" s="64"/>
      <c r="AF801" s="64"/>
      <c r="AG801" s="64"/>
      <c r="AH801" s="64"/>
      <c r="AI801" s="143"/>
      <c r="AJ801" s="134"/>
      <c r="AK801" s="194"/>
      <c r="AL801" s="90"/>
    </row>
    <row r="802" spans="1:38" ht="17.100000000000001" customHeight="1" x14ac:dyDescent="0.25">
      <c r="A802" s="197"/>
      <c r="G802" s="88"/>
      <c r="H802" s="182"/>
      <c r="L802" s="24"/>
      <c r="M802" s="24"/>
      <c r="N802" s="186"/>
      <c r="O802" s="190"/>
      <c r="P802" s="204"/>
      <c r="Q802" s="142"/>
      <c r="T802" s="201"/>
      <c r="Z802" s="151"/>
      <c r="AB802" s="64"/>
      <c r="AC802" s="64"/>
      <c r="AD802" s="64"/>
      <c r="AE802" s="64"/>
      <c r="AF802" s="64"/>
      <c r="AG802" s="64"/>
      <c r="AH802" s="64"/>
      <c r="AI802" s="143"/>
      <c r="AJ802" s="134"/>
      <c r="AK802" s="194"/>
      <c r="AL802" s="90"/>
    </row>
    <row r="803" spans="1:38" ht="17.100000000000001" customHeight="1" x14ac:dyDescent="0.25">
      <c r="A803" s="197"/>
      <c r="G803" s="88"/>
      <c r="H803" s="182"/>
      <c r="L803" s="24"/>
      <c r="M803" s="24"/>
      <c r="N803" s="186"/>
      <c r="O803" s="190"/>
      <c r="P803" s="204"/>
      <c r="Q803" s="142"/>
      <c r="T803" s="201"/>
      <c r="Z803" s="151"/>
      <c r="AB803" s="64"/>
      <c r="AC803" s="64"/>
      <c r="AD803" s="64"/>
      <c r="AE803" s="64"/>
      <c r="AF803" s="64"/>
      <c r="AG803" s="64"/>
      <c r="AH803" s="64"/>
      <c r="AI803" s="143"/>
      <c r="AJ803" s="134"/>
      <c r="AK803" s="194"/>
      <c r="AL803" s="90"/>
    </row>
    <row r="804" spans="1:38" ht="17.100000000000001" customHeight="1" x14ac:dyDescent="0.25">
      <c r="A804" s="197"/>
      <c r="G804" s="88"/>
      <c r="H804" s="182"/>
      <c r="L804" s="24"/>
      <c r="M804" s="24"/>
      <c r="N804" s="186"/>
      <c r="O804" s="190"/>
      <c r="P804" s="204"/>
      <c r="Q804" s="142"/>
      <c r="T804" s="201"/>
      <c r="Z804" s="151"/>
      <c r="AB804" s="64"/>
      <c r="AC804" s="64"/>
      <c r="AD804" s="64"/>
      <c r="AE804" s="64"/>
      <c r="AF804" s="64"/>
      <c r="AG804" s="64"/>
      <c r="AH804" s="64"/>
      <c r="AI804" s="143"/>
      <c r="AJ804" s="134"/>
      <c r="AK804" s="194"/>
      <c r="AL804" s="90"/>
    </row>
    <row r="805" spans="1:38" ht="17.100000000000001" customHeight="1" x14ac:dyDescent="0.25">
      <c r="A805" s="197"/>
      <c r="G805" s="88"/>
      <c r="H805" s="182"/>
      <c r="L805" s="24"/>
      <c r="M805" s="24"/>
      <c r="N805" s="186"/>
      <c r="O805" s="190"/>
      <c r="P805" s="204"/>
      <c r="Q805" s="142"/>
      <c r="T805" s="201"/>
      <c r="Z805" s="151"/>
      <c r="AB805" s="64"/>
      <c r="AC805" s="64"/>
      <c r="AD805" s="64"/>
      <c r="AE805" s="64"/>
      <c r="AF805" s="64"/>
      <c r="AG805" s="64"/>
      <c r="AH805" s="64"/>
      <c r="AI805" s="143"/>
      <c r="AJ805" s="134"/>
      <c r="AK805" s="194"/>
      <c r="AL805" s="90"/>
    </row>
    <row r="806" spans="1:38" ht="17.100000000000001" customHeight="1" x14ac:dyDescent="0.25">
      <c r="A806" s="197"/>
      <c r="G806" s="88"/>
      <c r="H806" s="182"/>
      <c r="L806" s="24"/>
      <c r="M806" s="24"/>
      <c r="N806" s="186"/>
      <c r="O806" s="190"/>
      <c r="P806" s="204"/>
      <c r="Q806" s="142"/>
      <c r="T806" s="201"/>
      <c r="Z806" s="151"/>
      <c r="AB806" s="64"/>
      <c r="AC806" s="64"/>
      <c r="AD806" s="64"/>
      <c r="AE806" s="64"/>
      <c r="AF806" s="64"/>
      <c r="AG806" s="64"/>
      <c r="AH806" s="64"/>
      <c r="AI806" s="143"/>
      <c r="AJ806" s="134"/>
      <c r="AK806" s="194"/>
      <c r="AL806" s="90"/>
    </row>
    <row r="807" spans="1:38" ht="17.100000000000001" customHeight="1" x14ac:dyDescent="0.25">
      <c r="A807" s="197"/>
      <c r="G807" s="88"/>
      <c r="H807" s="182"/>
      <c r="L807" s="24"/>
      <c r="M807" s="24"/>
      <c r="N807" s="186"/>
      <c r="O807" s="190"/>
      <c r="P807" s="204"/>
      <c r="Q807" s="142"/>
      <c r="T807" s="201"/>
      <c r="Z807" s="151"/>
      <c r="AB807" s="64"/>
      <c r="AC807" s="64"/>
      <c r="AD807" s="64"/>
      <c r="AE807" s="64"/>
      <c r="AF807" s="64"/>
      <c r="AG807" s="64"/>
      <c r="AH807" s="64"/>
      <c r="AI807" s="143"/>
      <c r="AJ807" s="134"/>
      <c r="AK807" s="194"/>
      <c r="AL807" s="90"/>
    </row>
    <row r="808" spans="1:38" ht="17.100000000000001" customHeight="1" x14ac:dyDescent="0.25">
      <c r="A808" s="197"/>
      <c r="G808" s="88"/>
      <c r="H808" s="182"/>
      <c r="L808" s="24"/>
      <c r="M808" s="24"/>
      <c r="N808" s="186"/>
      <c r="O808" s="190"/>
      <c r="P808" s="204"/>
      <c r="Q808" s="142"/>
      <c r="T808" s="201"/>
      <c r="Z808" s="151"/>
      <c r="AB808" s="64"/>
      <c r="AC808" s="64"/>
      <c r="AD808" s="64"/>
      <c r="AE808" s="64"/>
      <c r="AF808" s="64"/>
      <c r="AG808" s="64"/>
      <c r="AH808" s="64"/>
      <c r="AI808" s="143"/>
      <c r="AJ808" s="134"/>
      <c r="AK808" s="194"/>
      <c r="AL808" s="90"/>
    </row>
    <row r="809" spans="1:38" ht="17.100000000000001" customHeight="1" x14ac:dyDescent="0.25">
      <c r="A809" s="197"/>
      <c r="G809" s="88"/>
      <c r="H809" s="182"/>
      <c r="L809" s="24"/>
      <c r="M809" s="24"/>
      <c r="N809" s="186"/>
      <c r="O809" s="190"/>
      <c r="P809" s="204"/>
      <c r="Q809" s="142"/>
      <c r="T809" s="201"/>
      <c r="Z809" s="151"/>
      <c r="AB809" s="64"/>
      <c r="AC809" s="64"/>
      <c r="AD809" s="64"/>
      <c r="AE809" s="64"/>
      <c r="AF809" s="64"/>
      <c r="AG809" s="64"/>
      <c r="AH809" s="64"/>
      <c r="AI809" s="143"/>
      <c r="AJ809" s="134"/>
      <c r="AK809" s="194"/>
      <c r="AL809" s="90"/>
    </row>
    <row r="810" spans="1:38" ht="17.100000000000001" customHeight="1" x14ac:dyDescent="0.25">
      <c r="A810" s="197"/>
      <c r="G810" s="88"/>
      <c r="H810" s="182"/>
      <c r="L810" s="24"/>
      <c r="M810" s="24"/>
      <c r="N810" s="186"/>
      <c r="O810" s="190"/>
      <c r="P810" s="204"/>
      <c r="Q810" s="142"/>
      <c r="T810" s="201"/>
      <c r="Z810" s="151"/>
      <c r="AB810" s="64"/>
      <c r="AC810" s="64"/>
      <c r="AD810" s="64"/>
      <c r="AE810" s="64"/>
      <c r="AF810" s="64"/>
      <c r="AG810" s="64"/>
      <c r="AH810" s="64"/>
      <c r="AI810" s="143"/>
      <c r="AJ810" s="134"/>
      <c r="AK810" s="194"/>
      <c r="AL810" s="90"/>
    </row>
    <row r="811" spans="1:38" ht="17.100000000000001" customHeight="1" x14ac:dyDescent="0.25">
      <c r="A811" s="197"/>
      <c r="G811" s="88"/>
      <c r="H811" s="182"/>
      <c r="L811" s="24"/>
      <c r="M811" s="24"/>
      <c r="N811" s="186"/>
      <c r="O811" s="190"/>
      <c r="P811" s="204"/>
      <c r="Q811" s="142"/>
      <c r="T811" s="201"/>
      <c r="Z811" s="151"/>
      <c r="AB811" s="64"/>
      <c r="AC811" s="64"/>
      <c r="AD811" s="64"/>
      <c r="AE811" s="64"/>
      <c r="AF811" s="64"/>
      <c r="AG811" s="64"/>
      <c r="AH811" s="64"/>
      <c r="AI811" s="143"/>
      <c r="AJ811" s="134"/>
      <c r="AK811" s="194"/>
      <c r="AL811" s="90"/>
    </row>
    <row r="812" spans="1:38" ht="17.100000000000001" customHeight="1" x14ac:dyDescent="0.25">
      <c r="A812" s="197"/>
      <c r="G812" s="88"/>
      <c r="H812" s="182"/>
      <c r="L812" s="24"/>
      <c r="M812" s="24"/>
      <c r="N812" s="186"/>
      <c r="O812" s="190"/>
      <c r="P812" s="204"/>
      <c r="Q812" s="142"/>
      <c r="T812" s="201"/>
      <c r="Z812" s="151"/>
      <c r="AB812" s="64"/>
      <c r="AC812" s="64"/>
      <c r="AD812" s="64"/>
      <c r="AE812" s="64"/>
      <c r="AF812" s="64"/>
      <c r="AG812" s="64"/>
      <c r="AH812" s="64"/>
      <c r="AI812" s="143"/>
      <c r="AJ812" s="134"/>
      <c r="AK812" s="194"/>
      <c r="AL812" s="90"/>
    </row>
    <row r="813" spans="1:38" ht="17.100000000000001" customHeight="1" x14ac:dyDescent="0.25">
      <c r="A813" s="197"/>
      <c r="G813" s="88"/>
      <c r="H813" s="182"/>
      <c r="L813" s="24"/>
      <c r="M813" s="24"/>
      <c r="N813" s="186"/>
      <c r="O813" s="190"/>
      <c r="P813" s="204"/>
      <c r="Q813" s="142"/>
      <c r="T813" s="201"/>
      <c r="Z813" s="151"/>
      <c r="AB813" s="64"/>
      <c r="AC813" s="64"/>
      <c r="AD813" s="64"/>
      <c r="AE813" s="64"/>
      <c r="AF813" s="64"/>
      <c r="AG813" s="64"/>
      <c r="AH813" s="64"/>
      <c r="AI813" s="143"/>
      <c r="AJ813" s="134"/>
      <c r="AK813" s="194"/>
      <c r="AL813" s="90"/>
    </row>
    <row r="814" spans="1:38" ht="17.100000000000001" customHeight="1" x14ac:dyDescent="0.25">
      <c r="A814" s="197"/>
      <c r="G814" s="88"/>
      <c r="H814" s="182"/>
      <c r="L814" s="24"/>
      <c r="M814" s="24"/>
      <c r="N814" s="186"/>
      <c r="O814" s="190"/>
      <c r="P814" s="204"/>
      <c r="Q814" s="142"/>
      <c r="T814" s="201"/>
      <c r="Z814" s="151"/>
      <c r="AB814" s="64"/>
      <c r="AC814" s="64"/>
      <c r="AD814" s="64"/>
      <c r="AE814" s="64"/>
      <c r="AF814" s="64"/>
      <c r="AG814" s="64"/>
      <c r="AH814" s="64"/>
      <c r="AI814" s="143"/>
      <c r="AJ814" s="134"/>
      <c r="AK814" s="194"/>
      <c r="AL814" s="90"/>
    </row>
    <row r="815" spans="1:38" ht="17.100000000000001" customHeight="1" x14ac:dyDescent="0.25">
      <c r="A815" s="197"/>
      <c r="G815" s="88"/>
      <c r="H815" s="182"/>
      <c r="L815" s="24"/>
      <c r="M815" s="24"/>
      <c r="N815" s="186"/>
      <c r="O815" s="190"/>
      <c r="P815" s="204"/>
      <c r="Q815" s="142"/>
      <c r="T815" s="201"/>
      <c r="Z815" s="151"/>
      <c r="AB815" s="64"/>
      <c r="AC815" s="64"/>
      <c r="AD815" s="64"/>
      <c r="AE815" s="64"/>
      <c r="AF815" s="64"/>
      <c r="AG815" s="64"/>
      <c r="AH815" s="64"/>
      <c r="AI815" s="143"/>
      <c r="AJ815" s="134"/>
      <c r="AK815" s="194"/>
      <c r="AL815" s="90"/>
    </row>
    <row r="816" spans="1:38" ht="17.100000000000001" customHeight="1" x14ac:dyDescent="0.25">
      <c r="A816" s="197"/>
      <c r="G816" s="88"/>
      <c r="H816" s="182"/>
      <c r="L816" s="24"/>
      <c r="M816" s="24"/>
      <c r="N816" s="186"/>
      <c r="O816" s="190"/>
      <c r="P816" s="204"/>
      <c r="Q816" s="142"/>
      <c r="T816" s="201"/>
      <c r="Z816" s="151"/>
      <c r="AB816" s="64"/>
      <c r="AC816" s="64"/>
      <c r="AD816" s="64"/>
      <c r="AE816" s="64"/>
      <c r="AF816" s="64"/>
      <c r="AG816" s="64"/>
      <c r="AH816" s="64"/>
      <c r="AI816" s="143"/>
      <c r="AJ816" s="134"/>
      <c r="AK816" s="194"/>
      <c r="AL816" s="90"/>
    </row>
    <row r="817" spans="1:38" ht="17.100000000000001" customHeight="1" x14ac:dyDescent="0.25">
      <c r="A817" s="197"/>
      <c r="G817" s="88"/>
      <c r="H817" s="182"/>
      <c r="L817" s="24"/>
      <c r="M817" s="24"/>
      <c r="N817" s="186"/>
      <c r="O817" s="190"/>
      <c r="P817" s="204"/>
      <c r="Q817" s="142"/>
      <c r="T817" s="201"/>
      <c r="Z817" s="151"/>
      <c r="AB817" s="64"/>
      <c r="AC817" s="64"/>
      <c r="AD817" s="64"/>
      <c r="AE817" s="64"/>
      <c r="AF817" s="64"/>
      <c r="AG817" s="64"/>
      <c r="AH817" s="64"/>
      <c r="AI817" s="143"/>
      <c r="AJ817" s="134"/>
      <c r="AK817" s="194"/>
      <c r="AL817" s="90"/>
    </row>
    <row r="818" spans="1:38" ht="17.100000000000001" customHeight="1" x14ac:dyDescent="0.25">
      <c r="A818" s="197"/>
      <c r="G818" s="88"/>
      <c r="H818" s="182"/>
      <c r="L818" s="24"/>
      <c r="M818" s="24"/>
      <c r="N818" s="186"/>
      <c r="O818" s="190"/>
      <c r="P818" s="204"/>
      <c r="Q818" s="142"/>
      <c r="T818" s="201"/>
      <c r="Z818" s="151"/>
      <c r="AB818" s="64"/>
      <c r="AC818" s="64"/>
      <c r="AD818" s="64"/>
      <c r="AE818" s="64"/>
      <c r="AF818" s="64"/>
      <c r="AG818" s="64"/>
      <c r="AH818" s="64"/>
      <c r="AI818" s="143"/>
      <c r="AJ818" s="134"/>
      <c r="AK818" s="194"/>
      <c r="AL818" s="90"/>
    </row>
    <row r="819" spans="1:38" ht="17.100000000000001" customHeight="1" x14ac:dyDescent="0.25">
      <c r="A819" s="197"/>
      <c r="G819" s="88"/>
      <c r="H819" s="182"/>
      <c r="L819" s="24"/>
      <c r="M819" s="24"/>
      <c r="N819" s="186"/>
      <c r="O819" s="190"/>
      <c r="P819" s="204"/>
      <c r="Q819" s="142"/>
      <c r="T819" s="201"/>
      <c r="Z819" s="151"/>
      <c r="AB819" s="64"/>
      <c r="AC819" s="64"/>
      <c r="AD819" s="64"/>
      <c r="AE819" s="64"/>
      <c r="AF819" s="64"/>
      <c r="AG819" s="64"/>
      <c r="AH819" s="64"/>
      <c r="AI819" s="143"/>
      <c r="AJ819" s="134"/>
      <c r="AK819" s="194"/>
      <c r="AL819" s="90"/>
    </row>
    <row r="820" spans="1:38" ht="17.100000000000001" customHeight="1" x14ac:dyDescent="0.25">
      <c r="A820" s="197"/>
      <c r="G820" s="88"/>
      <c r="H820" s="182"/>
      <c r="L820" s="24"/>
      <c r="M820" s="24"/>
      <c r="N820" s="186"/>
      <c r="O820" s="190"/>
      <c r="P820" s="204"/>
      <c r="Q820" s="142"/>
      <c r="T820" s="201"/>
      <c r="Z820" s="151"/>
      <c r="AB820" s="64"/>
      <c r="AC820" s="64"/>
      <c r="AD820" s="64"/>
      <c r="AE820" s="64"/>
      <c r="AF820" s="64"/>
      <c r="AG820" s="64"/>
      <c r="AH820" s="64"/>
      <c r="AI820" s="143"/>
      <c r="AJ820" s="134"/>
      <c r="AK820" s="194"/>
      <c r="AL820" s="90"/>
    </row>
    <row r="821" spans="1:38" ht="17.100000000000001" customHeight="1" x14ac:dyDescent="0.25">
      <c r="A821" s="197"/>
      <c r="G821" s="88"/>
      <c r="H821" s="182"/>
      <c r="L821" s="24"/>
      <c r="M821" s="24"/>
      <c r="N821" s="186"/>
      <c r="O821" s="190"/>
      <c r="P821" s="204"/>
      <c r="Q821" s="142"/>
      <c r="T821" s="201"/>
      <c r="Z821" s="151"/>
      <c r="AB821" s="64"/>
      <c r="AC821" s="64"/>
      <c r="AD821" s="64"/>
      <c r="AE821" s="64"/>
      <c r="AF821" s="64"/>
      <c r="AG821" s="64"/>
      <c r="AH821" s="64"/>
      <c r="AI821" s="143"/>
      <c r="AJ821" s="134"/>
      <c r="AK821" s="194"/>
      <c r="AL821" s="90"/>
    </row>
    <row r="822" spans="1:38" ht="17.100000000000001" customHeight="1" x14ac:dyDescent="0.25">
      <c r="A822" s="197"/>
      <c r="G822" s="88"/>
      <c r="H822" s="182"/>
      <c r="L822" s="24"/>
      <c r="M822" s="24"/>
      <c r="N822" s="186"/>
      <c r="O822" s="190"/>
      <c r="P822" s="204"/>
      <c r="Q822" s="142"/>
      <c r="T822" s="201"/>
      <c r="Z822" s="151"/>
      <c r="AB822" s="64"/>
      <c r="AC822" s="64"/>
      <c r="AD822" s="64"/>
      <c r="AE822" s="64"/>
      <c r="AF822" s="64"/>
      <c r="AG822" s="64"/>
      <c r="AH822" s="64"/>
      <c r="AI822" s="143"/>
      <c r="AJ822" s="134"/>
      <c r="AK822" s="194"/>
      <c r="AL822" s="90"/>
    </row>
    <row r="823" spans="1:38" ht="17.100000000000001" customHeight="1" x14ac:dyDescent="0.25">
      <c r="A823" s="197"/>
      <c r="G823" s="88"/>
      <c r="H823" s="182"/>
      <c r="L823" s="24"/>
      <c r="M823" s="24"/>
      <c r="N823" s="186"/>
      <c r="O823" s="190"/>
      <c r="P823" s="204"/>
      <c r="Q823" s="142"/>
      <c r="T823" s="201"/>
      <c r="Z823" s="151"/>
      <c r="AB823" s="64"/>
      <c r="AC823" s="64"/>
      <c r="AD823" s="64"/>
      <c r="AE823" s="64"/>
      <c r="AF823" s="64"/>
      <c r="AG823" s="64"/>
      <c r="AH823" s="64"/>
      <c r="AI823" s="143"/>
      <c r="AJ823" s="134"/>
      <c r="AK823" s="194"/>
      <c r="AL823" s="90"/>
    </row>
    <row r="824" spans="1:38" ht="17.100000000000001" customHeight="1" x14ac:dyDescent="0.25">
      <c r="A824" s="197"/>
      <c r="G824" s="88"/>
      <c r="H824" s="182"/>
      <c r="L824" s="24"/>
      <c r="M824" s="24"/>
      <c r="N824" s="186"/>
      <c r="O824" s="190"/>
      <c r="P824" s="204"/>
      <c r="Q824" s="142"/>
      <c r="T824" s="201"/>
      <c r="Z824" s="151"/>
      <c r="AB824" s="64"/>
      <c r="AC824" s="64"/>
      <c r="AD824" s="64"/>
      <c r="AE824" s="64"/>
      <c r="AF824" s="64"/>
      <c r="AG824" s="64"/>
      <c r="AH824" s="64"/>
      <c r="AI824" s="143"/>
      <c r="AJ824" s="134"/>
      <c r="AK824" s="194"/>
      <c r="AL824" s="90"/>
    </row>
    <row r="825" spans="1:38" ht="17.100000000000001" customHeight="1" x14ac:dyDescent="0.25">
      <c r="A825" s="197"/>
      <c r="G825" s="88"/>
      <c r="H825" s="182"/>
      <c r="L825" s="24"/>
      <c r="M825" s="24"/>
      <c r="N825" s="186"/>
      <c r="O825" s="190"/>
      <c r="P825" s="204"/>
      <c r="Q825" s="142"/>
      <c r="T825" s="201"/>
      <c r="Z825" s="151"/>
      <c r="AB825" s="64"/>
      <c r="AC825" s="64"/>
      <c r="AD825" s="64"/>
      <c r="AE825" s="64"/>
      <c r="AF825" s="64"/>
      <c r="AG825" s="64"/>
      <c r="AH825" s="64"/>
      <c r="AI825" s="143"/>
      <c r="AJ825" s="134"/>
      <c r="AK825" s="194"/>
      <c r="AL825" s="90"/>
    </row>
    <row r="826" spans="1:38" ht="17.100000000000001" customHeight="1" x14ac:dyDescent="0.25">
      <c r="A826" s="197"/>
      <c r="G826" s="88"/>
      <c r="H826" s="182"/>
      <c r="L826" s="24"/>
      <c r="M826" s="24"/>
      <c r="N826" s="186"/>
      <c r="O826" s="190"/>
      <c r="P826" s="204"/>
      <c r="Q826" s="142"/>
      <c r="T826" s="201"/>
      <c r="Z826" s="151"/>
      <c r="AB826" s="64"/>
      <c r="AC826" s="64"/>
      <c r="AD826" s="64"/>
      <c r="AE826" s="64"/>
      <c r="AF826" s="64"/>
      <c r="AG826" s="64"/>
      <c r="AH826" s="64"/>
      <c r="AI826" s="143"/>
      <c r="AJ826" s="134"/>
      <c r="AK826" s="194"/>
      <c r="AL826" s="90"/>
    </row>
    <row r="827" spans="1:38" ht="17.100000000000001" customHeight="1" x14ac:dyDescent="0.25">
      <c r="A827" s="197"/>
      <c r="G827" s="88"/>
      <c r="H827" s="182"/>
      <c r="L827" s="24"/>
      <c r="M827" s="24"/>
      <c r="N827" s="186"/>
      <c r="O827" s="190"/>
      <c r="P827" s="204"/>
      <c r="Q827" s="142"/>
      <c r="T827" s="201"/>
      <c r="Z827" s="151"/>
      <c r="AB827" s="64"/>
      <c r="AC827" s="64"/>
      <c r="AD827" s="64"/>
      <c r="AE827" s="64"/>
      <c r="AF827" s="64"/>
      <c r="AG827" s="64"/>
      <c r="AH827" s="64"/>
      <c r="AI827" s="143"/>
      <c r="AJ827" s="134"/>
      <c r="AK827" s="194"/>
      <c r="AL827" s="90"/>
    </row>
    <row r="828" spans="1:38" ht="17.100000000000001" customHeight="1" x14ac:dyDescent="0.25">
      <c r="A828" s="197"/>
      <c r="G828" s="88"/>
      <c r="H828" s="182"/>
      <c r="L828" s="24"/>
      <c r="M828" s="24"/>
      <c r="N828" s="186"/>
      <c r="O828" s="190"/>
      <c r="P828" s="204"/>
      <c r="Q828" s="142"/>
      <c r="T828" s="201"/>
      <c r="Z828" s="151"/>
      <c r="AB828" s="64"/>
      <c r="AC828" s="64"/>
      <c r="AD828" s="64"/>
      <c r="AE828" s="64"/>
      <c r="AF828" s="64"/>
      <c r="AG828" s="64"/>
      <c r="AH828" s="64"/>
      <c r="AI828" s="143"/>
      <c r="AJ828" s="134"/>
      <c r="AK828" s="194"/>
      <c r="AL828" s="90"/>
    </row>
    <row r="829" spans="1:38" ht="17.100000000000001" customHeight="1" x14ac:dyDescent="0.25">
      <c r="A829" s="197"/>
      <c r="G829" s="88"/>
      <c r="H829" s="182"/>
      <c r="L829" s="24"/>
      <c r="M829" s="24"/>
      <c r="N829" s="186"/>
      <c r="O829" s="190"/>
      <c r="P829" s="204"/>
      <c r="Q829" s="142"/>
      <c r="T829" s="201"/>
      <c r="Z829" s="151"/>
      <c r="AB829" s="64"/>
      <c r="AC829" s="64"/>
      <c r="AD829" s="64"/>
      <c r="AE829" s="64"/>
      <c r="AF829" s="64"/>
      <c r="AG829" s="64"/>
      <c r="AH829" s="64"/>
      <c r="AI829" s="143"/>
      <c r="AJ829" s="134"/>
      <c r="AK829" s="194"/>
      <c r="AL829" s="90"/>
    </row>
    <row r="830" spans="1:38" ht="17.100000000000001" customHeight="1" x14ac:dyDescent="0.25">
      <c r="A830" s="197"/>
      <c r="G830" s="88"/>
      <c r="H830" s="182"/>
      <c r="L830" s="24"/>
      <c r="M830" s="24"/>
      <c r="N830" s="186"/>
      <c r="O830" s="190"/>
      <c r="P830" s="204"/>
      <c r="Q830" s="142"/>
      <c r="T830" s="201"/>
      <c r="Z830" s="151"/>
      <c r="AB830" s="64"/>
      <c r="AC830" s="64"/>
      <c r="AD830" s="64"/>
      <c r="AE830" s="64"/>
      <c r="AF830" s="64"/>
      <c r="AG830" s="64"/>
      <c r="AH830" s="64"/>
      <c r="AI830" s="143"/>
      <c r="AJ830" s="134"/>
      <c r="AK830" s="194"/>
      <c r="AL830" s="90"/>
    </row>
    <row r="831" spans="1:38" ht="17.100000000000001" customHeight="1" x14ac:dyDescent="0.25">
      <c r="A831" s="197"/>
      <c r="G831" s="88"/>
      <c r="H831" s="182"/>
      <c r="L831" s="24"/>
      <c r="M831" s="24"/>
      <c r="N831" s="186"/>
      <c r="O831" s="190"/>
      <c r="P831" s="204"/>
      <c r="Q831" s="142"/>
      <c r="T831" s="201"/>
      <c r="Z831" s="151"/>
      <c r="AB831" s="64"/>
      <c r="AC831" s="64"/>
      <c r="AD831" s="64"/>
      <c r="AE831" s="64"/>
      <c r="AF831" s="64"/>
      <c r="AG831" s="64"/>
      <c r="AH831" s="64"/>
      <c r="AI831" s="143"/>
      <c r="AJ831" s="134"/>
      <c r="AK831" s="194"/>
      <c r="AL831" s="90"/>
    </row>
    <row r="832" spans="1:38" ht="17.100000000000001" customHeight="1" x14ac:dyDescent="0.25">
      <c r="A832" s="197"/>
      <c r="G832" s="88"/>
      <c r="H832" s="182"/>
      <c r="L832" s="24"/>
      <c r="M832" s="24"/>
      <c r="N832" s="186"/>
      <c r="O832" s="190"/>
      <c r="P832" s="204"/>
      <c r="Q832" s="142"/>
      <c r="T832" s="201"/>
      <c r="Z832" s="151"/>
      <c r="AB832" s="64"/>
      <c r="AC832" s="64"/>
      <c r="AD832" s="64"/>
      <c r="AE832" s="64"/>
      <c r="AF832" s="64"/>
      <c r="AG832" s="64"/>
      <c r="AH832" s="64"/>
      <c r="AI832" s="143"/>
      <c r="AJ832" s="134"/>
      <c r="AK832" s="194"/>
      <c r="AL832" s="90"/>
    </row>
    <row r="833" spans="1:38" ht="17.100000000000001" customHeight="1" x14ac:dyDescent="0.25">
      <c r="A833" s="197"/>
      <c r="G833" s="88"/>
      <c r="H833" s="182"/>
      <c r="L833" s="24"/>
      <c r="M833" s="24"/>
      <c r="N833" s="186"/>
      <c r="O833" s="190"/>
      <c r="P833" s="204"/>
      <c r="Q833" s="142"/>
      <c r="T833" s="201"/>
      <c r="Z833" s="151"/>
      <c r="AB833" s="64"/>
      <c r="AC833" s="64"/>
      <c r="AD833" s="64"/>
      <c r="AE833" s="64"/>
      <c r="AF833" s="64"/>
      <c r="AG833" s="64"/>
      <c r="AH833" s="64"/>
      <c r="AI833" s="143"/>
      <c r="AJ833" s="134"/>
      <c r="AK833" s="194"/>
      <c r="AL833" s="90"/>
    </row>
    <row r="834" spans="1:38" ht="17.100000000000001" customHeight="1" x14ac:dyDescent="0.25">
      <c r="A834" s="197"/>
      <c r="G834" s="88"/>
      <c r="H834" s="182"/>
      <c r="L834" s="24"/>
      <c r="M834" s="24"/>
      <c r="N834" s="186"/>
      <c r="O834" s="190"/>
      <c r="P834" s="204"/>
      <c r="Q834" s="142"/>
      <c r="T834" s="201"/>
      <c r="Z834" s="151"/>
      <c r="AB834" s="64"/>
      <c r="AC834" s="64"/>
      <c r="AD834" s="64"/>
      <c r="AE834" s="64"/>
      <c r="AF834" s="64"/>
      <c r="AG834" s="64"/>
      <c r="AH834" s="64"/>
      <c r="AI834" s="143"/>
      <c r="AJ834" s="134"/>
      <c r="AK834" s="194"/>
      <c r="AL834" s="90"/>
    </row>
    <row r="835" spans="1:38" ht="17.100000000000001" customHeight="1" x14ac:dyDescent="0.25">
      <c r="A835" s="197"/>
      <c r="G835" s="88"/>
      <c r="H835" s="182"/>
      <c r="L835" s="24"/>
      <c r="M835" s="24"/>
      <c r="N835" s="186"/>
      <c r="O835" s="190"/>
      <c r="P835" s="204"/>
      <c r="Q835" s="142"/>
      <c r="T835" s="201"/>
      <c r="Z835" s="151"/>
      <c r="AB835" s="64"/>
      <c r="AC835" s="64"/>
      <c r="AD835" s="64"/>
      <c r="AE835" s="64"/>
      <c r="AF835" s="64"/>
      <c r="AG835" s="64"/>
      <c r="AH835" s="64"/>
      <c r="AI835" s="143"/>
      <c r="AJ835" s="134"/>
      <c r="AK835" s="194"/>
      <c r="AL835" s="90"/>
    </row>
    <row r="836" spans="1:38" ht="17.100000000000001" customHeight="1" x14ac:dyDescent="0.25">
      <c r="A836" s="197"/>
      <c r="G836" s="88"/>
      <c r="H836" s="182"/>
      <c r="L836" s="24"/>
      <c r="M836" s="24"/>
      <c r="N836" s="186"/>
      <c r="O836" s="190"/>
      <c r="P836" s="204"/>
      <c r="Q836" s="142"/>
      <c r="T836" s="201"/>
      <c r="Z836" s="151"/>
      <c r="AB836" s="64"/>
      <c r="AC836" s="64"/>
      <c r="AD836" s="64"/>
      <c r="AE836" s="64"/>
      <c r="AF836" s="64"/>
      <c r="AG836" s="64"/>
      <c r="AH836" s="64"/>
      <c r="AI836" s="143"/>
      <c r="AJ836" s="134"/>
      <c r="AK836" s="194"/>
      <c r="AL836" s="90"/>
    </row>
    <row r="837" spans="1:38" ht="17.100000000000001" customHeight="1" x14ac:dyDescent="0.25">
      <c r="A837" s="197"/>
      <c r="G837" s="88"/>
      <c r="H837" s="182"/>
      <c r="L837" s="24"/>
      <c r="M837" s="24"/>
      <c r="N837" s="186"/>
      <c r="O837" s="190"/>
      <c r="P837" s="204"/>
      <c r="Q837" s="142"/>
      <c r="T837" s="201"/>
      <c r="Z837" s="151"/>
      <c r="AB837" s="64"/>
      <c r="AC837" s="64"/>
      <c r="AD837" s="64"/>
      <c r="AE837" s="64"/>
      <c r="AF837" s="64"/>
      <c r="AG837" s="64"/>
      <c r="AH837" s="64"/>
      <c r="AI837" s="143"/>
      <c r="AJ837" s="134"/>
      <c r="AK837" s="194"/>
      <c r="AL837" s="90"/>
    </row>
    <row r="838" spans="1:38" ht="17.100000000000001" customHeight="1" x14ac:dyDescent="0.25">
      <c r="A838" s="197"/>
      <c r="G838" s="88"/>
      <c r="H838" s="182"/>
      <c r="L838" s="24"/>
      <c r="M838" s="24"/>
      <c r="N838" s="186"/>
      <c r="O838" s="190"/>
      <c r="P838" s="204"/>
      <c r="Q838" s="142"/>
      <c r="T838" s="201"/>
      <c r="Z838" s="151"/>
      <c r="AB838" s="64"/>
      <c r="AC838" s="64"/>
      <c r="AD838" s="64"/>
      <c r="AE838" s="64"/>
      <c r="AF838" s="64"/>
      <c r="AG838" s="64"/>
      <c r="AH838" s="64"/>
      <c r="AI838" s="143"/>
      <c r="AJ838" s="134"/>
      <c r="AK838" s="194"/>
      <c r="AL838" s="90"/>
    </row>
    <row r="839" spans="1:38" ht="17.100000000000001" customHeight="1" x14ac:dyDescent="0.25">
      <c r="A839" s="197"/>
      <c r="G839" s="88"/>
      <c r="H839" s="182"/>
      <c r="L839" s="24"/>
      <c r="M839" s="24"/>
      <c r="N839" s="186"/>
      <c r="O839" s="190"/>
      <c r="P839" s="204"/>
      <c r="Q839" s="142"/>
      <c r="T839" s="201"/>
      <c r="Z839" s="151"/>
      <c r="AB839" s="64"/>
      <c r="AC839" s="64"/>
      <c r="AD839" s="64"/>
      <c r="AE839" s="64"/>
      <c r="AF839" s="64"/>
      <c r="AG839" s="64"/>
      <c r="AH839" s="64"/>
      <c r="AI839" s="143"/>
      <c r="AJ839" s="134"/>
      <c r="AK839" s="194"/>
      <c r="AL839" s="90"/>
    </row>
    <row r="840" spans="1:38" ht="17.100000000000001" customHeight="1" x14ac:dyDescent="0.25">
      <c r="A840" s="197"/>
      <c r="G840" s="88"/>
      <c r="H840" s="182"/>
      <c r="L840" s="24"/>
      <c r="M840" s="24"/>
      <c r="N840" s="186"/>
      <c r="O840" s="190"/>
      <c r="P840" s="204"/>
      <c r="Q840" s="142"/>
      <c r="T840" s="201"/>
      <c r="Z840" s="151"/>
      <c r="AB840" s="64"/>
      <c r="AC840" s="64"/>
      <c r="AD840" s="64"/>
      <c r="AE840" s="64"/>
      <c r="AF840" s="64"/>
      <c r="AG840" s="64"/>
      <c r="AH840" s="64"/>
      <c r="AI840" s="143"/>
      <c r="AJ840" s="134"/>
      <c r="AK840" s="194"/>
      <c r="AL840" s="90"/>
    </row>
    <row r="841" spans="1:38" ht="17.100000000000001" customHeight="1" x14ac:dyDescent="0.25">
      <c r="A841" s="197"/>
      <c r="G841" s="88"/>
      <c r="H841" s="182"/>
      <c r="L841" s="24"/>
      <c r="M841" s="24"/>
      <c r="N841" s="186"/>
      <c r="O841" s="190"/>
      <c r="P841" s="204"/>
      <c r="Q841" s="142"/>
      <c r="T841" s="201"/>
      <c r="Z841" s="151"/>
      <c r="AB841" s="64"/>
      <c r="AC841" s="64"/>
      <c r="AD841" s="64"/>
      <c r="AE841" s="64"/>
      <c r="AF841" s="64"/>
      <c r="AG841" s="64"/>
      <c r="AH841" s="64"/>
      <c r="AI841" s="143"/>
      <c r="AJ841" s="134"/>
      <c r="AK841" s="194"/>
      <c r="AL841" s="90"/>
    </row>
    <row r="842" spans="1:38" ht="17.100000000000001" customHeight="1" x14ac:dyDescent="0.25">
      <c r="A842" s="197"/>
      <c r="G842" s="88"/>
      <c r="H842" s="182"/>
      <c r="L842" s="24"/>
      <c r="M842" s="24"/>
      <c r="N842" s="186"/>
      <c r="O842" s="190"/>
      <c r="P842" s="204"/>
      <c r="Q842" s="142"/>
      <c r="T842" s="201"/>
      <c r="Z842" s="151"/>
      <c r="AB842" s="64"/>
      <c r="AC842" s="64"/>
      <c r="AD842" s="64"/>
      <c r="AE842" s="64"/>
      <c r="AF842" s="64"/>
      <c r="AG842" s="64"/>
      <c r="AH842" s="64"/>
      <c r="AI842" s="143"/>
      <c r="AJ842" s="134"/>
      <c r="AK842" s="194"/>
      <c r="AL842" s="90"/>
    </row>
    <row r="843" spans="1:38" ht="17.100000000000001" customHeight="1" x14ac:dyDescent="0.25">
      <c r="A843" s="197"/>
      <c r="G843" s="88"/>
      <c r="H843" s="182"/>
      <c r="L843" s="24"/>
      <c r="M843" s="24"/>
      <c r="N843" s="186"/>
      <c r="O843" s="190"/>
      <c r="P843" s="204"/>
      <c r="Q843" s="142"/>
      <c r="T843" s="201"/>
      <c r="Z843" s="151"/>
      <c r="AB843" s="64"/>
      <c r="AC843" s="64"/>
      <c r="AD843" s="64"/>
      <c r="AE843" s="64"/>
      <c r="AF843" s="64"/>
      <c r="AG843" s="64"/>
      <c r="AH843" s="64"/>
      <c r="AI843" s="143"/>
      <c r="AJ843" s="134"/>
      <c r="AK843" s="194"/>
      <c r="AL843" s="90"/>
    </row>
    <row r="844" spans="1:38" ht="17.100000000000001" customHeight="1" x14ac:dyDescent="0.25">
      <c r="A844" s="197"/>
      <c r="G844" s="88"/>
      <c r="H844" s="182"/>
      <c r="L844" s="24"/>
      <c r="M844" s="24"/>
      <c r="N844" s="186"/>
      <c r="O844" s="190"/>
      <c r="P844" s="204"/>
      <c r="Q844" s="142"/>
      <c r="T844" s="201"/>
      <c r="Z844" s="151"/>
      <c r="AB844" s="64"/>
      <c r="AC844" s="64"/>
      <c r="AD844" s="64"/>
      <c r="AE844" s="64"/>
      <c r="AF844" s="64"/>
      <c r="AG844" s="64"/>
      <c r="AH844" s="64"/>
      <c r="AI844" s="143"/>
      <c r="AJ844" s="134"/>
      <c r="AK844" s="194"/>
      <c r="AL844" s="90"/>
    </row>
    <row r="845" spans="1:38" ht="17.100000000000001" customHeight="1" x14ac:dyDescent="0.25">
      <c r="A845" s="197"/>
      <c r="G845" s="88"/>
      <c r="H845" s="182"/>
      <c r="L845" s="24"/>
      <c r="M845" s="24"/>
      <c r="N845" s="186"/>
      <c r="O845" s="190"/>
      <c r="P845" s="204"/>
      <c r="Q845" s="142"/>
      <c r="T845" s="201"/>
      <c r="Z845" s="151"/>
      <c r="AB845" s="64"/>
      <c r="AC845" s="64"/>
      <c r="AD845" s="64"/>
      <c r="AE845" s="64"/>
      <c r="AF845" s="64"/>
      <c r="AG845" s="64"/>
      <c r="AH845" s="64"/>
      <c r="AI845" s="143"/>
      <c r="AJ845" s="134"/>
      <c r="AK845" s="194"/>
      <c r="AL845" s="90"/>
    </row>
    <row r="846" spans="1:38" ht="17.100000000000001" customHeight="1" x14ac:dyDescent="0.25">
      <c r="A846" s="197"/>
      <c r="G846" s="88"/>
      <c r="H846" s="182"/>
      <c r="L846" s="24"/>
      <c r="M846" s="24"/>
      <c r="N846" s="186"/>
      <c r="O846" s="190"/>
      <c r="P846" s="204"/>
      <c r="Q846" s="142"/>
      <c r="T846" s="201"/>
      <c r="Z846" s="151"/>
      <c r="AB846" s="64"/>
      <c r="AC846" s="64"/>
      <c r="AD846" s="64"/>
      <c r="AE846" s="64"/>
      <c r="AF846" s="64"/>
      <c r="AG846" s="64"/>
      <c r="AH846" s="64"/>
      <c r="AI846" s="143"/>
      <c r="AJ846" s="134"/>
      <c r="AK846" s="194"/>
      <c r="AL846" s="90"/>
    </row>
    <row r="847" spans="1:38" ht="17.100000000000001" customHeight="1" x14ac:dyDescent="0.25">
      <c r="A847" s="197"/>
      <c r="G847" s="88"/>
      <c r="H847" s="182"/>
      <c r="L847" s="24"/>
      <c r="M847" s="24"/>
      <c r="N847" s="186"/>
      <c r="O847" s="190"/>
      <c r="P847" s="204"/>
      <c r="Q847" s="142"/>
      <c r="T847" s="201"/>
      <c r="Z847" s="151"/>
      <c r="AB847" s="64"/>
      <c r="AC847" s="64"/>
      <c r="AD847" s="64"/>
      <c r="AE847" s="64"/>
      <c r="AF847" s="64"/>
      <c r="AG847" s="64"/>
      <c r="AH847" s="64"/>
      <c r="AI847" s="143"/>
      <c r="AJ847" s="134"/>
      <c r="AK847" s="194"/>
      <c r="AL847" s="90"/>
    </row>
    <row r="848" spans="1:38" ht="17.100000000000001" customHeight="1" x14ac:dyDescent="0.25">
      <c r="A848" s="197"/>
      <c r="G848" s="88"/>
      <c r="H848" s="182"/>
      <c r="L848" s="24"/>
      <c r="M848" s="24"/>
      <c r="N848" s="186"/>
      <c r="O848" s="190"/>
      <c r="P848" s="204"/>
      <c r="Q848" s="142"/>
      <c r="T848" s="201"/>
      <c r="Z848" s="151"/>
      <c r="AB848" s="64"/>
      <c r="AC848" s="64"/>
      <c r="AD848" s="64"/>
      <c r="AE848" s="64"/>
      <c r="AF848" s="64"/>
      <c r="AG848" s="64"/>
      <c r="AH848" s="64"/>
      <c r="AI848" s="143"/>
      <c r="AJ848" s="134"/>
      <c r="AK848" s="194"/>
      <c r="AL848" s="90"/>
    </row>
    <row r="849" spans="1:38" ht="17.100000000000001" customHeight="1" x14ac:dyDescent="0.25">
      <c r="A849" s="197"/>
      <c r="G849" s="88"/>
      <c r="H849" s="182"/>
      <c r="L849" s="24"/>
      <c r="M849" s="24"/>
      <c r="N849" s="186"/>
      <c r="O849" s="190"/>
      <c r="P849" s="204"/>
      <c r="Q849" s="142"/>
      <c r="T849" s="201"/>
      <c r="Z849" s="151"/>
      <c r="AB849" s="64"/>
      <c r="AC849" s="64"/>
      <c r="AD849" s="64"/>
      <c r="AE849" s="64"/>
      <c r="AF849" s="64"/>
      <c r="AG849" s="64"/>
      <c r="AH849" s="64"/>
      <c r="AI849" s="143"/>
      <c r="AJ849" s="134"/>
      <c r="AK849" s="194"/>
      <c r="AL849" s="90"/>
    </row>
    <row r="850" spans="1:38" ht="17.100000000000001" customHeight="1" x14ac:dyDescent="0.25">
      <c r="A850" s="197"/>
      <c r="G850" s="88"/>
      <c r="H850" s="182"/>
      <c r="L850" s="24"/>
      <c r="M850" s="24"/>
      <c r="N850" s="186"/>
      <c r="O850" s="190"/>
      <c r="P850" s="204"/>
      <c r="Q850" s="142"/>
      <c r="T850" s="201"/>
      <c r="Z850" s="151"/>
      <c r="AB850" s="64"/>
      <c r="AC850" s="64"/>
      <c r="AD850" s="64"/>
      <c r="AE850" s="64"/>
      <c r="AF850" s="64"/>
      <c r="AG850" s="64"/>
      <c r="AH850" s="64"/>
      <c r="AI850" s="143"/>
      <c r="AJ850" s="134"/>
      <c r="AK850" s="194"/>
      <c r="AL850" s="90"/>
    </row>
    <row r="851" spans="1:38" ht="17.100000000000001" customHeight="1" x14ac:dyDescent="0.25">
      <c r="A851" s="197"/>
      <c r="G851" s="88"/>
      <c r="H851" s="182"/>
      <c r="L851" s="24"/>
      <c r="M851" s="24"/>
      <c r="N851" s="186"/>
      <c r="O851" s="190"/>
      <c r="P851" s="204"/>
      <c r="Q851" s="142"/>
      <c r="T851" s="201"/>
      <c r="Z851" s="151"/>
      <c r="AB851" s="64"/>
      <c r="AC851" s="64"/>
      <c r="AD851" s="64"/>
      <c r="AE851" s="64"/>
      <c r="AF851" s="64"/>
      <c r="AG851" s="64"/>
      <c r="AH851" s="64"/>
      <c r="AI851" s="143"/>
      <c r="AJ851" s="134"/>
      <c r="AK851" s="194"/>
      <c r="AL851" s="90"/>
    </row>
    <row r="852" spans="1:38" ht="17.100000000000001" customHeight="1" x14ac:dyDescent="0.25">
      <c r="A852" s="197"/>
      <c r="G852" s="88"/>
      <c r="H852" s="182"/>
      <c r="L852" s="24"/>
      <c r="M852" s="24"/>
      <c r="N852" s="186"/>
      <c r="O852" s="190"/>
      <c r="P852" s="204"/>
      <c r="Q852" s="142"/>
      <c r="T852" s="201"/>
      <c r="Z852" s="151"/>
      <c r="AB852" s="64"/>
      <c r="AC852" s="64"/>
      <c r="AD852" s="64"/>
      <c r="AE852" s="64"/>
      <c r="AF852" s="64"/>
      <c r="AG852" s="64"/>
      <c r="AH852" s="64"/>
      <c r="AI852" s="143"/>
      <c r="AJ852" s="134"/>
      <c r="AK852" s="194"/>
      <c r="AL852" s="90"/>
    </row>
    <row r="853" spans="1:38" ht="17.100000000000001" customHeight="1" x14ac:dyDescent="0.25">
      <c r="A853" s="197"/>
      <c r="G853" s="88"/>
      <c r="H853" s="182"/>
      <c r="L853" s="24"/>
      <c r="M853" s="24"/>
      <c r="N853" s="186"/>
      <c r="O853" s="190"/>
      <c r="P853" s="204"/>
      <c r="Q853" s="142"/>
      <c r="T853" s="201"/>
      <c r="Z853" s="151"/>
      <c r="AB853" s="64"/>
      <c r="AC853" s="64"/>
      <c r="AD853" s="64"/>
      <c r="AE853" s="64"/>
      <c r="AF853" s="64"/>
      <c r="AG853" s="64"/>
      <c r="AH853" s="64"/>
      <c r="AI853" s="143"/>
      <c r="AJ853" s="134"/>
      <c r="AK853" s="194"/>
      <c r="AL853" s="90"/>
    </row>
    <row r="854" spans="1:38" ht="17.100000000000001" customHeight="1" x14ac:dyDescent="0.25">
      <c r="A854" s="197"/>
      <c r="G854" s="88"/>
      <c r="H854" s="182"/>
      <c r="L854" s="24"/>
      <c r="M854" s="24"/>
      <c r="N854" s="186"/>
      <c r="O854" s="190"/>
      <c r="P854" s="204"/>
      <c r="Q854" s="142"/>
      <c r="T854" s="201"/>
      <c r="Z854" s="151"/>
      <c r="AB854" s="64"/>
      <c r="AC854" s="64"/>
      <c r="AD854" s="64"/>
      <c r="AE854" s="64"/>
      <c r="AF854" s="64"/>
      <c r="AG854" s="64"/>
      <c r="AH854" s="64"/>
      <c r="AI854" s="143"/>
      <c r="AJ854" s="134"/>
      <c r="AK854" s="194"/>
      <c r="AL854" s="90"/>
    </row>
    <row r="855" spans="1:38" ht="17.100000000000001" customHeight="1" x14ac:dyDescent="0.25">
      <c r="A855" s="197"/>
      <c r="G855" s="88"/>
      <c r="H855" s="182"/>
      <c r="L855" s="24"/>
      <c r="M855" s="24"/>
      <c r="N855" s="186"/>
      <c r="O855" s="190"/>
      <c r="P855" s="204"/>
      <c r="Q855" s="142"/>
      <c r="T855" s="201"/>
      <c r="Z855" s="151"/>
      <c r="AB855" s="64"/>
      <c r="AC855" s="64"/>
      <c r="AD855" s="64"/>
      <c r="AE855" s="64"/>
      <c r="AF855" s="64"/>
      <c r="AG855" s="64"/>
      <c r="AH855" s="64"/>
      <c r="AI855" s="143"/>
      <c r="AJ855" s="134"/>
      <c r="AK855" s="194"/>
      <c r="AL855" s="90"/>
    </row>
    <row r="856" spans="1:38" ht="17.100000000000001" customHeight="1" x14ac:dyDescent="0.25">
      <c r="A856" s="197"/>
      <c r="G856" s="88"/>
      <c r="H856" s="182"/>
      <c r="L856" s="24"/>
      <c r="M856" s="24"/>
      <c r="N856" s="186"/>
      <c r="O856" s="190"/>
      <c r="P856" s="204"/>
      <c r="Q856" s="142"/>
      <c r="T856" s="201"/>
      <c r="Z856" s="151"/>
      <c r="AB856" s="64"/>
      <c r="AC856" s="64"/>
      <c r="AD856" s="64"/>
      <c r="AE856" s="64"/>
      <c r="AF856" s="64"/>
      <c r="AG856" s="64"/>
      <c r="AH856" s="64"/>
      <c r="AI856" s="143"/>
      <c r="AJ856" s="134"/>
      <c r="AK856" s="194"/>
      <c r="AL856" s="90"/>
    </row>
    <row r="857" spans="1:38" ht="17.100000000000001" customHeight="1" x14ac:dyDescent="0.25">
      <c r="A857" s="197"/>
      <c r="G857" s="88"/>
      <c r="H857" s="182"/>
      <c r="L857" s="24"/>
      <c r="M857" s="24"/>
      <c r="N857" s="186"/>
      <c r="O857" s="190"/>
      <c r="P857" s="204"/>
      <c r="Q857" s="142"/>
      <c r="T857" s="201"/>
      <c r="Z857" s="151"/>
      <c r="AB857" s="64"/>
      <c r="AC857" s="64"/>
      <c r="AD857" s="64"/>
      <c r="AE857" s="64"/>
      <c r="AF857" s="64"/>
      <c r="AG857" s="64"/>
      <c r="AH857" s="64"/>
      <c r="AI857" s="143"/>
      <c r="AJ857" s="134"/>
      <c r="AK857" s="194"/>
      <c r="AL857" s="90"/>
    </row>
    <row r="858" spans="1:38" ht="17.100000000000001" customHeight="1" x14ac:dyDescent="0.25">
      <c r="A858" s="197"/>
      <c r="G858" s="88"/>
      <c r="H858" s="182"/>
      <c r="L858" s="24"/>
      <c r="M858" s="24"/>
      <c r="N858" s="186"/>
      <c r="O858" s="190"/>
      <c r="P858" s="204"/>
      <c r="Q858" s="142"/>
      <c r="T858" s="201"/>
      <c r="Z858" s="151"/>
      <c r="AB858" s="64"/>
      <c r="AC858" s="64"/>
      <c r="AD858" s="64"/>
      <c r="AE858" s="64"/>
      <c r="AF858" s="64"/>
      <c r="AG858" s="64"/>
      <c r="AH858" s="64"/>
      <c r="AI858" s="143"/>
      <c r="AJ858" s="134"/>
      <c r="AK858" s="194"/>
      <c r="AL858" s="90"/>
    </row>
    <row r="859" spans="1:38" ht="17.100000000000001" customHeight="1" x14ac:dyDescent="0.25">
      <c r="A859" s="197"/>
      <c r="G859" s="88"/>
      <c r="H859" s="182"/>
      <c r="L859" s="24"/>
      <c r="M859" s="24"/>
      <c r="N859" s="186"/>
      <c r="O859" s="190"/>
      <c r="P859" s="204"/>
      <c r="Q859" s="142"/>
      <c r="T859" s="201"/>
      <c r="Z859" s="151"/>
      <c r="AB859" s="64"/>
      <c r="AC859" s="64"/>
      <c r="AD859" s="64"/>
      <c r="AE859" s="64"/>
      <c r="AF859" s="64"/>
      <c r="AG859" s="64"/>
      <c r="AH859" s="64"/>
      <c r="AI859" s="143"/>
      <c r="AJ859" s="134"/>
      <c r="AK859" s="194"/>
      <c r="AL859" s="90"/>
    </row>
    <row r="860" spans="1:38" ht="17.100000000000001" customHeight="1" x14ac:dyDescent="0.25">
      <c r="A860" s="197"/>
      <c r="G860" s="88"/>
      <c r="H860" s="182"/>
      <c r="L860" s="24"/>
      <c r="M860" s="24"/>
      <c r="N860" s="186"/>
      <c r="O860" s="190"/>
      <c r="P860" s="204"/>
      <c r="Q860" s="142"/>
      <c r="T860" s="201"/>
      <c r="Z860" s="151"/>
      <c r="AB860" s="64"/>
      <c r="AC860" s="64"/>
      <c r="AD860" s="64"/>
      <c r="AE860" s="64"/>
      <c r="AF860" s="64"/>
      <c r="AG860" s="64"/>
      <c r="AH860" s="64"/>
      <c r="AI860" s="143"/>
      <c r="AJ860" s="134"/>
      <c r="AK860" s="194"/>
      <c r="AL860" s="90"/>
    </row>
    <row r="861" spans="1:38" ht="17.100000000000001" customHeight="1" x14ac:dyDescent="0.25">
      <c r="A861" s="197"/>
      <c r="G861" s="88"/>
      <c r="H861" s="182"/>
      <c r="L861" s="24"/>
      <c r="M861" s="24"/>
      <c r="N861" s="186"/>
      <c r="O861" s="190"/>
      <c r="P861" s="204"/>
      <c r="Q861" s="142"/>
      <c r="T861" s="201"/>
      <c r="Z861" s="151"/>
      <c r="AB861" s="64"/>
      <c r="AC861" s="64"/>
      <c r="AD861" s="64"/>
      <c r="AE861" s="64"/>
      <c r="AF861" s="64"/>
      <c r="AG861" s="64"/>
      <c r="AH861" s="64"/>
      <c r="AI861" s="143"/>
      <c r="AJ861" s="134"/>
      <c r="AK861" s="194"/>
      <c r="AL861" s="90"/>
    </row>
    <row r="862" spans="1:38" ht="17.100000000000001" customHeight="1" x14ac:dyDescent="0.25">
      <c r="A862" s="197"/>
      <c r="G862" s="88"/>
      <c r="H862" s="182"/>
      <c r="L862" s="24"/>
      <c r="M862" s="24"/>
      <c r="N862" s="186"/>
      <c r="O862" s="190"/>
      <c r="P862" s="204"/>
      <c r="Q862" s="142"/>
      <c r="T862" s="201"/>
      <c r="Z862" s="151"/>
      <c r="AB862" s="64"/>
      <c r="AC862" s="64"/>
      <c r="AD862" s="64"/>
      <c r="AE862" s="64"/>
      <c r="AF862" s="64"/>
      <c r="AG862" s="64"/>
      <c r="AH862" s="64"/>
      <c r="AI862" s="143"/>
      <c r="AJ862" s="134"/>
      <c r="AK862" s="194"/>
      <c r="AL862" s="90"/>
    </row>
    <row r="863" spans="1:38" ht="17.100000000000001" customHeight="1" x14ac:dyDescent="0.25">
      <c r="A863" s="197"/>
      <c r="G863" s="88"/>
      <c r="H863" s="182"/>
      <c r="L863" s="24"/>
      <c r="M863" s="24"/>
      <c r="N863" s="186"/>
      <c r="O863" s="190"/>
      <c r="P863" s="204"/>
      <c r="Q863" s="142"/>
      <c r="T863" s="201"/>
      <c r="Z863" s="151"/>
      <c r="AB863" s="64"/>
      <c r="AC863" s="64"/>
      <c r="AD863" s="64"/>
      <c r="AE863" s="64"/>
      <c r="AF863" s="64"/>
      <c r="AG863" s="64"/>
      <c r="AH863" s="64"/>
      <c r="AI863" s="143"/>
      <c r="AJ863" s="134"/>
      <c r="AK863" s="194"/>
      <c r="AL863" s="90"/>
    </row>
    <row r="864" spans="1:38" ht="17.100000000000001" customHeight="1" x14ac:dyDescent="0.25">
      <c r="A864" s="197"/>
      <c r="G864" s="88"/>
      <c r="H864" s="182"/>
      <c r="L864" s="24"/>
      <c r="M864" s="24"/>
      <c r="N864" s="186"/>
      <c r="O864" s="190"/>
      <c r="P864" s="204"/>
      <c r="Q864" s="142"/>
      <c r="T864" s="201"/>
      <c r="Z864" s="151"/>
      <c r="AB864" s="64"/>
      <c r="AC864" s="64"/>
      <c r="AD864" s="64"/>
      <c r="AE864" s="64"/>
      <c r="AF864" s="64"/>
      <c r="AG864" s="64"/>
      <c r="AH864" s="64"/>
      <c r="AI864" s="143"/>
      <c r="AJ864" s="134"/>
      <c r="AK864" s="194"/>
      <c r="AL864" s="90"/>
    </row>
    <row r="865" spans="1:38" ht="17.100000000000001" customHeight="1" x14ac:dyDescent="0.25">
      <c r="A865" s="197"/>
      <c r="G865" s="88"/>
      <c r="H865" s="182"/>
      <c r="L865" s="24"/>
      <c r="M865" s="24"/>
      <c r="N865" s="186"/>
      <c r="O865" s="190"/>
      <c r="P865" s="204"/>
      <c r="Q865" s="142"/>
      <c r="T865" s="201"/>
      <c r="Z865" s="151"/>
      <c r="AB865" s="64"/>
      <c r="AC865" s="64"/>
      <c r="AD865" s="64"/>
      <c r="AE865" s="64"/>
      <c r="AF865" s="64"/>
      <c r="AG865" s="64"/>
      <c r="AH865" s="64"/>
      <c r="AI865" s="143"/>
      <c r="AJ865" s="134"/>
      <c r="AK865" s="194"/>
      <c r="AL865" s="90"/>
    </row>
    <row r="866" spans="1:38" ht="17.100000000000001" customHeight="1" x14ac:dyDescent="0.25">
      <c r="A866" s="197"/>
      <c r="G866" s="88"/>
      <c r="H866" s="182"/>
      <c r="L866" s="24"/>
      <c r="M866" s="24"/>
      <c r="N866" s="186"/>
      <c r="O866" s="190"/>
      <c r="P866" s="204"/>
      <c r="Q866" s="142"/>
      <c r="T866" s="201"/>
      <c r="Z866" s="151"/>
      <c r="AB866" s="64"/>
      <c r="AC866" s="64"/>
      <c r="AD866" s="64"/>
      <c r="AE866" s="64"/>
      <c r="AF866" s="64"/>
      <c r="AG866" s="64"/>
      <c r="AH866" s="64"/>
      <c r="AI866" s="143"/>
      <c r="AJ866" s="134"/>
      <c r="AK866" s="194"/>
      <c r="AL866" s="90"/>
    </row>
    <row r="867" spans="1:38" ht="17.100000000000001" customHeight="1" x14ac:dyDescent="0.25">
      <c r="A867" s="197"/>
      <c r="G867" s="88"/>
      <c r="H867" s="182"/>
      <c r="L867" s="24"/>
      <c r="M867" s="24"/>
      <c r="N867" s="186"/>
      <c r="O867" s="190"/>
      <c r="P867" s="204"/>
      <c r="Q867" s="142"/>
      <c r="T867" s="201"/>
      <c r="Z867" s="151"/>
      <c r="AB867" s="64"/>
      <c r="AC867" s="64"/>
      <c r="AD867" s="64"/>
      <c r="AE867" s="64"/>
      <c r="AF867" s="64"/>
      <c r="AG867" s="64"/>
      <c r="AH867" s="64"/>
      <c r="AI867" s="143"/>
      <c r="AJ867" s="134"/>
      <c r="AK867" s="194"/>
      <c r="AL867" s="90"/>
    </row>
    <row r="868" spans="1:38" ht="17.100000000000001" customHeight="1" x14ac:dyDescent="0.25">
      <c r="A868" s="197"/>
      <c r="G868" s="88"/>
      <c r="H868" s="182"/>
      <c r="L868" s="24"/>
      <c r="M868" s="24"/>
      <c r="N868" s="186"/>
      <c r="O868" s="190"/>
      <c r="P868" s="204"/>
      <c r="Q868" s="142"/>
      <c r="T868" s="201"/>
      <c r="Z868" s="151"/>
      <c r="AB868" s="64"/>
      <c r="AC868" s="64"/>
      <c r="AD868" s="64"/>
      <c r="AE868" s="64"/>
      <c r="AF868" s="64"/>
      <c r="AG868" s="64"/>
      <c r="AH868" s="64"/>
      <c r="AI868" s="143"/>
      <c r="AJ868" s="134"/>
      <c r="AK868" s="194"/>
      <c r="AL868" s="90"/>
    </row>
    <row r="869" spans="1:38" ht="17.100000000000001" customHeight="1" x14ac:dyDescent="0.25">
      <c r="A869" s="197"/>
      <c r="G869" s="88"/>
      <c r="H869" s="182"/>
      <c r="L869" s="24"/>
      <c r="M869" s="24"/>
      <c r="N869" s="186"/>
      <c r="O869" s="190"/>
      <c r="P869" s="204"/>
      <c r="Q869" s="142"/>
      <c r="T869" s="201"/>
      <c r="Z869" s="151"/>
      <c r="AB869" s="64"/>
      <c r="AC869" s="64"/>
      <c r="AD869" s="64"/>
      <c r="AE869" s="64"/>
      <c r="AF869" s="64"/>
      <c r="AG869" s="64"/>
      <c r="AH869" s="64"/>
      <c r="AI869" s="143"/>
      <c r="AJ869" s="134"/>
      <c r="AK869" s="194"/>
      <c r="AL869" s="90"/>
    </row>
    <row r="870" spans="1:38" ht="17.100000000000001" customHeight="1" x14ac:dyDescent="0.25">
      <c r="A870" s="197"/>
      <c r="G870" s="88"/>
      <c r="H870" s="182"/>
      <c r="L870" s="24"/>
      <c r="M870" s="24"/>
      <c r="N870" s="186"/>
      <c r="O870" s="190"/>
      <c r="P870" s="204"/>
      <c r="Q870" s="142"/>
      <c r="T870" s="201"/>
      <c r="Z870" s="151"/>
      <c r="AB870" s="64"/>
      <c r="AC870" s="64"/>
      <c r="AD870" s="64"/>
      <c r="AE870" s="64"/>
      <c r="AF870" s="64"/>
      <c r="AG870" s="64"/>
      <c r="AH870" s="64"/>
      <c r="AI870" s="143"/>
      <c r="AJ870" s="134"/>
      <c r="AK870" s="194"/>
      <c r="AL870" s="90"/>
    </row>
    <row r="871" spans="1:38" ht="17.100000000000001" customHeight="1" x14ac:dyDescent="0.25">
      <c r="A871" s="197"/>
      <c r="G871" s="88"/>
      <c r="H871" s="182"/>
      <c r="L871" s="24"/>
      <c r="M871" s="24"/>
      <c r="N871" s="186"/>
      <c r="O871" s="190"/>
      <c r="P871" s="204"/>
      <c r="Q871" s="142"/>
      <c r="T871" s="201"/>
      <c r="Z871" s="151"/>
      <c r="AB871" s="64"/>
      <c r="AC871" s="64"/>
      <c r="AD871" s="64"/>
      <c r="AE871" s="64"/>
      <c r="AF871" s="64"/>
      <c r="AG871" s="64"/>
      <c r="AH871" s="64"/>
      <c r="AI871" s="143"/>
      <c r="AJ871" s="134"/>
      <c r="AK871" s="194"/>
      <c r="AL871" s="90"/>
    </row>
    <row r="872" spans="1:38" ht="17.100000000000001" customHeight="1" x14ac:dyDescent="0.25">
      <c r="A872" s="197"/>
      <c r="G872" s="88"/>
      <c r="H872" s="182"/>
      <c r="L872" s="24"/>
      <c r="M872" s="24"/>
      <c r="N872" s="186"/>
      <c r="O872" s="190"/>
      <c r="P872" s="204"/>
      <c r="Q872" s="142"/>
      <c r="T872" s="201"/>
      <c r="Z872" s="151"/>
      <c r="AB872" s="64"/>
      <c r="AC872" s="64"/>
      <c r="AD872" s="64"/>
      <c r="AE872" s="64"/>
      <c r="AF872" s="64"/>
      <c r="AG872" s="64"/>
      <c r="AH872" s="64"/>
      <c r="AI872" s="143"/>
      <c r="AJ872" s="134"/>
      <c r="AK872" s="194"/>
      <c r="AL872" s="90"/>
    </row>
    <row r="873" spans="1:38" ht="17.100000000000001" customHeight="1" x14ac:dyDescent="0.25">
      <c r="A873" s="197"/>
      <c r="G873" s="88"/>
      <c r="H873" s="182"/>
      <c r="L873" s="24"/>
      <c r="M873" s="24"/>
      <c r="N873" s="186"/>
      <c r="O873" s="190"/>
      <c r="P873" s="204"/>
      <c r="Q873" s="142"/>
      <c r="T873" s="201"/>
      <c r="Z873" s="151"/>
      <c r="AB873" s="64"/>
      <c r="AC873" s="64"/>
      <c r="AD873" s="64"/>
      <c r="AE873" s="64"/>
      <c r="AF873" s="64"/>
      <c r="AG873" s="64"/>
      <c r="AH873" s="64"/>
      <c r="AI873" s="143"/>
      <c r="AJ873" s="134"/>
      <c r="AK873" s="194"/>
      <c r="AL873" s="90"/>
    </row>
    <row r="874" spans="1:38" ht="17.100000000000001" customHeight="1" x14ac:dyDescent="0.25">
      <c r="A874" s="197"/>
      <c r="G874" s="88"/>
      <c r="H874" s="182"/>
      <c r="L874" s="24"/>
      <c r="M874" s="24"/>
      <c r="N874" s="186"/>
      <c r="O874" s="190"/>
      <c r="P874" s="204"/>
      <c r="Q874" s="142"/>
      <c r="T874" s="201"/>
      <c r="Z874" s="151"/>
      <c r="AB874" s="64"/>
      <c r="AC874" s="64"/>
      <c r="AD874" s="64"/>
      <c r="AE874" s="64"/>
      <c r="AF874" s="64"/>
      <c r="AG874" s="64"/>
      <c r="AH874" s="64"/>
      <c r="AI874" s="143"/>
      <c r="AJ874" s="134"/>
      <c r="AK874" s="194"/>
      <c r="AL874" s="90"/>
    </row>
    <row r="875" spans="1:38" ht="17.100000000000001" customHeight="1" x14ac:dyDescent="0.25">
      <c r="A875" s="197"/>
      <c r="G875" s="88"/>
      <c r="H875" s="182"/>
      <c r="L875" s="24"/>
      <c r="M875" s="24"/>
      <c r="N875" s="186"/>
      <c r="O875" s="190"/>
      <c r="P875" s="204"/>
      <c r="Q875" s="142"/>
      <c r="T875" s="201"/>
      <c r="Z875" s="151"/>
      <c r="AB875" s="64"/>
      <c r="AC875" s="64"/>
      <c r="AD875" s="64"/>
      <c r="AE875" s="64"/>
      <c r="AF875" s="64"/>
      <c r="AG875" s="64"/>
      <c r="AH875" s="64"/>
      <c r="AI875" s="143"/>
      <c r="AJ875" s="134"/>
      <c r="AK875" s="194"/>
      <c r="AL875" s="90"/>
    </row>
    <row r="876" spans="1:38" ht="17.100000000000001" customHeight="1" x14ac:dyDescent="0.25">
      <c r="A876" s="197"/>
      <c r="G876" s="88"/>
      <c r="H876" s="182"/>
      <c r="L876" s="24"/>
      <c r="M876" s="24"/>
      <c r="N876" s="186"/>
      <c r="O876" s="190"/>
      <c r="P876" s="204"/>
      <c r="Q876" s="142"/>
      <c r="T876" s="201"/>
      <c r="Z876" s="151"/>
      <c r="AB876" s="64"/>
      <c r="AC876" s="64"/>
      <c r="AD876" s="64"/>
      <c r="AE876" s="64"/>
      <c r="AF876" s="64"/>
      <c r="AG876" s="64"/>
      <c r="AH876" s="64"/>
      <c r="AI876" s="143"/>
      <c r="AJ876" s="134"/>
      <c r="AK876" s="194"/>
      <c r="AL876" s="90"/>
    </row>
    <row r="877" spans="1:38" ht="17.100000000000001" customHeight="1" thickBot="1" x14ac:dyDescent="0.3">
      <c r="A877" s="197"/>
      <c r="G877" s="88"/>
      <c r="H877" s="182"/>
      <c r="L877" s="24"/>
      <c r="M877" s="24"/>
      <c r="N877" s="186"/>
      <c r="O877" s="190"/>
      <c r="P877" s="204"/>
      <c r="Q877" s="142"/>
      <c r="T877" s="201"/>
      <c r="Z877" s="151"/>
      <c r="AB877" s="64"/>
      <c r="AC877" s="64"/>
      <c r="AD877" s="64"/>
      <c r="AE877" s="64"/>
      <c r="AF877" s="64"/>
      <c r="AG877" s="64"/>
      <c r="AH877" s="64"/>
      <c r="AI877" s="143"/>
      <c r="AJ877" s="134"/>
      <c r="AK877" s="194"/>
      <c r="AL877" s="90"/>
    </row>
    <row r="878" spans="1:38" ht="17.100000000000001" customHeight="1" x14ac:dyDescent="0.25">
      <c r="A878" s="198"/>
      <c r="B878" s="153"/>
      <c r="C878" s="154"/>
      <c r="D878" s="154"/>
      <c r="E878" s="154"/>
      <c r="F878" s="154"/>
      <c r="G878" s="155"/>
      <c r="H878" s="183"/>
      <c r="I878" s="156"/>
      <c r="J878" s="157"/>
      <c r="K878" s="158"/>
      <c r="L878" s="158"/>
      <c r="M878" s="158"/>
      <c r="N878" s="187"/>
      <c r="O878" s="191"/>
      <c r="P878" s="205"/>
      <c r="Q878" s="159"/>
      <c r="R878" s="160"/>
      <c r="S878" s="158"/>
      <c r="T878" s="202"/>
      <c r="U878" s="161"/>
      <c r="V878" s="156"/>
      <c r="W878" s="162"/>
      <c r="X878" s="156"/>
      <c r="Y878" s="158"/>
      <c r="Z878" s="163"/>
      <c r="AA878" s="156"/>
      <c r="AB878" s="164"/>
      <c r="AC878" s="164"/>
      <c r="AD878" s="164"/>
      <c r="AE878" s="164"/>
      <c r="AF878" s="164"/>
      <c r="AG878" s="164"/>
      <c r="AH878" s="164"/>
      <c r="AI878" s="165"/>
      <c r="AJ878" s="134"/>
      <c r="AK878" s="195"/>
      <c r="AL878" s="170"/>
    </row>
    <row r="879" spans="1:38" ht="17.100000000000001" customHeight="1" x14ac:dyDescent="0.25">
      <c r="A879" s="197"/>
      <c r="G879" s="88"/>
      <c r="H879" s="182"/>
      <c r="L879" s="24"/>
      <c r="M879" s="24"/>
      <c r="N879" s="186"/>
      <c r="O879" s="190"/>
      <c r="P879" s="204"/>
      <c r="Q879" s="142"/>
      <c r="T879" s="201"/>
      <c r="Z879" s="151"/>
      <c r="AB879" s="64"/>
      <c r="AC879" s="64"/>
      <c r="AD879" s="64"/>
      <c r="AE879" s="64"/>
      <c r="AF879" s="64"/>
      <c r="AG879" s="64"/>
      <c r="AH879" s="64"/>
      <c r="AI879" s="143"/>
      <c r="AJ879" s="134"/>
      <c r="AK879" s="194"/>
      <c r="AL879" s="90"/>
    </row>
    <row r="880" spans="1:38" ht="17.100000000000001" customHeight="1" x14ac:dyDescent="0.25">
      <c r="A880" s="197"/>
      <c r="G880" s="88"/>
      <c r="H880" s="182"/>
      <c r="L880" s="24"/>
      <c r="M880" s="24"/>
      <c r="N880" s="186"/>
      <c r="O880" s="190"/>
      <c r="P880" s="204"/>
      <c r="Q880" s="142"/>
      <c r="T880" s="201"/>
      <c r="Z880" s="151"/>
      <c r="AB880" s="64"/>
      <c r="AC880" s="64"/>
      <c r="AD880" s="64"/>
      <c r="AE880" s="64"/>
      <c r="AF880" s="64"/>
      <c r="AG880" s="64"/>
      <c r="AH880" s="64"/>
      <c r="AI880" s="143"/>
      <c r="AJ880" s="134"/>
      <c r="AK880" s="194"/>
      <c r="AL880" s="90"/>
    </row>
    <row r="881" spans="1:38" ht="17.100000000000001" customHeight="1" x14ac:dyDescent="0.25">
      <c r="A881" s="197"/>
      <c r="G881" s="88"/>
      <c r="H881" s="182"/>
      <c r="L881" s="24"/>
      <c r="M881" s="24"/>
      <c r="N881" s="186"/>
      <c r="O881" s="190"/>
      <c r="P881" s="204"/>
      <c r="Q881" s="142"/>
      <c r="T881" s="201"/>
      <c r="Z881" s="151"/>
      <c r="AB881" s="64"/>
      <c r="AC881" s="64"/>
      <c r="AD881" s="64"/>
      <c r="AE881" s="64"/>
      <c r="AF881" s="64"/>
      <c r="AG881" s="64"/>
      <c r="AH881" s="64"/>
      <c r="AI881" s="143"/>
      <c r="AJ881" s="134"/>
      <c r="AK881" s="194"/>
      <c r="AL881" s="90"/>
    </row>
    <row r="882" spans="1:38" ht="17.100000000000001" customHeight="1" x14ac:dyDescent="0.25">
      <c r="A882" s="197"/>
      <c r="G882" s="88"/>
      <c r="H882" s="182"/>
      <c r="L882" s="24"/>
      <c r="M882" s="24"/>
      <c r="N882" s="186"/>
      <c r="O882" s="190"/>
      <c r="P882" s="204"/>
      <c r="Q882" s="142"/>
      <c r="T882" s="201"/>
      <c r="Z882" s="151"/>
      <c r="AB882" s="64"/>
      <c r="AC882" s="64"/>
      <c r="AD882" s="64"/>
      <c r="AE882" s="64"/>
      <c r="AF882" s="64"/>
      <c r="AG882" s="64"/>
      <c r="AH882" s="64"/>
      <c r="AI882" s="143"/>
      <c r="AJ882" s="134"/>
      <c r="AK882" s="194"/>
      <c r="AL882" s="90"/>
    </row>
    <row r="883" spans="1:38" ht="17.100000000000001" customHeight="1" x14ac:dyDescent="0.25">
      <c r="A883" s="197"/>
      <c r="G883" s="88"/>
      <c r="H883" s="182"/>
      <c r="L883" s="24"/>
      <c r="M883" s="24"/>
      <c r="N883" s="186"/>
      <c r="O883" s="190"/>
      <c r="P883" s="204"/>
      <c r="Q883" s="142"/>
      <c r="T883" s="201"/>
      <c r="Z883" s="151"/>
      <c r="AB883" s="64"/>
      <c r="AC883" s="64"/>
      <c r="AD883" s="64"/>
      <c r="AE883" s="64"/>
      <c r="AF883" s="64"/>
      <c r="AG883" s="64"/>
      <c r="AH883" s="64"/>
      <c r="AI883" s="143"/>
      <c r="AJ883" s="134"/>
      <c r="AK883" s="194"/>
      <c r="AL883" s="90"/>
    </row>
    <row r="884" spans="1:38" ht="17.100000000000001" customHeight="1" x14ac:dyDescent="0.25">
      <c r="A884" s="197"/>
      <c r="G884" s="88"/>
      <c r="H884" s="182"/>
      <c r="L884" s="24"/>
      <c r="M884" s="24"/>
      <c r="N884" s="186"/>
      <c r="O884" s="190"/>
      <c r="P884" s="204"/>
      <c r="Q884" s="142"/>
      <c r="T884" s="201"/>
      <c r="Z884" s="151"/>
      <c r="AB884" s="64"/>
      <c r="AC884" s="64"/>
      <c r="AD884" s="64"/>
      <c r="AE884" s="64"/>
      <c r="AF884" s="64"/>
      <c r="AG884" s="64"/>
      <c r="AH884" s="64"/>
      <c r="AI884" s="143"/>
      <c r="AJ884" s="134"/>
      <c r="AK884" s="194"/>
      <c r="AL884" s="90"/>
    </row>
    <row r="885" spans="1:38" ht="17.100000000000001" customHeight="1" x14ac:dyDescent="0.25">
      <c r="A885" s="197"/>
      <c r="G885" s="88"/>
      <c r="H885" s="182"/>
      <c r="L885" s="24"/>
      <c r="M885" s="24"/>
      <c r="N885" s="186"/>
      <c r="O885" s="190"/>
      <c r="P885" s="204"/>
      <c r="Q885" s="142"/>
      <c r="T885" s="201"/>
      <c r="Z885" s="151"/>
      <c r="AB885" s="64"/>
      <c r="AC885" s="64"/>
      <c r="AD885" s="64"/>
      <c r="AE885" s="64"/>
      <c r="AF885" s="64"/>
      <c r="AG885" s="64"/>
      <c r="AH885" s="64"/>
      <c r="AI885" s="143"/>
      <c r="AJ885" s="134"/>
      <c r="AK885" s="194"/>
      <c r="AL885" s="90"/>
    </row>
    <row r="886" spans="1:38" ht="17.100000000000001" customHeight="1" x14ac:dyDescent="0.25">
      <c r="A886" s="197"/>
      <c r="G886" s="88"/>
      <c r="H886" s="182"/>
      <c r="L886" s="24"/>
      <c r="M886" s="24"/>
      <c r="N886" s="186"/>
      <c r="O886" s="190"/>
      <c r="P886" s="204"/>
      <c r="Q886" s="142"/>
      <c r="T886" s="201"/>
      <c r="Z886" s="151"/>
      <c r="AB886" s="64"/>
      <c r="AC886" s="64"/>
      <c r="AD886" s="64"/>
      <c r="AE886" s="64"/>
      <c r="AF886" s="64"/>
      <c r="AG886" s="64"/>
      <c r="AH886" s="64"/>
      <c r="AI886" s="143"/>
      <c r="AJ886" s="134"/>
      <c r="AK886" s="194"/>
      <c r="AL886" s="90"/>
    </row>
    <row r="887" spans="1:38" ht="17.100000000000001" customHeight="1" x14ac:dyDescent="0.25">
      <c r="A887" s="197"/>
      <c r="G887" s="88"/>
      <c r="H887" s="182"/>
      <c r="L887" s="24"/>
      <c r="M887" s="24"/>
      <c r="N887" s="186"/>
      <c r="O887" s="190"/>
      <c r="P887" s="204"/>
      <c r="Q887" s="142"/>
      <c r="T887" s="201"/>
      <c r="Z887" s="151"/>
      <c r="AB887" s="64"/>
      <c r="AC887" s="64"/>
      <c r="AD887" s="64"/>
      <c r="AE887" s="64"/>
      <c r="AF887" s="64"/>
      <c r="AG887" s="64"/>
      <c r="AH887" s="64"/>
      <c r="AI887" s="143"/>
      <c r="AJ887" s="134"/>
      <c r="AK887" s="194"/>
      <c r="AL887" s="90"/>
    </row>
    <row r="888" spans="1:38" ht="17.100000000000001" customHeight="1" x14ac:dyDescent="0.25">
      <c r="A888" s="197"/>
      <c r="G888" s="88"/>
      <c r="H888" s="182"/>
      <c r="L888" s="24"/>
      <c r="M888" s="24"/>
      <c r="N888" s="186"/>
      <c r="O888" s="190"/>
      <c r="P888" s="204"/>
      <c r="Q888" s="142"/>
      <c r="T888" s="201"/>
      <c r="Z888" s="151"/>
      <c r="AB888" s="64"/>
      <c r="AC888" s="64"/>
      <c r="AD888" s="64"/>
      <c r="AE888" s="64"/>
      <c r="AF888" s="64"/>
      <c r="AG888" s="64"/>
      <c r="AH888" s="64"/>
      <c r="AI888" s="143"/>
      <c r="AJ888" s="134"/>
      <c r="AK888" s="194"/>
      <c r="AL888" s="90"/>
    </row>
    <row r="889" spans="1:38" ht="17.100000000000001" customHeight="1" x14ac:dyDescent="0.25">
      <c r="A889" s="197"/>
      <c r="G889" s="88"/>
      <c r="H889" s="182"/>
      <c r="L889" s="24"/>
      <c r="M889" s="24"/>
      <c r="N889" s="186"/>
      <c r="O889" s="190"/>
      <c r="P889" s="204"/>
      <c r="Q889" s="142"/>
      <c r="T889" s="201"/>
      <c r="Z889" s="151"/>
      <c r="AB889" s="64"/>
      <c r="AC889" s="64"/>
      <c r="AD889" s="64"/>
      <c r="AE889" s="64"/>
      <c r="AF889" s="64"/>
      <c r="AG889" s="64"/>
      <c r="AH889" s="64"/>
      <c r="AI889" s="143"/>
      <c r="AJ889" s="134"/>
      <c r="AK889" s="194"/>
      <c r="AL889" s="90"/>
    </row>
    <row r="890" spans="1:38" ht="17.100000000000001" customHeight="1" x14ac:dyDescent="0.25">
      <c r="A890" s="197"/>
      <c r="G890" s="88"/>
      <c r="H890" s="182"/>
      <c r="L890" s="24"/>
      <c r="M890" s="24"/>
      <c r="N890" s="186"/>
      <c r="O890" s="190"/>
      <c r="P890" s="204"/>
      <c r="Q890" s="142"/>
      <c r="T890" s="201"/>
      <c r="Z890" s="151"/>
      <c r="AB890" s="64"/>
      <c r="AC890" s="64"/>
      <c r="AD890" s="64"/>
      <c r="AE890" s="64"/>
      <c r="AF890" s="64"/>
      <c r="AG890" s="64"/>
      <c r="AH890" s="64"/>
      <c r="AI890" s="143"/>
      <c r="AJ890" s="134"/>
      <c r="AK890" s="194"/>
      <c r="AL890" s="90"/>
    </row>
    <row r="891" spans="1:38" ht="17.100000000000001" customHeight="1" x14ac:dyDescent="0.25">
      <c r="A891" s="197"/>
      <c r="G891" s="88"/>
      <c r="H891" s="182"/>
      <c r="L891" s="24"/>
      <c r="M891" s="24"/>
      <c r="N891" s="186"/>
      <c r="O891" s="190"/>
      <c r="P891" s="204"/>
      <c r="Q891" s="142"/>
      <c r="T891" s="201"/>
      <c r="Z891" s="151"/>
      <c r="AB891" s="64"/>
      <c r="AC891" s="64"/>
      <c r="AD891" s="64"/>
      <c r="AE891" s="64"/>
      <c r="AF891" s="64"/>
      <c r="AG891" s="64"/>
      <c r="AH891" s="64"/>
      <c r="AI891" s="143"/>
      <c r="AJ891" s="134"/>
      <c r="AK891" s="194"/>
      <c r="AL891" s="90"/>
    </row>
    <row r="892" spans="1:38" ht="17.100000000000001" customHeight="1" x14ac:dyDescent="0.25">
      <c r="A892" s="197"/>
      <c r="G892" s="88"/>
      <c r="H892" s="182"/>
      <c r="L892" s="24"/>
      <c r="M892" s="24"/>
      <c r="N892" s="186"/>
      <c r="O892" s="190"/>
      <c r="P892" s="204"/>
      <c r="Q892" s="142"/>
      <c r="T892" s="201"/>
      <c r="Z892" s="151"/>
      <c r="AB892" s="64"/>
      <c r="AC892" s="64"/>
      <c r="AD892" s="64"/>
      <c r="AE892" s="64"/>
      <c r="AF892" s="64"/>
      <c r="AG892" s="64"/>
      <c r="AH892" s="64"/>
      <c r="AI892" s="143"/>
      <c r="AJ892" s="134"/>
      <c r="AK892" s="194"/>
      <c r="AL892" s="90"/>
    </row>
    <row r="893" spans="1:38" ht="17.100000000000001" customHeight="1" x14ac:dyDescent="0.25">
      <c r="A893" s="197"/>
      <c r="G893" s="88"/>
      <c r="H893" s="182"/>
      <c r="L893" s="24"/>
      <c r="M893" s="24"/>
      <c r="N893" s="186"/>
      <c r="O893" s="190"/>
      <c r="P893" s="204"/>
      <c r="Q893" s="142"/>
      <c r="T893" s="201"/>
      <c r="Z893" s="151"/>
      <c r="AB893" s="64"/>
      <c r="AC893" s="64"/>
      <c r="AD893" s="64"/>
      <c r="AE893" s="64"/>
      <c r="AF893" s="64"/>
      <c r="AG893" s="64"/>
      <c r="AH893" s="64"/>
      <c r="AI893" s="143"/>
      <c r="AJ893" s="134"/>
      <c r="AK893" s="194"/>
      <c r="AL893" s="90"/>
    </row>
    <row r="894" spans="1:38" ht="17.100000000000001" customHeight="1" x14ac:dyDescent="0.25">
      <c r="A894" s="197"/>
      <c r="G894" s="88"/>
      <c r="H894" s="182"/>
      <c r="L894" s="24"/>
      <c r="M894" s="24"/>
      <c r="N894" s="186"/>
      <c r="O894" s="190"/>
      <c r="P894" s="204"/>
      <c r="Q894" s="142"/>
      <c r="T894" s="201"/>
      <c r="Z894" s="151"/>
      <c r="AB894" s="64"/>
      <c r="AC894" s="64"/>
      <c r="AD894" s="64"/>
      <c r="AE894" s="64"/>
      <c r="AF894" s="64"/>
      <c r="AG894" s="64"/>
      <c r="AH894" s="64"/>
      <c r="AI894" s="143"/>
      <c r="AJ894" s="134"/>
      <c r="AK894" s="194"/>
      <c r="AL894" s="90"/>
    </row>
    <row r="895" spans="1:38" ht="17.100000000000001" customHeight="1" x14ac:dyDescent="0.25">
      <c r="A895" s="197"/>
      <c r="G895" s="88"/>
      <c r="H895" s="182"/>
      <c r="L895" s="24"/>
      <c r="M895" s="24"/>
      <c r="N895" s="186"/>
      <c r="O895" s="190"/>
      <c r="P895" s="204"/>
      <c r="Q895" s="142"/>
      <c r="T895" s="201"/>
      <c r="Z895" s="151"/>
      <c r="AB895" s="64"/>
      <c r="AC895" s="64"/>
      <c r="AD895" s="64"/>
      <c r="AE895" s="64"/>
      <c r="AF895" s="64"/>
      <c r="AG895" s="64"/>
      <c r="AH895" s="64"/>
      <c r="AI895" s="143"/>
      <c r="AJ895" s="134"/>
      <c r="AK895" s="194"/>
      <c r="AL895" s="90"/>
    </row>
    <row r="896" spans="1:38" ht="17.100000000000001" customHeight="1" x14ac:dyDescent="0.25">
      <c r="A896" s="197"/>
      <c r="G896" s="88"/>
      <c r="H896" s="182"/>
      <c r="L896" s="24"/>
      <c r="M896" s="24"/>
      <c r="N896" s="186"/>
      <c r="O896" s="190"/>
      <c r="P896" s="204"/>
      <c r="Q896" s="142"/>
      <c r="T896" s="201"/>
      <c r="Z896" s="151"/>
      <c r="AB896" s="64"/>
      <c r="AC896" s="64"/>
      <c r="AD896" s="64"/>
      <c r="AE896" s="64"/>
      <c r="AF896" s="64"/>
      <c r="AG896" s="64"/>
      <c r="AH896" s="64"/>
      <c r="AI896" s="143"/>
      <c r="AJ896" s="134"/>
      <c r="AK896" s="194"/>
      <c r="AL896" s="90"/>
    </row>
    <row r="897" spans="1:38" ht="17.100000000000001" customHeight="1" x14ac:dyDescent="0.25">
      <c r="A897" s="197"/>
      <c r="G897" s="88"/>
      <c r="H897" s="182"/>
      <c r="L897" s="24"/>
      <c r="M897" s="24"/>
      <c r="N897" s="186"/>
      <c r="O897" s="190"/>
      <c r="P897" s="204"/>
      <c r="Q897" s="142"/>
      <c r="T897" s="201"/>
      <c r="Z897" s="151"/>
      <c r="AB897" s="64"/>
      <c r="AC897" s="64"/>
      <c r="AD897" s="64"/>
      <c r="AE897" s="64"/>
      <c r="AF897" s="64"/>
      <c r="AG897" s="64"/>
      <c r="AH897" s="64"/>
      <c r="AI897" s="143"/>
      <c r="AJ897" s="134"/>
      <c r="AK897" s="194"/>
      <c r="AL897" s="90"/>
    </row>
    <row r="898" spans="1:38" ht="17.100000000000001" customHeight="1" x14ac:dyDescent="0.25">
      <c r="A898" s="197"/>
      <c r="G898" s="88"/>
      <c r="H898" s="182"/>
      <c r="L898" s="24"/>
      <c r="M898" s="24"/>
      <c r="N898" s="186"/>
      <c r="O898" s="190"/>
      <c r="P898" s="204"/>
      <c r="Q898" s="142"/>
      <c r="T898" s="201"/>
      <c r="Z898" s="151"/>
      <c r="AB898" s="64"/>
      <c r="AC898" s="64"/>
      <c r="AD898" s="64"/>
      <c r="AE898" s="64"/>
      <c r="AF898" s="64"/>
      <c r="AG898" s="64"/>
      <c r="AH898" s="64"/>
      <c r="AI898" s="143"/>
      <c r="AJ898" s="134"/>
      <c r="AK898" s="194"/>
      <c r="AL898" s="90"/>
    </row>
    <row r="899" spans="1:38" ht="17.100000000000001" customHeight="1" x14ac:dyDescent="0.25">
      <c r="A899" s="197"/>
      <c r="G899" s="88"/>
      <c r="H899" s="182"/>
      <c r="L899" s="24"/>
      <c r="M899" s="24"/>
      <c r="N899" s="186"/>
      <c r="O899" s="190"/>
      <c r="P899" s="204"/>
      <c r="Q899" s="142"/>
      <c r="T899" s="201"/>
      <c r="Z899" s="151"/>
      <c r="AB899" s="64"/>
      <c r="AC899" s="64"/>
      <c r="AD899" s="64"/>
      <c r="AE899" s="64"/>
      <c r="AF899" s="64"/>
      <c r="AG899" s="64"/>
      <c r="AH899" s="64"/>
      <c r="AI899" s="143"/>
      <c r="AJ899" s="134"/>
      <c r="AK899" s="194"/>
      <c r="AL899" s="90"/>
    </row>
    <row r="900" spans="1:38" ht="17.100000000000001" customHeight="1" x14ac:dyDescent="0.25">
      <c r="A900" s="197"/>
      <c r="G900" s="88"/>
      <c r="H900" s="182"/>
      <c r="L900" s="24"/>
      <c r="M900" s="24"/>
      <c r="N900" s="186"/>
      <c r="O900" s="190"/>
      <c r="P900" s="204"/>
      <c r="Q900" s="142"/>
      <c r="T900" s="201"/>
      <c r="Z900" s="151"/>
      <c r="AB900" s="64"/>
      <c r="AC900" s="64"/>
      <c r="AD900" s="64"/>
      <c r="AE900" s="64"/>
      <c r="AF900" s="64"/>
      <c r="AG900" s="64"/>
      <c r="AH900" s="64"/>
      <c r="AI900" s="143"/>
      <c r="AJ900" s="134"/>
      <c r="AK900" s="194"/>
      <c r="AL900" s="90"/>
    </row>
    <row r="901" spans="1:38" ht="17.100000000000001" customHeight="1" x14ac:dyDescent="0.25">
      <c r="A901" s="197"/>
      <c r="G901" s="88"/>
      <c r="H901" s="182"/>
      <c r="L901" s="24"/>
      <c r="M901" s="24"/>
      <c r="N901" s="186"/>
      <c r="O901" s="190"/>
      <c r="P901" s="204"/>
      <c r="Q901" s="142"/>
      <c r="T901" s="201"/>
      <c r="Z901" s="151"/>
      <c r="AB901" s="64"/>
      <c r="AC901" s="64"/>
      <c r="AD901" s="64"/>
      <c r="AE901" s="64"/>
      <c r="AF901" s="64"/>
      <c r="AG901" s="64"/>
      <c r="AH901" s="64"/>
      <c r="AI901" s="143"/>
      <c r="AJ901" s="134"/>
      <c r="AK901" s="194"/>
      <c r="AL901" s="90"/>
    </row>
    <row r="902" spans="1:38" ht="17.100000000000001" customHeight="1" x14ac:dyDescent="0.25">
      <c r="A902" s="197"/>
      <c r="G902" s="88"/>
      <c r="H902" s="182"/>
      <c r="L902" s="24"/>
      <c r="M902" s="24"/>
      <c r="N902" s="186"/>
      <c r="O902" s="190"/>
      <c r="P902" s="204"/>
      <c r="Q902" s="142"/>
      <c r="T902" s="201"/>
      <c r="Z902" s="151"/>
      <c r="AB902" s="64"/>
      <c r="AC902" s="64"/>
      <c r="AD902" s="64"/>
      <c r="AE902" s="64"/>
      <c r="AF902" s="64"/>
      <c r="AG902" s="64"/>
      <c r="AH902" s="64"/>
      <c r="AI902" s="143"/>
      <c r="AJ902" s="134"/>
      <c r="AK902" s="194"/>
      <c r="AL902" s="90"/>
    </row>
    <row r="903" spans="1:38" ht="17.100000000000001" customHeight="1" x14ac:dyDescent="0.25">
      <c r="A903" s="197"/>
      <c r="G903" s="88"/>
      <c r="H903" s="182"/>
      <c r="L903" s="24"/>
      <c r="M903" s="24"/>
      <c r="N903" s="186"/>
      <c r="O903" s="190"/>
      <c r="P903" s="204"/>
      <c r="Q903" s="142"/>
      <c r="T903" s="201"/>
      <c r="Z903" s="151"/>
      <c r="AB903" s="64"/>
      <c r="AC903" s="64"/>
      <c r="AD903" s="64"/>
      <c r="AE903" s="64"/>
      <c r="AF903" s="64"/>
      <c r="AG903" s="64"/>
      <c r="AH903" s="64"/>
      <c r="AI903" s="143"/>
      <c r="AJ903" s="134"/>
      <c r="AK903" s="194"/>
      <c r="AL903" s="90"/>
    </row>
    <row r="904" spans="1:38" ht="17.100000000000001" customHeight="1" x14ac:dyDescent="0.25">
      <c r="A904" s="197"/>
      <c r="G904" s="88"/>
      <c r="H904" s="182"/>
      <c r="L904" s="24"/>
      <c r="M904" s="24"/>
      <c r="N904" s="186"/>
      <c r="O904" s="190"/>
      <c r="P904" s="204"/>
      <c r="Q904" s="142"/>
      <c r="T904" s="201"/>
      <c r="Z904" s="151"/>
      <c r="AB904" s="64"/>
      <c r="AC904" s="64"/>
      <c r="AD904" s="64"/>
      <c r="AE904" s="64"/>
      <c r="AF904" s="64"/>
      <c r="AG904" s="64"/>
      <c r="AH904" s="64"/>
      <c r="AI904" s="143"/>
      <c r="AJ904" s="134"/>
      <c r="AK904" s="194"/>
      <c r="AL904" s="90"/>
    </row>
    <row r="905" spans="1:38" ht="17.100000000000001" customHeight="1" x14ac:dyDescent="0.25">
      <c r="A905" s="197"/>
      <c r="G905" s="88"/>
      <c r="H905" s="182"/>
      <c r="L905" s="24"/>
      <c r="M905" s="24"/>
      <c r="N905" s="186"/>
      <c r="O905" s="190"/>
      <c r="P905" s="204"/>
      <c r="Q905" s="142"/>
      <c r="T905" s="201"/>
      <c r="Z905" s="151"/>
      <c r="AB905" s="64"/>
      <c r="AC905" s="64"/>
      <c r="AD905" s="64"/>
      <c r="AE905" s="64"/>
      <c r="AF905" s="64"/>
      <c r="AG905" s="64"/>
      <c r="AH905" s="64"/>
      <c r="AI905" s="143"/>
      <c r="AJ905" s="134"/>
      <c r="AK905" s="194"/>
      <c r="AL905" s="90"/>
    </row>
    <row r="906" spans="1:38" ht="17.100000000000001" customHeight="1" x14ac:dyDescent="0.25">
      <c r="A906" s="197"/>
      <c r="G906" s="88"/>
      <c r="H906" s="182"/>
      <c r="L906" s="24"/>
      <c r="M906" s="24"/>
      <c r="N906" s="186"/>
      <c r="O906" s="190"/>
      <c r="P906" s="204"/>
      <c r="Q906" s="142"/>
      <c r="T906" s="201"/>
      <c r="Z906" s="151"/>
      <c r="AB906" s="64"/>
      <c r="AC906" s="64"/>
      <c r="AD906" s="64"/>
      <c r="AE906" s="64"/>
      <c r="AF906" s="64"/>
      <c r="AG906" s="64"/>
      <c r="AH906" s="64"/>
      <c r="AI906" s="143"/>
      <c r="AJ906" s="134"/>
      <c r="AK906" s="194"/>
      <c r="AL906" s="90"/>
    </row>
    <row r="907" spans="1:38" ht="17.100000000000001" customHeight="1" x14ac:dyDescent="0.25">
      <c r="A907" s="197"/>
      <c r="G907" s="88"/>
      <c r="H907" s="182"/>
      <c r="L907" s="24"/>
      <c r="M907" s="24"/>
      <c r="N907" s="186"/>
      <c r="O907" s="190"/>
      <c r="P907" s="204"/>
      <c r="Q907" s="142"/>
      <c r="T907" s="201"/>
      <c r="Z907" s="151"/>
      <c r="AB907" s="64"/>
      <c r="AC907" s="64"/>
      <c r="AD907" s="64"/>
      <c r="AE907" s="64"/>
      <c r="AF907" s="64"/>
      <c r="AG907" s="64"/>
      <c r="AH907" s="64"/>
      <c r="AI907" s="143"/>
      <c r="AJ907" s="134"/>
      <c r="AK907" s="194"/>
      <c r="AL907" s="90"/>
    </row>
    <row r="908" spans="1:38" ht="17.100000000000001" customHeight="1" x14ac:dyDescent="0.25">
      <c r="A908" s="197"/>
      <c r="G908" s="88"/>
      <c r="H908" s="182"/>
      <c r="L908" s="24"/>
      <c r="M908" s="24"/>
      <c r="N908" s="186"/>
      <c r="O908" s="190"/>
      <c r="P908" s="204"/>
      <c r="Q908" s="142"/>
      <c r="T908" s="201"/>
      <c r="Z908" s="151"/>
      <c r="AB908" s="64"/>
      <c r="AC908" s="64"/>
      <c r="AD908" s="64"/>
      <c r="AE908" s="64"/>
      <c r="AF908" s="64"/>
      <c r="AG908" s="64"/>
      <c r="AH908" s="64"/>
      <c r="AI908" s="143"/>
      <c r="AJ908" s="134"/>
      <c r="AK908" s="194"/>
      <c r="AL908" s="90"/>
    </row>
    <row r="909" spans="1:38" ht="17.100000000000001" customHeight="1" x14ac:dyDescent="0.25">
      <c r="A909" s="197"/>
      <c r="G909" s="88"/>
      <c r="H909" s="182"/>
      <c r="L909" s="24"/>
      <c r="M909" s="24"/>
      <c r="N909" s="186"/>
      <c r="O909" s="190"/>
      <c r="P909" s="204"/>
      <c r="Q909" s="142"/>
      <c r="T909" s="201"/>
      <c r="Z909" s="151"/>
      <c r="AB909" s="64"/>
      <c r="AC909" s="64"/>
      <c r="AD909" s="64"/>
      <c r="AE909" s="64"/>
      <c r="AF909" s="64"/>
      <c r="AG909" s="64"/>
      <c r="AH909" s="64"/>
      <c r="AI909" s="143"/>
      <c r="AJ909" s="134"/>
      <c r="AK909" s="194"/>
      <c r="AL909" s="90"/>
    </row>
    <row r="910" spans="1:38" ht="17.100000000000001" customHeight="1" x14ac:dyDescent="0.25">
      <c r="A910" s="197"/>
      <c r="G910" s="88"/>
      <c r="H910" s="182"/>
      <c r="L910" s="24"/>
      <c r="M910" s="24"/>
      <c r="N910" s="186"/>
      <c r="O910" s="190"/>
      <c r="P910" s="204"/>
      <c r="Q910" s="142"/>
      <c r="T910" s="201"/>
      <c r="Z910" s="151"/>
      <c r="AB910" s="64"/>
      <c r="AC910" s="64"/>
      <c r="AD910" s="64"/>
      <c r="AE910" s="64"/>
      <c r="AF910" s="64"/>
      <c r="AG910" s="64"/>
      <c r="AH910" s="64"/>
      <c r="AI910" s="143"/>
      <c r="AJ910" s="134"/>
      <c r="AK910" s="194"/>
      <c r="AL910" s="90"/>
    </row>
    <row r="911" spans="1:38" ht="17.100000000000001" customHeight="1" x14ac:dyDescent="0.25">
      <c r="A911" s="197"/>
      <c r="G911" s="88"/>
      <c r="H911" s="182"/>
      <c r="L911" s="24"/>
      <c r="M911" s="24"/>
      <c r="N911" s="186"/>
      <c r="O911" s="190"/>
      <c r="P911" s="204"/>
      <c r="Q911" s="142"/>
      <c r="T911" s="201"/>
      <c r="Z911" s="151"/>
      <c r="AB911" s="64"/>
      <c r="AC911" s="64"/>
      <c r="AD911" s="64"/>
      <c r="AE911" s="64"/>
      <c r="AF911" s="64"/>
      <c r="AG911" s="64"/>
      <c r="AH911" s="64"/>
      <c r="AI911" s="143"/>
      <c r="AJ911" s="134"/>
      <c r="AK911" s="194"/>
      <c r="AL911" s="90"/>
    </row>
    <row r="912" spans="1:38" ht="17.100000000000001" customHeight="1" x14ac:dyDescent="0.25">
      <c r="A912" s="197"/>
      <c r="G912" s="88"/>
      <c r="H912" s="182"/>
      <c r="L912" s="24"/>
      <c r="M912" s="24"/>
      <c r="N912" s="186"/>
      <c r="O912" s="190"/>
      <c r="P912" s="204"/>
      <c r="Q912" s="142"/>
      <c r="T912" s="201"/>
      <c r="Z912" s="151"/>
      <c r="AB912" s="64"/>
      <c r="AC912" s="64"/>
      <c r="AD912" s="64"/>
      <c r="AE912" s="64"/>
      <c r="AF912" s="64"/>
      <c r="AG912" s="64"/>
      <c r="AH912" s="64"/>
      <c r="AI912" s="143"/>
      <c r="AJ912" s="134"/>
      <c r="AK912" s="194"/>
      <c r="AL912" s="90"/>
    </row>
    <row r="913" spans="1:38" ht="17.100000000000001" customHeight="1" x14ac:dyDescent="0.25">
      <c r="A913" s="197"/>
      <c r="G913" s="88"/>
      <c r="H913" s="182"/>
      <c r="L913" s="24"/>
      <c r="M913" s="24"/>
      <c r="N913" s="186"/>
      <c r="O913" s="190"/>
      <c r="P913" s="204"/>
      <c r="Q913" s="142"/>
      <c r="T913" s="201"/>
      <c r="Z913" s="151"/>
      <c r="AB913" s="64"/>
      <c r="AC913" s="64"/>
      <c r="AD913" s="64"/>
      <c r="AE913" s="64"/>
      <c r="AF913" s="64"/>
      <c r="AG913" s="64"/>
      <c r="AH913" s="64"/>
      <c r="AI913" s="143"/>
      <c r="AJ913" s="134"/>
      <c r="AK913" s="194"/>
      <c r="AL913" s="90"/>
    </row>
    <row r="914" spans="1:38" ht="17.100000000000001" customHeight="1" x14ac:dyDescent="0.25">
      <c r="A914" s="197"/>
      <c r="G914" s="88"/>
      <c r="H914" s="182"/>
      <c r="L914" s="24"/>
      <c r="M914" s="24"/>
      <c r="N914" s="186"/>
      <c r="O914" s="190"/>
      <c r="P914" s="204"/>
      <c r="Q914" s="142"/>
      <c r="T914" s="201"/>
      <c r="Z914" s="151"/>
      <c r="AB914" s="64"/>
      <c r="AC914" s="64"/>
      <c r="AD914" s="64"/>
      <c r="AE914" s="64"/>
      <c r="AF914" s="64"/>
      <c r="AG914" s="64"/>
      <c r="AH914" s="64"/>
      <c r="AI914" s="143"/>
      <c r="AJ914" s="134"/>
      <c r="AK914" s="194"/>
      <c r="AL914" s="90"/>
    </row>
    <row r="915" spans="1:38" ht="17.100000000000001" customHeight="1" thickBot="1" x14ac:dyDescent="0.3">
      <c r="A915" s="197"/>
      <c r="G915" s="88"/>
      <c r="H915" s="182"/>
      <c r="L915" s="24"/>
      <c r="M915" s="24"/>
      <c r="N915" s="186"/>
      <c r="O915" s="190"/>
      <c r="P915" s="204"/>
      <c r="Q915" s="142"/>
      <c r="T915" s="201"/>
      <c r="Z915" s="151"/>
      <c r="AB915" s="64"/>
      <c r="AC915" s="64"/>
      <c r="AD915" s="64"/>
      <c r="AE915" s="64"/>
      <c r="AF915" s="64"/>
      <c r="AG915" s="64"/>
      <c r="AH915" s="64"/>
      <c r="AI915" s="143"/>
      <c r="AJ915" s="134"/>
      <c r="AK915" s="194"/>
      <c r="AL915" s="90"/>
    </row>
    <row r="916" spans="1:38" ht="17.100000000000001" customHeight="1" x14ac:dyDescent="0.25">
      <c r="A916" s="198"/>
      <c r="B916" s="153"/>
      <c r="C916" s="154"/>
      <c r="D916" s="154"/>
      <c r="E916" s="154"/>
      <c r="F916" s="154"/>
      <c r="G916" s="155"/>
      <c r="H916" s="183"/>
      <c r="I916" s="156"/>
      <c r="J916" s="157"/>
      <c r="K916" s="158"/>
      <c r="L916" s="158"/>
      <c r="M916" s="158"/>
      <c r="N916" s="187"/>
      <c r="O916" s="191"/>
      <c r="P916" s="205"/>
      <c r="Q916" s="159"/>
      <c r="R916" s="160"/>
      <c r="S916" s="158"/>
      <c r="T916" s="202"/>
      <c r="U916" s="161"/>
      <c r="V916" s="156"/>
      <c r="W916" s="162"/>
      <c r="X916" s="156"/>
      <c r="Y916" s="158"/>
      <c r="Z916" s="163"/>
      <c r="AA916" s="156"/>
      <c r="AB916" s="164"/>
      <c r="AC916" s="164"/>
      <c r="AD916" s="164"/>
      <c r="AE916" s="164"/>
      <c r="AF916" s="164"/>
      <c r="AG916" s="164"/>
      <c r="AH916" s="164"/>
      <c r="AI916" s="165"/>
      <c r="AJ916" s="134"/>
      <c r="AK916" s="195"/>
      <c r="AL916" s="170"/>
    </row>
    <row r="917" spans="1:38" ht="17.100000000000001" customHeight="1" x14ac:dyDescent="0.25">
      <c r="A917" s="197"/>
      <c r="G917" s="88"/>
      <c r="H917" s="182"/>
      <c r="L917" s="24"/>
      <c r="M917" s="24"/>
      <c r="N917" s="186"/>
      <c r="O917" s="190"/>
      <c r="P917" s="204"/>
      <c r="Q917" s="142"/>
      <c r="T917" s="201"/>
      <c r="Z917" s="151"/>
      <c r="AB917" s="64"/>
      <c r="AC917" s="64"/>
      <c r="AD917" s="64"/>
      <c r="AE917" s="64"/>
      <c r="AF917" s="64"/>
      <c r="AG917" s="64"/>
      <c r="AH917" s="64"/>
      <c r="AI917" s="143"/>
      <c r="AJ917" s="134"/>
      <c r="AK917" s="194"/>
      <c r="AL917" s="90"/>
    </row>
    <row r="918" spans="1:38" ht="17.100000000000001" customHeight="1" x14ac:dyDescent="0.25">
      <c r="A918" s="197"/>
      <c r="G918" s="88"/>
      <c r="H918" s="182"/>
      <c r="L918" s="24"/>
      <c r="M918" s="24"/>
      <c r="N918" s="186"/>
      <c r="O918" s="190"/>
      <c r="P918" s="204"/>
      <c r="Q918" s="142"/>
      <c r="T918" s="201"/>
      <c r="Z918" s="151"/>
      <c r="AB918" s="64"/>
      <c r="AC918" s="64"/>
      <c r="AD918" s="64"/>
      <c r="AE918" s="64"/>
      <c r="AF918" s="64"/>
      <c r="AG918" s="64"/>
      <c r="AH918" s="64"/>
      <c r="AI918" s="143"/>
      <c r="AJ918" s="134"/>
      <c r="AK918" s="194"/>
      <c r="AL918" s="90"/>
    </row>
    <row r="919" spans="1:38" ht="17.100000000000001" customHeight="1" x14ac:dyDescent="0.25">
      <c r="A919" s="197"/>
      <c r="G919" s="88"/>
      <c r="H919" s="182"/>
      <c r="L919" s="24"/>
      <c r="M919" s="24"/>
      <c r="N919" s="186"/>
      <c r="O919" s="190"/>
      <c r="P919" s="204"/>
      <c r="Q919" s="142"/>
      <c r="T919" s="201"/>
      <c r="Z919" s="151"/>
      <c r="AB919" s="64"/>
      <c r="AC919" s="64"/>
      <c r="AD919" s="64"/>
      <c r="AE919" s="64"/>
      <c r="AF919" s="64"/>
      <c r="AG919" s="64"/>
      <c r="AH919" s="64"/>
      <c r="AI919" s="143"/>
      <c r="AJ919" s="134"/>
      <c r="AK919" s="194"/>
      <c r="AL919" s="90"/>
    </row>
    <row r="920" spans="1:38" ht="17.100000000000001" customHeight="1" x14ac:dyDescent="0.25">
      <c r="A920" s="197"/>
      <c r="G920" s="88"/>
      <c r="H920" s="182"/>
      <c r="L920" s="24"/>
      <c r="M920" s="24"/>
      <c r="N920" s="186"/>
      <c r="O920" s="190"/>
      <c r="P920" s="204"/>
      <c r="Q920" s="142"/>
      <c r="T920" s="201"/>
      <c r="Z920" s="151"/>
      <c r="AB920" s="64"/>
      <c r="AC920" s="64"/>
      <c r="AD920" s="64"/>
      <c r="AE920" s="64"/>
      <c r="AF920" s="64"/>
      <c r="AG920" s="64"/>
      <c r="AH920" s="64"/>
      <c r="AI920" s="143"/>
      <c r="AJ920" s="134"/>
      <c r="AK920" s="194"/>
      <c r="AL920" s="90"/>
    </row>
    <row r="921" spans="1:38" ht="17.100000000000001" customHeight="1" x14ac:dyDescent="0.25">
      <c r="A921" s="197"/>
      <c r="G921" s="88"/>
      <c r="H921" s="182"/>
      <c r="L921" s="24"/>
      <c r="M921" s="24"/>
      <c r="N921" s="186"/>
      <c r="O921" s="190"/>
      <c r="P921" s="204"/>
      <c r="Q921" s="142"/>
      <c r="T921" s="201"/>
      <c r="Z921" s="151"/>
      <c r="AB921" s="64"/>
      <c r="AC921" s="64"/>
      <c r="AD921" s="64"/>
      <c r="AE921" s="64"/>
      <c r="AF921" s="64"/>
      <c r="AG921" s="64"/>
      <c r="AH921" s="64"/>
      <c r="AI921" s="143"/>
      <c r="AJ921" s="134"/>
      <c r="AK921" s="194"/>
      <c r="AL921" s="90"/>
    </row>
    <row r="922" spans="1:38" ht="17.100000000000001" customHeight="1" x14ac:dyDescent="0.25">
      <c r="A922" s="197"/>
      <c r="G922" s="88"/>
      <c r="H922" s="182"/>
      <c r="L922" s="24"/>
      <c r="M922" s="24"/>
      <c r="N922" s="186"/>
      <c r="O922" s="190"/>
      <c r="P922" s="204"/>
      <c r="Q922" s="142"/>
      <c r="T922" s="201"/>
      <c r="Z922" s="151"/>
      <c r="AB922" s="64"/>
      <c r="AC922" s="64"/>
      <c r="AD922" s="64"/>
      <c r="AE922" s="64"/>
      <c r="AF922" s="64"/>
      <c r="AG922" s="64"/>
      <c r="AH922" s="64"/>
      <c r="AI922" s="143"/>
      <c r="AJ922" s="134"/>
      <c r="AK922" s="194"/>
      <c r="AL922" s="90"/>
    </row>
    <row r="923" spans="1:38" ht="17.100000000000001" customHeight="1" x14ac:dyDescent="0.25">
      <c r="A923" s="197"/>
      <c r="G923" s="88"/>
      <c r="H923" s="182"/>
      <c r="L923" s="24"/>
      <c r="M923" s="24"/>
      <c r="N923" s="186"/>
      <c r="O923" s="190"/>
      <c r="P923" s="204"/>
      <c r="Q923" s="142"/>
      <c r="T923" s="201"/>
      <c r="Z923" s="151"/>
      <c r="AB923" s="64"/>
      <c r="AC923" s="64"/>
      <c r="AD923" s="64"/>
      <c r="AE923" s="64"/>
      <c r="AF923" s="64"/>
      <c r="AG923" s="64"/>
      <c r="AH923" s="64"/>
      <c r="AI923" s="143"/>
      <c r="AJ923" s="134"/>
      <c r="AK923" s="194"/>
      <c r="AL923" s="90"/>
    </row>
    <row r="924" spans="1:38" ht="17.100000000000001" customHeight="1" x14ac:dyDescent="0.25">
      <c r="A924" s="197"/>
      <c r="G924" s="88"/>
      <c r="H924" s="182"/>
      <c r="L924" s="24"/>
      <c r="M924" s="24"/>
      <c r="N924" s="186"/>
      <c r="O924" s="190"/>
      <c r="P924" s="204"/>
      <c r="Q924" s="142"/>
      <c r="T924" s="201"/>
      <c r="Z924" s="151"/>
      <c r="AB924" s="64"/>
      <c r="AC924" s="64"/>
      <c r="AD924" s="64"/>
      <c r="AE924" s="64"/>
      <c r="AF924" s="64"/>
      <c r="AG924" s="64"/>
      <c r="AH924" s="64"/>
      <c r="AI924" s="143"/>
      <c r="AJ924" s="134"/>
      <c r="AK924" s="194"/>
      <c r="AL924" s="90"/>
    </row>
    <row r="925" spans="1:38" ht="17.100000000000001" customHeight="1" x14ac:dyDescent="0.25">
      <c r="A925" s="197"/>
      <c r="G925" s="88"/>
      <c r="H925" s="182"/>
      <c r="L925" s="24"/>
      <c r="M925" s="24"/>
      <c r="N925" s="186"/>
      <c r="O925" s="190"/>
      <c r="P925" s="204"/>
      <c r="Q925" s="142"/>
      <c r="T925" s="201"/>
      <c r="Z925" s="151"/>
      <c r="AB925" s="64"/>
      <c r="AC925" s="64"/>
      <c r="AD925" s="64"/>
      <c r="AE925" s="64"/>
      <c r="AF925" s="64"/>
      <c r="AG925" s="64"/>
      <c r="AH925" s="64"/>
      <c r="AI925" s="143"/>
      <c r="AJ925" s="134"/>
      <c r="AK925" s="194"/>
      <c r="AL925" s="90"/>
    </row>
    <row r="926" spans="1:38" ht="17.100000000000001" customHeight="1" x14ac:dyDescent="0.25">
      <c r="A926" s="197"/>
      <c r="G926" s="88"/>
      <c r="H926" s="182"/>
      <c r="L926" s="24"/>
      <c r="M926" s="24"/>
      <c r="N926" s="186"/>
      <c r="O926" s="190"/>
      <c r="P926" s="204"/>
      <c r="Q926" s="142"/>
      <c r="T926" s="201"/>
      <c r="Z926" s="151"/>
      <c r="AB926" s="64"/>
      <c r="AC926" s="64"/>
      <c r="AD926" s="64"/>
      <c r="AE926" s="64"/>
      <c r="AF926" s="64"/>
      <c r="AG926" s="64"/>
      <c r="AH926" s="64"/>
      <c r="AI926" s="143"/>
      <c r="AJ926" s="134"/>
      <c r="AK926" s="194"/>
      <c r="AL926" s="90"/>
    </row>
    <row r="927" spans="1:38" ht="17.100000000000001" customHeight="1" x14ac:dyDescent="0.25">
      <c r="A927" s="197"/>
      <c r="G927" s="88"/>
      <c r="H927" s="182"/>
      <c r="L927" s="24"/>
      <c r="M927" s="24"/>
      <c r="N927" s="186"/>
      <c r="O927" s="190"/>
      <c r="P927" s="204"/>
      <c r="Q927" s="142"/>
      <c r="T927" s="201"/>
      <c r="Z927" s="151"/>
      <c r="AB927" s="64"/>
      <c r="AC927" s="64"/>
      <c r="AD927" s="64"/>
      <c r="AE927" s="64"/>
      <c r="AF927" s="64"/>
      <c r="AG927" s="64"/>
      <c r="AH927" s="64"/>
      <c r="AI927" s="143"/>
      <c r="AJ927" s="134"/>
      <c r="AK927" s="194"/>
      <c r="AL927" s="90"/>
    </row>
    <row r="928" spans="1:38" ht="17.100000000000001" customHeight="1" x14ac:dyDescent="0.25">
      <c r="A928" s="197"/>
      <c r="G928" s="88"/>
      <c r="H928" s="182"/>
      <c r="L928" s="24"/>
      <c r="M928" s="24"/>
      <c r="N928" s="186"/>
      <c r="O928" s="190"/>
      <c r="P928" s="204"/>
      <c r="Q928" s="142"/>
      <c r="T928" s="201"/>
      <c r="Z928" s="151"/>
      <c r="AB928" s="64"/>
      <c r="AC928" s="64"/>
      <c r="AD928" s="64"/>
      <c r="AE928" s="64"/>
      <c r="AF928" s="64"/>
      <c r="AG928" s="64"/>
      <c r="AH928" s="64"/>
      <c r="AI928" s="143"/>
      <c r="AJ928" s="134"/>
      <c r="AK928" s="194"/>
      <c r="AL928" s="90"/>
    </row>
    <row r="929" spans="1:38" ht="17.100000000000001" customHeight="1" x14ac:dyDescent="0.25">
      <c r="A929" s="197"/>
      <c r="G929" s="88"/>
      <c r="H929" s="182"/>
      <c r="L929" s="24"/>
      <c r="M929" s="24"/>
      <c r="N929" s="186"/>
      <c r="O929" s="190"/>
      <c r="P929" s="204"/>
      <c r="Q929" s="142"/>
      <c r="T929" s="201"/>
      <c r="Z929" s="151"/>
      <c r="AB929" s="64"/>
      <c r="AC929" s="64"/>
      <c r="AD929" s="64"/>
      <c r="AE929" s="64"/>
      <c r="AF929" s="64"/>
      <c r="AG929" s="64"/>
      <c r="AH929" s="64"/>
      <c r="AI929" s="143"/>
      <c r="AJ929" s="134"/>
      <c r="AK929" s="194"/>
      <c r="AL929" s="90"/>
    </row>
    <row r="930" spans="1:38" ht="17.100000000000001" customHeight="1" x14ac:dyDescent="0.25">
      <c r="A930" s="197"/>
      <c r="G930" s="88"/>
      <c r="H930" s="182"/>
      <c r="L930" s="24"/>
      <c r="M930" s="24"/>
      <c r="N930" s="186"/>
      <c r="O930" s="190"/>
      <c r="P930" s="204"/>
      <c r="Q930" s="142"/>
      <c r="T930" s="201"/>
      <c r="Z930" s="151"/>
      <c r="AB930" s="64"/>
      <c r="AC930" s="64"/>
      <c r="AD930" s="64"/>
      <c r="AE930" s="64"/>
      <c r="AF930" s="64"/>
      <c r="AG930" s="64"/>
      <c r="AH930" s="64"/>
      <c r="AI930" s="143"/>
      <c r="AJ930" s="134"/>
      <c r="AK930" s="194"/>
      <c r="AL930" s="90"/>
    </row>
    <row r="931" spans="1:38" ht="17.100000000000001" customHeight="1" x14ac:dyDescent="0.25">
      <c r="A931" s="197"/>
      <c r="G931" s="88"/>
      <c r="H931" s="182"/>
      <c r="L931" s="24"/>
      <c r="M931" s="24"/>
      <c r="N931" s="186"/>
      <c r="O931" s="190"/>
      <c r="P931" s="204"/>
      <c r="Q931" s="142"/>
      <c r="T931" s="201"/>
      <c r="Z931" s="151"/>
      <c r="AB931" s="64"/>
      <c r="AC931" s="64"/>
      <c r="AD931" s="64"/>
      <c r="AE931" s="64"/>
      <c r="AF931" s="64"/>
      <c r="AG931" s="64"/>
      <c r="AH931" s="64"/>
      <c r="AI931" s="143"/>
      <c r="AJ931" s="134"/>
      <c r="AK931" s="194"/>
      <c r="AL931" s="90"/>
    </row>
    <row r="932" spans="1:38" ht="17.100000000000001" customHeight="1" x14ac:dyDescent="0.25">
      <c r="A932" s="197"/>
      <c r="G932" s="88"/>
      <c r="H932" s="182"/>
      <c r="L932" s="24"/>
      <c r="M932" s="24"/>
      <c r="N932" s="186"/>
      <c r="O932" s="190"/>
      <c r="P932" s="204"/>
      <c r="Q932" s="142"/>
      <c r="T932" s="201"/>
      <c r="Z932" s="151"/>
      <c r="AB932" s="64"/>
      <c r="AC932" s="64"/>
      <c r="AD932" s="64"/>
      <c r="AE932" s="64"/>
      <c r="AF932" s="64"/>
      <c r="AG932" s="64"/>
      <c r="AH932" s="64"/>
      <c r="AI932" s="143"/>
      <c r="AJ932" s="134"/>
      <c r="AK932" s="194"/>
      <c r="AL932" s="90"/>
    </row>
    <row r="933" spans="1:38" ht="17.100000000000001" customHeight="1" x14ac:dyDescent="0.25">
      <c r="A933" s="197"/>
      <c r="G933" s="88"/>
      <c r="H933" s="182"/>
      <c r="L933" s="24"/>
      <c r="M933" s="24"/>
      <c r="N933" s="186"/>
      <c r="O933" s="190"/>
      <c r="P933" s="204"/>
      <c r="Q933" s="142"/>
      <c r="T933" s="201"/>
      <c r="Z933" s="151"/>
      <c r="AB933" s="64"/>
      <c r="AC933" s="64"/>
      <c r="AD933" s="64"/>
      <c r="AE933" s="64"/>
      <c r="AF933" s="64"/>
      <c r="AG933" s="64"/>
      <c r="AH933" s="64"/>
      <c r="AI933" s="143"/>
      <c r="AJ933" s="134"/>
      <c r="AK933" s="194"/>
      <c r="AL933" s="90"/>
    </row>
    <row r="934" spans="1:38" ht="17.100000000000001" customHeight="1" x14ac:dyDescent="0.25">
      <c r="A934" s="197"/>
      <c r="G934" s="88"/>
      <c r="H934" s="182"/>
      <c r="L934" s="24"/>
      <c r="M934" s="24"/>
      <c r="N934" s="186"/>
      <c r="O934" s="190"/>
      <c r="P934" s="204"/>
      <c r="Q934" s="142"/>
      <c r="T934" s="201"/>
      <c r="Z934" s="151"/>
      <c r="AB934" s="64"/>
      <c r="AC934" s="64"/>
      <c r="AD934" s="64"/>
      <c r="AE934" s="64"/>
      <c r="AF934" s="64"/>
      <c r="AG934" s="64"/>
      <c r="AH934" s="64"/>
      <c r="AI934" s="143"/>
      <c r="AJ934" s="134"/>
      <c r="AK934" s="194"/>
      <c r="AL934" s="90"/>
    </row>
    <row r="935" spans="1:38" ht="17.100000000000001" customHeight="1" x14ac:dyDescent="0.25">
      <c r="A935" s="197"/>
      <c r="G935" s="88"/>
      <c r="H935" s="182"/>
      <c r="L935" s="24"/>
      <c r="M935" s="24"/>
      <c r="N935" s="186"/>
      <c r="O935" s="190"/>
      <c r="P935" s="204"/>
      <c r="Q935" s="142"/>
      <c r="T935" s="201"/>
      <c r="Z935" s="151"/>
      <c r="AB935" s="64"/>
      <c r="AC935" s="64"/>
      <c r="AD935" s="64"/>
      <c r="AE935" s="64"/>
      <c r="AF935" s="64"/>
      <c r="AG935" s="64"/>
      <c r="AH935" s="64"/>
      <c r="AI935" s="143"/>
      <c r="AJ935" s="134"/>
      <c r="AK935" s="194"/>
      <c r="AL935" s="90"/>
    </row>
    <row r="936" spans="1:38" ht="17.100000000000001" customHeight="1" x14ac:dyDescent="0.25">
      <c r="A936" s="197"/>
      <c r="G936" s="88"/>
      <c r="H936" s="182"/>
      <c r="L936" s="24"/>
      <c r="M936" s="24"/>
      <c r="N936" s="186"/>
      <c r="O936" s="190"/>
      <c r="P936" s="204"/>
      <c r="Q936" s="142"/>
      <c r="T936" s="201"/>
      <c r="Z936" s="151"/>
      <c r="AB936" s="64"/>
      <c r="AC936" s="64"/>
      <c r="AD936" s="64"/>
      <c r="AE936" s="64"/>
      <c r="AF936" s="64"/>
      <c r="AG936" s="64"/>
      <c r="AH936" s="64"/>
      <c r="AI936" s="143"/>
      <c r="AJ936" s="134"/>
      <c r="AK936" s="194"/>
      <c r="AL936" s="90"/>
    </row>
    <row r="937" spans="1:38" ht="17.100000000000001" customHeight="1" x14ac:dyDescent="0.25">
      <c r="A937" s="197"/>
      <c r="G937" s="88"/>
      <c r="H937" s="182"/>
      <c r="L937" s="24"/>
      <c r="M937" s="24"/>
      <c r="N937" s="186"/>
      <c r="O937" s="190"/>
      <c r="P937" s="204"/>
      <c r="Q937" s="142"/>
      <c r="T937" s="201"/>
      <c r="Z937" s="151"/>
      <c r="AB937" s="64"/>
      <c r="AC937" s="64"/>
      <c r="AD937" s="64"/>
      <c r="AE937" s="64"/>
      <c r="AF937" s="64"/>
      <c r="AG937" s="64"/>
      <c r="AH937" s="64"/>
      <c r="AI937" s="143"/>
      <c r="AJ937" s="134"/>
      <c r="AK937" s="194"/>
      <c r="AL937" s="90"/>
    </row>
    <row r="938" spans="1:38" ht="17.100000000000001" customHeight="1" x14ac:dyDescent="0.25">
      <c r="A938" s="197"/>
      <c r="G938" s="88"/>
      <c r="H938" s="182"/>
      <c r="L938" s="24"/>
      <c r="M938" s="24"/>
      <c r="N938" s="186"/>
      <c r="O938" s="190"/>
      <c r="P938" s="204"/>
      <c r="Q938" s="142"/>
      <c r="T938" s="201"/>
      <c r="Z938" s="151"/>
      <c r="AB938" s="64"/>
      <c r="AC938" s="64"/>
      <c r="AD938" s="64"/>
      <c r="AE938" s="64"/>
      <c r="AF938" s="64"/>
      <c r="AG938" s="64"/>
      <c r="AH938" s="64"/>
      <c r="AI938" s="143"/>
      <c r="AJ938" s="134"/>
      <c r="AK938" s="194"/>
      <c r="AL938" s="90"/>
    </row>
    <row r="939" spans="1:38" ht="17.100000000000001" customHeight="1" x14ac:dyDescent="0.25">
      <c r="A939" s="197"/>
      <c r="G939" s="88"/>
      <c r="H939" s="182"/>
      <c r="L939" s="24"/>
      <c r="M939" s="24"/>
      <c r="N939" s="186"/>
      <c r="O939" s="190"/>
      <c r="P939" s="204"/>
      <c r="Q939" s="142"/>
      <c r="T939" s="201"/>
      <c r="Z939" s="151"/>
      <c r="AB939" s="64"/>
      <c r="AC939" s="64"/>
      <c r="AD939" s="64"/>
      <c r="AE939" s="64"/>
      <c r="AF939" s="64"/>
      <c r="AG939" s="64"/>
      <c r="AH939" s="64"/>
      <c r="AI939" s="143"/>
      <c r="AJ939" s="134"/>
      <c r="AK939" s="194"/>
      <c r="AL939" s="90"/>
    </row>
    <row r="940" spans="1:38" ht="17.100000000000001" customHeight="1" x14ac:dyDescent="0.25">
      <c r="A940" s="197"/>
      <c r="G940" s="88"/>
      <c r="H940" s="182"/>
      <c r="L940" s="24"/>
      <c r="M940" s="24"/>
      <c r="N940" s="186"/>
      <c r="O940" s="190"/>
      <c r="P940" s="204"/>
      <c r="Q940" s="142"/>
      <c r="T940" s="201"/>
      <c r="Z940" s="151"/>
      <c r="AB940" s="64"/>
      <c r="AC940" s="64"/>
      <c r="AD940" s="64"/>
      <c r="AE940" s="64"/>
      <c r="AF940" s="64"/>
      <c r="AG940" s="64"/>
      <c r="AH940" s="64"/>
      <c r="AI940" s="143"/>
      <c r="AJ940" s="134"/>
      <c r="AK940" s="194"/>
      <c r="AL940" s="90"/>
    </row>
    <row r="941" spans="1:38" ht="17.100000000000001" customHeight="1" x14ac:dyDescent="0.25">
      <c r="A941" s="197"/>
      <c r="G941" s="88"/>
      <c r="H941" s="182"/>
      <c r="L941" s="24"/>
      <c r="M941" s="24"/>
      <c r="N941" s="186"/>
      <c r="O941" s="190"/>
      <c r="P941" s="204"/>
      <c r="Q941" s="142"/>
      <c r="T941" s="201"/>
      <c r="Z941" s="151"/>
      <c r="AB941" s="64"/>
      <c r="AC941" s="64"/>
      <c r="AD941" s="64"/>
      <c r="AE941" s="64"/>
      <c r="AF941" s="64"/>
      <c r="AG941" s="64"/>
      <c r="AH941" s="64"/>
      <c r="AI941" s="143"/>
      <c r="AJ941" s="134"/>
      <c r="AK941" s="194"/>
      <c r="AL941" s="90"/>
    </row>
    <row r="942" spans="1:38" ht="17.100000000000001" customHeight="1" x14ac:dyDescent="0.25">
      <c r="A942" s="197"/>
      <c r="G942" s="88"/>
      <c r="H942" s="182"/>
      <c r="L942" s="24"/>
      <c r="M942" s="24"/>
      <c r="N942" s="186"/>
      <c r="O942" s="190"/>
      <c r="P942" s="204"/>
      <c r="Q942" s="142"/>
      <c r="T942" s="201"/>
      <c r="Z942" s="151"/>
      <c r="AB942" s="64"/>
      <c r="AC942" s="64"/>
      <c r="AD942" s="64"/>
      <c r="AE942" s="64"/>
      <c r="AF942" s="64"/>
      <c r="AG942" s="64"/>
      <c r="AH942" s="64"/>
      <c r="AI942" s="143"/>
      <c r="AJ942" s="134"/>
      <c r="AK942" s="194"/>
      <c r="AL942" s="90"/>
    </row>
    <row r="943" spans="1:38" ht="17.100000000000001" customHeight="1" x14ac:dyDescent="0.25">
      <c r="A943" s="197"/>
      <c r="G943" s="88"/>
      <c r="H943" s="182"/>
      <c r="L943" s="24"/>
      <c r="M943" s="24"/>
      <c r="N943" s="186"/>
      <c r="O943" s="190"/>
      <c r="P943" s="204"/>
      <c r="Q943" s="142"/>
      <c r="T943" s="201"/>
      <c r="Z943" s="151"/>
      <c r="AB943" s="64"/>
      <c r="AC943" s="64"/>
      <c r="AD943" s="64"/>
      <c r="AE943" s="64"/>
      <c r="AF943" s="64"/>
      <c r="AG943" s="64"/>
      <c r="AH943" s="64"/>
      <c r="AI943" s="143"/>
      <c r="AJ943" s="134"/>
      <c r="AK943" s="194"/>
      <c r="AL943" s="90"/>
    </row>
    <row r="944" spans="1:38" ht="17.100000000000001" customHeight="1" x14ac:dyDescent="0.25">
      <c r="A944" s="197"/>
      <c r="G944" s="88"/>
      <c r="H944" s="182"/>
      <c r="L944" s="24"/>
      <c r="M944" s="24"/>
      <c r="N944" s="186"/>
      <c r="O944" s="190"/>
      <c r="P944" s="204"/>
      <c r="Q944" s="142"/>
      <c r="T944" s="201"/>
      <c r="Z944" s="151"/>
      <c r="AB944" s="64"/>
      <c r="AC944" s="64"/>
      <c r="AD944" s="64"/>
      <c r="AE944" s="64"/>
      <c r="AF944" s="64"/>
      <c r="AG944" s="64"/>
      <c r="AH944" s="64"/>
      <c r="AI944" s="143"/>
      <c r="AJ944" s="134"/>
      <c r="AK944" s="194"/>
      <c r="AL944" s="90"/>
    </row>
    <row r="945" spans="1:38" ht="17.100000000000001" customHeight="1" x14ac:dyDescent="0.25">
      <c r="A945" s="197"/>
      <c r="G945" s="88"/>
      <c r="H945" s="182"/>
      <c r="L945" s="24"/>
      <c r="M945" s="24"/>
      <c r="N945" s="186"/>
      <c r="O945" s="190"/>
      <c r="P945" s="204"/>
      <c r="Q945" s="142"/>
      <c r="T945" s="201"/>
      <c r="Z945" s="151"/>
      <c r="AB945" s="64"/>
      <c r="AC945" s="64"/>
      <c r="AD945" s="64"/>
      <c r="AE945" s="64"/>
      <c r="AF945" s="64"/>
      <c r="AG945" s="64"/>
      <c r="AH945" s="64"/>
      <c r="AI945" s="143"/>
      <c r="AJ945" s="134"/>
      <c r="AK945" s="194"/>
      <c r="AL945" s="90"/>
    </row>
    <row r="946" spans="1:38" ht="17.100000000000001" customHeight="1" x14ac:dyDescent="0.25">
      <c r="A946" s="197"/>
      <c r="G946" s="88"/>
      <c r="H946" s="182"/>
      <c r="L946" s="24"/>
      <c r="M946" s="24"/>
      <c r="N946" s="186"/>
      <c r="O946" s="190"/>
      <c r="P946" s="204"/>
      <c r="Q946" s="142"/>
      <c r="T946" s="201"/>
      <c r="Z946" s="151"/>
      <c r="AB946" s="64"/>
      <c r="AC946" s="64"/>
      <c r="AD946" s="64"/>
      <c r="AE946" s="64"/>
      <c r="AF946" s="64"/>
      <c r="AG946" s="64"/>
      <c r="AH946" s="64"/>
      <c r="AI946" s="143"/>
      <c r="AJ946" s="134"/>
      <c r="AK946" s="194"/>
      <c r="AL946" s="90"/>
    </row>
    <row r="947" spans="1:38" ht="17.100000000000001" customHeight="1" x14ac:dyDescent="0.25">
      <c r="A947" s="197"/>
      <c r="G947" s="88"/>
      <c r="H947" s="182"/>
      <c r="L947" s="24"/>
      <c r="M947" s="24"/>
      <c r="N947" s="186"/>
      <c r="O947" s="190"/>
      <c r="P947" s="204"/>
      <c r="Q947" s="142"/>
      <c r="T947" s="201"/>
      <c r="Z947" s="151"/>
      <c r="AB947" s="64"/>
      <c r="AC947" s="64"/>
      <c r="AD947" s="64"/>
      <c r="AE947" s="64"/>
      <c r="AF947" s="64"/>
      <c r="AG947" s="64"/>
      <c r="AH947" s="64"/>
      <c r="AI947" s="143"/>
      <c r="AJ947" s="134"/>
      <c r="AK947" s="194"/>
      <c r="AL947" s="90"/>
    </row>
    <row r="948" spans="1:38" ht="17.100000000000001" customHeight="1" x14ac:dyDescent="0.25">
      <c r="A948" s="197"/>
      <c r="G948" s="88"/>
      <c r="H948" s="182"/>
      <c r="L948" s="24"/>
      <c r="M948" s="24"/>
      <c r="N948" s="186"/>
      <c r="O948" s="190"/>
      <c r="P948" s="204"/>
      <c r="Q948" s="142"/>
      <c r="T948" s="201"/>
      <c r="Z948" s="151"/>
      <c r="AB948" s="64"/>
      <c r="AC948" s="64"/>
      <c r="AD948" s="64"/>
      <c r="AE948" s="64"/>
      <c r="AF948" s="64"/>
      <c r="AG948" s="64"/>
      <c r="AH948" s="64"/>
      <c r="AI948" s="143"/>
      <c r="AJ948" s="134"/>
      <c r="AK948" s="194"/>
      <c r="AL948" s="90"/>
    </row>
    <row r="949" spans="1:38" ht="17.100000000000001" customHeight="1" x14ac:dyDescent="0.25">
      <c r="A949" s="197"/>
      <c r="G949" s="88"/>
      <c r="H949" s="182"/>
      <c r="L949" s="24"/>
      <c r="M949" s="24"/>
      <c r="N949" s="186"/>
      <c r="O949" s="190"/>
      <c r="P949" s="204"/>
      <c r="Q949" s="142"/>
      <c r="T949" s="201"/>
      <c r="Z949" s="151"/>
      <c r="AB949" s="64"/>
      <c r="AC949" s="64"/>
      <c r="AD949" s="64"/>
      <c r="AE949" s="64"/>
      <c r="AF949" s="64"/>
      <c r="AG949" s="64"/>
      <c r="AH949" s="64"/>
      <c r="AI949" s="143"/>
      <c r="AJ949" s="134"/>
      <c r="AK949" s="194"/>
      <c r="AL949" s="90"/>
    </row>
    <row r="950" spans="1:38" ht="17.100000000000001" customHeight="1" x14ac:dyDescent="0.25">
      <c r="A950" s="197"/>
      <c r="G950" s="88"/>
      <c r="H950" s="182"/>
      <c r="L950" s="24"/>
      <c r="M950" s="24"/>
      <c r="N950" s="186"/>
      <c r="O950" s="190"/>
      <c r="P950" s="204"/>
      <c r="Q950" s="142"/>
      <c r="T950" s="201"/>
      <c r="Z950" s="151"/>
      <c r="AB950" s="64"/>
      <c r="AC950" s="64"/>
      <c r="AD950" s="64"/>
      <c r="AE950" s="64"/>
      <c r="AF950" s="64"/>
      <c r="AG950" s="64"/>
      <c r="AH950" s="64"/>
      <c r="AI950" s="143"/>
      <c r="AJ950" s="134"/>
      <c r="AK950" s="194"/>
      <c r="AL950" s="90"/>
    </row>
    <row r="951" spans="1:38" ht="17.100000000000001" customHeight="1" x14ac:dyDescent="0.25">
      <c r="A951" s="197"/>
      <c r="G951" s="88"/>
      <c r="H951" s="182"/>
      <c r="L951" s="24"/>
      <c r="M951" s="24"/>
      <c r="N951" s="186"/>
      <c r="O951" s="190"/>
      <c r="P951" s="204"/>
      <c r="Q951" s="142"/>
      <c r="T951" s="201"/>
      <c r="Z951" s="151"/>
      <c r="AB951" s="64"/>
      <c r="AC951" s="64"/>
      <c r="AD951" s="64"/>
      <c r="AE951" s="64"/>
      <c r="AF951" s="64"/>
      <c r="AG951" s="64"/>
      <c r="AH951" s="64"/>
      <c r="AI951" s="143"/>
      <c r="AJ951" s="134"/>
      <c r="AK951" s="194"/>
      <c r="AL951" s="90"/>
    </row>
    <row r="952" spans="1:38" ht="17.100000000000001" customHeight="1" thickBot="1" x14ac:dyDescent="0.3">
      <c r="A952" s="197"/>
      <c r="G952" s="88"/>
      <c r="H952" s="182"/>
      <c r="L952" s="24"/>
      <c r="M952" s="24"/>
      <c r="N952" s="186"/>
      <c r="O952" s="190"/>
      <c r="P952" s="204"/>
      <c r="Q952" s="142"/>
      <c r="T952" s="201"/>
      <c r="Z952" s="151"/>
      <c r="AB952" s="64"/>
      <c r="AC952" s="64"/>
      <c r="AD952" s="64"/>
      <c r="AE952" s="64"/>
      <c r="AF952" s="64"/>
      <c r="AG952" s="64"/>
      <c r="AH952" s="64"/>
      <c r="AI952" s="143"/>
      <c r="AJ952" s="134"/>
      <c r="AK952" s="194"/>
      <c r="AL952" s="90"/>
    </row>
    <row r="953" spans="1:38" ht="17.100000000000001" customHeight="1" x14ac:dyDescent="0.25">
      <c r="A953" s="198"/>
      <c r="B953" s="153"/>
      <c r="C953" s="154"/>
      <c r="D953" s="154"/>
      <c r="E953" s="154"/>
      <c r="F953" s="154"/>
      <c r="G953" s="155"/>
      <c r="H953" s="183"/>
      <c r="I953" s="156"/>
      <c r="J953" s="157"/>
      <c r="K953" s="158"/>
      <c r="L953" s="158"/>
      <c r="M953" s="158"/>
      <c r="N953" s="187"/>
      <c r="O953" s="191"/>
      <c r="P953" s="205"/>
      <c r="Q953" s="159"/>
      <c r="R953" s="160"/>
      <c r="S953" s="158"/>
      <c r="T953" s="202"/>
      <c r="U953" s="161"/>
      <c r="V953" s="156"/>
      <c r="W953" s="162"/>
      <c r="X953" s="156"/>
      <c r="Y953" s="158"/>
      <c r="Z953" s="163"/>
      <c r="AA953" s="156"/>
      <c r="AB953" s="164"/>
      <c r="AC953" s="164"/>
      <c r="AD953" s="164"/>
      <c r="AE953" s="164"/>
      <c r="AF953" s="164"/>
      <c r="AG953" s="164"/>
      <c r="AH953" s="164"/>
      <c r="AI953" s="165"/>
      <c r="AJ953" s="134"/>
      <c r="AK953" s="195"/>
      <c r="AL953" s="170"/>
    </row>
    <row r="954" spans="1:38" ht="17.100000000000001" customHeight="1" x14ac:dyDescent="0.25">
      <c r="A954" s="197"/>
      <c r="G954" s="88"/>
      <c r="H954" s="182"/>
      <c r="L954" s="24"/>
      <c r="M954" s="24"/>
      <c r="N954" s="186"/>
      <c r="O954" s="190"/>
      <c r="P954" s="204"/>
      <c r="Q954" s="142"/>
      <c r="T954" s="201"/>
      <c r="Z954" s="151"/>
      <c r="AB954" s="64"/>
      <c r="AC954" s="64"/>
      <c r="AD954" s="64"/>
      <c r="AE954" s="64"/>
      <c r="AF954" s="64"/>
      <c r="AG954" s="64"/>
      <c r="AH954" s="64"/>
      <c r="AI954" s="143"/>
      <c r="AJ954" s="134"/>
      <c r="AK954" s="194"/>
      <c r="AL954" s="90"/>
    </row>
    <row r="955" spans="1:38" ht="17.100000000000001" customHeight="1" x14ac:dyDescent="0.25">
      <c r="A955" s="197"/>
      <c r="G955" s="88"/>
      <c r="H955" s="182"/>
      <c r="L955" s="24"/>
      <c r="M955" s="24"/>
      <c r="N955" s="186"/>
      <c r="O955" s="190"/>
      <c r="P955" s="204"/>
      <c r="Q955" s="142"/>
      <c r="T955" s="201"/>
      <c r="Z955" s="151"/>
      <c r="AB955" s="64"/>
      <c r="AC955" s="64"/>
      <c r="AD955" s="64"/>
      <c r="AE955" s="64"/>
      <c r="AF955" s="64"/>
      <c r="AG955" s="64"/>
      <c r="AH955" s="64"/>
      <c r="AI955" s="143"/>
      <c r="AJ955" s="134"/>
      <c r="AK955" s="194"/>
      <c r="AL955" s="90"/>
    </row>
    <row r="956" spans="1:38" ht="17.100000000000001" customHeight="1" x14ac:dyDescent="0.25">
      <c r="A956" s="197"/>
      <c r="G956" s="88"/>
      <c r="H956" s="182"/>
      <c r="L956" s="24"/>
      <c r="M956" s="24"/>
      <c r="N956" s="186"/>
      <c r="O956" s="190"/>
      <c r="P956" s="204"/>
      <c r="Q956" s="142"/>
      <c r="T956" s="201"/>
      <c r="Z956" s="151"/>
      <c r="AB956" s="64"/>
      <c r="AC956" s="64"/>
      <c r="AD956" s="64"/>
      <c r="AE956" s="64"/>
      <c r="AF956" s="64"/>
      <c r="AG956" s="64"/>
      <c r="AH956" s="64"/>
      <c r="AI956" s="143"/>
      <c r="AJ956" s="134"/>
      <c r="AK956" s="194"/>
      <c r="AL956" s="90"/>
    </row>
    <row r="957" spans="1:38" ht="17.100000000000001" customHeight="1" x14ac:dyDescent="0.25">
      <c r="A957" s="197"/>
      <c r="G957" s="88"/>
      <c r="H957" s="182"/>
      <c r="L957" s="24"/>
      <c r="M957" s="24"/>
      <c r="N957" s="186"/>
      <c r="O957" s="190"/>
      <c r="P957" s="204"/>
      <c r="Q957" s="142"/>
      <c r="T957" s="201"/>
      <c r="Z957" s="151"/>
      <c r="AB957" s="64"/>
      <c r="AC957" s="64"/>
      <c r="AD957" s="64"/>
      <c r="AE957" s="64"/>
      <c r="AF957" s="64"/>
      <c r="AG957" s="64"/>
      <c r="AH957" s="64"/>
      <c r="AI957" s="143"/>
      <c r="AJ957" s="134"/>
      <c r="AK957" s="194"/>
      <c r="AL957" s="90"/>
    </row>
    <row r="958" spans="1:38" ht="17.100000000000001" customHeight="1" x14ac:dyDescent="0.25">
      <c r="A958" s="197"/>
      <c r="G958" s="88"/>
      <c r="H958" s="182"/>
      <c r="L958" s="24"/>
      <c r="M958" s="24"/>
      <c r="N958" s="186"/>
      <c r="O958" s="190"/>
      <c r="P958" s="204"/>
      <c r="Q958" s="142"/>
      <c r="T958" s="201"/>
      <c r="Z958" s="151"/>
      <c r="AB958" s="64"/>
      <c r="AC958" s="64"/>
      <c r="AD958" s="64"/>
      <c r="AE958" s="64"/>
      <c r="AF958" s="64"/>
      <c r="AG958" s="64"/>
      <c r="AH958" s="64"/>
      <c r="AI958" s="143"/>
      <c r="AJ958" s="134"/>
      <c r="AK958" s="194"/>
      <c r="AL958" s="90"/>
    </row>
    <row r="959" spans="1:38" ht="17.100000000000001" customHeight="1" x14ac:dyDescent="0.25">
      <c r="A959" s="197"/>
      <c r="G959" s="88"/>
      <c r="H959" s="182"/>
      <c r="L959" s="24"/>
      <c r="M959" s="24"/>
      <c r="N959" s="186"/>
      <c r="O959" s="190"/>
      <c r="P959" s="204"/>
      <c r="Q959" s="142"/>
      <c r="T959" s="201"/>
      <c r="Z959" s="151"/>
      <c r="AB959" s="64"/>
      <c r="AC959" s="64"/>
      <c r="AD959" s="64"/>
      <c r="AE959" s="64"/>
      <c r="AF959" s="64"/>
      <c r="AG959" s="64"/>
      <c r="AH959" s="64"/>
      <c r="AI959" s="143"/>
      <c r="AJ959" s="134"/>
      <c r="AK959" s="194"/>
      <c r="AL959" s="90"/>
    </row>
    <row r="960" spans="1:38" ht="17.100000000000001" customHeight="1" x14ac:dyDescent="0.25">
      <c r="A960" s="197"/>
      <c r="G960" s="88"/>
      <c r="H960" s="182"/>
      <c r="L960" s="24"/>
      <c r="M960" s="24"/>
      <c r="N960" s="186"/>
      <c r="O960" s="190"/>
      <c r="P960" s="204"/>
      <c r="Q960" s="142"/>
      <c r="T960" s="201"/>
      <c r="Z960" s="151"/>
      <c r="AB960" s="64"/>
      <c r="AC960" s="64"/>
      <c r="AD960" s="64"/>
      <c r="AE960" s="64"/>
      <c r="AF960" s="64"/>
      <c r="AG960" s="64"/>
      <c r="AH960" s="64"/>
      <c r="AI960" s="143"/>
      <c r="AJ960" s="134"/>
      <c r="AK960" s="194"/>
      <c r="AL960" s="90"/>
    </row>
    <row r="961" spans="1:38" ht="17.100000000000001" customHeight="1" x14ac:dyDescent="0.25">
      <c r="A961" s="197"/>
      <c r="G961" s="88"/>
      <c r="H961" s="182"/>
      <c r="L961" s="24"/>
      <c r="M961" s="24"/>
      <c r="N961" s="186"/>
      <c r="O961" s="190"/>
      <c r="P961" s="204"/>
      <c r="Q961" s="142"/>
      <c r="T961" s="201"/>
      <c r="Z961" s="151"/>
      <c r="AB961" s="64"/>
      <c r="AC961" s="64"/>
      <c r="AD961" s="64"/>
      <c r="AE961" s="64"/>
      <c r="AF961" s="64"/>
      <c r="AG961" s="64"/>
      <c r="AH961" s="64"/>
      <c r="AI961" s="143"/>
      <c r="AJ961" s="134"/>
      <c r="AK961" s="194"/>
      <c r="AL961" s="90"/>
    </row>
    <row r="962" spans="1:38" ht="17.100000000000001" customHeight="1" x14ac:dyDescent="0.25">
      <c r="A962" s="197"/>
      <c r="G962" s="88"/>
      <c r="H962" s="182"/>
      <c r="L962" s="24"/>
      <c r="M962" s="24"/>
      <c r="N962" s="186"/>
      <c r="O962" s="190"/>
      <c r="P962" s="204"/>
      <c r="Q962" s="142"/>
      <c r="T962" s="201"/>
      <c r="Z962" s="151"/>
      <c r="AB962" s="64"/>
      <c r="AC962" s="64"/>
      <c r="AD962" s="64"/>
      <c r="AE962" s="64"/>
      <c r="AF962" s="64"/>
      <c r="AG962" s="64"/>
      <c r="AH962" s="64"/>
      <c r="AI962" s="143"/>
      <c r="AJ962" s="134"/>
      <c r="AK962" s="194"/>
      <c r="AL962" s="90"/>
    </row>
    <row r="963" spans="1:38" ht="17.100000000000001" customHeight="1" x14ac:dyDescent="0.25">
      <c r="A963" s="197"/>
      <c r="G963" s="88"/>
      <c r="H963" s="182"/>
      <c r="L963" s="24"/>
      <c r="M963" s="24"/>
      <c r="N963" s="186"/>
      <c r="O963" s="190"/>
      <c r="P963" s="204"/>
      <c r="Q963" s="142"/>
      <c r="T963" s="201"/>
      <c r="Z963" s="151"/>
      <c r="AB963" s="64"/>
      <c r="AC963" s="64"/>
      <c r="AD963" s="64"/>
      <c r="AE963" s="64"/>
      <c r="AF963" s="64"/>
      <c r="AG963" s="64"/>
      <c r="AH963" s="64"/>
      <c r="AI963" s="143"/>
      <c r="AJ963" s="134"/>
      <c r="AK963" s="194"/>
      <c r="AL963" s="90"/>
    </row>
    <row r="964" spans="1:38" ht="17.100000000000001" customHeight="1" x14ac:dyDescent="0.25">
      <c r="A964" s="197"/>
      <c r="G964" s="88"/>
      <c r="H964" s="182"/>
      <c r="L964" s="24"/>
      <c r="M964" s="24"/>
      <c r="N964" s="186"/>
      <c r="O964" s="190"/>
      <c r="P964" s="204"/>
      <c r="Q964" s="142"/>
      <c r="T964" s="201"/>
      <c r="Z964" s="151"/>
      <c r="AB964" s="64"/>
      <c r="AC964" s="64"/>
      <c r="AD964" s="64"/>
      <c r="AE964" s="64"/>
      <c r="AF964" s="64"/>
      <c r="AG964" s="64"/>
      <c r="AH964" s="64"/>
      <c r="AI964" s="143"/>
      <c r="AJ964" s="134"/>
      <c r="AK964" s="194"/>
      <c r="AL964" s="90"/>
    </row>
    <row r="965" spans="1:38" ht="17.100000000000001" customHeight="1" x14ac:dyDescent="0.25">
      <c r="A965" s="197"/>
      <c r="G965" s="88"/>
      <c r="H965" s="182"/>
      <c r="L965" s="24"/>
      <c r="M965" s="24"/>
      <c r="N965" s="186"/>
      <c r="O965" s="190"/>
      <c r="P965" s="204"/>
      <c r="Q965" s="142"/>
      <c r="T965" s="201"/>
      <c r="Z965" s="151"/>
      <c r="AB965" s="64"/>
      <c r="AC965" s="64"/>
      <c r="AD965" s="64"/>
      <c r="AE965" s="64"/>
      <c r="AF965" s="64"/>
      <c r="AG965" s="64"/>
      <c r="AH965" s="64"/>
      <c r="AI965" s="143"/>
      <c r="AJ965" s="134"/>
      <c r="AK965" s="194"/>
      <c r="AL965" s="90"/>
    </row>
    <row r="966" spans="1:38" ht="17.100000000000001" customHeight="1" x14ac:dyDescent="0.25">
      <c r="A966" s="197"/>
      <c r="G966" s="88"/>
      <c r="H966" s="182"/>
      <c r="L966" s="24"/>
      <c r="M966" s="24"/>
      <c r="N966" s="186"/>
      <c r="O966" s="190"/>
      <c r="P966" s="204"/>
      <c r="Q966" s="142"/>
      <c r="T966" s="201"/>
      <c r="Z966" s="151"/>
      <c r="AB966" s="64"/>
      <c r="AC966" s="64"/>
      <c r="AD966" s="64"/>
      <c r="AE966" s="64"/>
      <c r="AF966" s="64"/>
      <c r="AG966" s="64"/>
      <c r="AH966" s="64"/>
      <c r="AI966" s="143"/>
      <c r="AJ966" s="134"/>
      <c r="AK966" s="194"/>
      <c r="AL966" s="90"/>
    </row>
    <row r="967" spans="1:38" ht="17.100000000000001" customHeight="1" x14ac:dyDescent="0.25">
      <c r="A967" s="197"/>
      <c r="G967" s="88"/>
      <c r="H967" s="182"/>
      <c r="L967" s="24"/>
      <c r="M967" s="24"/>
      <c r="N967" s="186"/>
      <c r="O967" s="190"/>
      <c r="P967" s="204"/>
      <c r="Q967" s="142"/>
      <c r="T967" s="201"/>
      <c r="Z967" s="151"/>
      <c r="AB967" s="64"/>
      <c r="AC967" s="64"/>
      <c r="AD967" s="64"/>
      <c r="AE967" s="64"/>
      <c r="AF967" s="64"/>
      <c r="AG967" s="64"/>
      <c r="AH967" s="64"/>
      <c r="AI967" s="143"/>
      <c r="AJ967" s="134"/>
      <c r="AK967" s="194"/>
      <c r="AL967" s="90"/>
    </row>
    <row r="968" spans="1:38" ht="17.100000000000001" customHeight="1" x14ac:dyDescent="0.25">
      <c r="A968" s="197"/>
      <c r="G968" s="88"/>
      <c r="H968" s="182"/>
      <c r="L968" s="24"/>
      <c r="M968" s="24"/>
      <c r="N968" s="186"/>
      <c r="O968" s="190"/>
      <c r="P968" s="204"/>
      <c r="Q968" s="142"/>
      <c r="T968" s="201"/>
      <c r="Z968" s="151"/>
      <c r="AB968" s="64"/>
      <c r="AC968" s="64"/>
      <c r="AD968" s="64"/>
      <c r="AE968" s="64"/>
      <c r="AF968" s="64"/>
      <c r="AG968" s="64"/>
      <c r="AH968" s="64"/>
      <c r="AI968" s="143"/>
      <c r="AJ968" s="134"/>
      <c r="AK968" s="194"/>
      <c r="AL968" s="90"/>
    </row>
    <row r="969" spans="1:38" ht="17.100000000000001" customHeight="1" x14ac:dyDescent="0.25">
      <c r="A969" s="197"/>
      <c r="G969" s="88"/>
      <c r="H969" s="182"/>
      <c r="L969" s="24"/>
      <c r="M969" s="24"/>
      <c r="N969" s="186"/>
      <c r="O969" s="190"/>
      <c r="P969" s="204"/>
      <c r="Q969" s="142"/>
      <c r="T969" s="201"/>
      <c r="Z969" s="151"/>
      <c r="AB969" s="64"/>
      <c r="AC969" s="64"/>
      <c r="AD969" s="64"/>
      <c r="AE969" s="64"/>
      <c r="AF969" s="64"/>
      <c r="AG969" s="64"/>
      <c r="AH969" s="64"/>
      <c r="AI969" s="143"/>
      <c r="AJ969" s="134"/>
      <c r="AK969" s="194"/>
      <c r="AL969" s="90"/>
    </row>
    <row r="970" spans="1:38" ht="17.100000000000001" customHeight="1" x14ac:dyDescent="0.25">
      <c r="A970" s="197"/>
      <c r="G970" s="88"/>
      <c r="H970" s="182"/>
      <c r="L970" s="24"/>
      <c r="M970" s="24"/>
      <c r="N970" s="186"/>
      <c r="O970" s="190"/>
      <c r="P970" s="204"/>
      <c r="Q970" s="142"/>
      <c r="T970" s="201"/>
      <c r="Z970" s="151"/>
      <c r="AB970" s="64"/>
      <c r="AC970" s="64"/>
      <c r="AD970" s="64"/>
      <c r="AE970" s="64"/>
      <c r="AF970" s="64"/>
      <c r="AG970" s="64"/>
      <c r="AH970" s="64"/>
      <c r="AI970" s="143"/>
      <c r="AJ970" s="134"/>
      <c r="AK970" s="194"/>
      <c r="AL970" s="90"/>
    </row>
    <row r="971" spans="1:38" ht="17.100000000000001" customHeight="1" x14ac:dyDescent="0.25">
      <c r="A971" s="197"/>
      <c r="G971" s="88"/>
      <c r="H971" s="182"/>
      <c r="L971" s="24"/>
      <c r="M971" s="24"/>
      <c r="N971" s="186"/>
      <c r="O971" s="190"/>
      <c r="P971" s="204"/>
      <c r="Q971" s="142"/>
      <c r="T971" s="201"/>
      <c r="Z971" s="151"/>
      <c r="AB971" s="64"/>
      <c r="AC971" s="64"/>
      <c r="AD971" s="64"/>
      <c r="AE971" s="64"/>
      <c r="AF971" s="64"/>
      <c r="AG971" s="64"/>
      <c r="AH971" s="64"/>
      <c r="AI971" s="143"/>
      <c r="AJ971" s="134"/>
      <c r="AK971" s="194"/>
      <c r="AL971" s="90"/>
    </row>
    <row r="972" spans="1:38" ht="17.100000000000001" customHeight="1" x14ac:dyDescent="0.25">
      <c r="A972" s="197"/>
      <c r="G972" s="88"/>
      <c r="H972" s="182"/>
      <c r="L972" s="24"/>
      <c r="M972" s="24"/>
      <c r="N972" s="186"/>
      <c r="O972" s="190"/>
      <c r="P972" s="204"/>
      <c r="Q972" s="142"/>
      <c r="T972" s="201"/>
      <c r="Z972" s="151"/>
      <c r="AB972" s="64"/>
      <c r="AC972" s="64"/>
      <c r="AD972" s="64"/>
      <c r="AE972" s="64"/>
      <c r="AF972" s="64"/>
      <c r="AG972" s="64"/>
      <c r="AH972" s="64"/>
      <c r="AI972" s="143"/>
      <c r="AJ972" s="134"/>
      <c r="AK972" s="194"/>
      <c r="AL972" s="90"/>
    </row>
    <row r="973" spans="1:38" ht="17.100000000000001" customHeight="1" x14ac:dyDescent="0.25">
      <c r="A973" s="197"/>
      <c r="G973" s="88"/>
      <c r="H973" s="182"/>
      <c r="L973" s="24"/>
      <c r="M973" s="24"/>
      <c r="N973" s="186"/>
      <c r="O973" s="190"/>
      <c r="P973" s="204"/>
      <c r="Q973" s="142"/>
      <c r="T973" s="201"/>
      <c r="Z973" s="151"/>
      <c r="AB973" s="64"/>
      <c r="AC973" s="64"/>
      <c r="AD973" s="64"/>
      <c r="AE973" s="64"/>
      <c r="AF973" s="64"/>
      <c r="AG973" s="64"/>
      <c r="AH973" s="64"/>
      <c r="AI973" s="143"/>
      <c r="AJ973" s="134"/>
      <c r="AK973" s="194"/>
      <c r="AL973" s="90"/>
    </row>
    <row r="974" spans="1:38" ht="17.100000000000001" customHeight="1" x14ac:dyDescent="0.25">
      <c r="A974" s="197"/>
      <c r="G974" s="88"/>
      <c r="H974" s="182"/>
      <c r="L974" s="24"/>
      <c r="M974" s="24"/>
      <c r="N974" s="186"/>
      <c r="O974" s="190"/>
      <c r="P974" s="204"/>
      <c r="Q974" s="142"/>
      <c r="T974" s="201"/>
      <c r="Z974" s="151"/>
      <c r="AB974" s="64"/>
      <c r="AC974" s="64"/>
      <c r="AD974" s="64"/>
      <c r="AE974" s="64"/>
      <c r="AF974" s="64"/>
      <c r="AG974" s="64"/>
      <c r="AH974" s="64"/>
      <c r="AI974" s="143"/>
      <c r="AJ974" s="134"/>
      <c r="AK974" s="194"/>
      <c r="AL974" s="90"/>
    </row>
    <row r="975" spans="1:38" ht="17.100000000000001" customHeight="1" x14ac:dyDescent="0.25">
      <c r="A975" s="197"/>
      <c r="G975" s="88"/>
      <c r="H975" s="182"/>
      <c r="L975" s="24"/>
      <c r="M975" s="24"/>
      <c r="N975" s="186"/>
      <c r="O975" s="190"/>
      <c r="P975" s="204"/>
      <c r="Q975" s="142"/>
      <c r="T975" s="201"/>
      <c r="Z975" s="151"/>
      <c r="AB975" s="64"/>
      <c r="AC975" s="64"/>
      <c r="AD975" s="64"/>
      <c r="AE975" s="64"/>
      <c r="AF975" s="64"/>
      <c r="AG975" s="64"/>
      <c r="AH975" s="64"/>
      <c r="AI975" s="143"/>
      <c r="AJ975" s="134"/>
      <c r="AK975" s="194"/>
      <c r="AL975" s="90"/>
    </row>
    <row r="976" spans="1:38" ht="17.100000000000001" customHeight="1" x14ac:dyDescent="0.25">
      <c r="A976" s="197"/>
      <c r="G976" s="88"/>
      <c r="H976" s="182"/>
      <c r="L976" s="24"/>
      <c r="M976" s="24"/>
      <c r="N976" s="186"/>
      <c r="O976" s="190"/>
      <c r="P976" s="204"/>
      <c r="Q976" s="142"/>
      <c r="T976" s="201"/>
      <c r="Z976" s="151"/>
      <c r="AB976" s="64"/>
      <c r="AC976" s="64"/>
      <c r="AD976" s="64"/>
      <c r="AE976" s="64"/>
      <c r="AF976" s="64"/>
      <c r="AG976" s="64"/>
      <c r="AH976" s="64"/>
      <c r="AI976" s="143"/>
      <c r="AJ976" s="134"/>
      <c r="AK976" s="194"/>
      <c r="AL976" s="90"/>
    </row>
    <row r="977" spans="1:38" ht="17.100000000000001" customHeight="1" x14ac:dyDescent="0.25">
      <c r="A977" s="197"/>
      <c r="G977" s="88"/>
      <c r="H977" s="182"/>
      <c r="L977" s="24"/>
      <c r="M977" s="24"/>
      <c r="N977" s="186"/>
      <c r="O977" s="190"/>
      <c r="P977" s="204"/>
      <c r="Q977" s="142"/>
      <c r="T977" s="201"/>
      <c r="Z977" s="151"/>
      <c r="AB977" s="64"/>
      <c r="AC977" s="64"/>
      <c r="AD977" s="64"/>
      <c r="AE977" s="64"/>
      <c r="AF977" s="64"/>
      <c r="AG977" s="64"/>
      <c r="AH977" s="64"/>
      <c r="AI977" s="143"/>
      <c r="AJ977" s="134"/>
      <c r="AK977" s="194"/>
      <c r="AL977" s="90"/>
    </row>
    <row r="978" spans="1:38" ht="17.100000000000001" customHeight="1" x14ac:dyDescent="0.25">
      <c r="A978" s="197"/>
      <c r="G978" s="88"/>
      <c r="H978" s="182"/>
      <c r="L978" s="24"/>
      <c r="M978" s="24"/>
      <c r="N978" s="186"/>
      <c r="O978" s="190"/>
      <c r="P978" s="204"/>
      <c r="Q978" s="142"/>
      <c r="T978" s="201"/>
      <c r="Z978" s="151"/>
      <c r="AB978" s="64"/>
      <c r="AC978" s="64"/>
      <c r="AD978" s="64"/>
      <c r="AE978" s="64"/>
      <c r="AF978" s="64"/>
      <c r="AG978" s="64"/>
      <c r="AH978" s="64"/>
      <c r="AI978" s="143"/>
      <c r="AJ978" s="134"/>
      <c r="AK978" s="194"/>
      <c r="AL978" s="90"/>
    </row>
    <row r="979" spans="1:38" ht="17.100000000000001" customHeight="1" x14ac:dyDescent="0.25">
      <c r="A979" s="197"/>
      <c r="G979" s="88"/>
      <c r="H979" s="182"/>
      <c r="L979" s="24"/>
      <c r="M979" s="24"/>
      <c r="N979" s="186"/>
      <c r="O979" s="190"/>
      <c r="P979" s="204"/>
      <c r="Q979" s="142"/>
      <c r="T979" s="201"/>
      <c r="Z979" s="151"/>
      <c r="AB979" s="64"/>
      <c r="AC979" s="64"/>
      <c r="AD979" s="64"/>
      <c r="AE979" s="64"/>
      <c r="AF979" s="64"/>
      <c r="AG979" s="64"/>
      <c r="AH979" s="64"/>
      <c r="AI979" s="143"/>
      <c r="AJ979" s="134"/>
      <c r="AK979" s="194"/>
      <c r="AL979" s="90"/>
    </row>
    <row r="980" spans="1:38" ht="17.100000000000001" customHeight="1" x14ac:dyDescent="0.25">
      <c r="A980" s="197"/>
      <c r="G980" s="88"/>
      <c r="H980" s="182"/>
      <c r="L980" s="24"/>
      <c r="M980" s="24"/>
      <c r="N980" s="186"/>
      <c r="O980" s="190"/>
      <c r="P980" s="204"/>
      <c r="Q980" s="142"/>
      <c r="T980" s="201"/>
      <c r="Z980" s="151"/>
      <c r="AB980" s="64"/>
      <c r="AC980" s="64"/>
      <c r="AD980" s="64"/>
      <c r="AE980" s="64"/>
      <c r="AF980" s="64"/>
      <c r="AG980" s="64"/>
      <c r="AH980" s="64"/>
      <c r="AI980" s="143"/>
      <c r="AJ980" s="134"/>
      <c r="AK980" s="194"/>
      <c r="AL980" s="90"/>
    </row>
    <row r="981" spans="1:38" ht="17.100000000000001" customHeight="1" x14ac:dyDescent="0.25">
      <c r="A981" s="197"/>
      <c r="G981" s="88"/>
      <c r="H981" s="182"/>
      <c r="L981" s="24"/>
      <c r="M981" s="24"/>
      <c r="N981" s="186"/>
      <c r="O981" s="190"/>
      <c r="P981" s="204"/>
      <c r="Q981" s="142"/>
      <c r="T981" s="201"/>
      <c r="Z981" s="151"/>
      <c r="AB981" s="64"/>
      <c r="AC981" s="64"/>
      <c r="AD981" s="64"/>
      <c r="AE981" s="64"/>
      <c r="AF981" s="64"/>
      <c r="AG981" s="64"/>
      <c r="AH981" s="64"/>
      <c r="AI981" s="143"/>
      <c r="AJ981" s="134"/>
      <c r="AK981" s="194"/>
      <c r="AL981" s="90"/>
    </row>
    <row r="982" spans="1:38" ht="17.100000000000001" customHeight="1" x14ac:dyDescent="0.25">
      <c r="A982" s="197"/>
      <c r="G982" s="88"/>
      <c r="H982" s="182"/>
      <c r="L982" s="24"/>
      <c r="M982" s="24"/>
      <c r="N982" s="186"/>
      <c r="O982" s="190"/>
      <c r="P982" s="204"/>
      <c r="Q982" s="142"/>
      <c r="T982" s="201"/>
      <c r="Z982" s="151"/>
      <c r="AB982" s="64"/>
      <c r="AC982" s="64"/>
      <c r="AD982" s="64"/>
      <c r="AE982" s="64"/>
      <c r="AF982" s="64"/>
      <c r="AG982" s="64"/>
      <c r="AH982" s="64"/>
      <c r="AI982" s="143"/>
      <c r="AJ982" s="134"/>
      <c r="AK982" s="194"/>
      <c r="AL982" s="90"/>
    </row>
    <row r="983" spans="1:38" ht="17.100000000000001" customHeight="1" x14ac:dyDescent="0.25">
      <c r="A983" s="197"/>
      <c r="G983" s="88"/>
      <c r="H983" s="182"/>
      <c r="L983" s="24"/>
      <c r="M983" s="24"/>
      <c r="N983" s="186"/>
      <c r="O983" s="190"/>
      <c r="P983" s="204"/>
      <c r="Q983" s="142"/>
      <c r="T983" s="201"/>
      <c r="Z983" s="151"/>
      <c r="AB983" s="64"/>
      <c r="AC983" s="64"/>
      <c r="AD983" s="64"/>
      <c r="AE983" s="64"/>
      <c r="AF983" s="64"/>
      <c r="AG983" s="64"/>
      <c r="AH983" s="64"/>
      <c r="AI983" s="143"/>
      <c r="AJ983" s="134"/>
      <c r="AK983" s="194"/>
      <c r="AL983" s="90"/>
    </row>
    <row r="984" spans="1:38" ht="17.100000000000001" customHeight="1" thickBot="1" x14ac:dyDescent="0.3">
      <c r="A984" s="197"/>
      <c r="G984" s="88"/>
      <c r="H984" s="182"/>
      <c r="L984" s="24"/>
      <c r="M984" s="24"/>
      <c r="N984" s="186"/>
      <c r="O984" s="190"/>
      <c r="P984" s="204"/>
      <c r="Q984" s="142"/>
      <c r="T984" s="201"/>
      <c r="Z984" s="151"/>
      <c r="AB984" s="64"/>
      <c r="AC984" s="64"/>
      <c r="AD984" s="64"/>
      <c r="AE984" s="64"/>
      <c r="AF984" s="64"/>
      <c r="AG984" s="64"/>
      <c r="AH984" s="64"/>
      <c r="AI984" s="143"/>
      <c r="AJ984" s="134"/>
      <c r="AK984" s="194"/>
      <c r="AL984" s="90"/>
    </row>
    <row r="985" spans="1:38" ht="17.100000000000001" customHeight="1" x14ac:dyDescent="0.25">
      <c r="A985" s="198"/>
      <c r="B985" s="153"/>
      <c r="C985" s="154"/>
      <c r="D985" s="154"/>
      <c r="E985" s="154"/>
      <c r="F985" s="154"/>
      <c r="G985" s="155"/>
      <c r="H985" s="183"/>
      <c r="I985" s="156"/>
      <c r="J985" s="157"/>
      <c r="K985" s="158"/>
      <c r="L985" s="158"/>
      <c r="M985" s="158"/>
      <c r="N985" s="187"/>
      <c r="O985" s="191"/>
      <c r="P985" s="205"/>
      <c r="Q985" s="159"/>
      <c r="R985" s="160"/>
      <c r="S985" s="158"/>
      <c r="T985" s="202"/>
      <c r="U985" s="161"/>
      <c r="V985" s="156"/>
      <c r="W985" s="162"/>
      <c r="X985" s="156"/>
      <c r="Y985" s="158"/>
      <c r="Z985" s="163"/>
      <c r="AA985" s="156"/>
      <c r="AB985" s="164"/>
      <c r="AC985" s="164"/>
      <c r="AD985" s="164"/>
      <c r="AE985" s="164"/>
      <c r="AF985" s="164"/>
      <c r="AG985" s="164"/>
      <c r="AH985" s="164"/>
      <c r="AI985" s="165"/>
      <c r="AJ985" s="134"/>
      <c r="AK985" s="195"/>
      <c r="AL985" s="170"/>
    </row>
    <row r="986" spans="1:38" ht="17.100000000000001" customHeight="1" x14ac:dyDescent="0.25">
      <c r="A986" s="197"/>
      <c r="G986" s="88"/>
      <c r="H986" s="182"/>
      <c r="L986" s="24"/>
      <c r="M986" s="24"/>
      <c r="N986" s="186"/>
      <c r="O986" s="190"/>
      <c r="P986" s="204"/>
      <c r="Q986" s="142"/>
      <c r="T986" s="201"/>
      <c r="Z986" s="151"/>
      <c r="AB986" s="64"/>
      <c r="AC986" s="64"/>
      <c r="AD986" s="64"/>
      <c r="AE986" s="64"/>
      <c r="AF986" s="64"/>
      <c r="AG986" s="64"/>
      <c r="AH986" s="64"/>
      <c r="AI986" s="143"/>
      <c r="AJ986" s="134"/>
      <c r="AK986" s="194"/>
      <c r="AL986" s="90"/>
    </row>
    <row r="987" spans="1:38" ht="17.100000000000001" customHeight="1" x14ac:dyDescent="0.25">
      <c r="A987" s="197"/>
      <c r="G987" s="88"/>
      <c r="H987" s="182"/>
      <c r="L987" s="24"/>
      <c r="M987" s="24"/>
      <c r="N987" s="186"/>
      <c r="O987" s="190"/>
      <c r="P987" s="204"/>
      <c r="Q987" s="142"/>
      <c r="T987" s="201"/>
      <c r="Z987" s="151"/>
      <c r="AB987" s="64"/>
      <c r="AC987" s="64"/>
      <c r="AD987" s="64"/>
      <c r="AE987" s="64"/>
      <c r="AF987" s="64"/>
      <c r="AG987" s="64"/>
      <c r="AH987" s="64"/>
      <c r="AI987" s="143"/>
      <c r="AJ987" s="134"/>
      <c r="AK987" s="194"/>
      <c r="AL987" s="90"/>
    </row>
    <row r="988" spans="1:38" ht="17.100000000000001" customHeight="1" x14ac:dyDescent="0.25">
      <c r="A988" s="197"/>
      <c r="G988" s="88"/>
      <c r="H988" s="182"/>
      <c r="L988" s="24"/>
      <c r="M988" s="24"/>
      <c r="N988" s="186"/>
      <c r="O988" s="190"/>
      <c r="P988" s="204"/>
      <c r="Q988" s="142"/>
      <c r="T988" s="201"/>
      <c r="Z988" s="151"/>
      <c r="AB988" s="64"/>
      <c r="AC988" s="64"/>
      <c r="AD988" s="64"/>
      <c r="AE988" s="64"/>
      <c r="AF988" s="64"/>
      <c r="AG988" s="64"/>
      <c r="AH988" s="64"/>
      <c r="AI988" s="143"/>
      <c r="AJ988" s="134"/>
      <c r="AK988" s="194"/>
      <c r="AL988" s="90"/>
    </row>
    <row r="989" spans="1:38" ht="17.100000000000001" customHeight="1" x14ac:dyDescent="0.25">
      <c r="A989" s="197"/>
      <c r="G989" s="88"/>
      <c r="H989" s="182"/>
      <c r="L989" s="24"/>
      <c r="M989" s="24"/>
      <c r="N989" s="186"/>
      <c r="O989" s="190"/>
      <c r="P989" s="204"/>
      <c r="Q989" s="142"/>
      <c r="T989" s="201"/>
      <c r="Z989" s="151"/>
      <c r="AB989" s="64"/>
      <c r="AC989" s="64"/>
      <c r="AD989" s="64"/>
      <c r="AE989" s="64"/>
      <c r="AF989" s="64"/>
      <c r="AG989" s="64"/>
      <c r="AH989" s="64"/>
      <c r="AI989" s="143"/>
      <c r="AJ989" s="134"/>
      <c r="AK989" s="194"/>
      <c r="AL989" s="90"/>
    </row>
    <row r="990" spans="1:38" ht="17.100000000000001" customHeight="1" x14ac:dyDescent="0.25">
      <c r="A990" s="197"/>
      <c r="G990" s="88"/>
      <c r="H990" s="182"/>
      <c r="L990" s="24"/>
      <c r="M990" s="24"/>
      <c r="N990" s="186"/>
      <c r="O990" s="190"/>
      <c r="P990" s="204"/>
      <c r="Q990" s="142"/>
      <c r="T990" s="201"/>
      <c r="Z990" s="151"/>
      <c r="AB990" s="64"/>
      <c r="AC990" s="64"/>
      <c r="AD990" s="64"/>
      <c r="AE990" s="64"/>
      <c r="AF990" s="64"/>
      <c r="AG990" s="64"/>
      <c r="AH990" s="64"/>
      <c r="AI990" s="143"/>
      <c r="AJ990" s="134"/>
      <c r="AK990" s="194"/>
      <c r="AL990" s="90"/>
    </row>
    <row r="991" spans="1:38" ht="17.100000000000001" customHeight="1" x14ac:dyDescent="0.25">
      <c r="A991" s="197"/>
      <c r="G991" s="88"/>
      <c r="H991" s="182"/>
      <c r="L991" s="24"/>
      <c r="M991" s="24"/>
      <c r="N991" s="186"/>
      <c r="O991" s="190"/>
      <c r="P991" s="204"/>
      <c r="Q991" s="142"/>
      <c r="T991" s="201"/>
      <c r="Z991" s="151"/>
      <c r="AB991" s="64"/>
      <c r="AC991" s="64"/>
      <c r="AD991" s="64"/>
      <c r="AE991" s="64"/>
      <c r="AF991" s="64"/>
      <c r="AG991" s="64"/>
      <c r="AH991" s="64"/>
      <c r="AI991" s="143"/>
      <c r="AJ991" s="134"/>
      <c r="AK991" s="194"/>
      <c r="AL991" s="90"/>
    </row>
    <row r="992" spans="1:38" ht="17.100000000000001" customHeight="1" x14ac:dyDescent="0.25">
      <c r="A992" s="197"/>
      <c r="G992" s="88"/>
      <c r="H992" s="182"/>
      <c r="L992" s="24"/>
      <c r="M992" s="24"/>
      <c r="N992" s="186"/>
      <c r="O992" s="190"/>
      <c r="P992" s="204"/>
      <c r="Q992" s="142"/>
      <c r="T992" s="201"/>
      <c r="Z992" s="151"/>
      <c r="AB992" s="64"/>
      <c r="AC992" s="64"/>
      <c r="AD992" s="64"/>
      <c r="AE992" s="64"/>
      <c r="AF992" s="64"/>
      <c r="AG992" s="64"/>
      <c r="AH992" s="64"/>
      <c r="AI992" s="143"/>
      <c r="AJ992" s="134"/>
      <c r="AK992" s="194"/>
      <c r="AL992" s="90"/>
    </row>
    <row r="993" spans="1:38" ht="17.100000000000001" customHeight="1" x14ac:dyDescent="0.25">
      <c r="A993" s="197"/>
      <c r="G993" s="88"/>
      <c r="H993" s="182"/>
      <c r="L993" s="24"/>
      <c r="M993" s="24"/>
      <c r="N993" s="186"/>
      <c r="O993" s="190"/>
      <c r="P993" s="204"/>
      <c r="Q993" s="142"/>
      <c r="T993" s="201"/>
      <c r="Z993" s="151"/>
      <c r="AB993" s="64"/>
      <c r="AC993" s="64"/>
      <c r="AD993" s="64"/>
      <c r="AE993" s="64"/>
      <c r="AF993" s="64"/>
      <c r="AG993" s="64"/>
      <c r="AH993" s="64"/>
      <c r="AI993" s="143"/>
      <c r="AJ993" s="134"/>
      <c r="AK993" s="194"/>
      <c r="AL993" s="90"/>
    </row>
    <row r="994" spans="1:38" ht="17.100000000000001" customHeight="1" x14ac:dyDescent="0.25">
      <c r="A994" s="197"/>
      <c r="G994" s="88"/>
      <c r="H994" s="182"/>
      <c r="L994" s="24"/>
      <c r="M994" s="24"/>
      <c r="N994" s="186"/>
      <c r="O994" s="190"/>
      <c r="P994" s="204"/>
      <c r="Q994" s="142"/>
      <c r="T994" s="201"/>
      <c r="Z994" s="151"/>
      <c r="AB994" s="64"/>
      <c r="AC994" s="64"/>
      <c r="AD994" s="64"/>
      <c r="AE994" s="64"/>
      <c r="AF994" s="64"/>
      <c r="AG994" s="64"/>
      <c r="AH994" s="64"/>
      <c r="AI994" s="143"/>
      <c r="AJ994" s="134"/>
      <c r="AK994" s="194"/>
      <c r="AL994" s="90"/>
    </row>
    <row r="995" spans="1:38" ht="17.100000000000001" customHeight="1" x14ac:dyDescent="0.25">
      <c r="A995" s="197"/>
      <c r="G995" s="88"/>
      <c r="H995" s="182"/>
      <c r="L995" s="24"/>
      <c r="M995" s="24"/>
      <c r="N995" s="186"/>
      <c r="O995" s="190"/>
      <c r="P995" s="204"/>
      <c r="Q995" s="142"/>
      <c r="T995" s="201"/>
      <c r="Z995" s="151"/>
      <c r="AB995" s="64"/>
      <c r="AC995" s="64"/>
      <c r="AD995" s="64"/>
      <c r="AE995" s="64"/>
      <c r="AF995" s="64"/>
      <c r="AG995" s="64"/>
      <c r="AH995" s="64"/>
      <c r="AI995" s="143"/>
      <c r="AJ995" s="134"/>
      <c r="AK995" s="194"/>
      <c r="AL995" s="90"/>
    </row>
    <row r="996" spans="1:38" ht="17.100000000000001" customHeight="1" x14ac:dyDescent="0.25">
      <c r="A996" s="197"/>
      <c r="G996" s="88"/>
      <c r="H996" s="182"/>
      <c r="L996" s="24"/>
      <c r="M996" s="24"/>
      <c r="N996" s="186"/>
      <c r="O996" s="190"/>
      <c r="P996" s="204"/>
      <c r="Q996" s="142"/>
      <c r="T996" s="201"/>
      <c r="Z996" s="151"/>
      <c r="AB996" s="64"/>
      <c r="AC996" s="64"/>
      <c r="AD996" s="64"/>
      <c r="AE996" s="64"/>
      <c r="AF996" s="64"/>
      <c r="AG996" s="64"/>
      <c r="AH996" s="64"/>
      <c r="AI996" s="143"/>
      <c r="AJ996" s="134"/>
      <c r="AK996" s="194"/>
      <c r="AL996" s="90"/>
    </row>
    <row r="997" spans="1:38" ht="17.100000000000001" customHeight="1" x14ac:dyDescent="0.25">
      <c r="A997" s="197"/>
      <c r="G997" s="88"/>
      <c r="H997" s="182"/>
      <c r="L997" s="24"/>
      <c r="M997" s="24"/>
      <c r="N997" s="186"/>
      <c r="O997" s="190"/>
      <c r="P997" s="204"/>
      <c r="Q997" s="142"/>
      <c r="T997" s="201"/>
      <c r="Z997" s="151"/>
      <c r="AB997" s="64"/>
      <c r="AC997" s="64"/>
      <c r="AD997" s="64"/>
      <c r="AE997" s="64"/>
      <c r="AF997" s="64"/>
      <c r="AG997" s="64"/>
      <c r="AH997" s="64"/>
      <c r="AI997" s="143"/>
      <c r="AJ997" s="134"/>
      <c r="AK997" s="194"/>
      <c r="AL997" s="90"/>
    </row>
    <row r="998" spans="1:38" ht="17.100000000000001" customHeight="1" x14ac:dyDescent="0.25">
      <c r="A998" s="197"/>
      <c r="G998" s="88"/>
      <c r="H998" s="182"/>
      <c r="L998" s="24"/>
      <c r="M998" s="24"/>
      <c r="N998" s="186"/>
      <c r="O998" s="190"/>
      <c r="P998" s="204"/>
      <c r="Q998" s="142"/>
      <c r="T998" s="201"/>
      <c r="Z998" s="151"/>
      <c r="AB998" s="64"/>
      <c r="AC998" s="64"/>
      <c r="AD998" s="64"/>
      <c r="AE998" s="64"/>
      <c r="AF998" s="64"/>
      <c r="AG998" s="64"/>
      <c r="AH998" s="64"/>
      <c r="AI998" s="143"/>
      <c r="AJ998" s="134"/>
      <c r="AK998" s="194"/>
      <c r="AL998" s="90"/>
    </row>
    <row r="999" spans="1:38" ht="17.100000000000001" customHeight="1" x14ac:dyDescent="0.25">
      <c r="A999" s="197"/>
      <c r="G999" s="88"/>
      <c r="H999" s="182"/>
      <c r="L999" s="24"/>
      <c r="M999" s="24"/>
      <c r="N999" s="186"/>
      <c r="O999" s="190"/>
      <c r="P999" s="204"/>
      <c r="Q999" s="142"/>
      <c r="T999" s="201"/>
      <c r="Z999" s="151"/>
      <c r="AB999" s="64"/>
      <c r="AC999" s="64"/>
      <c r="AD999" s="64"/>
      <c r="AE999" s="64"/>
      <c r="AF999" s="64"/>
      <c r="AG999" s="64"/>
      <c r="AH999" s="64"/>
      <c r="AI999" s="143"/>
      <c r="AJ999" s="134"/>
      <c r="AK999" s="194"/>
      <c r="AL999" s="90"/>
    </row>
    <row r="1000" spans="1:38" ht="17.100000000000001" customHeight="1" x14ac:dyDescent="0.25">
      <c r="A1000" s="197"/>
      <c r="G1000" s="88"/>
      <c r="H1000" s="182"/>
      <c r="L1000" s="24"/>
      <c r="M1000" s="24"/>
      <c r="N1000" s="186"/>
      <c r="O1000" s="190"/>
      <c r="P1000" s="204"/>
      <c r="Q1000" s="142"/>
      <c r="T1000" s="201"/>
      <c r="Z1000" s="151"/>
      <c r="AB1000" s="64"/>
      <c r="AC1000" s="64"/>
      <c r="AD1000" s="64"/>
      <c r="AE1000" s="64"/>
      <c r="AF1000" s="64"/>
      <c r="AG1000" s="64"/>
      <c r="AH1000" s="64"/>
      <c r="AI1000" s="143"/>
      <c r="AJ1000" s="134"/>
      <c r="AK1000" s="194"/>
      <c r="AL1000" s="90"/>
    </row>
    <row r="1001" spans="1:38" ht="17.100000000000001" customHeight="1" x14ac:dyDescent="0.25">
      <c r="A1001" s="197"/>
      <c r="G1001" s="88"/>
      <c r="H1001" s="182"/>
      <c r="L1001" s="24"/>
      <c r="M1001" s="24"/>
      <c r="N1001" s="186"/>
      <c r="O1001" s="190"/>
      <c r="P1001" s="204"/>
      <c r="Q1001" s="142"/>
      <c r="T1001" s="201"/>
      <c r="Z1001" s="151"/>
      <c r="AB1001" s="64"/>
      <c r="AC1001" s="64"/>
      <c r="AD1001" s="64"/>
      <c r="AE1001" s="64"/>
      <c r="AF1001" s="64"/>
      <c r="AG1001" s="64"/>
      <c r="AH1001" s="64"/>
      <c r="AI1001" s="143"/>
      <c r="AJ1001" s="134"/>
      <c r="AK1001" s="194"/>
      <c r="AL1001" s="90"/>
    </row>
    <row r="1002" spans="1:38" ht="17.100000000000001" customHeight="1" x14ac:dyDescent="0.25">
      <c r="A1002" s="197"/>
      <c r="G1002" s="88"/>
      <c r="H1002" s="182"/>
      <c r="L1002" s="24"/>
      <c r="M1002" s="24"/>
      <c r="N1002" s="186"/>
      <c r="O1002" s="190"/>
      <c r="P1002" s="204"/>
      <c r="Q1002" s="142"/>
      <c r="T1002" s="201"/>
      <c r="Z1002" s="151"/>
      <c r="AB1002" s="64"/>
      <c r="AC1002" s="64"/>
      <c r="AD1002" s="64"/>
      <c r="AE1002" s="64"/>
      <c r="AF1002" s="64"/>
      <c r="AG1002" s="64"/>
      <c r="AH1002" s="64"/>
      <c r="AI1002" s="143"/>
      <c r="AJ1002" s="134"/>
      <c r="AK1002" s="194"/>
      <c r="AL1002" s="90"/>
    </row>
    <row r="1003" spans="1:38" ht="17.100000000000001" customHeight="1" x14ac:dyDescent="0.25">
      <c r="A1003" s="197"/>
      <c r="G1003" s="88"/>
      <c r="H1003" s="182"/>
      <c r="L1003" s="24"/>
      <c r="M1003" s="24"/>
      <c r="N1003" s="186"/>
      <c r="O1003" s="190"/>
      <c r="P1003" s="204"/>
      <c r="Q1003" s="142"/>
      <c r="T1003" s="201"/>
      <c r="Z1003" s="151"/>
      <c r="AB1003" s="64"/>
      <c r="AC1003" s="64"/>
      <c r="AD1003" s="64"/>
      <c r="AE1003" s="64"/>
      <c r="AF1003" s="64"/>
      <c r="AG1003" s="64"/>
      <c r="AH1003" s="64"/>
      <c r="AI1003" s="143"/>
      <c r="AJ1003" s="134"/>
      <c r="AK1003" s="194"/>
      <c r="AL1003" s="90"/>
    </row>
    <row r="1004" spans="1:38" ht="17.100000000000001" customHeight="1" x14ac:dyDescent="0.25">
      <c r="A1004" s="197"/>
      <c r="G1004" s="88"/>
      <c r="H1004" s="182"/>
      <c r="L1004" s="24"/>
      <c r="M1004" s="24"/>
      <c r="N1004" s="186"/>
      <c r="O1004" s="190"/>
      <c r="P1004" s="204"/>
      <c r="Q1004" s="142"/>
      <c r="T1004" s="201"/>
      <c r="Z1004" s="151"/>
      <c r="AB1004" s="64"/>
      <c r="AC1004" s="64"/>
      <c r="AD1004" s="64"/>
      <c r="AE1004" s="64"/>
      <c r="AF1004" s="64"/>
      <c r="AG1004" s="64"/>
      <c r="AH1004" s="64"/>
      <c r="AI1004" s="143"/>
      <c r="AJ1004" s="134"/>
      <c r="AK1004" s="194"/>
      <c r="AL1004" s="90"/>
    </row>
    <row r="1005" spans="1:38" ht="17.100000000000001" customHeight="1" x14ac:dyDescent="0.25">
      <c r="A1005" s="197"/>
      <c r="G1005" s="88"/>
      <c r="H1005" s="182"/>
      <c r="L1005" s="24"/>
      <c r="M1005" s="24"/>
      <c r="N1005" s="186"/>
      <c r="O1005" s="190"/>
      <c r="P1005" s="204"/>
      <c r="Q1005" s="142"/>
      <c r="T1005" s="201"/>
      <c r="Z1005" s="151"/>
      <c r="AB1005" s="64"/>
      <c r="AC1005" s="64"/>
      <c r="AD1005" s="64"/>
      <c r="AE1005" s="64"/>
      <c r="AF1005" s="64"/>
      <c r="AG1005" s="64"/>
      <c r="AH1005" s="64"/>
      <c r="AI1005" s="143"/>
      <c r="AJ1005" s="134"/>
      <c r="AK1005" s="194"/>
      <c r="AL1005" s="90"/>
    </row>
    <row r="1006" spans="1:38" ht="17.100000000000001" customHeight="1" x14ac:dyDescent="0.25">
      <c r="A1006" s="197"/>
      <c r="G1006" s="88"/>
      <c r="H1006" s="182"/>
      <c r="L1006" s="24"/>
      <c r="M1006" s="24"/>
      <c r="N1006" s="186"/>
      <c r="O1006" s="190"/>
      <c r="P1006" s="204"/>
      <c r="Q1006" s="142"/>
      <c r="T1006" s="201"/>
      <c r="Z1006" s="151"/>
      <c r="AB1006" s="64"/>
      <c r="AC1006" s="64"/>
      <c r="AD1006" s="64"/>
      <c r="AE1006" s="64"/>
      <c r="AF1006" s="64"/>
      <c r="AG1006" s="64"/>
      <c r="AH1006" s="64"/>
      <c r="AI1006" s="143"/>
      <c r="AJ1006" s="134"/>
      <c r="AK1006" s="194"/>
      <c r="AL1006" s="90"/>
    </row>
    <row r="1007" spans="1:38" ht="17.100000000000001" customHeight="1" x14ac:dyDescent="0.25">
      <c r="A1007" s="197"/>
      <c r="G1007" s="88"/>
      <c r="H1007" s="182"/>
      <c r="L1007" s="24"/>
      <c r="M1007" s="24"/>
      <c r="N1007" s="186"/>
      <c r="O1007" s="190"/>
      <c r="P1007" s="204"/>
      <c r="Q1007" s="142"/>
      <c r="T1007" s="201"/>
      <c r="Z1007" s="151"/>
      <c r="AB1007" s="64"/>
      <c r="AC1007" s="64"/>
      <c r="AD1007" s="64"/>
      <c r="AE1007" s="64"/>
      <c r="AF1007" s="64"/>
      <c r="AG1007" s="64"/>
      <c r="AH1007" s="64"/>
      <c r="AI1007" s="143"/>
      <c r="AJ1007" s="134"/>
      <c r="AK1007" s="194"/>
      <c r="AL1007" s="90"/>
    </row>
    <row r="1008" spans="1:38" ht="17.100000000000001" customHeight="1" x14ac:dyDescent="0.25">
      <c r="A1008" s="197"/>
      <c r="G1008" s="88"/>
      <c r="H1008" s="182"/>
      <c r="L1008" s="24"/>
      <c r="M1008" s="24"/>
      <c r="N1008" s="186"/>
      <c r="O1008" s="190"/>
      <c r="P1008" s="204"/>
      <c r="Q1008" s="142"/>
      <c r="T1008" s="201"/>
      <c r="Z1008" s="151"/>
      <c r="AB1008" s="64"/>
      <c r="AC1008" s="64"/>
      <c r="AD1008" s="64"/>
      <c r="AE1008" s="64"/>
      <c r="AF1008" s="64"/>
      <c r="AG1008" s="64"/>
      <c r="AH1008" s="64"/>
      <c r="AI1008" s="143"/>
      <c r="AJ1008" s="134"/>
      <c r="AK1008" s="194"/>
      <c r="AL1008" s="90"/>
    </row>
    <row r="1009" spans="1:38" ht="17.100000000000001" customHeight="1" x14ac:dyDescent="0.25">
      <c r="A1009" s="197"/>
      <c r="G1009" s="88"/>
      <c r="H1009" s="182"/>
      <c r="L1009" s="24"/>
      <c r="M1009" s="24"/>
      <c r="N1009" s="186"/>
      <c r="O1009" s="190"/>
      <c r="P1009" s="204"/>
      <c r="Q1009" s="142"/>
      <c r="T1009" s="201"/>
      <c r="Z1009" s="151"/>
      <c r="AB1009" s="64"/>
      <c r="AC1009" s="64"/>
      <c r="AD1009" s="64"/>
      <c r="AE1009" s="64"/>
      <c r="AF1009" s="64"/>
      <c r="AG1009" s="64"/>
      <c r="AH1009" s="64"/>
      <c r="AI1009" s="143"/>
      <c r="AJ1009" s="134"/>
      <c r="AK1009" s="194"/>
      <c r="AL1009" s="90"/>
    </row>
    <row r="1010" spans="1:38" ht="17.100000000000001" customHeight="1" x14ac:dyDescent="0.25">
      <c r="A1010" s="197"/>
      <c r="G1010" s="88"/>
      <c r="H1010" s="182"/>
      <c r="L1010" s="24"/>
      <c r="M1010" s="24"/>
      <c r="N1010" s="186"/>
      <c r="O1010" s="190"/>
      <c r="P1010" s="204"/>
      <c r="Q1010" s="142"/>
      <c r="T1010" s="201"/>
      <c r="Z1010" s="151"/>
      <c r="AB1010" s="64"/>
      <c r="AC1010" s="64"/>
      <c r="AD1010" s="64"/>
      <c r="AE1010" s="64"/>
      <c r="AF1010" s="64"/>
      <c r="AG1010" s="64"/>
      <c r="AH1010" s="64"/>
      <c r="AI1010" s="143"/>
      <c r="AJ1010" s="134"/>
      <c r="AK1010" s="194"/>
      <c r="AL1010" s="90"/>
    </row>
    <row r="1011" spans="1:38" ht="17.100000000000001" customHeight="1" x14ac:dyDescent="0.25">
      <c r="A1011" s="197"/>
      <c r="G1011" s="88"/>
      <c r="H1011" s="182"/>
      <c r="L1011" s="24"/>
      <c r="M1011" s="24"/>
      <c r="N1011" s="186"/>
      <c r="O1011" s="190"/>
      <c r="P1011" s="204"/>
      <c r="Q1011" s="142"/>
      <c r="T1011" s="201"/>
      <c r="Z1011" s="151"/>
      <c r="AB1011" s="64"/>
      <c r="AC1011" s="64"/>
      <c r="AD1011" s="64"/>
      <c r="AE1011" s="64"/>
      <c r="AF1011" s="64"/>
      <c r="AG1011" s="64"/>
      <c r="AH1011" s="64"/>
      <c r="AI1011" s="143"/>
      <c r="AJ1011" s="134"/>
      <c r="AK1011" s="194"/>
      <c r="AL1011" s="90"/>
    </row>
    <row r="1012" spans="1:38" ht="17.100000000000001" customHeight="1" x14ac:dyDescent="0.25">
      <c r="A1012" s="197"/>
      <c r="G1012" s="88"/>
      <c r="H1012" s="182"/>
      <c r="L1012" s="24"/>
      <c r="M1012" s="24"/>
      <c r="N1012" s="186"/>
      <c r="O1012" s="190"/>
      <c r="P1012" s="204"/>
      <c r="Q1012" s="142"/>
      <c r="T1012" s="201"/>
      <c r="Z1012" s="151"/>
      <c r="AB1012" s="64"/>
      <c r="AC1012" s="64"/>
      <c r="AD1012" s="64"/>
      <c r="AE1012" s="64"/>
      <c r="AF1012" s="64"/>
      <c r="AG1012" s="64"/>
      <c r="AH1012" s="64"/>
      <c r="AI1012" s="143"/>
      <c r="AJ1012" s="134"/>
      <c r="AK1012" s="194"/>
      <c r="AL1012" s="90"/>
    </row>
    <row r="1013" spans="1:38" ht="17.100000000000001" customHeight="1" x14ac:dyDescent="0.25">
      <c r="A1013" s="197"/>
      <c r="G1013" s="88"/>
      <c r="H1013" s="182"/>
      <c r="L1013" s="24"/>
      <c r="M1013" s="24"/>
      <c r="N1013" s="186"/>
      <c r="O1013" s="190"/>
      <c r="P1013" s="204"/>
      <c r="Q1013" s="142"/>
      <c r="T1013" s="201"/>
      <c r="Z1013" s="151"/>
      <c r="AB1013" s="64"/>
      <c r="AC1013" s="64"/>
      <c r="AD1013" s="64"/>
      <c r="AE1013" s="64"/>
      <c r="AF1013" s="64"/>
      <c r="AG1013" s="64"/>
      <c r="AH1013" s="64"/>
      <c r="AI1013" s="143"/>
      <c r="AJ1013" s="134"/>
      <c r="AK1013" s="194"/>
      <c r="AL1013" s="90"/>
    </row>
    <row r="1014" spans="1:38" ht="17.100000000000001" customHeight="1" x14ac:dyDescent="0.25">
      <c r="A1014" s="197"/>
      <c r="G1014" s="88"/>
      <c r="H1014" s="182"/>
      <c r="L1014" s="24"/>
      <c r="M1014" s="24"/>
      <c r="N1014" s="186"/>
      <c r="O1014" s="190"/>
      <c r="P1014" s="204"/>
      <c r="Q1014" s="142"/>
      <c r="T1014" s="201"/>
      <c r="Z1014" s="151"/>
      <c r="AB1014" s="64"/>
      <c r="AC1014" s="64"/>
      <c r="AD1014" s="64"/>
      <c r="AE1014" s="64"/>
      <c r="AF1014" s="64"/>
      <c r="AG1014" s="64"/>
      <c r="AH1014" s="64"/>
      <c r="AI1014" s="143"/>
      <c r="AJ1014" s="134"/>
      <c r="AK1014" s="194"/>
      <c r="AL1014" s="90"/>
    </row>
    <row r="1015" spans="1:38" ht="17.100000000000001" customHeight="1" x14ac:dyDescent="0.25">
      <c r="A1015" s="197"/>
      <c r="G1015" s="88"/>
      <c r="H1015" s="182"/>
      <c r="L1015" s="24"/>
      <c r="M1015" s="24"/>
      <c r="N1015" s="186"/>
      <c r="O1015" s="190"/>
      <c r="P1015" s="204"/>
      <c r="Q1015" s="142"/>
      <c r="T1015" s="201"/>
      <c r="Z1015" s="151"/>
      <c r="AB1015" s="64"/>
      <c r="AC1015" s="64"/>
      <c r="AD1015" s="64"/>
      <c r="AE1015" s="64"/>
      <c r="AF1015" s="64"/>
      <c r="AG1015" s="64"/>
      <c r="AH1015" s="64"/>
      <c r="AI1015" s="143"/>
      <c r="AJ1015" s="134"/>
      <c r="AK1015" s="194"/>
      <c r="AL1015" s="90"/>
    </row>
    <row r="1016" spans="1:38" ht="17.100000000000001" customHeight="1" x14ac:dyDescent="0.25">
      <c r="A1016" s="197"/>
      <c r="G1016" s="88"/>
      <c r="H1016" s="182"/>
      <c r="L1016" s="24"/>
      <c r="M1016" s="24"/>
      <c r="N1016" s="186"/>
      <c r="O1016" s="190"/>
      <c r="P1016" s="204"/>
      <c r="Q1016" s="142"/>
      <c r="T1016" s="201"/>
      <c r="Z1016" s="151"/>
      <c r="AB1016" s="64"/>
      <c r="AC1016" s="64"/>
      <c r="AD1016" s="64"/>
      <c r="AE1016" s="64"/>
      <c r="AF1016" s="64"/>
      <c r="AG1016" s="64"/>
      <c r="AH1016" s="64"/>
      <c r="AI1016" s="143"/>
      <c r="AJ1016" s="134"/>
      <c r="AK1016" s="194"/>
      <c r="AL1016" s="90"/>
    </row>
    <row r="1017" spans="1:38" ht="17.100000000000001" customHeight="1" x14ac:dyDescent="0.25">
      <c r="A1017" s="197"/>
      <c r="G1017" s="88"/>
      <c r="H1017" s="182"/>
      <c r="L1017" s="24"/>
      <c r="M1017" s="24"/>
      <c r="N1017" s="186"/>
      <c r="O1017" s="190"/>
      <c r="P1017" s="204"/>
      <c r="Q1017" s="142"/>
      <c r="T1017" s="201"/>
      <c r="Z1017" s="151"/>
      <c r="AB1017" s="64"/>
      <c r="AC1017" s="64"/>
      <c r="AD1017" s="64"/>
      <c r="AE1017" s="64"/>
      <c r="AF1017" s="64"/>
      <c r="AG1017" s="64"/>
      <c r="AH1017" s="64"/>
      <c r="AI1017" s="143"/>
      <c r="AJ1017" s="134"/>
      <c r="AK1017" s="194"/>
      <c r="AL1017" s="90"/>
    </row>
    <row r="1018" spans="1:38" ht="17.100000000000001" customHeight="1" x14ac:dyDescent="0.25">
      <c r="A1018" s="197"/>
      <c r="G1018" s="88"/>
      <c r="H1018" s="182"/>
      <c r="L1018" s="24"/>
      <c r="M1018" s="24"/>
      <c r="N1018" s="186"/>
      <c r="O1018" s="190"/>
      <c r="P1018" s="204"/>
      <c r="Q1018" s="142"/>
      <c r="T1018" s="201"/>
      <c r="Z1018" s="151"/>
      <c r="AB1018" s="64"/>
      <c r="AC1018" s="64"/>
      <c r="AD1018" s="64"/>
      <c r="AE1018" s="64"/>
      <c r="AF1018" s="64"/>
      <c r="AG1018" s="64"/>
      <c r="AH1018" s="64"/>
      <c r="AI1018" s="143"/>
      <c r="AJ1018" s="134"/>
      <c r="AK1018" s="194"/>
      <c r="AL1018" s="90"/>
    </row>
    <row r="1019" spans="1:38" ht="17.100000000000001" customHeight="1" x14ac:dyDescent="0.25">
      <c r="A1019" s="197"/>
      <c r="G1019" s="88"/>
      <c r="H1019" s="182"/>
      <c r="L1019" s="24"/>
      <c r="M1019" s="24"/>
      <c r="N1019" s="186"/>
      <c r="O1019" s="190"/>
      <c r="P1019" s="204"/>
      <c r="Q1019" s="142"/>
      <c r="T1019" s="201"/>
      <c r="Z1019" s="151"/>
      <c r="AB1019" s="64"/>
      <c r="AC1019" s="64"/>
      <c r="AD1019" s="64"/>
      <c r="AE1019" s="64"/>
      <c r="AF1019" s="64"/>
      <c r="AG1019" s="64"/>
      <c r="AH1019" s="64"/>
      <c r="AI1019" s="143"/>
      <c r="AJ1019" s="134"/>
      <c r="AK1019" s="194"/>
      <c r="AL1019" s="90"/>
    </row>
    <row r="1020" spans="1:38" ht="17.100000000000001" customHeight="1" x14ac:dyDescent="0.25">
      <c r="A1020" s="197"/>
      <c r="G1020" s="88"/>
      <c r="H1020" s="182"/>
      <c r="L1020" s="24"/>
      <c r="M1020" s="24"/>
      <c r="N1020" s="186"/>
      <c r="O1020" s="190"/>
      <c r="P1020" s="204"/>
      <c r="Q1020" s="142"/>
      <c r="T1020" s="201"/>
      <c r="Z1020" s="151"/>
      <c r="AB1020" s="64"/>
      <c r="AC1020" s="64"/>
      <c r="AD1020" s="64"/>
      <c r="AE1020" s="64"/>
      <c r="AF1020" s="64"/>
      <c r="AG1020" s="64"/>
      <c r="AH1020" s="64"/>
      <c r="AI1020" s="143"/>
      <c r="AJ1020" s="134"/>
      <c r="AK1020" s="194"/>
      <c r="AL1020" s="90"/>
    </row>
    <row r="1021" spans="1:38" ht="17.100000000000001" customHeight="1" x14ac:dyDescent="0.25">
      <c r="A1021" s="197"/>
      <c r="G1021" s="88"/>
      <c r="H1021" s="182"/>
      <c r="L1021" s="24"/>
      <c r="M1021" s="24"/>
      <c r="N1021" s="186"/>
      <c r="O1021" s="190"/>
      <c r="P1021" s="204"/>
      <c r="Q1021" s="142"/>
      <c r="T1021" s="201"/>
      <c r="Z1021" s="151"/>
      <c r="AB1021" s="64"/>
      <c r="AC1021" s="64"/>
      <c r="AD1021" s="64"/>
      <c r="AE1021" s="64"/>
      <c r="AF1021" s="64"/>
      <c r="AG1021" s="64"/>
      <c r="AH1021" s="64"/>
      <c r="AI1021" s="143"/>
      <c r="AJ1021" s="134"/>
      <c r="AK1021" s="194"/>
      <c r="AL1021" s="90"/>
    </row>
    <row r="1022" spans="1:38" ht="17.100000000000001" customHeight="1" x14ac:dyDescent="0.25">
      <c r="A1022" s="197"/>
      <c r="G1022" s="88"/>
      <c r="H1022" s="182"/>
      <c r="L1022" s="24"/>
      <c r="M1022" s="24"/>
      <c r="N1022" s="186"/>
      <c r="O1022" s="190"/>
      <c r="P1022" s="204"/>
      <c r="Q1022" s="142"/>
      <c r="T1022" s="201"/>
      <c r="Z1022" s="151"/>
      <c r="AB1022" s="64"/>
      <c r="AC1022" s="64"/>
      <c r="AD1022" s="64"/>
      <c r="AE1022" s="64"/>
      <c r="AF1022" s="64"/>
      <c r="AG1022" s="64"/>
      <c r="AH1022" s="64"/>
      <c r="AI1022" s="143"/>
      <c r="AJ1022" s="134"/>
      <c r="AK1022" s="194"/>
      <c r="AL1022" s="90"/>
    </row>
    <row r="1023" spans="1:38" ht="17.100000000000001" customHeight="1" x14ac:dyDescent="0.25">
      <c r="A1023" s="197"/>
      <c r="G1023" s="88"/>
      <c r="H1023" s="182"/>
      <c r="L1023" s="24"/>
      <c r="M1023" s="24"/>
      <c r="N1023" s="186"/>
      <c r="O1023" s="190"/>
      <c r="P1023" s="204"/>
      <c r="Q1023" s="142"/>
      <c r="T1023" s="201"/>
      <c r="Z1023" s="151"/>
      <c r="AB1023" s="64"/>
      <c r="AC1023" s="64"/>
      <c r="AD1023" s="64"/>
      <c r="AE1023" s="64"/>
      <c r="AF1023" s="64"/>
      <c r="AG1023" s="64"/>
      <c r="AH1023" s="64"/>
      <c r="AI1023" s="143"/>
      <c r="AJ1023" s="134"/>
      <c r="AK1023" s="194"/>
      <c r="AL1023" s="90"/>
    </row>
    <row r="1024" spans="1:38" ht="17.100000000000001" customHeight="1" x14ac:dyDescent="0.25">
      <c r="A1024" s="197"/>
      <c r="G1024" s="88"/>
      <c r="H1024" s="182"/>
      <c r="L1024" s="24"/>
      <c r="M1024" s="24"/>
      <c r="N1024" s="186"/>
      <c r="O1024" s="190"/>
      <c r="P1024" s="204"/>
      <c r="Q1024" s="142"/>
      <c r="T1024" s="201"/>
      <c r="Z1024" s="151"/>
      <c r="AB1024" s="64"/>
      <c r="AC1024" s="64"/>
      <c r="AD1024" s="64"/>
      <c r="AE1024" s="64"/>
      <c r="AF1024" s="64"/>
      <c r="AG1024" s="64"/>
      <c r="AH1024" s="64"/>
      <c r="AI1024" s="143"/>
      <c r="AJ1024" s="134"/>
      <c r="AK1024" s="194"/>
      <c r="AL1024" s="90"/>
    </row>
    <row r="1025" spans="1:38" ht="17.100000000000001" customHeight="1" thickBot="1" x14ac:dyDescent="0.3">
      <c r="A1025" s="197"/>
      <c r="G1025" s="88"/>
      <c r="H1025" s="182"/>
      <c r="L1025" s="24"/>
      <c r="M1025" s="24"/>
      <c r="N1025" s="186"/>
      <c r="O1025" s="190"/>
      <c r="P1025" s="204"/>
      <c r="Q1025" s="142"/>
      <c r="T1025" s="201"/>
      <c r="Z1025" s="151"/>
      <c r="AB1025" s="64"/>
      <c r="AC1025" s="64"/>
      <c r="AD1025" s="64"/>
      <c r="AE1025" s="64"/>
      <c r="AF1025" s="64"/>
      <c r="AG1025" s="64"/>
      <c r="AH1025" s="64"/>
      <c r="AI1025" s="143"/>
      <c r="AJ1025" s="134"/>
      <c r="AK1025" s="194"/>
      <c r="AL1025" s="90"/>
    </row>
    <row r="1026" spans="1:38" ht="17.100000000000001" customHeight="1" x14ac:dyDescent="0.25">
      <c r="A1026" s="198"/>
      <c r="B1026" s="153"/>
      <c r="C1026" s="154"/>
      <c r="D1026" s="154"/>
      <c r="E1026" s="154"/>
      <c r="F1026" s="154"/>
      <c r="G1026" s="155"/>
      <c r="H1026" s="183"/>
      <c r="I1026" s="156"/>
      <c r="J1026" s="157"/>
      <c r="K1026" s="158"/>
      <c r="L1026" s="158"/>
      <c r="M1026" s="158"/>
      <c r="N1026" s="187"/>
      <c r="O1026" s="191"/>
      <c r="P1026" s="205"/>
      <c r="Q1026" s="159"/>
      <c r="R1026" s="160"/>
      <c r="S1026" s="158"/>
      <c r="T1026" s="202"/>
      <c r="U1026" s="161"/>
      <c r="V1026" s="156"/>
      <c r="W1026" s="162"/>
      <c r="X1026" s="156"/>
      <c r="Y1026" s="158"/>
      <c r="Z1026" s="163"/>
      <c r="AA1026" s="156"/>
      <c r="AB1026" s="164"/>
      <c r="AC1026" s="164"/>
      <c r="AD1026" s="164"/>
      <c r="AE1026" s="164"/>
      <c r="AF1026" s="164"/>
      <c r="AG1026" s="164"/>
      <c r="AH1026" s="164"/>
      <c r="AI1026" s="165"/>
      <c r="AJ1026" s="134"/>
      <c r="AK1026" s="195"/>
      <c r="AL1026" s="170"/>
    </row>
    <row r="1027" spans="1:38" ht="17.100000000000001" customHeight="1" x14ac:dyDescent="0.25">
      <c r="A1027" s="197"/>
      <c r="G1027" s="88"/>
      <c r="H1027" s="182"/>
      <c r="L1027" s="24"/>
      <c r="M1027" s="24"/>
      <c r="N1027" s="186"/>
      <c r="O1027" s="190"/>
      <c r="P1027" s="204"/>
      <c r="Q1027" s="142"/>
      <c r="T1027" s="201"/>
      <c r="Z1027" s="151"/>
      <c r="AB1027" s="64"/>
      <c r="AC1027" s="64"/>
      <c r="AD1027" s="64"/>
      <c r="AE1027" s="64"/>
      <c r="AF1027" s="64"/>
      <c r="AG1027" s="64"/>
      <c r="AH1027" s="64"/>
      <c r="AI1027" s="143"/>
      <c r="AJ1027" s="134"/>
      <c r="AK1027" s="194"/>
      <c r="AL1027" s="90"/>
    </row>
    <row r="1028" spans="1:38" ht="17.100000000000001" customHeight="1" x14ac:dyDescent="0.25">
      <c r="A1028" s="197"/>
      <c r="G1028" s="88"/>
      <c r="H1028" s="182"/>
      <c r="L1028" s="24"/>
      <c r="M1028" s="24"/>
      <c r="N1028" s="186"/>
      <c r="O1028" s="190"/>
      <c r="P1028" s="204"/>
      <c r="Q1028" s="142"/>
      <c r="T1028" s="201"/>
      <c r="Z1028" s="151"/>
      <c r="AB1028" s="64"/>
      <c r="AC1028" s="64"/>
      <c r="AD1028" s="64"/>
      <c r="AE1028" s="64"/>
      <c r="AF1028" s="64"/>
      <c r="AG1028" s="64"/>
      <c r="AH1028" s="64"/>
      <c r="AI1028" s="143"/>
      <c r="AJ1028" s="134"/>
      <c r="AK1028" s="194"/>
      <c r="AL1028" s="90"/>
    </row>
    <row r="1029" spans="1:38" ht="17.100000000000001" customHeight="1" x14ac:dyDescent="0.25">
      <c r="A1029" s="197"/>
      <c r="G1029" s="88"/>
      <c r="H1029" s="182"/>
      <c r="L1029" s="24"/>
      <c r="M1029" s="24"/>
      <c r="N1029" s="186"/>
      <c r="O1029" s="190"/>
      <c r="P1029" s="204"/>
      <c r="Q1029" s="142"/>
      <c r="T1029" s="201"/>
      <c r="Z1029" s="151"/>
      <c r="AB1029" s="64"/>
      <c r="AC1029" s="64"/>
      <c r="AD1029" s="64"/>
      <c r="AE1029" s="64"/>
      <c r="AF1029" s="64"/>
      <c r="AG1029" s="64"/>
      <c r="AH1029" s="64"/>
      <c r="AI1029" s="143"/>
      <c r="AJ1029" s="134"/>
      <c r="AK1029" s="194"/>
      <c r="AL1029" s="90"/>
    </row>
    <row r="1030" spans="1:38" ht="17.100000000000001" customHeight="1" x14ac:dyDescent="0.25">
      <c r="A1030" s="197"/>
      <c r="G1030" s="88"/>
      <c r="H1030" s="182"/>
      <c r="L1030" s="24"/>
      <c r="M1030" s="24"/>
      <c r="N1030" s="186"/>
      <c r="O1030" s="190"/>
      <c r="P1030" s="204"/>
      <c r="Q1030" s="142"/>
      <c r="T1030" s="201"/>
      <c r="Z1030" s="151"/>
      <c r="AB1030" s="64"/>
      <c r="AC1030" s="64"/>
      <c r="AD1030" s="64"/>
      <c r="AE1030" s="64"/>
      <c r="AF1030" s="64"/>
      <c r="AG1030" s="64"/>
      <c r="AH1030" s="64"/>
      <c r="AI1030" s="143"/>
      <c r="AJ1030" s="134"/>
      <c r="AK1030" s="194"/>
      <c r="AL1030" s="90"/>
    </row>
    <row r="1031" spans="1:38" ht="17.100000000000001" customHeight="1" x14ac:dyDescent="0.25">
      <c r="A1031" s="197"/>
      <c r="G1031" s="88"/>
      <c r="H1031" s="182"/>
      <c r="L1031" s="24"/>
      <c r="M1031" s="24"/>
      <c r="N1031" s="186"/>
      <c r="O1031" s="190"/>
      <c r="P1031" s="204"/>
      <c r="Q1031" s="142"/>
      <c r="T1031" s="201"/>
      <c r="Z1031" s="151"/>
      <c r="AB1031" s="64"/>
      <c r="AC1031" s="64"/>
      <c r="AD1031" s="64"/>
      <c r="AE1031" s="64"/>
      <c r="AF1031" s="64"/>
      <c r="AG1031" s="64"/>
      <c r="AH1031" s="64"/>
      <c r="AI1031" s="143"/>
      <c r="AJ1031" s="134"/>
      <c r="AK1031" s="194"/>
      <c r="AL1031" s="90"/>
    </row>
    <row r="1032" spans="1:38" ht="17.100000000000001" customHeight="1" x14ac:dyDescent="0.25">
      <c r="A1032" s="197"/>
      <c r="G1032" s="88"/>
      <c r="H1032" s="182"/>
      <c r="L1032" s="24"/>
      <c r="M1032" s="24"/>
      <c r="N1032" s="186"/>
      <c r="O1032" s="190"/>
      <c r="P1032" s="204"/>
      <c r="Q1032" s="142"/>
      <c r="T1032" s="201"/>
      <c r="Z1032" s="151"/>
      <c r="AB1032" s="64"/>
      <c r="AC1032" s="64"/>
      <c r="AD1032" s="64"/>
      <c r="AE1032" s="64"/>
      <c r="AF1032" s="64"/>
      <c r="AG1032" s="64"/>
      <c r="AH1032" s="64"/>
      <c r="AI1032" s="143"/>
      <c r="AJ1032" s="134"/>
      <c r="AK1032" s="194"/>
      <c r="AL1032" s="90"/>
    </row>
    <row r="1033" spans="1:38" ht="17.100000000000001" customHeight="1" x14ac:dyDescent="0.25">
      <c r="A1033" s="197"/>
      <c r="G1033" s="88"/>
      <c r="H1033" s="182"/>
      <c r="L1033" s="24"/>
      <c r="M1033" s="24"/>
      <c r="N1033" s="186"/>
      <c r="O1033" s="190"/>
      <c r="P1033" s="204"/>
      <c r="Q1033" s="142"/>
      <c r="T1033" s="201"/>
      <c r="Z1033" s="151"/>
      <c r="AB1033" s="64"/>
      <c r="AC1033" s="64"/>
      <c r="AD1033" s="64"/>
      <c r="AE1033" s="64"/>
      <c r="AF1033" s="64"/>
      <c r="AG1033" s="64"/>
      <c r="AH1033" s="64"/>
      <c r="AI1033" s="143"/>
      <c r="AJ1033" s="134"/>
      <c r="AK1033" s="194"/>
      <c r="AL1033" s="90"/>
    </row>
    <row r="1034" spans="1:38" ht="17.100000000000001" customHeight="1" x14ac:dyDescent="0.25">
      <c r="A1034" s="197"/>
      <c r="G1034" s="88"/>
      <c r="H1034" s="182"/>
      <c r="L1034" s="24"/>
      <c r="M1034" s="24"/>
      <c r="N1034" s="186"/>
      <c r="O1034" s="190"/>
      <c r="P1034" s="204"/>
      <c r="Q1034" s="142"/>
      <c r="T1034" s="201"/>
      <c r="Z1034" s="151"/>
      <c r="AB1034" s="64"/>
      <c r="AC1034" s="64"/>
      <c r="AD1034" s="64"/>
      <c r="AE1034" s="64"/>
      <c r="AF1034" s="64"/>
      <c r="AG1034" s="64"/>
      <c r="AH1034" s="64"/>
      <c r="AI1034" s="143"/>
      <c r="AJ1034" s="134"/>
      <c r="AK1034" s="194"/>
      <c r="AL1034" s="90"/>
    </row>
    <row r="1035" spans="1:38" ht="17.100000000000001" customHeight="1" x14ac:dyDescent="0.25">
      <c r="A1035" s="197"/>
      <c r="G1035" s="88"/>
      <c r="H1035" s="182"/>
      <c r="L1035" s="24"/>
      <c r="M1035" s="24"/>
      <c r="N1035" s="186"/>
      <c r="O1035" s="190"/>
      <c r="P1035" s="204"/>
      <c r="Q1035" s="142"/>
      <c r="T1035" s="201"/>
      <c r="Z1035" s="151"/>
      <c r="AB1035" s="64"/>
      <c r="AC1035" s="64"/>
      <c r="AD1035" s="64"/>
      <c r="AE1035" s="64"/>
      <c r="AF1035" s="64"/>
      <c r="AG1035" s="64"/>
      <c r="AH1035" s="64"/>
      <c r="AI1035" s="143"/>
      <c r="AJ1035" s="134"/>
      <c r="AK1035" s="194"/>
      <c r="AL1035" s="90"/>
    </row>
    <row r="1036" spans="1:38" ht="17.100000000000001" customHeight="1" x14ac:dyDescent="0.25">
      <c r="A1036" s="197"/>
      <c r="G1036" s="88"/>
      <c r="H1036" s="182"/>
      <c r="L1036" s="24"/>
      <c r="M1036" s="24"/>
      <c r="N1036" s="186"/>
      <c r="O1036" s="190"/>
      <c r="P1036" s="204"/>
      <c r="Q1036" s="142"/>
      <c r="T1036" s="201"/>
      <c r="Z1036" s="151"/>
      <c r="AB1036" s="64"/>
      <c r="AC1036" s="64"/>
      <c r="AD1036" s="64"/>
      <c r="AE1036" s="64"/>
      <c r="AF1036" s="64"/>
      <c r="AG1036" s="64"/>
      <c r="AH1036" s="64"/>
      <c r="AI1036" s="143"/>
      <c r="AJ1036" s="134"/>
      <c r="AK1036" s="194"/>
      <c r="AL1036" s="90"/>
    </row>
    <row r="1037" spans="1:38" ht="17.100000000000001" customHeight="1" x14ac:dyDescent="0.25">
      <c r="A1037" s="197"/>
      <c r="G1037" s="88"/>
      <c r="H1037" s="182"/>
      <c r="L1037" s="24"/>
      <c r="M1037" s="24"/>
      <c r="N1037" s="186"/>
      <c r="O1037" s="190"/>
      <c r="P1037" s="204"/>
      <c r="Q1037" s="142"/>
      <c r="T1037" s="201"/>
      <c r="Z1037" s="151"/>
      <c r="AB1037" s="64"/>
      <c r="AC1037" s="64"/>
      <c r="AD1037" s="64"/>
      <c r="AE1037" s="64"/>
      <c r="AF1037" s="64"/>
      <c r="AG1037" s="64"/>
      <c r="AH1037" s="64"/>
      <c r="AI1037" s="143"/>
      <c r="AJ1037" s="134"/>
      <c r="AK1037" s="194"/>
      <c r="AL1037" s="90"/>
    </row>
    <row r="1038" spans="1:38" ht="17.100000000000001" customHeight="1" x14ac:dyDescent="0.25">
      <c r="A1038" s="197"/>
      <c r="G1038" s="88"/>
      <c r="H1038" s="182"/>
      <c r="L1038" s="24"/>
      <c r="M1038" s="24"/>
      <c r="N1038" s="186"/>
      <c r="O1038" s="190"/>
      <c r="P1038" s="204"/>
      <c r="Q1038" s="142"/>
      <c r="T1038" s="201"/>
      <c r="Z1038" s="151"/>
      <c r="AB1038" s="64"/>
      <c r="AC1038" s="64"/>
      <c r="AD1038" s="64"/>
      <c r="AE1038" s="64"/>
      <c r="AF1038" s="64"/>
      <c r="AG1038" s="64"/>
      <c r="AH1038" s="64"/>
      <c r="AI1038" s="143"/>
      <c r="AJ1038" s="134"/>
      <c r="AK1038" s="194"/>
      <c r="AL1038" s="90"/>
    </row>
    <row r="1039" spans="1:38" ht="17.100000000000001" customHeight="1" x14ac:dyDescent="0.25">
      <c r="A1039" s="197"/>
      <c r="G1039" s="88"/>
      <c r="H1039" s="182"/>
      <c r="L1039" s="24"/>
      <c r="M1039" s="24"/>
      <c r="N1039" s="186"/>
      <c r="O1039" s="190"/>
      <c r="P1039" s="204"/>
      <c r="Q1039" s="142"/>
      <c r="T1039" s="201"/>
      <c r="Z1039" s="151"/>
      <c r="AB1039" s="64"/>
      <c r="AC1039" s="64"/>
      <c r="AD1039" s="64"/>
      <c r="AE1039" s="64"/>
      <c r="AF1039" s="64"/>
      <c r="AG1039" s="64"/>
      <c r="AH1039" s="64"/>
      <c r="AI1039" s="143"/>
      <c r="AJ1039" s="134"/>
      <c r="AK1039" s="194"/>
      <c r="AL1039" s="90"/>
    </row>
    <row r="1040" spans="1:38" ht="17.100000000000001" customHeight="1" x14ac:dyDescent="0.25">
      <c r="A1040" s="197"/>
      <c r="G1040" s="88"/>
      <c r="H1040" s="182"/>
      <c r="L1040" s="24"/>
      <c r="M1040" s="24"/>
      <c r="N1040" s="186"/>
      <c r="O1040" s="190"/>
      <c r="P1040" s="204"/>
      <c r="Q1040" s="142"/>
      <c r="T1040" s="201"/>
      <c r="Z1040" s="151"/>
      <c r="AB1040" s="64"/>
      <c r="AC1040" s="64"/>
      <c r="AD1040" s="64"/>
      <c r="AE1040" s="64"/>
      <c r="AF1040" s="64"/>
      <c r="AG1040" s="64"/>
      <c r="AH1040" s="64"/>
      <c r="AI1040" s="143"/>
      <c r="AJ1040" s="134"/>
      <c r="AK1040" s="194"/>
      <c r="AL1040" s="90"/>
    </row>
    <row r="1041" spans="1:38" ht="17.100000000000001" customHeight="1" x14ac:dyDescent="0.25">
      <c r="A1041" s="197"/>
      <c r="G1041" s="88"/>
      <c r="H1041" s="182"/>
      <c r="L1041" s="24"/>
      <c r="M1041" s="24"/>
      <c r="N1041" s="186"/>
      <c r="O1041" s="190"/>
      <c r="P1041" s="204"/>
      <c r="Q1041" s="142"/>
      <c r="T1041" s="201"/>
      <c r="Z1041" s="151"/>
      <c r="AB1041" s="64"/>
      <c r="AC1041" s="64"/>
      <c r="AD1041" s="64"/>
      <c r="AE1041" s="64"/>
      <c r="AF1041" s="64"/>
      <c r="AG1041" s="64"/>
      <c r="AH1041" s="64"/>
      <c r="AI1041" s="143"/>
      <c r="AJ1041" s="134"/>
      <c r="AK1041" s="194"/>
      <c r="AL1041" s="90"/>
    </row>
    <row r="1042" spans="1:38" ht="17.100000000000001" customHeight="1" x14ac:dyDescent="0.25">
      <c r="A1042" s="197"/>
      <c r="G1042" s="88"/>
      <c r="H1042" s="182"/>
      <c r="L1042" s="24"/>
      <c r="M1042" s="24"/>
      <c r="N1042" s="186"/>
      <c r="O1042" s="190"/>
      <c r="P1042" s="204"/>
      <c r="Q1042" s="142"/>
      <c r="T1042" s="201"/>
      <c r="Z1042" s="151"/>
      <c r="AB1042" s="64"/>
      <c r="AC1042" s="64"/>
      <c r="AD1042" s="64"/>
      <c r="AE1042" s="64"/>
      <c r="AF1042" s="64"/>
      <c r="AG1042" s="64"/>
      <c r="AH1042" s="64"/>
      <c r="AI1042" s="143"/>
      <c r="AJ1042" s="134"/>
      <c r="AK1042" s="194"/>
      <c r="AL1042" s="90"/>
    </row>
    <row r="1043" spans="1:38" ht="17.100000000000001" customHeight="1" x14ac:dyDescent="0.25">
      <c r="A1043" s="197"/>
      <c r="G1043" s="88"/>
      <c r="H1043" s="182"/>
      <c r="L1043" s="24"/>
      <c r="M1043" s="24"/>
      <c r="N1043" s="186"/>
      <c r="O1043" s="190"/>
      <c r="P1043" s="204"/>
      <c r="Q1043" s="142"/>
      <c r="T1043" s="201"/>
      <c r="Z1043" s="151"/>
      <c r="AB1043" s="64"/>
      <c r="AC1043" s="64"/>
      <c r="AD1043" s="64"/>
      <c r="AE1043" s="64"/>
      <c r="AF1043" s="64"/>
      <c r="AG1043" s="64"/>
      <c r="AH1043" s="64"/>
      <c r="AI1043" s="143"/>
      <c r="AJ1043" s="134"/>
      <c r="AK1043" s="194"/>
      <c r="AL1043" s="90"/>
    </row>
    <row r="1044" spans="1:38" ht="17.100000000000001" customHeight="1" x14ac:dyDescent="0.25">
      <c r="A1044" s="197"/>
      <c r="G1044" s="88"/>
      <c r="H1044" s="182"/>
      <c r="L1044" s="24"/>
      <c r="M1044" s="24"/>
      <c r="N1044" s="186"/>
      <c r="O1044" s="190"/>
      <c r="P1044" s="204"/>
      <c r="Q1044" s="142"/>
      <c r="T1044" s="201"/>
      <c r="Z1044" s="151"/>
      <c r="AB1044" s="64"/>
      <c r="AC1044" s="64"/>
      <c r="AD1044" s="64"/>
      <c r="AE1044" s="64"/>
      <c r="AF1044" s="64"/>
      <c r="AG1044" s="64"/>
      <c r="AH1044" s="64"/>
      <c r="AI1044" s="143"/>
      <c r="AJ1044" s="134"/>
      <c r="AK1044" s="194"/>
      <c r="AL1044" s="90"/>
    </row>
    <row r="1045" spans="1:38" ht="17.100000000000001" customHeight="1" x14ac:dyDescent="0.25">
      <c r="A1045" s="197"/>
      <c r="G1045" s="88"/>
      <c r="H1045" s="182"/>
      <c r="L1045" s="24"/>
      <c r="M1045" s="24"/>
      <c r="N1045" s="186"/>
      <c r="O1045" s="190"/>
      <c r="P1045" s="204"/>
      <c r="Q1045" s="142"/>
      <c r="T1045" s="201"/>
      <c r="Z1045" s="151"/>
      <c r="AB1045" s="64"/>
      <c r="AC1045" s="64"/>
      <c r="AD1045" s="64"/>
      <c r="AE1045" s="64"/>
      <c r="AF1045" s="64"/>
      <c r="AG1045" s="64"/>
      <c r="AH1045" s="64"/>
      <c r="AI1045" s="143"/>
      <c r="AJ1045" s="134"/>
      <c r="AK1045" s="194"/>
      <c r="AL1045" s="90"/>
    </row>
    <row r="1046" spans="1:38" ht="17.100000000000001" customHeight="1" x14ac:dyDescent="0.25">
      <c r="A1046" s="197"/>
      <c r="G1046" s="88"/>
      <c r="H1046" s="182"/>
      <c r="L1046" s="24"/>
      <c r="M1046" s="24"/>
      <c r="N1046" s="186"/>
      <c r="O1046" s="190"/>
      <c r="P1046" s="204"/>
      <c r="Q1046" s="142"/>
      <c r="T1046" s="201"/>
      <c r="Z1046" s="151"/>
      <c r="AB1046" s="64"/>
      <c r="AC1046" s="64"/>
      <c r="AD1046" s="64"/>
      <c r="AE1046" s="64"/>
      <c r="AF1046" s="64"/>
      <c r="AG1046" s="64"/>
      <c r="AH1046" s="64"/>
      <c r="AI1046" s="143"/>
      <c r="AJ1046" s="134"/>
      <c r="AK1046" s="194"/>
      <c r="AL1046" s="90"/>
    </row>
    <row r="1047" spans="1:38" ht="17.100000000000001" customHeight="1" x14ac:dyDescent="0.25">
      <c r="A1047" s="197"/>
      <c r="G1047" s="88"/>
      <c r="H1047" s="182"/>
      <c r="L1047" s="24"/>
      <c r="M1047" s="24"/>
      <c r="N1047" s="186"/>
      <c r="O1047" s="190"/>
      <c r="P1047" s="204"/>
      <c r="Q1047" s="142"/>
      <c r="T1047" s="201"/>
      <c r="Z1047" s="151"/>
      <c r="AB1047" s="64"/>
      <c r="AC1047" s="64"/>
      <c r="AD1047" s="64"/>
      <c r="AE1047" s="64"/>
      <c r="AF1047" s="64"/>
      <c r="AG1047" s="64"/>
      <c r="AH1047" s="64"/>
      <c r="AI1047" s="143"/>
      <c r="AJ1047" s="134"/>
      <c r="AK1047" s="194"/>
      <c r="AL1047" s="90"/>
    </row>
    <row r="1048" spans="1:38" ht="17.100000000000001" customHeight="1" x14ac:dyDescent="0.25">
      <c r="A1048" s="197"/>
      <c r="G1048" s="88"/>
      <c r="H1048" s="182"/>
      <c r="L1048" s="24"/>
      <c r="M1048" s="24"/>
      <c r="N1048" s="186"/>
      <c r="O1048" s="190"/>
      <c r="P1048" s="204"/>
      <c r="Q1048" s="142"/>
      <c r="T1048" s="201"/>
      <c r="Z1048" s="151"/>
      <c r="AB1048" s="64"/>
      <c r="AC1048" s="64"/>
      <c r="AD1048" s="64"/>
      <c r="AE1048" s="64"/>
      <c r="AF1048" s="64"/>
      <c r="AG1048" s="64"/>
      <c r="AH1048" s="64"/>
      <c r="AI1048" s="143"/>
      <c r="AJ1048" s="134"/>
      <c r="AK1048" s="194"/>
      <c r="AL1048" s="90"/>
    </row>
    <row r="1049" spans="1:38" ht="17.100000000000001" customHeight="1" x14ac:dyDescent="0.25">
      <c r="A1049" s="197"/>
      <c r="G1049" s="88"/>
      <c r="H1049" s="182"/>
      <c r="L1049" s="24"/>
      <c r="M1049" s="24"/>
      <c r="N1049" s="186"/>
      <c r="O1049" s="190"/>
      <c r="P1049" s="204"/>
      <c r="Q1049" s="142"/>
      <c r="T1049" s="201"/>
      <c r="Z1049" s="151"/>
      <c r="AB1049" s="64"/>
      <c r="AC1049" s="64"/>
      <c r="AD1049" s="64"/>
      <c r="AE1049" s="64"/>
      <c r="AF1049" s="64"/>
      <c r="AG1049" s="64"/>
      <c r="AH1049" s="64"/>
      <c r="AI1049" s="143"/>
      <c r="AJ1049" s="134"/>
      <c r="AK1049" s="194"/>
      <c r="AL1049" s="90"/>
    </row>
    <row r="1050" spans="1:38" ht="17.100000000000001" customHeight="1" x14ac:dyDescent="0.25">
      <c r="A1050" s="197"/>
      <c r="G1050" s="88"/>
      <c r="H1050" s="182"/>
      <c r="L1050" s="24"/>
      <c r="M1050" s="24"/>
      <c r="N1050" s="186"/>
      <c r="O1050" s="190"/>
      <c r="P1050" s="204"/>
      <c r="Q1050" s="142"/>
      <c r="T1050" s="201"/>
      <c r="Z1050" s="151"/>
      <c r="AB1050" s="64"/>
      <c r="AC1050" s="64"/>
      <c r="AD1050" s="64"/>
      <c r="AE1050" s="64"/>
      <c r="AF1050" s="64"/>
      <c r="AG1050" s="64"/>
      <c r="AH1050" s="64"/>
      <c r="AI1050" s="143"/>
      <c r="AJ1050" s="134"/>
      <c r="AK1050" s="194"/>
      <c r="AL1050" s="90"/>
    </row>
    <row r="1051" spans="1:38" ht="17.100000000000001" customHeight="1" x14ac:dyDescent="0.25">
      <c r="A1051" s="197"/>
      <c r="G1051" s="88"/>
      <c r="H1051" s="182"/>
      <c r="L1051" s="24"/>
      <c r="M1051" s="24"/>
      <c r="N1051" s="186"/>
      <c r="O1051" s="190"/>
      <c r="P1051" s="204"/>
      <c r="Q1051" s="142"/>
      <c r="T1051" s="201"/>
      <c r="Z1051" s="151"/>
      <c r="AB1051" s="64"/>
      <c r="AC1051" s="64"/>
      <c r="AD1051" s="64"/>
      <c r="AE1051" s="64"/>
      <c r="AF1051" s="64"/>
      <c r="AG1051" s="64"/>
      <c r="AH1051" s="64"/>
      <c r="AI1051" s="143"/>
      <c r="AJ1051" s="134"/>
      <c r="AK1051" s="194"/>
      <c r="AL1051" s="90"/>
    </row>
    <row r="1052" spans="1:38" ht="17.100000000000001" customHeight="1" x14ac:dyDescent="0.25">
      <c r="A1052" s="197"/>
      <c r="G1052" s="88"/>
      <c r="H1052" s="182"/>
      <c r="L1052" s="24"/>
      <c r="M1052" s="24"/>
      <c r="N1052" s="186"/>
      <c r="O1052" s="190"/>
      <c r="P1052" s="204"/>
      <c r="Q1052" s="142"/>
      <c r="T1052" s="201"/>
      <c r="Z1052" s="151"/>
      <c r="AB1052" s="64"/>
      <c r="AC1052" s="64"/>
      <c r="AD1052" s="64"/>
      <c r="AE1052" s="64"/>
      <c r="AF1052" s="64"/>
      <c r="AG1052" s="64"/>
      <c r="AH1052" s="64"/>
      <c r="AI1052" s="143"/>
      <c r="AJ1052" s="134"/>
      <c r="AK1052" s="194"/>
      <c r="AL1052" s="90"/>
    </row>
    <row r="1053" spans="1:38" ht="17.100000000000001" customHeight="1" x14ac:dyDescent="0.25">
      <c r="A1053" s="197"/>
      <c r="G1053" s="88"/>
      <c r="H1053" s="182"/>
      <c r="L1053" s="24"/>
      <c r="M1053" s="24"/>
      <c r="N1053" s="186"/>
      <c r="O1053" s="190"/>
      <c r="P1053" s="204"/>
      <c r="Q1053" s="142"/>
      <c r="T1053" s="201"/>
      <c r="Z1053" s="151"/>
      <c r="AB1053" s="64"/>
      <c r="AC1053" s="64"/>
      <c r="AD1053" s="64"/>
      <c r="AE1053" s="64"/>
      <c r="AF1053" s="64"/>
      <c r="AG1053" s="64"/>
      <c r="AH1053" s="64"/>
      <c r="AI1053" s="143"/>
      <c r="AJ1053" s="134"/>
      <c r="AK1053" s="194"/>
      <c r="AL1053" s="90"/>
    </row>
    <row r="1054" spans="1:38" ht="17.100000000000001" customHeight="1" x14ac:dyDescent="0.25">
      <c r="A1054" s="197"/>
      <c r="G1054" s="88"/>
      <c r="H1054" s="182"/>
      <c r="L1054" s="24"/>
      <c r="M1054" s="24"/>
      <c r="N1054" s="186"/>
      <c r="O1054" s="190"/>
      <c r="P1054" s="204"/>
      <c r="Q1054" s="142"/>
      <c r="T1054" s="201"/>
      <c r="Z1054" s="151"/>
      <c r="AB1054" s="64"/>
      <c r="AC1054" s="64"/>
      <c r="AD1054" s="64"/>
      <c r="AE1054" s="64"/>
      <c r="AF1054" s="64"/>
      <c r="AG1054" s="64"/>
      <c r="AH1054" s="64"/>
      <c r="AI1054" s="143"/>
      <c r="AJ1054" s="134"/>
      <c r="AK1054" s="194"/>
      <c r="AL1054" s="90"/>
    </row>
    <row r="1055" spans="1:38" ht="17.100000000000001" customHeight="1" x14ac:dyDescent="0.25">
      <c r="A1055" s="197"/>
      <c r="G1055" s="88"/>
      <c r="H1055" s="182"/>
      <c r="L1055" s="24"/>
      <c r="M1055" s="24"/>
      <c r="N1055" s="186"/>
      <c r="O1055" s="190"/>
      <c r="P1055" s="204"/>
      <c r="Q1055" s="142"/>
      <c r="T1055" s="201"/>
      <c r="Z1055" s="151"/>
      <c r="AB1055" s="64"/>
      <c r="AC1055" s="64"/>
      <c r="AD1055" s="64"/>
      <c r="AE1055" s="64"/>
      <c r="AF1055" s="64"/>
      <c r="AG1055" s="64"/>
      <c r="AH1055" s="64"/>
      <c r="AI1055" s="143"/>
      <c r="AJ1055" s="134"/>
      <c r="AK1055" s="194"/>
      <c r="AL1055" s="90"/>
    </row>
    <row r="1056" spans="1:38" ht="17.100000000000001" customHeight="1" x14ac:dyDescent="0.25">
      <c r="A1056" s="197"/>
      <c r="G1056" s="88"/>
      <c r="H1056" s="182"/>
      <c r="L1056" s="24"/>
      <c r="M1056" s="24"/>
      <c r="N1056" s="186"/>
      <c r="O1056" s="190"/>
      <c r="P1056" s="204"/>
      <c r="Q1056" s="142"/>
      <c r="T1056" s="201"/>
      <c r="Z1056" s="151"/>
      <c r="AB1056" s="64"/>
      <c r="AC1056" s="64"/>
      <c r="AD1056" s="64"/>
      <c r="AE1056" s="64"/>
      <c r="AF1056" s="64"/>
      <c r="AG1056" s="64"/>
      <c r="AH1056" s="64"/>
      <c r="AI1056" s="143"/>
      <c r="AJ1056" s="134"/>
      <c r="AK1056" s="194"/>
      <c r="AL1056" s="90"/>
    </row>
    <row r="1057" spans="1:38" ht="17.100000000000001" customHeight="1" thickBot="1" x14ac:dyDescent="0.3">
      <c r="A1057" s="197"/>
      <c r="G1057" s="88"/>
      <c r="H1057" s="182"/>
      <c r="L1057" s="24"/>
      <c r="M1057" s="24"/>
      <c r="N1057" s="186"/>
      <c r="O1057" s="190"/>
      <c r="P1057" s="204"/>
      <c r="Q1057" s="142"/>
      <c r="T1057" s="201"/>
      <c r="Z1057" s="151"/>
      <c r="AB1057" s="64"/>
      <c r="AC1057" s="64"/>
      <c r="AD1057" s="64"/>
      <c r="AE1057" s="64"/>
      <c r="AF1057" s="64"/>
      <c r="AG1057" s="64"/>
      <c r="AH1057" s="64"/>
      <c r="AI1057" s="143"/>
      <c r="AJ1057" s="134"/>
      <c r="AK1057" s="194"/>
      <c r="AL1057" s="90"/>
    </row>
    <row r="1058" spans="1:38" ht="17.100000000000001" customHeight="1" x14ac:dyDescent="0.25">
      <c r="A1058" s="198"/>
      <c r="B1058" s="153"/>
      <c r="C1058" s="154"/>
      <c r="D1058" s="154"/>
      <c r="E1058" s="154"/>
      <c r="F1058" s="154"/>
      <c r="G1058" s="155"/>
      <c r="H1058" s="183"/>
      <c r="I1058" s="156"/>
      <c r="J1058" s="157"/>
      <c r="K1058" s="158"/>
      <c r="L1058" s="158"/>
      <c r="M1058" s="158"/>
      <c r="N1058" s="187"/>
      <c r="O1058" s="191"/>
      <c r="P1058" s="205"/>
      <c r="Q1058" s="159"/>
      <c r="R1058" s="160"/>
      <c r="S1058" s="158"/>
      <c r="T1058" s="202"/>
      <c r="U1058" s="161"/>
      <c r="V1058" s="156"/>
      <c r="W1058" s="162"/>
      <c r="X1058" s="156"/>
      <c r="Y1058" s="158"/>
      <c r="Z1058" s="163"/>
      <c r="AA1058" s="156"/>
      <c r="AB1058" s="164"/>
      <c r="AC1058" s="164"/>
      <c r="AD1058" s="164"/>
      <c r="AE1058" s="164"/>
      <c r="AF1058" s="164"/>
      <c r="AG1058" s="164"/>
      <c r="AH1058" s="164"/>
      <c r="AI1058" s="165"/>
      <c r="AJ1058" s="134"/>
      <c r="AK1058" s="195"/>
      <c r="AL1058" s="170"/>
    </row>
    <row r="1059" spans="1:38" ht="17.100000000000001" customHeight="1" x14ac:dyDescent="0.25">
      <c r="A1059" s="197"/>
      <c r="G1059" s="88"/>
      <c r="H1059" s="182"/>
      <c r="L1059" s="24"/>
      <c r="M1059" s="24"/>
      <c r="N1059" s="186"/>
      <c r="O1059" s="190"/>
      <c r="P1059" s="204"/>
      <c r="Q1059" s="142"/>
      <c r="T1059" s="201"/>
      <c r="Z1059" s="151"/>
      <c r="AB1059" s="64"/>
      <c r="AC1059" s="64"/>
      <c r="AD1059" s="64"/>
      <c r="AE1059" s="64"/>
      <c r="AF1059" s="64"/>
      <c r="AG1059" s="64"/>
      <c r="AH1059" s="64"/>
      <c r="AI1059" s="143"/>
      <c r="AJ1059" s="134"/>
      <c r="AK1059" s="194"/>
      <c r="AL1059" s="90"/>
    </row>
    <row r="1060" spans="1:38" ht="17.100000000000001" customHeight="1" x14ac:dyDescent="0.25">
      <c r="A1060" s="197"/>
      <c r="G1060" s="88"/>
      <c r="H1060" s="182"/>
      <c r="L1060" s="24"/>
      <c r="M1060" s="24"/>
      <c r="N1060" s="186"/>
      <c r="O1060" s="190"/>
      <c r="P1060" s="204"/>
      <c r="Q1060" s="142"/>
      <c r="T1060" s="201"/>
      <c r="Z1060" s="151"/>
      <c r="AB1060" s="64"/>
      <c r="AC1060" s="64"/>
      <c r="AD1060" s="64"/>
      <c r="AE1060" s="64"/>
      <c r="AF1060" s="64"/>
      <c r="AG1060" s="64"/>
      <c r="AH1060" s="64"/>
      <c r="AI1060" s="143"/>
      <c r="AJ1060" s="134"/>
      <c r="AK1060" s="194"/>
      <c r="AL1060" s="90"/>
    </row>
    <row r="1061" spans="1:38" ht="17.100000000000001" customHeight="1" x14ac:dyDescent="0.25">
      <c r="A1061" s="197"/>
      <c r="G1061" s="88"/>
      <c r="H1061" s="182"/>
      <c r="L1061" s="24"/>
      <c r="M1061" s="24"/>
      <c r="N1061" s="186"/>
      <c r="O1061" s="190"/>
      <c r="P1061" s="204"/>
      <c r="Q1061" s="142"/>
      <c r="T1061" s="201"/>
      <c r="Z1061" s="151"/>
      <c r="AB1061" s="64"/>
      <c r="AC1061" s="64"/>
      <c r="AD1061" s="64"/>
      <c r="AE1061" s="64"/>
      <c r="AF1061" s="64"/>
      <c r="AG1061" s="64"/>
      <c r="AH1061" s="64"/>
      <c r="AI1061" s="143"/>
      <c r="AJ1061" s="134"/>
      <c r="AK1061" s="194"/>
      <c r="AL1061" s="90"/>
    </row>
    <row r="1062" spans="1:38" ht="17.100000000000001" customHeight="1" x14ac:dyDescent="0.25">
      <c r="A1062" s="197"/>
      <c r="G1062" s="88"/>
      <c r="H1062" s="182"/>
      <c r="L1062" s="24"/>
      <c r="M1062" s="24"/>
      <c r="N1062" s="186"/>
      <c r="O1062" s="190"/>
      <c r="P1062" s="204"/>
      <c r="Q1062" s="142"/>
      <c r="T1062" s="201"/>
      <c r="Z1062" s="151"/>
      <c r="AB1062" s="64"/>
      <c r="AC1062" s="64"/>
      <c r="AD1062" s="64"/>
      <c r="AE1062" s="64"/>
      <c r="AF1062" s="64"/>
      <c r="AG1062" s="64"/>
      <c r="AH1062" s="64"/>
      <c r="AI1062" s="143"/>
      <c r="AJ1062" s="134"/>
      <c r="AK1062" s="194"/>
      <c r="AL1062" s="90"/>
    </row>
    <row r="1063" spans="1:38" ht="17.100000000000001" customHeight="1" x14ac:dyDescent="0.25">
      <c r="A1063" s="197"/>
      <c r="G1063" s="88"/>
      <c r="H1063" s="182"/>
      <c r="L1063" s="24"/>
      <c r="M1063" s="24"/>
      <c r="N1063" s="186"/>
      <c r="O1063" s="190"/>
      <c r="P1063" s="204"/>
      <c r="Q1063" s="142"/>
      <c r="T1063" s="201"/>
      <c r="Z1063" s="151"/>
      <c r="AB1063" s="64"/>
      <c r="AC1063" s="64"/>
      <c r="AD1063" s="64"/>
      <c r="AE1063" s="64"/>
      <c r="AF1063" s="64"/>
      <c r="AG1063" s="64"/>
      <c r="AH1063" s="64"/>
      <c r="AI1063" s="143"/>
      <c r="AJ1063" s="134"/>
      <c r="AK1063" s="194"/>
      <c r="AL1063" s="90"/>
    </row>
    <row r="1064" spans="1:38" ht="17.100000000000001" customHeight="1" x14ac:dyDescent="0.25">
      <c r="A1064" s="197"/>
      <c r="G1064" s="88"/>
      <c r="H1064" s="182"/>
      <c r="L1064" s="24"/>
      <c r="M1064" s="24"/>
      <c r="N1064" s="186"/>
      <c r="O1064" s="190"/>
      <c r="P1064" s="204"/>
      <c r="Q1064" s="142"/>
      <c r="T1064" s="201"/>
      <c r="Z1064" s="151"/>
      <c r="AB1064" s="64"/>
      <c r="AC1064" s="64"/>
      <c r="AD1064" s="64"/>
      <c r="AE1064" s="64"/>
      <c r="AF1064" s="64"/>
      <c r="AG1064" s="64"/>
      <c r="AH1064" s="64"/>
      <c r="AI1064" s="143"/>
      <c r="AJ1064" s="134"/>
      <c r="AK1064" s="194"/>
      <c r="AL1064" s="90"/>
    </row>
    <row r="1065" spans="1:38" ht="17.100000000000001" customHeight="1" x14ac:dyDescent="0.25">
      <c r="A1065" s="197"/>
      <c r="G1065" s="88"/>
      <c r="H1065" s="182"/>
      <c r="L1065" s="24"/>
      <c r="M1065" s="24"/>
      <c r="N1065" s="186"/>
      <c r="O1065" s="190"/>
      <c r="P1065" s="204"/>
      <c r="Q1065" s="142"/>
      <c r="T1065" s="201"/>
      <c r="Z1065" s="151"/>
      <c r="AB1065" s="64"/>
      <c r="AC1065" s="64"/>
      <c r="AD1065" s="64"/>
      <c r="AE1065" s="64"/>
      <c r="AF1065" s="64"/>
      <c r="AG1065" s="64"/>
      <c r="AH1065" s="64"/>
      <c r="AI1065" s="143"/>
      <c r="AJ1065" s="134"/>
      <c r="AK1065" s="194"/>
      <c r="AL1065" s="90"/>
    </row>
    <row r="1066" spans="1:38" ht="17.100000000000001" customHeight="1" x14ac:dyDescent="0.25">
      <c r="A1066" s="197"/>
      <c r="G1066" s="88"/>
      <c r="H1066" s="182"/>
      <c r="L1066" s="24"/>
      <c r="M1066" s="24"/>
      <c r="N1066" s="186"/>
      <c r="O1066" s="190"/>
      <c r="P1066" s="204"/>
      <c r="Q1066" s="142"/>
      <c r="T1066" s="201"/>
      <c r="Z1066" s="151"/>
      <c r="AB1066" s="64"/>
      <c r="AC1066" s="64"/>
      <c r="AD1066" s="64"/>
      <c r="AE1066" s="64"/>
      <c r="AF1066" s="64"/>
      <c r="AG1066" s="64"/>
      <c r="AH1066" s="64"/>
      <c r="AI1066" s="143"/>
      <c r="AJ1066" s="134"/>
      <c r="AK1066" s="194"/>
      <c r="AL1066" s="90"/>
    </row>
    <row r="1067" spans="1:38" ht="17.100000000000001" customHeight="1" x14ac:dyDescent="0.25">
      <c r="A1067" s="197"/>
      <c r="G1067" s="88"/>
      <c r="H1067" s="182"/>
      <c r="L1067" s="24"/>
      <c r="M1067" s="24"/>
      <c r="N1067" s="186"/>
      <c r="O1067" s="190"/>
      <c r="P1067" s="204"/>
      <c r="Q1067" s="142"/>
      <c r="T1067" s="201"/>
      <c r="Z1067" s="151"/>
      <c r="AB1067" s="64"/>
      <c r="AC1067" s="64"/>
      <c r="AD1067" s="64"/>
      <c r="AE1067" s="64"/>
      <c r="AF1067" s="64"/>
      <c r="AG1067" s="64"/>
      <c r="AH1067" s="64"/>
      <c r="AI1067" s="143"/>
      <c r="AJ1067" s="134"/>
      <c r="AK1067" s="194"/>
      <c r="AL1067" s="90"/>
    </row>
    <row r="1068" spans="1:38" ht="17.100000000000001" customHeight="1" x14ac:dyDescent="0.25">
      <c r="A1068" s="197"/>
      <c r="G1068" s="88"/>
      <c r="H1068" s="182"/>
      <c r="L1068" s="24"/>
      <c r="M1068" s="24"/>
      <c r="N1068" s="186"/>
      <c r="O1068" s="190"/>
      <c r="P1068" s="204"/>
      <c r="Q1068" s="142"/>
      <c r="T1068" s="201"/>
      <c r="Z1068" s="151"/>
      <c r="AB1068" s="64"/>
      <c r="AC1068" s="64"/>
      <c r="AD1068" s="64"/>
      <c r="AE1068" s="64"/>
      <c r="AF1068" s="64"/>
      <c r="AG1068" s="64"/>
      <c r="AH1068" s="64"/>
      <c r="AI1068" s="143"/>
      <c r="AJ1068" s="134"/>
      <c r="AK1068" s="194"/>
      <c r="AL1068" s="90"/>
    </row>
    <row r="1069" spans="1:38" ht="17.100000000000001" customHeight="1" x14ac:dyDescent="0.25">
      <c r="A1069" s="197"/>
      <c r="G1069" s="88"/>
      <c r="H1069" s="182"/>
      <c r="L1069" s="24"/>
      <c r="M1069" s="24"/>
      <c r="N1069" s="186"/>
      <c r="O1069" s="190"/>
      <c r="P1069" s="204"/>
      <c r="Q1069" s="142"/>
      <c r="T1069" s="201"/>
      <c r="Z1069" s="151"/>
      <c r="AB1069" s="64"/>
      <c r="AC1069" s="64"/>
      <c r="AD1069" s="64"/>
      <c r="AE1069" s="64"/>
      <c r="AF1069" s="64"/>
      <c r="AG1069" s="64"/>
      <c r="AH1069" s="64"/>
      <c r="AI1069" s="143"/>
      <c r="AJ1069" s="134"/>
      <c r="AK1069" s="194"/>
      <c r="AL1069" s="90"/>
    </row>
    <row r="1070" spans="1:38" ht="17.100000000000001" customHeight="1" x14ac:dyDescent="0.25">
      <c r="A1070" s="197"/>
      <c r="G1070" s="88"/>
      <c r="H1070" s="182"/>
      <c r="L1070" s="24"/>
      <c r="M1070" s="24"/>
      <c r="N1070" s="186"/>
      <c r="O1070" s="190"/>
      <c r="P1070" s="204"/>
      <c r="Q1070" s="142"/>
      <c r="T1070" s="201"/>
      <c r="Z1070" s="151"/>
      <c r="AB1070" s="64"/>
      <c r="AC1070" s="64"/>
      <c r="AD1070" s="64"/>
      <c r="AE1070" s="64"/>
      <c r="AF1070" s="64"/>
      <c r="AG1070" s="64"/>
      <c r="AH1070" s="64"/>
      <c r="AI1070" s="143"/>
      <c r="AJ1070" s="134"/>
      <c r="AK1070" s="194"/>
      <c r="AL1070" s="90"/>
    </row>
    <row r="1071" spans="1:38" ht="17.100000000000001" customHeight="1" x14ac:dyDescent="0.25">
      <c r="A1071" s="197"/>
      <c r="G1071" s="88"/>
      <c r="H1071" s="182"/>
      <c r="L1071" s="24"/>
      <c r="M1071" s="24"/>
      <c r="N1071" s="186"/>
      <c r="O1071" s="190"/>
      <c r="P1071" s="204"/>
      <c r="Q1071" s="142"/>
      <c r="T1071" s="201"/>
      <c r="Z1071" s="151"/>
      <c r="AB1071" s="64"/>
      <c r="AC1071" s="64"/>
      <c r="AD1071" s="64"/>
      <c r="AE1071" s="64"/>
      <c r="AF1071" s="64"/>
      <c r="AG1071" s="64"/>
      <c r="AH1071" s="64"/>
      <c r="AI1071" s="143"/>
      <c r="AJ1071" s="134"/>
      <c r="AK1071" s="194"/>
      <c r="AL1071" s="90"/>
    </row>
    <row r="1072" spans="1:38" ht="17.100000000000001" customHeight="1" x14ac:dyDescent="0.25">
      <c r="A1072" s="197"/>
      <c r="G1072" s="88"/>
      <c r="H1072" s="182"/>
      <c r="L1072" s="24"/>
      <c r="M1072" s="24"/>
      <c r="N1072" s="186"/>
      <c r="O1072" s="190"/>
      <c r="P1072" s="204"/>
      <c r="Q1072" s="142"/>
      <c r="T1072" s="201"/>
      <c r="Z1072" s="151"/>
      <c r="AB1072" s="64"/>
      <c r="AC1072" s="64"/>
      <c r="AD1072" s="64"/>
      <c r="AE1072" s="64"/>
      <c r="AF1072" s="64"/>
      <c r="AG1072" s="64"/>
      <c r="AH1072" s="64"/>
      <c r="AI1072" s="143"/>
      <c r="AJ1072" s="134"/>
      <c r="AK1072" s="194"/>
      <c r="AL1072" s="90"/>
    </row>
    <row r="1073" spans="1:38" ht="17.100000000000001" customHeight="1" x14ac:dyDescent="0.25">
      <c r="A1073" s="197"/>
      <c r="G1073" s="88"/>
      <c r="H1073" s="182"/>
      <c r="L1073" s="24"/>
      <c r="M1073" s="24"/>
      <c r="N1073" s="186"/>
      <c r="O1073" s="190"/>
      <c r="P1073" s="204"/>
      <c r="Q1073" s="142"/>
      <c r="T1073" s="201"/>
      <c r="Z1073" s="151"/>
      <c r="AB1073" s="64"/>
      <c r="AC1073" s="64"/>
      <c r="AD1073" s="64"/>
      <c r="AE1073" s="64"/>
      <c r="AF1073" s="64"/>
      <c r="AG1073" s="64"/>
      <c r="AH1073" s="64"/>
      <c r="AI1073" s="143"/>
      <c r="AJ1073" s="134"/>
      <c r="AK1073" s="194"/>
      <c r="AL1073" s="90"/>
    </row>
    <row r="1074" spans="1:38" ht="17.100000000000001" customHeight="1" x14ac:dyDescent="0.25">
      <c r="A1074" s="197"/>
      <c r="G1074" s="88"/>
      <c r="H1074" s="182"/>
      <c r="L1074" s="24"/>
      <c r="M1074" s="24"/>
      <c r="N1074" s="186"/>
      <c r="O1074" s="190"/>
      <c r="P1074" s="204"/>
      <c r="Q1074" s="142"/>
      <c r="T1074" s="201"/>
      <c r="Z1074" s="151"/>
      <c r="AB1074" s="64"/>
      <c r="AC1074" s="64"/>
      <c r="AD1074" s="64"/>
      <c r="AE1074" s="64"/>
      <c r="AF1074" s="64"/>
      <c r="AG1074" s="64"/>
      <c r="AH1074" s="64"/>
      <c r="AI1074" s="143"/>
      <c r="AJ1074" s="134"/>
      <c r="AK1074" s="194"/>
      <c r="AL1074" s="90"/>
    </row>
    <row r="1075" spans="1:38" ht="17.100000000000001" customHeight="1" x14ac:dyDescent="0.25">
      <c r="A1075" s="197"/>
      <c r="G1075" s="88"/>
      <c r="H1075" s="182"/>
      <c r="L1075" s="24"/>
      <c r="M1075" s="24"/>
      <c r="N1075" s="186"/>
      <c r="O1075" s="190"/>
      <c r="P1075" s="204"/>
      <c r="Q1075" s="142"/>
      <c r="T1075" s="201"/>
      <c r="Z1075" s="151"/>
      <c r="AB1075" s="64"/>
      <c r="AC1075" s="64"/>
      <c r="AD1075" s="64"/>
      <c r="AE1075" s="64"/>
      <c r="AF1075" s="64"/>
      <c r="AG1075" s="64"/>
      <c r="AH1075" s="64"/>
      <c r="AI1075" s="143"/>
      <c r="AJ1075" s="134"/>
      <c r="AK1075" s="194"/>
      <c r="AL1075" s="90"/>
    </row>
    <row r="1076" spans="1:38" ht="17.100000000000001" customHeight="1" x14ac:dyDescent="0.25">
      <c r="A1076" s="197"/>
      <c r="G1076" s="88"/>
      <c r="H1076" s="182"/>
      <c r="L1076" s="24"/>
      <c r="M1076" s="24"/>
      <c r="N1076" s="186"/>
      <c r="O1076" s="190"/>
      <c r="P1076" s="204"/>
      <c r="Q1076" s="142"/>
      <c r="T1076" s="201"/>
      <c r="Z1076" s="151"/>
      <c r="AB1076" s="64"/>
      <c r="AC1076" s="64"/>
      <c r="AD1076" s="64"/>
      <c r="AE1076" s="64"/>
      <c r="AF1076" s="64"/>
      <c r="AG1076" s="64"/>
      <c r="AH1076" s="64"/>
      <c r="AI1076" s="143"/>
      <c r="AJ1076" s="134"/>
      <c r="AK1076" s="194"/>
      <c r="AL1076" s="90"/>
    </row>
    <row r="1077" spans="1:38" ht="17.100000000000001" customHeight="1" x14ac:dyDescent="0.25">
      <c r="A1077" s="197"/>
      <c r="G1077" s="88"/>
      <c r="H1077" s="182"/>
      <c r="L1077" s="24"/>
      <c r="M1077" s="24"/>
      <c r="N1077" s="186"/>
      <c r="O1077" s="190"/>
      <c r="P1077" s="204"/>
      <c r="Q1077" s="142"/>
      <c r="T1077" s="201"/>
      <c r="Z1077" s="151"/>
      <c r="AB1077" s="64"/>
      <c r="AC1077" s="64"/>
      <c r="AD1077" s="64"/>
      <c r="AE1077" s="64"/>
      <c r="AF1077" s="64"/>
      <c r="AG1077" s="64"/>
      <c r="AH1077" s="64"/>
      <c r="AI1077" s="143"/>
      <c r="AJ1077" s="134"/>
      <c r="AK1077" s="194"/>
      <c r="AL1077" s="90"/>
    </row>
    <row r="1078" spans="1:38" ht="17.100000000000001" customHeight="1" x14ac:dyDescent="0.25">
      <c r="A1078" s="197"/>
      <c r="G1078" s="88"/>
      <c r="H1078" s="182"/>
      <c r="L1078" s="24"/>
      <c r="M1078" s="24"/>
      <c r="N1078" s="186"/>
      <c r="O1078" s="190"/>
      <c r="P1078" s="204"/>
      <c r="Q1078" s="142"/>
      <c r="T1078" s="201"/>
      <c r="Z1078" s="151"/>
      <c r="AB1078" s="64"/>
      <c r="AC1078" s="64"/>
      <c r="AD1078" s="64"/>
      <c r="AE1078" s="64"/>
      <c r="AF1078" s="64"/>
      <c r="AG1078" s="64"/>
      <c r="AH1078" s="64"/>
      <c r="AI1078" s="143"/>
      <c r="AJ1078" s="134"/>
      <c r="AK1078" s="194"/>
      <c r="AL1078" s="90"/>
    </row>
    <row r="1079" spans="1:38" ht="17.100000000000001" customHeight="1" x14ac:dyDescent="0.25">
      <c r="A1079" s="197"/>
      <c r="G1079" s="88"/>
      <c r="H1079" s="182"/>
      <c r="L1079" s="24"/>
      <c r="M1079" s="24"/>
      <c r="N1079" s="186"/>
      <c r="O1079" s="190"/>
      <c r="P1079" s="204"/>
      <c r="Q1079" s="142"/>
      <c r="T1079" s="201"/>
      <c r="Z1079" s="151"/>
      <c r="AB1079" s="64"/>
      <c r="AC1079" s="64"/>
      <c r="AD1079" s="64"/>
      <c r="AE1079" s="64"/>
      <c r="AF1079" s="64"/>
      <c r="AG1079" s="64"/>
      <c r="AH1079" s="64"/>
      <c r="AI1079" s="143"/>
      <c r="AJ1079" s="134"/>
      <c r="AK1079" s="194"/>
      <c r="AL1079" s="90"/>
    </row>
    <row r="1080" spans="1:38" ht="17.100000000000001" customHeight="1" thickBot="1" x14ac:dyDescent="0.3">
      <c r="A1080" s="197"/>
      <c r="G1080" s="88"/>
      <c r="H1080" s="182"/>
      <c r="L1080" s="24"/>
      <c r="M1080" s="24"/>
      <c r="N1080" s="186"/>
      <c r="O1080" s="190"/>
      <c r="P1080" s="204"/>
      <c r="Q1080" s="142"/>
      <c r="T1080" s="201"/>
      <c r="Z1080" s="151"/>
      <c r="AB1080" s="64"/>
      <c r="AC1080" s="64"/>
      <c r="AD1080" s="64"/>
      <c r="AE1080" s="64"/>
      <c r="AF1080" s="64"/>
      <c r="AG1080" s="64"/>
      <c r="AH1080" s="64"/>
      <c r="AI1080" s="143"/>
      <c r="AJ1080" s="134"/>
      <c r="AK1080" s="194"/>
      <c r="AL1080" s="90"/>
    </row>
    <row r="1081" spans="1:38" ht="17.100000000000001" customHeight="1" x14ac:dyDescent="0.25">
      <c r="A1081" s="198"/>
      <c r="B1081" s="153"/>
      <c r="C1081" s="154"/>
      <c r="D1081" s="154"/>
      <c r="E1081" s="154"/>
      <c r="F1081" s="154"/>
      <c r="G1081" s="155"/>
      <c r="H1081" s="183"/>
      <c r="I1081" s="156"/>
      <c r="J1081" s="157"/>
      <c r="K1081" s="158"/>
      <c r="L1081" s="158"/>
      <c r="M1081" s="158"/>
      <c r="N1081" s="187"/>
      <c r="O1081" s="191"/>
      <c r="P1081" s="205"/>
      <c r="Q1081" s="159"/>
      <c r="R1081" s="160"/>
      <c r="S1081" s="158"/>
      <c r="T1081" s="202"/>
      <c r="U1081" s="161"/>
      <c r="V1081" s="156"/>
      <c r="W1081" s="162"/>
      <c r="X1081" s="156"/>
      <c r="Y1081" s="158"/>
      <c r="Z1081" s="163"/>
      <c r="AA1081" s="156"/>
      <c r="AB1081" s="164"/>
      <c r="AC1081" s="164"/>
      <c r="AD1081" s="164"/>
      <c r="AE1081" s="164"/>
      <c r="AF1081" s="164"/>
      <c r="AG1081" s="164"/>
      <c r="AH1081" s="164"/>
      <c r="AI1081" s="165"/>
      <c r="AJ1081" s="134"/>
      <c r="AK1081" s="195"/>
      <c r="AL1081" s="170"/>
    </row>
    <row r="1082" spans="1:38" ht="17.100000000000001" customHeight="1" x14ac:dyDescent="0.25">
      <c r="A1082" s="197"/>
      <c r="G1082" s="88"/>
      <c r="H1082" s="182"/>
      <c r="L1082" s="24"/>
      <c r="M1082" s="24"/>
      <c r="N1082" s="186"/>
      <c r="O1082" s="190"/>
      <c r="P1082" s="204"/>
      <c r="Q1082" s="142"/>
      <c r="T1082" s="201"/>
      <c r="Z1082" s="151"/>
      <c r="AB1082" s="64"/>
      <c r="AC1082" s="64"/>
      <c r="AD1082" s="64"/>
      <c r="AE1082" s="64"/>
      <c r="AF1082" s="64"/>
      <c r="AG1082" s="64"/>
      <c r="AH1082" s="64"/>
      <c r="AI1082" s="143"/>
      <c r="AJ1082" s="134"/>
      <c r="AK1082" s="194"/>
      <c r="AL1082" s="90"/>
    </row>
    <row r="1083" spans="1:38" ht="17.100000000000001" customHeight="1" x14ac:dyDescent="0.25">
      <c r="A1083" s="197"/>
      <c r="G1083" s="88"/>
      <c r="H1083" s="182"/>
      <c r="L1083" s="24"/>
      <c r="M1083" s="24"/>
      <c r="N1083" s="186"/>
      <c r="O1083" s="190"/>
      <c r="P1083" s="204"/>
      <c r="Q1083" s="142"/>
      <c r="T1083" s="201"/>
      <c r="Z1083" s="151"/>
      <c r="AB1083" s="64"/>
      <c r="AC1083" s="64"/>
      <c r="AD1083" s="64"/>
      <c r="AE1083" s="64"/>
      <c r="AF1083" s="64"/>
      <c r="AG1083" s="64"/>
      <c r="AH1083" s="64"/>
      <c r="AI1083" s="143"/>
      <c r="AJ1083" s="134"/>
      <c r="AK1083" s="194"/>
      <c r="AL1083" s="90"/>
    </row>
    <row r="1084" spans="1:38" ht="17.100000000000001" customHeight="1" x14ac:dyDescent="0.25">
      <c r="A1084" s="197"/>
      <c r="G1084" s="88"/>
      <c r="H1084" s="182"/>
      <c r="L1084" s="24"/>
      <c r="M1084" s="24"/>
      <c r="N1084" s="186"/>
      <c r="O1084" s="190"/>
      <c r="P1084" s="204"/>
      <c r="Q1084" s="142"/>
      <c r="T1084" s="201"/>
      <c r="Z1084" s="151"/>
      <c r="AB1084" s="64"/>
      <c r="AC1084" s="64"/>
      <c r="AD1084" s="64"/>
      <c r="AE1084" s="64"/>
      <c r="AF1084" s="64"/>
      <c r="AG1084" s="64"/>
      <c r="AH1084" s="64"/>
      <c r="AI1084" s="143"/>
      <c r="AJ1084" s="134"/>
      <c r="AK1084" s="194"/>
      <c r="AL1084" s="90"/>
    </row>
    <row r="1085" spans="1:38" ht="17.100000000000001" customHeight="1" x14ac:dyDescent="0.25">
      <c r="A1085" s="197"/>
      <c r="G1085" s="88"/>
      <c r="H1085" s="182"/>
      <c r="L1085" s="24"/>
      <c r="M1085" s="24"/>
      <c r="N1085" s="186"/>
      <c r="O1085" s="190"/>
      <c r="P1085" s="204"/>
      <c r="Q1085" s="142"/>
      <c r="T1085" s="201"/>
      <c r="Z1085" s="151"/>
      <c r="AB1085" s="64"/>
      <c r="AC1085" s="64"/>
      <c r="AD1085" s="64"/>
      <c r="AE1085" s="64"/>
      <c r="AF1085" s="64"/>
      <c r="AG1085" s="64"/>
      <c r="AH1085" s="64"/>
      <c r="AI1085" s="143"/>
      <c r="AJ1085" s="134"/>
      <c r="AK1085" s="194"/>
      <c r="AL1085" s="90"/>
    </row>
    <row r="1086" spans="1:38" ht="17.100000000000001" customHeight="1" x14ac:dyDescent="0.25">
      <c r="A1086" s="197"/>
      <c r="G1086" s="88"/>
      <c r="H1086" s="182"/>
      <c r="L1086" s="24"/>
      <c r="M1086" s="24"/>
      <c r="N1086" s="186"/>
      <c r="O1086" s="190"/>
      <c r="P1086" s="204"/>
      <c r="Q1086" s="142"/>
      <c r="T1086" s="201"/>
      <c r="Z1086" s="151"/>
      <c r="AB1086" s="64"/>
      <c r="AC1086" s="64"/>
      <c r="AD1086" s="64"/>
      <c r="AE1086" s="64"/>
      <c r="AF1086" s="64"/>
      <c r="AG1086" s="64"/>
      <c r="AH1086" s="64"/>
      <c r="AI1086" s="143"/>
      <c r="AJ1086" s="134"/>
      <c r="AK1086" s="194"/>
      <c r="AL1086" s="90"/>
    </row>
    <row r="1087" spans="1:38" ht="17.100000000000001" customHeight="1" x14ac:dyDescent="0.25">
      <c r="A1087" s="197"/>
      <c r="G1087" s="88"/>
      <c r="H1087" s="182"/>
      <c r="L1087" s="24"/>
      <c r="M1087" s="24"/>
      <c r="N1087" s="186"/>
      <c r="O1087" s="190"/>
      <c r="P1087" s="204"/>
      <c r="Q1087" s="142"/>
      <c r="T1087" s="201"/>
      <c r="Z1087" s="151"/>
      <c r="AB1087" s="64"/>
      <c r="AC1087" s="64"/>
      <c r="AD1087" s="64"/>
      <c r="AE1087" s="64"/>
      <c r="AF1087" s="64"/>
      <c r="AG1087" s="64"/>
      <c r="AH1087" s="64"/>
      <c r="AI1087" s="143"/>
      <c r="AJ1087" s="134"/>
      <c r="AK1087" s="194"/>
      <c r="AL1087" s="90"/>
    </row>
    <row r="1088" spans="1:38" ht="17.100000000000001" customHeight="1" x14ac:dyDescent="0.25">
      <c r="A1088" s="197"/>
      <c r="G1088" s="88"/>
      <c r="H1088" s="182"/>
      <c r="L1088" s="24"/>
      <c r="M1088" s="24"/>
      <c r="N1088" s="186"/>
      <c r="O1088" s="190"/>
      <c r="P1088" s="204"/>
      <c r="Q1088" s="142"/>
      <c r="T1088" s="201"/>
      <c r="Z1088" s="151"/>
      <c r="AB1088" s="64"/>
      <c r="AC1088" s="64"/>
      <c r="AD1088" s="64"/>
      <c r="AE1088" s="64"/>
      <c r="AF1088" s="64"/>
      <c r="AG1088" s="64"/>
      <c r="AH1088" s="64"/>
      <c r="AI1088" s="143"/>
      <c r="AJ1088" s="134"/>
      <c r="AK1088" s="194"/>
      <c r="AL1088" s="90"/>
    </row>
    <row r="1089" spans="1:38" ht="17.100000000000001" customHeight="1" x14ac:dyDescent="0.25">
      <c r="A1089" s="197"/>
      <c r="G1089" s="88"/>
      <c r="H1089" s="182"/>
      <c r="L1089" s="24"/>
      <c r="M1089" s="24"/>
      <c r="N1089" s="186"/>
      <c r="O1089" s="190"/>
      <c r="P1089" s="204"/>
      <c r="Q1089" s="142"/>
      <c r="T1089" s="201"/>
      <c r="Z1089" s="151"/>
      <c r="AB1089" s="64"/>
      <c r="AC1089" s="64"/>
      <c r="AD1089" s="64"/>
      <c r="AE1089" s="64"/>
      <c r="AF1089" s="64"/>
      <c r="AG1089" s="64"/>
      <c r="AH1089" s="64"/>
      <c r="AI1089" s="143"/>
      <c r="AJ1089" s="134"/>
      <c r="AK1089" s="194"/>
      <c r="AL1089" s="90"/>
    </row>
    <row r="1090" spans="1:38" ht="17.100000000000001" customHeight="1" x14ac:dyDescent="0.25">
      <c r="A1090" s="197"/>
      <c r="G1090" s="88"/>
      <c r="H1090" s="182"/>
      <c r="L1090" s="24"/>
      <c r="M1090" s="24"/>
      <c r="N1090" s="186"/>
      <c r="O1090" s="190"/>
      <c r="P1090" s="204"/>
      <c r="Q1090" s="142"/>
      <c r="T1090" s="201"/>
      <c r="Z1090" s="151"/>
      <c r="AB1090" s="64"/>
      <c r="AC1090" s="64"/>
      <c r="AD1090" s="64"/>
      <c r="AE1090" s="64"/>
      <c r="AF1090" s="64"/>
      <c r="AG1090" s="64"/>
      <c r="AH1090" s="64"/>
      <c r="AI1090" s="143"/>
      <c r="AJ1090" s="134"/>
      <c r="AK1090" s="194"/>
      <c r="AL1090" s="90"/>
    </row>
    <row r="1091" spans="1:38" ht="17.100000000000001" customHeight="1" x14ac:dyDescent="0.25">
      <c r="A1091" s="197"/>
      <c r="G1091" s="88"/>
      <c r="H1091" s="182"/>
      <c r="L1091" s="24"/>
      <c r="M1091" s="24"/>
      <c r="N1091" s="186"/>
      <c r="O1091" s="190"/>
      <c r="P1091" s="204"/>
      <c r="Q1091" s="142"/>
      <c r="T1091" s="201"/>
      <c r="Z1091" s="151"/>
      <c r="AB1091" s="64"/>
      <c r="AC1091" s="64"/>
      <c r="AD1091" s="64"/>
      <c r="AE1091" s="64"/>
      <c r="AF1091" s="64"/>
      <c r="AG1091" s="64"/>
      <c r="AH1091" s="64"/>
      <c r="AI1091" s="143"/>
      <c r="AJ1091" s="134"/>
      <c r="AK1091" s="194"/>
      <c r="AL1091" s="90"/>
    </row>
    <row r="1092" spans="1:38" ht="17.100000000000001" customHeight="1" x14ac:dyDescent="0.25">
      <c r="A1092" s="197"/>
      <c r="G1092" s="88"/>
      <c r="H1092" s="182"/>
      <c r="L1092" s="24"/>
      <c r="M1092" s="24"/>
      <c r="N1092" s="186"/>
      <c r="O1092" s="190"/>
      <c r="P1092" s="204"/>
      <c r="Q1092" s="142"/>
      <c r="T1092" s="201"/>
      <c r="Z1092" s="151"/>
      <c r="AB1092" s="64"/>
      <c r="AC1092" s="64"/>
      <c r="AD1092" s="64"/>
      <c r="AE1092" s="64"/>
      <c r="AF1092" s="64"/>
      <c r="AG1092" s="64"/>
      <c r="AH1092" s="64"/>
      <c r="AI1092" s="143"/>
      <c r="AJ1092" s="134"/>
      <c r="AK1092" s="194"/>
      <c r="AL1092" s="90"/>
    </row>
    <row r="1093" spans="1:38" ht="17.100000000000001" customHeight="1" x14ac:dyDescent="0.25">
      <c r="A1093" s="197"/>
      <c r="G1093" s="88"/>
      <c r="H1093" s="182"/>
      <c r="L1093" s="24"/>
      <c r="M1093" s="24"/>
      <c r="N1093" s="186"/>
      <c r="O1093" s="190"/>
      <c r="P1093" s="204"/>
      <c r="Q1093" s="142"/>
      <c r="T1093" s="201"/>
      <c r="Z1093" s="151"/>
      <c r="AB1093" s="64"/>
      <c r="AC1093" s="64"/>
      <c r="AD1093" s="64"/>
      <c r="AE1093" s="64"/>
      <c r="AF1093" s="64"/>
      <c r="AG1093" s="64"/>
      <c r="AH1093" s="64"/>
      <c r="AI1093" s="143"/>
      <c r="AJ1093" s="134"/>
      <c r="AK1093" s="194"/>
      <c r="AL1093" s="90"/>
    </row>
    <row r="1094" spans="1:38" ht="17.100000000000001" customHeight="1" x14ac:dyDescent="0.25">
      <c r="A1094" s="197"/>
      <c r="G1094" s="88"/>
      <c r="H1094" s="182"/>
      <c r="L1094" s="24"/>
      <c r="M1094" s="24"/>
      <c r="N1094" s="186"/>
      <c r="O1094" s="190"/>
      <c r="P1094" s="204"/>
      <c r="Q1094" s="142"/>
      <c r="T1094" s="201"/>
      <c r="Z1094" s="151"/>
      <c r="AB1094" s="64"/>
      <c r="AC1094" s="64"/>
      <c r="AD1094" s="64"/>
      <c r="AE1094" s="64"/>
      <c r="AF1094" s="64"/>
      <c r="AG1094" s="64"/>
      <c r="AH1094" s="64"/>
      <c r="AI1094" s="143"/>
      <c r="AJ1094" s="134"/>
      <c r="AK1094" s="194"/>
      <c r="AL1094" s="90"/>
    </row>
    <row r="1095" spans="1:38" ht="17.100000000000001" customHeight="1" x14ac:dyDescent="0.25">
      <c r="A1095" s="197"/>
      <c r="G1095" s="88"/>
      <c r="H1095" s="182"/>
      <c r="L1095" s="24"/>
      <c r="M1095" s="24"/>
      <c r="N1095" s="186"/>
      <c r="O1095" s="190"/>
      <c r="P1095" s="204"/>
      <c r="Q1095" s="142"/>
      <c r="T1095" s="201"/>
      <c r="Z1095" s="151"/>
      <c r="AB1095" s="64"/>
      <c r="AC1095" s="64"/>
      <c r="AD1095" s="64"/>
      <c r="AE1095" s="64"/>
      <c r="AF1095" s="64"/>
      <c r="AG1095" s="64"/>
      <c r="AH1095" s="64"/>
      <c r="AI1095" s="143"/>
      <c r="AJ1095" s="134"/>
      <c r="AK1095" s="194"/>
      <c r="AL1095" s="90"/>
    </row>
    <row r="1096" spans="1:38" ht="17.100000000000001" customHeight="1" x14ac:dyDescent="0.25">
      <c r="A1096" s="197"/>
      <c r="G1096" s="88"/>
      <c r="H1096" s="182"/>
      <c r="L1096" s="24"/>
      <c r="M1096" s="24"/>
      <c r="N1096" s="186"/>
      <c r="O1096" s="190"/>
      <c r="P1096" s="204"/>
      <c r="Q1096" s="142"/>
      <c r="T1096" s="201"/>
      <c r="Z1096" s="151"/>
      <c r="AB1096" s="64"/>
      <c r="AC1096" s="64"/>
      <c r="AD1096" s="64"/>
      <c r="AE1096" s="64"/>
      <c r="AF1096" s="64"/>
      <c r="AG1096" s="64"/>
      <c r="AH1096" s="64"/>
      <c r="AI1096" s="143"/>
      <c r="AJ1096" s="134"/>
      <c r="AK1096" s="194"/>
      <c r="AL1096" s="90"/>
    </row>
    <row r="1097" spans="1:38" ht="17.100000000000001" customHeight="1" x14ac:dyDescent="0.25">
      <c r="A1097" s="197"/>
      <c r="G1097" s="88"/>
      <c r="H1097" s="182"/>
      <c r="L1097" s="24"/>
      <c r="M1097" s="24"/>
      <c r="N1097" s="186"/>
      <c r="O1097" s="190"/>
      <c r="P1097" s="204"/>
      <c r="Q1097" s="142"/>
      <c r="T1097" s="201"/>
      <c r="Z1097" s="151"/>
      <c r="AB1097" s="64"/>
      <c r="AC1097" s="64"/>
      <c r="AD1097" s="64"/>
      <c r="AE1097" s="64"/>
      <c r="AF1097" s="64"/>
      <c r="AG1097" s="64"/>
      <c r="AH1097" s="64"/>
      <c r="AI1097" s="143"/>
      <c r="AJ1097" s="134"/>
      <c r="AK1097" s="194"/>
      <c r="AL1097" s="90"/>
    </row>
    <row r="1098" spans="1:38" ht="17.100000000000001" customHeight="1" x14ac:dyDescent="0.25">
      <c r="A1098" s="197"/>
      <c r="G1098" s="88"/>
      <c r="H1098" s="182"/>
      <c r="L1098" s="24"/>
      <c r="M1098" s="24"/>
      <c r="N1098" s="186"/>
      <c r="O1098" s="190"/>
      <c r="P1098" s="204"/>
      <c r="Q1098" s="142"/>
      <c r="T1098" s="201"/>
      <c r="Z1098" s="151"/>
      <c r="AB1098" s="64"/>
      <c r="AC1098" s="64"/>
      <c r="AD1098" s="64"/>
      <c r="AE1098" s="64"/>
      <c r="AF1098" s="64"/>
      <c r="AG1098" s="64"/>
      <c r="AH1098" s="64"/>
      <c r="AI1098" s="143"/>
      <c r="AJ1098" s="134"/>
      <c r="AK1098" s="194"/>
      <c r="AL1098" s="90"/>
    </row>
    <row r="1099" spans="1:38" ht="17.100000000000001" customHeight="1" x14ac:dyDescent="0.25">
      <c r="A1099" s="197"/>
      <c r="G1099" s="88"/>
      <c r="H1099" s="182"/>
      <c r="L1099" s="24"/>
      <c r="M1099" s="24"/>
      <c r="N1099" s="186"/>
      <c r="O1099" s="190"/>
      <c r="P1099" s="204"/>
      <c r="Q1099" s="142"/>
      <c r="T1099" s="201"/>
      <c r="Z1099" s="151"/>
      <c r="AB1099" s="64"/>
      <c r="AC1099" s="64"/>
      <c r="AD1099" s="64"/>
      <c r="AE1099" s="64"/>
      <c r="AF1099" s="64"/>
      <c r="AG1099" s="64"/>
      <c r="AH1099" s="64"/>
      <c r="AI1099" s="143"/>
      <c r="AJ1099" s="134"/>
      <c r="AK1099" s="194"/>
      <c r="AL1099" s="90"/>
    </row>
    <row r="1100" spans="1:38" ht="17.100000000000001" customHeight="1" x14ac:dyDescent="0.25">
      <c r="A1100" s="197"/>
      <c r="G1100" s="88"/>
      <c r="H1100" s="182"/>
      <c r="L1100" s="24"/>
      <c r="M1100" s="24"/>
      <c r="N1100" s="186"/>
      <c r="O1100" s="190"/>
      <c r="P1100" s="204"/>
      <c r="Q1100" s="142"/>
      <c r="T1100" s="201"/>
      <c r="Z1100" s="151"/>
      <c r="AB1100" s="64"/>
      <c r="AC1100" s="64"/>
      <c r="AD1100" s="64"/>
      <c r="AE1100" s="64"/>
      <c r="AF1100" s="64"/>
      <c r="AG1100" s="64"/>
      <c r="AH1100" s="64"/>
      <c r="AI1100" s="143"/>
      <c r="AJ1100" s="134"/>
      <c r="AK1100" s="194"/>
      <c r="AL1100" s="90"/>
    </row>
    <row r="1101" spans="1:38" ht="17.100000000000001" customHeight="1" x14ac:dyDescent="0.25">
      <c r="A1101" s="197"/>
      <c r="G1101" s="88"/>
      <c r="H1101" s="182"/>
      <c r="L1101" s="24"/>
      <c r="M1101" s="24"/>
      <c r="N1101" s="186"/>
      <c r="O1101" s="190"/>
      <c r="P1101" s="204"/>
      <c r="Q1101" s="142"/>
      <c r="T1101" s="201"/>
      <c r="Z1101" s="151"/>
      <c r="AB1101" s="64"/>
      <c r="AC1101" s="64"/>
      <c r="AD1101" s="64"/>
      <c r="AE1101" s="64"/>
      <c r="AF1101" s="64"/>
      <c r="AG1101" s="64"/>
      <c r="AH1101" s="64"/>
      <c r="AI1101" s="143"/>
      <c r="AJ1101" s="134"/>
      <c r="AK1101" s="194"/>
      <c r="AL1101" s="90"/>
    </row>
    <row r="1102" spans="1:38" ht="17.100000000000001" customHeight="1" x14ac:dyDescent="0.25">
      <c r="A1102" s="197"/>
      <c r="G1102" s="88"/>
      <c r="H1102" s="182"/>
      <c r="L1102" s="24"/>
      <c r="M1102" s="24"/>
      <c r="N1102" s="186"/>
      <c r="O1102" s="190"/>
      <c r="P1102" s="204"/>
      <c r="Q1102" s="142"/>
      <c r="T1102" s="201"/>
      <c r="Z1102" s="151"/>
      <c r="AB1102" s="64"/>
      <c r="AC1102" s="64"/>
      <c r="AD1102" s="64"/>
      <c r="AE1102" s="64"/>
      <c r="AF1102" s="64"/>
      <c r="AG1102" s="64"/>
      <c r="AH1102" s="64"/>
      <c r="AI1102" s="143"/>
      <c r="AJ1102" s="134"/>
      <c r="AK1102" s="194"/>
      <c r="AL1102" s="90"/>
    </row>
    <row r="1103" spans="1:38" ht="17.100000000000001" customHeight="1" thickBot="1" x14ac:dyDescent="0.3">
      <c r="A1103" s="197"/>
      <c r="G1103" s="88"/>
      <c r="H1103" s="182"/>
      <c r="L1103" s="24"/>
      <c r="M1103" s="24"/>
      <c r="N1103" s="186"/>
      <c r="O1103" s="190"/>
      <c r="P1103" s="204"/>
      <c r="Q1103" s="142"/>
      <c r="T1103" s="201"/>
      <c r="Z1103" s="151"/>
      <c r="AB1103" s="64"/>
      <c r="AC1103" s="64"/>
      <c r="AD1103" s="64"/>
      <c r="AE1103" s="64"/>
      <c r="AF1103" s="64"/>
      <c r="AG1103" s="64"/>
      <c r="AH1103" s="64"/>
      <c r="AI1103" s="143"/>
      <c r="AJ1103" s="134"/>
      <c r="AK1103" s="194"/>
      <c r="AL1103" s="90"/>
    </row>
    <row r="1104" spans="1:38" ht="17.100000000000001" customHeight="1" x14ac:dyDescent="0.25">
      <c r="A1104" s="198"/>
      <c r="B1104" s="153"/>
      <c r="C1104" s="154"/>
      <c r="D1104" s="154"/>
      <c r="E1104" s="154"/>
      <c r="F1104" s="154"/>
      <c r="G1104" s="155"/>
      <c r="H1104" s="183"/>
      <c r="I1104" s="156"/>
      <c r="J1104" s="157"/>
      <c r="K1104" s="158"/>
      <c r="L1104" s="158"/>
      <c r="M1104" s="158"/>
      <c r="N1104" s="187"/>
      <c r="O1104" s="191"/>
      <c r="P1104" s="205"/>
      <c r="Q1104" s="159"/>
      <c r="R1104" s="160"/>
      <c r="S1104" s="158"/>
      <c r="T1104" s="202"/>
      <c r="U1104" s="161"/>
      <c r="V1104" s="156"/>
      <c r="W1104" s="162"/>
      <c r="X1104" s="156"/>
      <c r="Y1104" s="158"/>
      <c r="Z1104" s="163"/>
      <c r="AA1104" s="156"/>
      <c r="AB1104" s="164"/>
      <c r="AC1104" s="164"/>
      <c r="AD1104" s="164"/>
      <c r="AE1104" s="164"/>
      <c r="AF1104" s="164"/>
      <c r="AG1104" s="164"/>
      <c r="AH1104" s="164"/>
      <c r="AI1104" s="165"/>
      <c r="AJ1104" s="134"/>
      <c r="AK1104" s="195"/>
      <c r="AL1104" s="170"/>
    </row>
    <row r="1105" spans="1:38" ht="17.100000000000001" customHeight="1" x14ac:dyDescent="0.25">
      <c r="A1105" s="197"/>
      <c r="G1105" s="88"/>
      <c r="H1105" s="182"/>
      <c r="L1105" s="24"/>
      <c r="M1105" s="24"/>
      <c r="N1105" s="186"/>
      <c r="O1105" s="190"/>
      <c r="P1105" s="204"/>
      <c r="Q1105" s="142"/>
      <c r="T1105" s="201"/>
      <c r="Z1105" s="151"/>
      <c r="AB1105" s="64"/>
      <c r="AC1105" s="64"/>
      <c r="AD1105" s="64"/>
      <c r="AE1105" s="64"/>
      <c r="AF1105" s="64"/>
      <c r="AG1105" s="64"/>
      <c r="AH1105" s="64"/>
      <c r="AI1105" s="143"/>
      <c r="AJ1105" s="134"/>
      <c r="AK1105" s="194"/>
      <c r="AL1105" s="90"/>
    </row>
    <row r="1106" spans="1:38" ht="17.100000000000001" customHeight="1" x14ac:dyDescent="0.25">
      <c r="A1106" s="197"/>
      <c r="G1106" s="88"/>
      <c r="H1106" s="182"/>
      <c r="L1106" s="24"/>
      <c r="M1106" s="24"/>
      <c r="N1106" s="186"/>
      <c r="O1106" s="190"/>
      <c r="P1106" s="204"/>
      <c r="Q1106" s="142"/>
      <c r="T1106" s="201"/>
      <c r="Z1106" s="151"/>
      <c r="AB1106" s="64"/>
      <c r="AC1106" s="64"/>
      <c r="AD1106" s="64"/>
      <c r="AE1106" s="64"/>
      <c r="AF1106" s="64"/>
      <c r="AG1106" s="64"/>
      <c r="AH1106" s="64"/>
      <c r="AI1106" s="143"/>
      <c r="AJ1106" s="134"/>
      <c r="AK1106" s="194"/>
      <c r="AL1106" s="90"/>
    </row>
    <row r="1107" spans="1:38" ht="17.100000000000001" customHeight="1" x14ac:dyDescent="0.25">
      <c r="A1107" s="197"/>
      <c r="G1107" s="88"/>
      <c r="H1107" s="182"/>
      <c r="L1107" s="24"/>
      <c r="M1107" s="24"/>
      <c r="N1107" s="186"/>
      <c r="O1107" s="190"/>
      <c r="P1107" s="204"/>
      <c r="Q1107" s="142"/>
      <c r="T1107" s="201"/>
      <c r="Z1107" s="151"/>
      <c r="AB1107" s="64"/>
      <c r="AC1107" s="64"/>
      <c r="AD1107" s="64"/>
      <c r="AE1107" s="64"/>
      <c r="AF1107" s="64"/>
      <c r="AG1107" s="64"/>
      <c r="AH1107" s="64"/>
      <c r="AI1107" s="143"/>
      <c r="AJ1107" s="134"/>
      <c r="AK1107" s="194"/>
      <c r="AL1107" s="90"/>
    </row>
    <row r="1108" spans="1:38" ht="17.100000000000001" customHeight="1" x14ac:dyDescent="0.25">
      <c r="A1108" s="197"/>
      <c r="G1108" s="88"/>
      <c r="H1108" s="182"/>
      <c r="L1108" s="24"/>
      <c r="M1108" s="24"/>
      <c r="N1108" s="186"/>
      <c r="O1108" s="190"/>
      <c r="P1108" s="204"/>
      <c r="Q1108" s="142"/>
      <c r="T1108" s="201"/>
      <c r="Z1108" s="151"/>
      <c r="AB1108" s="64"/>
      <c r="AC1108" s="64"/>
      <c r="AD1108" s="64"/>
      <c r="AE1108" s="64"/>
      <c r="AF1108" s="64"/>
      <c r="AG1108" s="64"/>
      <c r="AH1108" s="64"/>
      <c r="AI1108" s="143"/>
      <c r="AJ1108" s="134"/>
      <c r="AK1108" s="194"/>
      <c r="AL1108" s="90"/>
    </row>
    <row r="1109" spans="1:38" ht="17.100000000000001" customHeight="1" x14ac:dyDescent="0.25">
      <c r="A1109" s="197"/>
      <c r="G1109" s="88"/>
      <c r="H1109" s="182"/>
      <c r="L1109" s="24"/>
      <c r="M1109" s="24"/>
      <c r="N1109" s="186"/>
      <c r="O1109" s="190"/>
      <c r="P1109" s="204"/>
      <c r="Q1109" s="142"/>
      <c r="T1109" s="201"/>
      <c r="Z1109" s="151"/>
      <c r="AB1109" s="64"/>
      <c r="AC1109" s="64"/>
      <c r="AD1109" s="64"/>
      <c r="AE1109" s="64"/>
      <c r="AF1109" s="64"/>
      <c r="AG1109" s="64"/>
      <c r="AH1109" s="64"/>
      <c r="AI1109" s="143"/>
      <c r="AJ1109" s="134"/>
      <c r="AK1109" s="194"/>
      <c r="AL1109" s="90"/>
    </row>
    <row r="1110" spans="1:38" ht="17.100000000000001" customHeight="1" x14ac:dyDescent="0.25">
      <c r="A1110" s="197"/>
      <c r="G1110" s="88"/>
      <c r="H1110" s="182"/>
      <c r="L1110" s="24"/>
      <c r="M1110" s="24"/>
      <c r="N1110" s="186"/>
      <c r="O1110" s="190"/>
      <c r="P1110" s="204"/>
      <c r="Q1110" s="142"/>
      <c r="T1110" s="201"/>
      <c r="Z1110" s="151"/>
      <c r="AB1110" s="64"/>
      <c r="AC1110" s="64"/>
      <c r="AD1110" s="64"/>
      <c r="AE1110" s="64"/>
      <c r="AF1110" s="64"/>
      <c r="AG1110" s="64"/>
      <c r="AH1110" s="64"/>
      <c r="AI1110" s="143"/>
      <c r="AJ1110" s="134"/>
      <c r="AK1110" s="194"/>
      <c r="AL1110" s="90"/>
    </row>
    <row r="1111" spans="1:38" ht="17.100000000000001" customHeight="1" x14ac:dyDescent="0.25">
      <c r="A1111" s="197"/>
      <c r="G1111" s="88"/>
      <c r="H1111" s="182"/>
      <c r="L1111" s="24"/>
      <c r="M1111" s="24"/>
      <c r="N1111" s="186"/>
      <c r="O1111" s="190"/>
      <c r="P1111" s="204"/>
      <c r="Q1111" s="142"/>
      <c r="T1111" s="201"/>
      <c r="Z1111" s="151"/>
      <c r="AB1111" s="64"/>
      <c r="AC1111" s="64"/>
      <c r="AD1111" s="64"/>
      <c r="AE1111" s="64"/>
      <c r="AF1111" s="64"/>
      <c r="AG1111" s="64"/>
      <c r="AH1111" s="64"/>
      <c r="AI1111" s="143"/>
      <c r="AJ1111" s="134"/>
      <c r="AK1111" s="194"/>
      <c r="AL1111" s="90"/>
    </row>
    <row r="1112" spans="1:38" ht="17.100000000000001" customHeight="1" x14ac:dyDescent="0.25">
      <c r="A1112" s="197"/>
      <c r="G1112" s="88"/>
      <c r="H1112" s="182"/>
      <c r="L1112" s="24"/>
      <c r="M1112" s="24"/>
      <c r="N1112" s="186"/>
      <c r="O1112" s="190"/>
      <c r="P1112" s="204"/>
      <c r="Q1112" s="142"/>
      <c r="T1112" s="201"/>
      <c r="Z1112" s="151"/>
      <c r="AB1112" s="64"/>
      <c r="AC1112" s="64"/>
      <c r="AD1112" s="64"/>
      <c r="AE1112" s="64"/>
      <c r="AF1112" s="64"/>
      <c r="AG1112" s="64"/>
      <c r="AH1112" s="64"/>
      <c r="AI1112" s="143"/>
      <c r="AJ1112" s="134"/>
      <c r="AK1112" s="194"/>
      <c r="AL1112" s="90"/>
    </row>
    <row r="1113" spans="1:38" ht="17.100000000000001" customHeight="1" x14ac:dyDescent="0.25">
      <c r="A1113" s="197"/>
      <c r="G1113" s="88"/>
      <c r="H1113" s="182"/>
      <c r="L1113" s="24"/>
      <c r="M1113" s="24"/>
      <c r="N1113" s="186"/>
      <c r="O1113" s="190"/>
      <c r="P1113" s="204"/>
      <c r="Q1113" s="142"/>
      <c r="T1113" s="201"/>
      <c r="Z1113" s="151"/>
      <c r="AB1113" s="64"/>
      <c r="AC1113" s="64"/>
      <c r="AD1113" s="64"/>
      <c r="AE1113" s="64"/>
      <c r="AF1113" s="64"/>
      <c r="AG1113" s="64"/>
      <c r="AH1113" s="64"/>
      <c r="AI1113" s="143"/>
      <c r="AJ1113" s="134"/>
      <c r="AK1113" s="194"/>
      <c r="AL1113" s="90"/>
    </row>
    <row r="1114" spans="1:38" ht="17.100000000000001" customHeight="1" x14ac:dyDescent="0.25">
      <c r="A1114" s="197"/>
      <c r="G1114" s="88"/>
      <c r="H1114" s="182"/>
      <c r="L1114" s="24"/>
      <c r="M1114" s="24"/>
      <c r="N1114" s="186"/>
      <c r="O1114" s="190"/>
      <c r="P1114" s="204"/>
      <c r="Q1114" s="142"/>
      <c r="T1114" s="201"/>
      <c r="Z1114" s="151"/>
      <c r="AB1114" s="64"/>
      <c r="AC1114" s="64"/>
      <c r="AD1114" s="64"/>
      <c r="AE1114" s="64"/>
      <c r="AF1114" s="64"/>
      <c r="AG1114" s="64"/>
      <c r="AH1114" s="64"/>
      <c r="AI1114" s="143"/>
      <c r="AJ1114" s="134"/>
      <c r="AK1114" s="194"/>
      <c r="AL1114" s="90"/>
    </row>
    <row r="1115" spans="1:38" ht="17.100000000000001" customHeight="1" x14ac:dyDescent="0.25">
      <c r="A1115" s="197"/>
      <c r="G1115" s="88"/>
      <c r="H1115" s="182"/>
      <c r="L1115" s="24"/>
      <c r="M1115" s="24"/>
      <c r="N1115" s="186"/>
      <c r="O1115" s="190"/>
      <c r="P1115" s="204"/>
      <c r="Q1115" s="142"/>
      <c r="T1115" s="201"/>
      <c r="Z1115" s="151"/>
      <c r="AB1115" s="64"/>
      <c r="AC1115" s="64"/>
      <c r="AD1115" s="64"/>
      <c r="AE1115" s="64"/>
      <c r="AF1115" s="64"/>
      <c r="AG1115" s="64"/>
      <c r="AH1115" s="64"/>
      <c r="AI1115" s="143"/>
      <c r="AJ1115" s="134"/>
      <c r="AK1115" s="194"/>
      <c r="AL1115" s="90"/>
    </row>
    <row r="1116" spans="1:38" ht="17.100000000000001" customHeight="1" x14ac:dyDescent="0.25">
      <c r="A1116" s="197"/>
      <c r="G1116" s="88"/>
      <c r="H1116" s="182"/>
      <c r="L1116" s="24"/>
      <c r="M1116" s="24"/>
      <c r="N1116" s="186"/>
      <c r="O1116" s="190"/>
      <c r="P1116" s="204"/>
      <c r="Q1116" s="142"/>
      <c r="T1116" s="201"/>
      <c r="Z1116" s="151"/>
      <c r="AB1116" s="64"/>
      <c r="AC1116" s="64"/>
      <c r="AD1116" s="64"/>
      <c r="AE1116" s="64"/>
      <c r="AF1116" s="64"/>
      <c r="AG1116" s="64"/>
      <c r="AH1116" s="64"/>
      <c r="AI1116" s="143"/>
      <c r="AJ1116" s="134"/>
      <c r="AK1116" s="194"/>
      <c r="AL1116" s="90"/>
    </row>
    <row r="1117" spans="1:38" ht="17.100000000000001" customHeight="1" x14ac:dyDescent="0.25">
      <c r="A1117" s="197"/>
      <c r="G1117" s="88"/>
      <c r="H1117" s="182"/>
      <c r="L1117" s="24"/>
      <c r="M1117" s="24"/>
      <c r="N1117" s="186"/>
      <c r="O1117" s="190"/>
      <c r="P1117" s="204"/>
      <c r="Q1117" s="142"/>
      <c r="T1117" s="201"/>
      <c r="Z1117" s="151"/>
      <c r="AB1117" s="64"/>
      <c r="AC1117" s="64"/>
      <c r="AD1117" s="64"/>
      <c r="AE1117" s="64"/>
      <c r="AF1117" s="64"/>
      <c r="AG1117" s="64"/>
      <c r="AH1117" s="64"/>
      <c r="AI1117" s="143"/>
      <c r="AJ1117" s="134"/>
      <c r="AK1117" s="194"/>
      <c r="AL1117" s="90"/>
    </row>
    <row r="1118" spans="1:38" ht="17.100000000000001" customHeight="1" x14ac:dyDescent="0.25">
      <c r="A1118" s="197"/>
      <c r="G1118" s="88"/>
      <c r="H1118" s="182"/>
      <c r="L1118" s="24"/>
      <c r="M1118" s="24"/>
      <c r="N1118" s="186"/>
      <c r="O1118" s="190"/>
      <c r="P1118" s="204"/>
      <c r="Q1118" s="142"/>
      <c r="T1118" s="201"/>
      <c r="Z1118" s="151"/>
      <c r="AB1118" s="64"/>
      <c r="AC1118" s="64"/>
      <c r="AD1118" s="64"/>
      <c r="AE1118" s="64"/>
      <c r="AF1118" s="64"/>
      <c r="AG1118" s="64"/>
      <c r="AH1118" s="64"/>
      <c r="AI1118" s="143"/>
      <c r="AJ1118" s="134"/>
      <c r="AK1118" s="194"/>
      <c r="AL1118" s="90"/>
    </row>
    <row r="1119" spans="1:38" ht="17.100000000000001" customHeight="1" x14ac:dyDescent="0.25">
      <c r="A1119" s="197"/>
      <c r="G1119" s="88"/>
      <c r="H1119" s="182"/>
      <c r="L1119" s="24"/>
      <c r="M1119" s="24"/>
      <c r="N1119" s="186"/>
      <c r="O1119" s="190"/>
      <c r="P1119" s="204"/>
      <c r="Q1119" s="142"/>
      <c r="T1119" s="201"/>
      <c r="Z1119" s="151"/>
      <c r="AB1119" s="64"/>
      <c r="AC1119" s="64"/>
      <c r="AD1119" s="64"/>
      <c r="AE1119" s="64"/>
      <c r="AF1119" s="64"/>
      <c r="AG1119" s="64"/>
      <c r="AH1119" s="64"/>
      <c r="AI1119" s="143"/>
      <c r="AJ1119" s="134"/>
      <c r="AK1119" s="194"/>
      <c r="AL1119" s="90"/>
    </row>
    <row r="1120" spans="1:38" ht="17.100000000000001" customHeight="1" x14ac:dyDescent="0.25">
      <c r="A1120" s="197"/>
      <c r="G1120" s="88"/>
      <c r="H1120" s="182"/>
      <c r="L1120" s="24"/>
      <c r="M1120" s="24"/>
      <c r="N1120" s="186"/>
      <c r="O1120" s="190"/>
      <c r="P1120" s="204"/>
      <c r="Q1120" s="142"/>
      <c r="T1120" s="201"/>
      <c r="Z1120" s="151"/>
      <c r="AB1120" s="64"/>
      <c r="AC1120" s="64"/>
      <c r="AD1120" s="64"/>
      <c r="AE1120" s="64"/>
      <c r="AF1120" s="64"/>
      <c r="AG1120" s="64"/>
      <c r="AH1120" s="64"/>
      <c r="AI1120" s="143"/>
      <c r="AJ1120" s="134"/>
      <c r="AK1120" s="194"/>
      <c r="AL1120" s="90"/>
    </row>
    <row r="1121" spans="1:38" ht="17.100000000000001" customHeight="1" x14ac:dyDescent="0.25">
      <c r="A1121" s="197"/>
      <c r="G1121" s="88"/>
      <c r="H1121" s="182"/>
      <c r="L1121" s="24"/>
      <c r="M1121" s="24"/>
      <c r="N1121" s="186"/>
      <c r="O1121" s="190"/>
      <c r="P1121" s="204"/>
      <c r="Q1121" s="142"/>
      <c r="T1121" s="201"/>
      <c r="Z1121" s="151"/>
      <c r="AB1121" s="64"/>
      <c r="AC1121" s="64"/>
      <c r="AD1121" s="64"/>
      <c r="AE1121" s="64"/>
      <c r="AF1121" s="64"/>
      <c r="AG1121" s="64"/>
      <c r="AH1121" s="64"/>
      <c r="AI1121" s="143"/>
      <c r="AJ1121" s="134"/>
      <c r="AK1121" s="194"/>
      <c r="AL1121" s="90"/>
    </row>
    <row r="1122" spans="1:38" ht="17.100000000000001" customHeight="1" x14ac:dyDescent="0.25">
      <c r="A1122" s="197"/>
      <c r="G1122" s="88"/>
      <c r="H1122" s="182"/>
      <c r="L1122" s="24"/>
      <c r="M1122" s="24"/>
      <c r="N1122" s="186"/>
      <c r="O1122" s="190"/>
      <c r="P1122" s="204"/>
      <c r="Q1122" s="142"/>
      <c r="T1122" s="201"/>
      <c r="Z1122" s="151"/>
      <c r="AB1122" s="64"/>
      <c r="AC1122" s="64"/>
      <c r="AD1122" s="64"/>
      <c r="AE1122" s="64"/>
      <c r="AF1122" s="64"/>
      <c r="AG1122" s="64"/>
      <c r="AH1122" s="64"/>
      <c r="AI1122" s="143"/>
      <c r="AJ1122" s="134"/>
      <c r="AK1122" s="194"/>
      <c r="AL1122" s="90"/>
    </row>
    <row r="1123" spans="1:38" ht="17.100000000000001" customHeight="1" x14ac:dyDescent="0.25">
      <c r="A1123" s="197"/>
      <c r="G1123" s="88"/>
      <c r="H1123" s="182"/>
      <c r="L1123" s="24"/>
      <c r="M1123" s="24"/>
      <c r="N1123" s="186"/>
      <c r="O1123" s="190"/>
      <c r="P1123" s="204"/>
      <c r="Q1123" s="142"/>
      <c r="T1123" s="201"/>
      <c r="Z1123" s="151"/>
      <c r="AB1123" s="64"/>
      <c r="AC1123" s="64"/>
      <c r="AD1123" s="64"/>
      <c r="AE1123" s="64"/>
      <c r="AF1123" s="64"/>
      <c r="AG1123" s="64"/>
      <c r="AH1123" s="64"/>
      <c r="AI1123" s="143"/>
      <c r="AJ1123" s="134"/>
      <c r="AK1123" s="194"/>
      <c r="AL1123" s="90"/>
    </row>
    <row r="1124" spans="1:38" ht="17.100000000000001" customHeight="1" thickBot="1" x14ac:dyDescent="0.3">
      <c r="A1124" s="197"/>
      <c r="G1124" s="88"/>
      <c r="H1124" s="182"/>
      <c r="L1124" s="24"/>
      <c r="M1124" s="24"/>
      <c r="N1124" s="186"/>
      <c r="O1124" s="190"/>
      <c r="P1124" s="204"/>
      <c r="Q1124" s="142"/>
      <c r="T1124" s="201"/>
      <c r="Z1124" s="151"/>
      <c r="AB1124" s="64"/>
      <c r="AC1124" s="64"/>
      <c r="AD1124" s="64"/>
      <c r="AE1124" s="64"/>
      <c r="AF1124" s="64"/>
      <c r="AG1124" s="64"/>
      <c r="AH1124" s="64"/>
      <c r="AI1124" s="143"/>
      <c r="AJ1124" s="134"/>
      <c r="AK1124" s="194"/>
      <c r="AL1124" s="90"/>
    </row>
    <row r="1125" spans="1:38" ht="17.100000000000001" customHeight="1" x14ac:dyDescent="0.25">
      <c r="A1125" s="198"/>
      <c r="B1125" s="153"/>
      <c r="C1125" s="154"/>
      <c r="D1125" s="154"/>
      <c r="E1125" s="154"/>
      <c r="F1125" s="154"/>
      <c r="G1125" s="155"/>
      <c r="H1125" s="183"/>
      <c r="I1125" s="156"/>
      <c r="J1125" s="157"/>
      <c r="K1125" s="158"/>
      <c r="L1125" s="158"/>
      <c r="M1125" s="158"/>
      <c r="N1125" s="187"/>
      <c r="O1125" s="191"/>
      <c r="P1125" s="205"/>
      <c r="Q1125" s="159"/>
      <c r="R1125" s="160"/>
      <c r="S1125" s="158"/>
      <c r="T1125" s="202"/>
      <c r="U1125" s="161"/>
      <c r="V1125" s="156"/>
      <c r="W1125" s="162"/>
      <c r="X1125" s="156"/>
      <c r="Y1125" s="158"/>
      <c r="Z1125" s="163"/>
      <c r="AA1125" s="156"/>
      <c r="AB1125" s="164"/>
      <c r="AC1125" s="164"/>
      <c r="AD1125" s="164"/>
      <c r="AE1125" s="164"/>
      <c r="AF1125" s="164"/>
      <c r="AG1125" s="164"/>
      <c r="AH1125" s="164"/>
      <c r="AI1125" s="165"/>
      <c r="AJ1125" s="134"/>
      <c r="AK1125" s="195"/>
      <c r="AL1125" s="170"/>
    </row>
    <row r="1126" spans="1:38" ht="17.100000000000001" customHeight="1" x14ac:dyDescent="0.25">
      <c r="A1126" s="197"/>
      <c r="G1126" s="88"/>
      <c r="H1126" s="182"/>
      <c r="L1126" s="24"/>
      <c r="M1126" s="24"/>
      <c r="N1126" s="186"/>
      <c r="O1126" s="190"/>
      <c r="P1126" s="207"/>
      <c r="Q1126" s="142"/>
      <c r="T1126" s="201"/>
      <c r="Z1126" s="151"/>
      <c r="AB1126" s="64"/>
      <c r="AC1126" s="64"/>
      <c r="AD1126" s="64"/>
      <c r="AE1126" s="64"/>
      <c r="AF1126" s="64"/>
      <c r="AG1126" s="64"/>
      <c r="AH1126" s="64"/>
      <c r="AI1126" s="143"/>
      <c r="AJ1126" s="134"/>
      <c r="AK1126" s="194"/>
      <c r="AL1126" s="90"/>
    </row>
    <row r="1127" spans="1:38" ht="17.100000000000001" customHeight="1" x14ac:dyDescent="0.25">
      <c r="A1127" s="197"/>
      <c r="G1127" s="88"/>
      <c r="H1127" s="182"/>
      <c r="L1127" s="24"/>
      <c r="M1127" s="24"/>
      <c r="N1127" s="186"/>
      <c r="O1127" s="190"/>
      <c r="P1127" s="207"/>
      <c r="Q1127" s="142"/>
      <c r="T1127" s="201"/>
      <c r="Z1127" s="151"/>
      <c r="AB1127" s="64"/>
      <c r="AC1127" s="64"/>
      <c r="AD1127" s="64"/>
      <c r="AE1127" s="64"/>
      <c r="AF1127" s="64"/>
      <c r="AG1127" s="64"/>
      <c r="AH1127" s="64"/>
      <c r="AI1127" s="143"/>
      <c r="AJ1127" s="134"/>
      <c r="AK1127" s="194"/>
      <c r="AL1127" s="90"/>
    </row>
    <row r="1128" spans="1:38" ht="17.100000000000001" customHeight="1" x14ac:dyDescent="0.25">
      <c r="A1128" s="197"/>
      <c r="G1128" s="88"/>
      <c r="H1128" s="182"/>
      <c r="L1128" s="24"/>
      <c r="M1128" s="24"/>
      <c r="N1128" s="186"/>
      <c r="O1128" s="190"/>
      <c r="P1128" s="207"/>
      <c r="Q1128" s="142"/>
      <c r="T1128" s="201"/>
      <c r="Z1128" s="151"/>
      <c r="AB1128" s="64"/>
      <c r="AC1128" s="64"/>
      <c r="AD1128" s="64"/>
      <c r="AE1128" s="64"/>
      <c r="AF1128" s="64"/>
      <c r="AG1128" s="64"/>
      <c r="AH1128" s="64"/>
      <c r="AI1128" s="143"/>
      <c r="AJ1128" s="134"/>
      <c r="AK1128" s="194"/>
      <c r="AL1128" s="90"/>
    </row>
    <row r="1129" spans="1:38" ht="17.100000000000001" customHeight="1" x14ac:dyDescent="0.25">
      <c r="A1129" s="197"/>
      <c r="G1129" s="88"/>
      <c r="H1129" s="182"/>
      <c r="L1129" s="24"/>
      <c r="M1129" s="24"/>
      <c r="N1129" s="186"/>
      <c r="O1129" s="190"/>
      <c r="P1129" s="207"/>
      <c r="Q1129" s="142"/>
      <c r="T1129" s="201"/>
      <c r="Z1129" s="151"/>
      <c r="AB1129" s="64"/>
      <c r="AC1129" s="64"/>
      <c r="AD1129" s="64"/>
      <c r="AE1129" s="64"/>
      <c r="AF1129" s="64"/>
      <c r="AG1129" s="64"/>
      <c r="AH1129" s="64"/>
      <c r="AI1129" s="143"/>
      <c r="AJ1129" s="134"/>
      <c r="AK1129" s="194"/>
      <c r="AL1129" s="90"/>
    </row>
    <row r="1130" spans="1:38" ht="17.100000000000001" customHeight="1" x14ac:dyDescent="0.25">
      <c r="A1130" s="197"/>
      <c r="G1130" s="88"/>
      <c r="H1130" s="182"/>
      <c r="L1130" s="24"/>
      <c r="M1130" s="24"/>
      <c r="N1130" s="186"/>
      <c r="O1130" s="190"/>
      <c r="P1130" s="207"/>
      <c r="Q1130" s="142"/>
      <c r="T1130" s="201"/>
      <c r="Z1130" s="151"/>
      <c r="AB1130" s="64"/>
      <c r="AC1130" s="64"/>
      <c r="AD1130" s="64"/>
      <c r="AE1130" s="64"/>
      <c r="AF1130" s="64"/>
      <c r="AG1130" s="64"/>
      <c r="AH1130" s="64"/>
      <c r="AI1130" s="143"/>
      <c r="AJ1130" s="134"/>
      <c r="AK1130" s="194"/>
      <c r="AL1130" s="90"/>
    </row>
    <row r="1131" spans="1:38" ht="17.100000000000001" customHeight="1" x14ac:dyDescent="0.25">
      <c r="A1131" s="197"/>
      <c r="G1131" s="88"/>
      <c r="H1131" s="182"/>
      <c r="L1131" s="24"/>
      <c r="M1131" s="24"/>
      <c r="N1131" s="186"/>
      <c r="O1131" s="190"/>
      <c r="P1131" s="207"/>
      <c r="Q1131" s="142"/>
      <c r="T1131" s="201"/>
      <c r="Z1131" s="151"/>
      <c r="AB1131" s="64"/>
      <c r="AC1131" s="64"/>
      <c r="AD1131" s="64"/>
      <c r="AE1131" s="64"/>
      <c r="AF1131" s="64"/>
      <c r="AG1131" s="64"/>
      <c r="AH1131" s="64"/>
      <c r="AI1131" s="143"/>
      <c r="AJ1131" s="134"/>
      <c r="AK1131" s="194"/>
      <c r="AL1131" s="90"/>
    </row>
    <row r="1132" spans="1:38" ht="17.100000000000001" customHeight="1" x14ac:dyDescent="0.25">
      <c r="A1132" s="197"/>
      <c r="G1132" s="88"/>
      <c r="H1132" s="182"/>
      <c r="L1132" s="24"/>
      <c r="M1132" s="24"/>
      <c r="N1132" s="186"/>
      <c r="O1132" s="190"/>
      <c r="P1132" s="207"/>
      <c r="Q1132" s="142"/>
      <c r="T1132" s="201"/>
      <c r="Z1132" s="151"/>
      <c r="AB1132" s="64"/>
      <c r="AC1132" s="64"/>
      <c r="AD1132" s="64"/>
      <c r="AE1132" s="64"/>
      <c r="AF1132" s="64"/>
      <c r="AG1132" s="64"/>
      <c r="AH1132" s="64"/>
      <c r="AI1132" s="143"/>
      <c r="AJ1132" s="134"/>
      <c r="AK1132" s="194"/>
      <c r="AL1132" s="90"/>
    </row>
    <row r="1133" spans="1:38" ht="17.100000000000001" customHeight="1" x14ac:dyDescent="0.25">
      <c r="A1133" s="197"/>
      <c r="G1133" s="88"/>
      <c r="H1133" s="182"/>
      <c r="L1133" s="24"/>
      <c r="M1133" s="24"/>
      <c r="N1133" s="186"/>
      <c r="O1133" s="190"/>
      <c r="P1133" s="207"/>
      <c r="Q1133" s="142"/>
      <c r="T1133" s="201"/>
      <c r="Z1133" s="151"/>
      <c r="AB1133" s="64"/>
      <c r="AC1133" s="64"/>
      <c r="AD1133" s="64"/>
      <c r="AE1133" s="64"/>
      <c r="AF1133" s="64"/>
      <c r="AG1133" s="64"/>
      <c r="AH1133" s="64"/>
      <c r="AI1133" s="143"/>
      <c r="AJ1133" s="134"/>
      <c r="AK1133" s="194"/>
      <c r="AL1133" s="90"/>
    </row>
    <row r="1134" spans="1:38" ht="17.100000000000001" customHeight="1" x14ac:dyDescent="0.25">
      <c r="A1134" s="197"/>
      <c r="G1134" s="88"/>
      <c r="H1134" s="182"/>
      <c r="L1134" s="24"/>
      <c r="M1134" s="24"/>
      <c r="N1134" s="186"/>
      <c r="O1134" s="190"/>
      <c r="P1134" s="207"/>
      <c r="Q1134" s="142"/>
      <c r="T1134" s="201"/>
      <c r="Z1134" s="151"/>
      <c r="AB1134" s="64"/>
      <c r="AC1134" s="64"/>
      <c r="AD1134" s="64"/>
      <c r="AE1134" s="64"/>
      <c r="AF1134" s="64"/>
      <c r="AG1134" s="64"/>
      <c r="AH1134" s="64"/>
      <c r="AI1134" s="143"/>
      <c r="AJ1134" s="134"/>
      <c r="AK1134" s="194"/>
      <c r="AL1134" s="90"/>
    </row>
    <row r="1135" spans="1:38" ht="17.100000000000001" customHeight="1" x14ac:dyDescent="0.25">
      <c r="A1135" s="197"/>
      <c r="G1135" s="88"/>
      <c r="H1135" s="182"/>
      <c r="L1135" s="24"/>
      <c r="M1135" s="24"/>
      <c r="N1135" s="186"/>
      <c r="O1135" s="190"/>
      <c r="P1135" s="207"/>
      <c r="Q1135" s="142"/>
      <c r="T1135" s="201"/>
      <c r="Z1135" s="151"/>
      <c r="AB1135" s="64"/>
      <c r="AC1135" s="64"/>
      <c r="AD1135" s="64"/>
      <c r="AE1135" s="64"/>
      <c r="AF1135" s="64"/>
      <c r="AG1135" s="64"/>
      <c r="AH1135" s="64"/>
      <c r="AI1135" s="143"/>
      <c r="AJ1135" s="134"/>
      <c r="AK1135" s="194"/>
      <c r="AL1135" s="90"/>
    </row>
    <row r="1136" spans="1:38" ht="17.100000000000001" customHeight="1" x14ac:dyDescent="0.25">
      <c r="A1136" s="197"/>
      <c r="G1136" s="88"/>
      <c r="H1136" s="182"/>
      <c r="L1136" s="24"/>
      <c r="M1136" s="24"/>
      <c r="N1136" s="186"/>
      <c r="O1136" s="190"/>
      <c r="P1136" s="207"/>
      <c r="Q1136" s="142"/>
      <c r="T1136" s="201"/>
      <c r="Z1136" s="151"/>
      <c r="AB1136" s="64"/>
      <c r="AC1136" s="64"/>
      <c r="AD1136" s="64"/>
      <c r="AE1136" s="64"/>
      <c r="AF1136" s="64"/>
      <c r="AG1136" s="64"/>
      <c r="AH1136" s="64"/>
      <c r="AI1136" s="143"/>
      <c r="AJ1136" s="134"/>
      <c r="AK1136" s="194"/>
      <c r="AL1136" s="90"/>
    </row>
    <row r="1137" spans="1:38" ht="17.100000000000001" customHeight="1" x14ac:dyDescent="0.25">
      <c r="A1137" s="197"/>
      <c r="G1137" s="88"/>
      <c r="H1137" s="182"/>
      <c r="L1137" s="24"/>
      <c r="M1137" s="24"/>
      <c r="N1137" s="186"/>
      <c r="O1137" s="190"/>
      <c r="P1137" s="207"/>
      <c r="Q1137" s="142"/>
      <c r="T1137" s="201"/>
      <c r="Z1137" s="151"/>
      <c r="AB1137" s="64"/>
      <c r="AC1137" s="64"/>
      <c r="AD1137" s="64"/>
      <c r="AE1137" s="64"/>
      <c r="AF1137" s="64"/>
      <c r="AG1137" s="64"/>
      <c r="AH1137" s="64"/>
      <c r="AI1137" s="143"/>
      <c r="AJ1137" s="134"/>
      <c r="AK1137" s="194"/>
      <c r="AL1137" s="90"/>
    </row>
    <row r="1138" spans="1:38" ht="17.100000000000001" customHeight="1" x14ac:dyDescent="0.25">
      <c r="A1138" s="197"/>
      <c r="G1138" s="88"/>
      <c r="H1138" s="182"/>
      <c r="L1138" s="24"/>
      <c r="M1138" s="24"/>
      <c r="N1138" s="186"/>
      <c r="O1138" s="190"/>
      <c r="P1138" s="207"/>
      <c r="Q1138" s="142"/>
      <c r="T1138" s="201"/>
      <c r="Z1138" s="151"/>
      <c r="AB1138" s="64"/>
      <c r="AC1138" s="64"/>
      <c r="AD1138" s="64"/>
      <c r="AE1138" s="64"/>
      <c r="AF1138" s="64"/>
      <c r="AG1138" s="64"/>
      <c r="AH1138" s="64"/>
      <c r="AI1138" s="143"/>
      <c r="AJ1138" s="134"/>
      <c r="AK1138" s="194"/>
      <c r="AL1138" s="90"/>
    </row>
    <row r="1139" spans="1:38" ht="17.100000000000001" customHeight="1" x14ac:dyDescent="0.25">
      <c r="A1139" s="197"/>
      <c r="G1139" s="88"/>
      <c r="H1139" s="182"/>
      <c r="L1139" s="24"/>
      <c r="M1139" s="24"/>
      <c r="N1139" s="186"/>
      <c r="O1139" s="190"/>
      <c r="P1139" s="207"/>
      <c r="Q1139" s="142"/>
      <c r="T1139" s="201"/>
      <c r="Z1139" s="151"/>
      <c r="AB1139" s="64"/>
      <c r="AC1139" s="64"/>
      <c r="AD1139" s="64"/>
      <c r="AE1139" s="64"/>
      <c r="AF1139" s="64"/>
      <c r="AG1139" s="64"/>
      <c r="AH1139" s="64"/>
      <c r="AI1139" s="143"/>
      <c r="AJ1139" s="134"/>
      <c r="AK1139" s="194"/>
      <c r="AL1139" s="90"/>
    </row>
    <row r="1140" spans="1:38" ht="17.100000000000001" customHeight="1" x14ac:dyDescent="0.25">
      <c r="A1140" s="197"/>
      <c r="G1140" s="88"/>
      <c r="H1140" s="182"/>
      <c r="L1140" s="24"/>
      <c r="M1140" s="24"/>
      <c r="N1140" s="186"/>
      <c r="O1140" s="190"/>
      <c r="P1140" s="207"/>
      <c r="Q1140" s="142"/>
      <c r="T1140" s="201"/>
      <c r="Z1140" s="151"/>
      <c r="AB1140" s="64"/>
      <c r="AC1140" s="64"/>
      <c r="AD1140" s="64"/>
      <c r="AE1140" s="64"/>
      <c r="AF1140" s="64"/>
      <c r="AG1140" s="64"/>
      <c r="AH1140" s="64"/>
      <c r="AI1140" s="143"/>
      <c r="AJ1140" s="134"/>
      <c r="AK1140" s="194"/>
      <c r="AL1140" s="90"/>
    </row>
    <row r="1141" spans="1:38" ht="17.100000000000001" customHeight="1" x14ac:dyDescent="0.25">
      <c r="A1141" s="197"/>
      <c r="G1141" s="88"/>
      <c r="H1141" s="182"/>
      <c r="L1141" s="24"/>
      <c r="M1141" s="24"/>
      <c r="N1141" s="186"/>
      <c r="O1141" s="190"/>
      <c r="P1141" s="207"/>
      <c r="Q1141" s="142"/>
      <c r="T1141" s="201"/>
      <c r="Z1141" s="151"/>
      <c r="AB1141" s="64"/>
      <c r="AC1141" s="64"/>
      <c r="AD1141" s="64"/>
      <c r="AE1141" s="64"/>
      <c r="AF1141" s="64"/>
      <c r="AG1141" s="64"/>
      <c r="AH1141" s="64"/>
      <c r="AI1141" s="143"/>
      <c r="AJ1141" s="134"/>
      <c r="AK1141" s="194"/>
      <c r="AL1141" s="90"/>
    </row>
    <row r="1142" spans="1:38" ht="17.100000000000001" customHeight="1" x14ac:dyDescent="0.25">
      <c r="A1142" s="197"/>
      <c r="G1142" s="88"/>
      <c r="H1142" s="182"/>
      <c r="L1142" s="24"/>
      <c r="M1142" s="24"/>
      <c r="N1142" s="186"/>
      <c r="O1142" s="190"/>
      <c r="P1142" s="207"/>
      <c r="Q1142" s="142"/>
      <c r="T1142" s="201"/>
      <c r="Z1142" s="151"/>
      <c r="AB1142" s="64"/>
      <c r="AC1142" s="64"/>
      <c r="AD1142" s="64"/>
      <c r="AE1142" s="64"/>
      <c r="AF1142" s="64"/>
      <c r="AG1142" s="64"/>
      <c r="AH1142" s="64"/>
      <c r="AI1142" s="143"/>
      <c r="AJ1142" s="134"/>
      <c r="AK1142" s="194"/>
      <c r="AL1142" s="90"/>
    </row>
    <row r="1143" spans="1:38" ht="17.100000000000001" customHeight="1" x14ac:dyDescent="0.25">
      <c r="A1143" s="197"/>
      <c r="G1143" s="88"/>
      <c r="H1143" s="182"/>
      <c r="L1143" s="24"/>
      <c r="M1143" s="24"/>
      <c r="N1143" s="186"/>
      <c r="O1143" s="190"/>
      <c r="P1143" s="207"/>
      <c r="Q1143" s="142"/>
      <c r="T1143" s="201"/>
      <c r="Z1143" s="151"/>
      <c r="AB1143" s="64"/>
      <c r="AC1143" s="64"/>
      <c r="AD1143" s="64"/>
      <c r="AE1143" s="64"/>
      <c r="AF1143" s="64"/>
      <c r="AG1143" s="64"/>
      <c r="AH1143" s="64"/>
      <c r="AI1143" s="143"/>
      <c r="AJ1143" s="134"/>
      <c r="AK1143" s="194"/>
      <c r="AL1143" s="90"/>
    </row>
    <row r="1144" spans="1:38" ht="17.100000000000001" customHeight="1" x14ac:dyDescent="0.25">
      <c r="A1144" s="197"/>
      <c r="G1144" s="88"/>
      <c r="H1144" s="182"/>
      <c r="L1144" s="24"/>
      <c r="M1144" s="24"/>
      <c r="N1144" s="186"/>
      <c r="O1144" s="190"/>
      <c r="P1144" s="207"/>
      <c r="Q1144" s="142"/>
      <c r="T1144" s="201"/>
      <c r="Z1144" s="151"/>
      <c r="AB1144" s="64"/>
      <c r="AC1144" s="64"/>
      <c r="AD1144" s="64"/>
      <c r="AE1144" s="64"/>
      <c r="AF1144" s="64"/>
      <c r="AG1144" s="64"/>
      <c r="AH1144" s="64"/>
      <c r="AI1144" s="143"/>
      <c r="AJ1144" s="134"/>
      <c r="AK1144" s="194"/>
      <c r="AL1144" s="90"/>
    </row>
    <row r="1145" spans="1:38" ht="17.100000000000001" customHeight="1" x14ac:dyDescent="0.25">
      <c r="A1145" s="197"/>
      <c r="G1145" s="88"/>
      <c r="H1145" s="182"/>
      <c r="L1145" s="24"/>
      <c r="M1145" s="24"/>
      <c r="N1145" s="186"/>
      <c r="O1145" s="190"/>
      <c r="P1145" s="207"/>
      <c r="Q1145" s="142"/>
      <c r="T1145" s="201"/>
      <c r="Z1145" s="151"/>
      <c r="AB1145" s="64"/>
      <c r="AC1145" s="64"/>
      <c r="AD1145" s="64"/>
      <c r="AE1145" s="64"/>
      <c r="AF1145" s="64"/>
      <c r="AG1145" s="64"/>
      <c r="AH1145" s="64"/>
      <c r="AI1145" s="143"/>
      <c r="AJ1145" s="134"/>
      <c r="AK1145" s="194"/>
      <c r="AL1145" s="90"/>
    </row>
    <row r="1146" spans="1:38" ht="17.100000000000001" customHeight="1" x14ac:dyDescent="0.25">
      <c r="A1146" s="197"/>
      <c r="G1146" s="88"/>
      <c r="H1146" s="182"/>
      <c r="L1146" s="24"/>
      <c r="M1146" s="24"/>
      <c r="N1146" s="186"/>
      <c r="O1146" s="190"/>
      <c r="P1146" s="207"/>
      <c r="Q1146" s="142"/>
      <c r="T1146" s="201"/>
      <c r="Z1146" s="151"/>
      <c r="AB1146" s="64"/>
      <c r="AC1146" s="64"/>
      <c r="AD1146" s="64"/>
      <c r="AE1146" s="64"/>
      <c r="AF1146" s="64"/>
      <c r="AG1146" s="64"/>
      <c r="AH1146" s="64"/>
      <c r="AI1146" s="143"/>
      <c r="AJ1146" s="134"/>
      <c r="AK1146" s="194"/>
      <c r="AL1146" s="90"/>
    </row>
    <row r="1147" spans="1:38" ht="17.100000000000001" customHeight="1" x14ac:dyDescent="0.25">
      <c r="A1147" s="197"/>
      <c r="G1147" s="88"/>
      <c r="H1147" s="182"/>
      <c r="L1147" s="24"/>
      <c r="M1147" s="24"/>
      <c r="N1147" s="186"/>
      <c r="O1147" s="190"/>
      <c r="P1147" s="207"/>
      <c r="Q1147" s="142"/>
      <c r="T1147" s="201"/>
      <c r="Z1147" s="151"/>
      <c r="AB1147" s="64"/>
      <c r="AC1147" s="64"/>
      <c r="AD1147" s="64"/>
      <c r="AE1147" s="64"/>
      <c r="AF1147" s="64"/>
      <c r="AG1147" s="64"/>
      <c r="AH1147" s="64"/>
      <c r="AI1147" s="143"/>
      <c r="AJ1147" s="134"/>
      <c r="AK1147" s="194"/>
      <c r="AL1147" s="90"/>
    </row>
    <row r="1148" spans="1:38" ht="17.100000000000001" customHeight="1" x14ac:dyDescent="0.25">
      <c r="A1148" s="197"/>
      <c r="G1148" s="88"/>
      <c r="H1148" s="182"/>
      <c r="L1148" s="24"/>
      <c r="M1148" s="24"/>
      <c r="N1148" s="186"/>
      <c r="O1148" s="190"/>
      <c r="P1148" s="207"/>
      <c r="Q1148" s="142"/>
      <c r="T1148" s="201"/>
      <c r="Z1148" s="151"/>
      <c r="AB1148" s="64"/>
      <c r="AC1148" s="64"/>
      <c r="AD1148" s="64"/>
      <c r="AE1148" s="64"/>
      <c r="AF1148" s="64"/>
      <c r="AG1148" s="64"/>
      <c r="AH1148" s="64"/>
      <c r="AI1148" s="143"/>
      <c r="AJ1148" s="134"/>
      <c r="AK1148" s="194"/>
      <c r="AL1148" s="90"/>
    </row>
    <row r="1149" spans="1:38" ht="17.100000000000001" customHeight="1" x14ac:dyDescent="0.25">
      <c r="A1149" s="197"/>
      <c r="G1149" s="88"/>
      <c r="H1149" s="182"/>
      <c r="L1149" s="24"/>
      <c r="M1149" s="24"/>
      <c r="N1149" s="186"/>
      <c r="O1149" s="190"/>
      <c r="P1149" s="207"/>
      <c r="Q1149" s="142"/>
      <c r="T1149" s="201"/>
      <c r="Z1149" s="151"/>
      <c r="AB1149" s="64"/>
      <c r="AC1149" s="64"/>
      <c r="AD1149" s="64"/>
      <c r="AE1149" s="64"/>
      <c r="AF1149" s="64"/>
      <c r="AG1149" s="64"/>
      <c r="AH1149" s="64"/>
      <c r="AI1149" s="143"/>
      <c r="AJ1149" s="134"/>
      <c r="AK1149" s="194"/>
      <c r="AL1149" s="90"/>
    </row>
    <row r="1150" spans="1:38" ht="17.100000000000001" customHeight="1" x14ac:dyDescent="0.25">
      <c r="A1150" s="197"/>
      <c r="G1150" s="88"/>
      <c r="H1150" s="182"/>
      <c r="L1150" s="24"/>
      <c r="M1150" s="24"/>
      <c r="N1150" s="186"/>
      <c r="O1150" s="190"/>
      <c r="P1150" s="207"/>
      <c r="Q1150" s="142"/>
      <c r="T1150" s="201"/>
      <c r="Z1150" s="151"/>
      <c r="AB1150" s="64"/>
      <c r="AC1150" s="64"/>
      <c r="AD1150" s="64"/>
      <c r="AE1150" s="64"/>
      <c r="AF1150" s="64"/>
      <c r="AG1150" s="64"/>
      <c r="AH1150" s="64"/>
      <c r="AI1150" s="143"/>
      <c r="AJ1150" s="134"/>
      <c r="AK1150" s="194"/>
      <c r="AL1150" s="90"/>
    </row>
    <row r="1151" spans="1:38" ht="17.100000000000001" customHeight="1" x14ac:dyDescent="0.25">
      <c r="A1151" s="197"/>
      <c r="G1151" s="88"/>
      <c r="H1151" s="182"/>
      <c r="L1151" s="24"/>
      <c r="M1151" s="24"/>
      <c r="N1151" s="186"/>
      <c r="O1151" s="190"/>
      <c r="P1151" s="207"/>
      <c r="Q1151" s="142"/>
      <c r="T1151" s="201"/>
      <c r="Z1151" s="151"/>
      <c r="AB1151" s="64"/>
      <c r="AC1151" s="64"/>
      <c r="AD1151" s="64"/>
      <c r="AE1151" s="64"/>
      <c r="AF1151" s="64"/>
      <c r="AG1151" s="64"/>
      <c r="AH1151" s="64"/>
      <c r="AI1151" s="143"/>
      <c r="AJ1151" s="134"/>
      <c r="AK1151" s="194"/>
      <c r="AL1151" s="90"/>
    </row>
    <row r="1152" spans="1:38" ht="17.100000000000001" customHeight="1" x14ac:dyDescent="0.25">
      <c r="A1152" s="197"/>
      <c r="G1152" s="88"/>
      <c r="H1152" s="182"/>
      <c r="L1152" s="24"/>
      <c r="M1152" s="24"/>
      <c r="N1152" s="186"/>
      <c r="O1152" s="190"/>
      <c r="P1152" s="207"/>
      <c r="Q1152" s="142"/>
      <c r="T1152" s="201"/>
      <c r="Z1152" s="151"/>
      <c r="AB1152" s="64"/>
      <c r="AC1152" s="64"/>
      <c r="AD1152" s="64"/>
      <c r="AE1152" s="64"/>
      <c r="AF1152" s="64"/>
      <c r="AG1152" s="64"/>
      <c r="AH1152" s="64"/>
      <c r="AI1152" s="143"/>
      <c r="AJ1152" s="134"/>
      <c r="AK1152" s="194"/>
      <c r="AL1152" s="90"/>
    </row>
    <row r="1153" spans="1:38" ht="17.100000000000001" customHeight="1" x14ac:dyDescent="0.25">
      <c r="A1153" s="197"/>
      <c r="G1153" s="88"/>
      <c r="H1153" s="182"/>
      <c r="L1153" s="24"/>
      <c r="M1153" s="24"/>
      <c r="N1153" s="186"/>
      <c r="O1153" s="190"/>
      <c r="P1153" s="207"/>
      <c r="Q1153" s="142"/>
      <c r="T1153" s="201"/>
      <c r="Z1153" s="151"/>
      <c r="AB1153" s="64"/>
      <c r="AC1153" s="64"/>
      <c r="AD1153" s="64"/>
      <c r="AE1153" s="64"/>
      <c r="AF1153" s="64"/>
      <c r="AG1153" s="64"/>
      <c r="AH1153" s="64"/>
      <c r="AI1153" s="143"/>
      <c r="AJ1153" s="134"/>
      <c r="AK1153" s="194"/>
      <c r="AL1153" s="90"/>
    </row>
    <row r="1154" spans="1:38" ht="17.100000000000001" customHeight="1" x14ac:dyDescent="0.25">
      <c r="A1154" s="197"/>
      <c r="G1154" s="88"/>
      <c r="H1154" s="182"/>
      <c r="L1154" s="24"/>
      <c r="M1154" s="24"/>
      <c r="N1154" s="186"/>
      <c r="O1154" s="190"/>
      <c r="P1154" s="207"/>
      <c r="Q1154" s="142"/>
      <c r="T1154" s="201"/>
      <c r="Z1154" s="151"/>
      <c r="AB1154" s="64"/>
      <c r="AC1154" s="64"/>
      <c r="AD1154" s="64"/>
      <c r="AE1154" s="64"/>
      <c r="AF1154" s="64"/>
      <c r="AG1154" s="64"/>
      <c r="AH1154" s="64"/>
      <c r="AI1154" s="143"/>
      <c r="AJ1154" s="134"/>
      <c r="AK1154" s="194"/>
      <c r="AL1154" s="90"/>
    </row>
    <row r="1155" spans="1:38" ht="17.100000000000001" customHeight="1" x14ac:dyDescent="0.25">
      <c r="A1155" s="197"/>
      <c r="G1155" s="88"/>
      <c r="H1155" s="182"/>
      <c r="L1155" s="24"/>
      <c r="M1155" s="24"/>
      <c r="N1155" s="186"/>
      <c r="O1155" s="190"/>
      <c r="P1155" s="207"/>
      <c r="Q1155" s="142"/>
      <c r="T1155" s="201"/>
      <c r="Z1155" s="151"/>
      <c r="AB1155" s="64"/>
      <c r="AC1155" s="64"/>
      <c r="AD1155" s="64"/>
      <c r="AE1155" s="64"/>
      <c r="AF1155" s="64"/>
      <c r="AG1155" s="64"/>
      <c r="AH1155" s="64"/>
      <c r="AI1155" s="143"/>
      <c r="AJ1155" s="134"/>
      <c r="AK1155" s="194"/>
      <c r="AL1155" s="90"/>
    </row>
    <row r="1156" spans="1:38" ht="17.100000000000001" customHeight="1" x14ac:dyDescent="0.25">
      <c r="A1156" s="197"/>
      <c r="G1156" s="88"/>
      <c r="H1156" s="182"/>
      <c r="L1156" s="24"/>
      <c r="M1156" s="24"/>
      <c r="N1156" s="186"/>
      <c r="O1156" s="190"/>
      <c r="P1156" s="207"/>
      <c r="Q1156" s="142"/>
      <c r="T1156" s="201"/>
      <c r="Z1156" s="151"/>
      <c r="AB1156" s="64"/>
      <c r="AC1156" s="64"/>
      <c r="AD1156" s="64"/>
      <c r="AE1156" s="64"/>
      <c r="AF1156" s="64"/>
      <c r="AG1156" s="64"/>
      <c r="AH1156" s="64"/>
      <c r="AI1156" s="143"/>
      <c r="AJ1156" s="134"/>
      <c r="AK1156" s="194"/>
      <c r="AL1156" s="90"/>
    </row>
    <row r="1157" spans="1:38" ht="17.100000000000001" customHeight="1" x14ac:dyDescent="0.25">
      <c r="A1157" s="197"/>
      <c r="G1157" s="88"/>
      <c r="H1157" s="182"/>
      <c r="L1157" s="24"/>
      <c r="M1157" s="24"/>
      <c r="N1157" s="186"/>
      <c r="O1157" s="190"/>
      <c r="P1157" s="207"/>
      <c r="Q1157" s="142"/>
      <c r="T1157" s="201"/>
      <c r="Z1157" s="151"/>
      <c r="AB1157" s="64"/>
      <c r="AC1157" s="64"/>
      <c r="AD1157" s="64"/>
      <c r="AE1157" s="64"/>
      <c r="AF1157" s="64"/>
      <c r="AG1157" s="64"/>
      <c r="AH1157" s="64"/>
      <c r="AI1157" s="143"/>
      <c r="AJ1157" s="134"/>
      <c r="AK1157" s="194"/>
      <c r="AL1157" s="90"/>
    </row>
    <row r="1158" spans="1:38" ht="17.100000000000001" customHeight="1" x14ac:dyDescent="0.25">
      <c r="A1158" s="197"/>
      <c r="G1158" s="88"/>
      <c r="H1158" s="182"/>
      <c r="L1158" s="24"/>
      <c r="M1158" s="24"/>
      <c r="N1158" s="186"/>
      <c r="O1158" s="190"/>
      <c r="P1158" s="207"/>
      <c r="Q1158" s="142"/>
      <c r="T1158" s="201"/>
      <c r="Z1158" s="151"/>
      <c r="AB1158" s="64"/>
      <c r="AC1158" s="64"/>
      <c r="AD1158" s="64"/>
      <c r="AE1158" s="64"/>
      <c r="AF1158" s="64"/>
      <c r="AG1158" s="64"/>
      <c r="AH1158" s="64"/>
      <c r="AI1158" s="143"/>
      <c r="AJ1158" s="134"/>
      <c r="AK1158" s="194"/>
      <c r="AL1158" s="90"/>
    </row>
    <row r="1159" spans="1:38" ht="17.100000000000001" customHeight="1" x14ac:dyDescent="0.25">
      <c r="A1159" s="197"/>
      <c r="G1159" s="88"/>
      <c r="H1159" s="182"/>
      <c r="L1159" s="24"/>
      <c r="M1159" s="24"/>
      <c r="N1159" s="186"/>
      <c r="O1159" s="190"/>
      <c r="P1159" s="207"/>
      <c r="Q1159" s="142"/>
      <c r="T1159" s="201"/>
      <c r="Z1159" s="151"/>
      <c r="AB1159" s="64"/>
      <c r="AC1159" s="64"/>
      <c r="AD1159" s="64"/>
      <c r="AE1159" s="64"/>
      <c r="AF1159" s="64"/>
      <c r="AG1159" s="64"/>
      <c r="AH1159" s="64"/>
      <c r="AI1159" s="143"/>
      <c r="AJ1159" s="134"/>
      <c r="AK1159" s="194"/>
      <c r="AL1159" s="90"/>
    </row>
    <row r="1160" spans="1:38" ht="17.100000000000001" customHeight="1" x14ac:dyDescent="0.25">
      <c r="A1160" s="197"/>
      <c r="G1160" s="88"/>
      <c r="H1160" s="182"/>
      <c r="L1160" s="24"/>
      <c r="M1160" s="24"/>
      <c r="N1160" s="186"/>
      <c r="O1160" s="190"/>
      <c r="P1160" s="207"/>
      <c r="Q1160" s="142"/>
      <c r="T1160" s="201"/>
      <c r="Z1160" s="151"/>
      <c r="AB1160" s="64"/>
      <c r="AC1160" s="64"/>
      <c r="AD1160" s="64"/>
      <c r="AE1160" s="64"/>
      <c r="AF1160" s="64"/>
      <c r="AG1160" s="64"/>
      <c r="AH1160" s="64"/>
      <c r="AI1160" s="143"/>
      <c r="AJ1160" s="134"/>
      <c r="AK1160" s="194"/>
      <c r="AL1160" s="90"/>
    </row>
    <row r="1161" spans="1:38" ht="17.100000000000001" customHeight="1" x14ac:dyDescent="0.25">
      <c r="A1161" s="197"/>
      <c r="G1161" s="88"/>
      <c r="H1161" s="182"/>
      <c r="L1161" s="24"/>
      <c r="M1161" s="24"/>
      <c r="N1161" s="186"/>
      <c r="O1161" s="190"/>
      <c r="P1161" s="207"/>
      <c r="Q1161" s="142"/>
      <c r="T1161" s="201"/>
      <c r="Z1161" s="151"/>
      <c r="AB1161" s="64"/>
      <c r="AC1161" s="64"/>
      <c r="AD1161" s="64"/>
      <c r="AE1161" s="64"/>
      <c r="AF1161" s="64"/>
      <c r="AG1161" s="64"/>
      <c r="AH1161" s="64"/>
      <c r="AI1161" s="143"/>
      <c r="AJ1161" s="134"/>
      <c r="AK1161" s="194"/>
      <c r="AL1161" s="90"/>
    </row>
    <row r="1162" spans="1:38" ht="17.100000000000001" customHeight="1" x14ac:dyDescent="0.25">
      <c r="A1162" s="197"/>
      <c r="G1162" s="88"/>
      <c r="H1162" s="182"/>
      <c r="L1162" s="24"/>
      <c r="M1162" s="24"/>
      <c r="N1162" s="186"/>
      <c r="O1162" s="190"/>
      <c r="P1162" s="207"/>
      <c r="Q1162" s="142"/>
      <c r="T1162" s="201"/>
      <c r="Z1162" s="151"/>
      <c r="AB1162" s="64"/>
      <c r="AC1162" s="64"/>
      <c r="AD1162" s="64"/>
      <c r="AE1162" s="64"/>
      <c r="AF1162" s="64"/>
      <c r="AG1162" s="64"/>
      <c r="AH1162" s="64"/>
      <c r="AI1162" s="143"/>
      <c r="AJ1162" s="134"/>
      <c r="AK1162" s="194"/>
      <c r="AL1162" s="90"/>
    </row>
    <row r="1163" spans="1:38" ht="17.100000000000001" customHeight="1" x14ac:dyDescent="0.25">
      <c r="A1163" s="197"/>
      <c r="G1163" s="88"/>
      <c r="H1163" s="182"/>
      <c r="L1163" s="24"/>
      <c r="M1163" s="24"/>
      <c r="N1163" s="186"/>
      <c r="O1163" s="190"/>
      <c r="P1163" s="207"/>
      <c r="Q1163" s="142"/>
      <c r="T1163" s="201"/>
      <c r="Z1163" s="151"/>
      <c r="AB1163" s="64"/>
      <c r="AC1163" s="64"/>
      <c r="AD1163" s="64"/>
      <c r="AE1163" s="64"/>
      <c r="AF1163" s="64"/>
      <c r="AG1163" s="64"/>
      <c r="AH1163" s="64"/>
      <c r="AI1163" s="143"/>
      <c r="AJ1163" s="134"/>
      <c r="AK1163" s="194"/>
      <c r="AL1163" s="90"/>
    </row>
    <row r="1164" spans="1:38" ht="17.100000000000001" customHeight="1" x14ac:dyDescent="0.25">
      <c r="A1164" s="197"/>
      <c r="G1164" s="88"/>
      <c r="H1164" s="182"/>
      <c r="L1164" s="24"/>
      <c r="M1164" s="24"/>
      <c r="N1164" s="186"/>
      <c r="O1164" s="190"/>
      <c r="P1164" s="207"/>
      <c r="Q1164" s="142"/>
      <c r="T1164" s="201"/>
      <c r="Z1164" s="151"/>
      <c r="AB1164" s="64"/>
      <c r="AC1164" s="64"/>
      <c r="AD1164" s="64"/>
      <c r="AE1164" s="64"/>
      <c r="AF1164" s="64"/>
      <c r="AG1164" s="64"/>
      <c r="AH1164" s="64"/>
      <c r="AI1164" s="143"/>
      <c r="AJ1164" s="134"/>
      <c r="AK1164" s="194"/>
      <c r="AL1164" s="90"/>
    </row>
    <row r="1165" spans="1:38" ht="17.100000000000001" customHeight="1" x14ac:dyDescent="0.25">
      <c r="A1165" s="197"/>
      <c r="G1165" s="88"/>
      <c r="H1165" s="182"/>
      <c r="L1165" s="24"/>
      <c r="M1165" s="24"/>
      <c r="N1165" s="186"/>
      <c r="O1165" s="190"/>
      <c r="P1165" s="207"/>
      <c r="Q1165" s="142"/>
      <c r="T1165" s="201"/>
      <c r="Z1165" s="151"/>
      <c r="AB1165" s="64"/>
      <c r="AC1165" s="64"/>
      <c r="AD1165" s="64"/>
      <c r="AE1165" s="64"/>
      <c r="AF1165" s="64"/>
      <c r="AG1165" s="64"/>
      <c r="AH1165" s="64"/>
      <c r="AI1165" s="143"/>
      <c r="AJ1165" s="134"/>
      <c r="AK1165" s="194"/>
      <c r="AL1165" s="90"/>
    </row>
    <row r="1166" spans="1:38" ht="17.100000000000001" customHeight="1" x14ac:dyDescent="0.25">
      <c r="A1166" s="197"/>
      <c r="G1166" s="88"/>
      <c r="H1166" s="182"/>
      <c r="L1166" s="24"/>
      <c r="M1166" s="24"/>
      <c r="N1166" s="186"/>
      <c r="O1166" s="190"/>
      <c r="P1166" s="207"/>
      <c r="Q1166" s="142"/>
      <c r="T1166" s="201"/>
      <c r="Z1166" s="151"/>
      <c r="AB1166" s="64"/>
      <c r="AC1166" s="64"/>
      <c r="AD1166" s="64"/>
      <c r="AE1166" s="64"/>
      <c r="AF1166" s="64"/>
      <c r="AG1166" s="64"/>
      <c r="AH1166" s="64"/>
      <c r="AI1166" s="143"/>
      <c r="AJ1166" s="134"/>
      <c r="AK1166" s="194"/>
      <c r="AL1166" s="90"/>
    </row>
    <row r="1167" spans="1:38" ht="17.100000000000001" customHeight="1" x14ac:dyDescent="0.25">
      <c r="A1167" s="197"/>
      <c r="G1167" s="88"/>
      <c r="H1167" s="182"/>
      <c r="L1167" s="24"/>
      <c r="M1167" s="24"/>
      <c r="N1167" s="186"/>
      <c r="O1167" s="190"/>
      <c r="P1167" s="207"/>
      <c r="Q1167" s="142"/>
      <c r="T1167" s="201"/>
      <c r="Z1167" s="151"/>
      <c r="AB1167" s="64"/>
      <c r="AC1167" s="64"/>
      <c r="AD1167" s="64"/>
      <c r="AE1167" s="64"/>
      <c r="AF1167" s="64"/>
      <c r="AG1167" s="64"/>
      <c r="AH1167" s="64"/>
      <c r="AI1167" s="143"/>
      <c r="AJ1167" s="134"/>
      <c r="AK1167" s="194"/>
      <c r="AL1167" s="90"/>
    </row>
    <row r="1168" spans="1:38" ht="17.100000000000001" customHeight="1" x14ac:dyDescent="0.25">
      <c r="A1168" s="197"/>
      <c r="G1168" s="88"/>
      <c r="H1168" s="182"/>
      <c r="L1168" s="24"/>
      <c r="M1168" s="24"/>
      <c r="N1168" s="186"/>
      <c r="O1168" s="190"/>
      <c r="P1168" s="207"/>
      <c r="Q1168" s="142"/>
      <c r="T1168" s="201"/>
      <c r="Z1168" s="151"/>
      <c r="AB1168" s="64"/>
      <c r="AC1168" s="64"/>
      <c r="AD1168" s="64"/>
      <c r="AE1168" s="64"/>
      <c r="AF1168" s="64"/>
      <c r="AG1168" s="64"/>
      <c r="AH1168" s="64"/>
      <c r="AI1168" s="143"/>
      <c r="AJ1168" s="134"/>
      <c r="AK1168" s="194"/>
      <c r="AL1168" s="90"/>
    </row>
    <row r="1169" spans="1:38" ht="17.100000000000001" customHeight="1" x14ac:dyDescent="0.25">
      <c r="A1169" s="197"/>
      <c r="G1169" s="88"/>
      <c r="H1169" s="182"/>
      <c r="L1169" s="24"/>
      <c r="M1169" s="24"/>
      <c r="N1169" s="186"/>
      <c r="O1169" s="190"/>
      <c r="P1169" s="207"/>
      <c r="Q1169" s="142"/>
      <c r="T1169" s="201"/>
      <c r="Z1169" s="151"/>
      <c r="AB1169" s="64"/>
      <c r="AC1169" s="64"/>
      <c r="AD1169" s="64"/>
      <c r="AE1169" s="64"/>
      <c r="AF1169" s="64"/>
      <c r="AG1169" s="64"/>
      <c r="AH1169" s="64"/>
      <c r="AI1169" s="143"/>
      <c r="AJ1169" s="134"/>
      <c r="AK1169" s="194"/>
      <c r="AL1169" s="90"/>
    </row>
    <row r="1170" spans="1:38" ht="17.100000000000001" customHeight="1" x14ac:dyDescent="0.25">
      <c r="A1170" s="197"/>
      <c r="G1170" s="88"/>
      <c r="H1170" s="182"/>
      <c r="L1170" s="24"/>
      <c r="M1170" s="24"/>
      <c r="N1170" s="186"/>
      <c r="O1170" s="190"/>
      <c r="P1170" s="207"/>
      <c r="Q1170" s="142"/>
      <c r="T1170" s="201"/>
      <c r="Z1170" s="151"/>
      <c r="AB1170" s="64"/>
      <c r="AC1170" s="64"/>
      <c r="AD1170" s="64"/>
      <c r="AE1170" s="64"/>
      <c r="AF1170" s="64"/>
      <c r="AG1170" s="64"/>
      <c r="AH1170" s="64"/>
      <c r="AI1170" s="143"/>
      <c r="AJ1170" s="134"/>
      <c r="AK1170" s="194"/>
      <c r="AL1170" s="90"/>
    </row>
    <row r="1171" spans="1:38" ht="17.100000000000001" customHeight="1" x14ac:dyDescent="0.25">
      <c r="A1171" s="197"/>
      <c r="G1171" s="88"/>
      <c r="H1171" s="182"/>
      <c r="L1171" s="24"/>
      <c r="M1171" s="24"/>
      <c r="N1171" s="186"/>
      <c r="O1171" s="190"/>
      <c r="P1171" s="207"/>
      <c r="Q1171" s="142"/>
      <c r="T1171" s="201"/>
      <c r="Z1171" s="151"/>
      <c r="AB1171" s="64"/>
      <c r="AC1171" s="64"/>
      <c r="AD1171" s="64"/>
      <c r="AE1171" s="64"/>
      <c r="AF1171" s="64"/>
      <c r="AG1171" s="64"/>
      <c r="AH1171" s="64"/>
      <c r="AI1171" s="143"/>
      <c r="AJ1171" s="134"/>
      <c r="AK1171" s="194"/>
      <c r="AL1171" s="90"/>
    </row>
    <row r="1172" spans="1:38" ht="17.100000000000001" customHeight="1" x14ac:dyDescent="0.25">
      <c r="A1172" s="197"/>
      <c r="G1172" s="88"/>
      <c r="H1172" s="182"/>
      <c r="L1172" s="24"/>
      <c r="M1172" s="24"/>
      <c r="N1172" s="186"/>
      <c r="O1172" s="190"/>
      <c r="P1172" s="207"/>
      <c r="Q1172" s="142"/>
      <c r="T1172" s="201"/>
      <c r="Z1172" s="151"/>
      <c r="AB1172" s="64"/>
      <c r="AC1172" s="64"/>
      <c r="AD1172" s="64"/>
      <c r="AE1172" s="64"/>
      <c r="AF1172" s="64"/>
      <c r="AG1172" s="64"/>
      <c r="AH1172" s="64"/>
      <c r="AI1172" s="143"/>
      <c r="AJ1172" s="134"/>
      <c r="AK1172" s="194"/>
      <c r="AL1172" s="90"/>
    </row>
    <row r="1173" spans="1:38" ht="17.100000000000001" customHeight="1" x14ac:dyDescent="0.25">
      <c r="A1173" s="197"/>
      <c r="G1173" s="88"/>
      <c r="H1173" s="182"/>
      <c r="L1173" s="24"/>
      <c r="M1173" s="24"/>
      <c r="N1173" s="186"/>
      <c r="O1173" s="190"/>
      <c r="P1173" s="207"/>
      <c r="Q1173" s="142"/>
      <c r="T1173" s="201"/>
      <c r="Z1173" s="151"/>
      <c r="AB1173" s="64"/>
      <c r="AC1173" s="64"/>
      <c r="AD1173" s="64"/>
      <c r="AE1173" s="64"/>
      <c r="AF1173" s="64"/>
      <c r="AG1173" s="64"/>
      <c r="AH1173" s="64"/>
      <c r="AI1173" s="143"/>
      <c r="AJ1173" s="134"/>
      <c r="AK1173" s="194"/>
      <c r="AL1173" s="90"/>
    </row>
    <row r="1174" spans="1:38" ht="17.100000000000001" customHeight="1" x14ac:dyDescent="0.25">
      <c r="A1174" s="197"/>
      <c r="G1174" s="88"/>
      <c r="H1174" s="182"/>
      <c r="L1174" s="24"/>
      <c r="M1174" s="24"/>
      <c r="N1174" s="186"/>
      <c r="O1174" s="190"/>
      <c r="P1174" s="207"/>
      <c r="Q1174" s="142"/>
      <c r="T1174" s="201"/>
      <c r="Z1174" s="151"/>
      <c r="AB1174" s="64"/>
      <c r="AC1174" s="64"/>
      <c r="AD1174" s="64"/>
      <c r="AE1174" s="64"/>
      <c r="AF1174" s="64"/>
      <c r="AG1174" s="64"/>
      <c r="AH1174" s="64"/>
      <c r="AI1174" s="143"/>
      <c r="AJ1174" s="134"/>
      <c r="AK1174" s="194"/>
      <c r="AL1174" s="90"/>
    </row>
    <row r="1175" spans="1:38" ht="17.100000000000001" customHeight="1" x14ac:dyDescent="0.25">
      <c r="A1175" s="197"/>
      <c r="G1175" s="88"/>
      <c r="H1175" s="182"/>
      <c r="L1175" s="24"/>
      <c r="M1175" s="24"/>
      <c r="N1175" s="186"/>
      <c r="O1175" s="190"/>
      <c r="P1175" s="207"/>
      <c r="Q1175" s="142"/>
      <c r="T1175" s="201"/>
      <c r="Z1175" s="151"/>
      <c r="AB1175" s="64"/>
      <c r="AC1175" s="64"/>
      <c r="AD1175" s="64"/>
      <c r="AE1175" s="64"/>
      <c r="AF1175" s="64"/>
      <c r="AG1175" s="64"/>
      <c r="AH1175" s="64"/>
      <c r="AI1175" s="143"/>
      <c r="AJ1175" s="134"/>
      <c r="AK1175" s="194"/>
      <c r="AL1175" s="90"/>
    </row>
    <row r="1176" spans="1:38" ht="17.100000000000001" customHeight="1" x14ac:dyDescent="0.25">
      <c r="A1176" s="197"/>
      <c r="G1176" s="88"/>
      <c r="H1176" s="182"/>
      <c r="L1176" s="24"/>
      <c r="M1176" s="24"/>
      <c r="N1176" s="186"/>
      <c r="O1176" s="190"/>
      <c r="P1176" s="207"/>
      <c r="Q1176" s="142"/>
      <c r="T1176" s="201"/>
      <c r="Z1176" s="151"/>
      <c r="AB1176" s="64"/>
      <c r="AC1176" s="64"/>
      <c r="AD1176" s="64"/>
      <c r="AE1176" s="64"/>
      <c r="AF1176" s="64"/>
      <c r="AG1176" s="64"/>
      <c r="AH1176" s="64"/>
      <c r="AI1176" s="143"/>
      <c r="AJ1176" s="134"/>
      <c r="AK1176" s="194"/>
      <c r="AL1176" s="90"/>
    </row>
    <row r="1177" spans="1:38" ht="17.100000000000001" customHeight="1" x14ac:dyDescent="0.25">
      <c r="A1177" s="197"/>
      <c r="G1177" s="88"/>
      <c r="H1177" s="182"/>
      <c r="L1177" s="24"/>
      <c r="M1177" s="24"/>
      <c r="N1177" s="186"/>
      <c r="O1177" s="190"/>
      <c r="P1177" s="207"/>
      <c r="Q1177" s="142"/>
      <c r="T1177" s="201"/>
      <c r="Z1177" s="151"/>
      <c r="AB1177" s="64"/>
      <c r="AC1177" s="64"/>
      <c r="AD1177" s="64"/>
      <c r="AE1177" s="64"/>
      <c r="AF1177" s="64"/>
      <c r="AG1177" s="64"/>
      <c r="AH1177" s="64"/>
      <c r="AI1177" s="143"/>
      <c r="AJ1177" s="134"/>
      <c r="AK1177" s="194"/>
      <c r="AL1177" s="90"/>
    </row>
    <row r="1178" spans="1:38" ht="17.100000000000001" customHeight="1" x14ac:dyDescent="0.25">
      <c r="A1178" s="197"/>
      <c r="G1178" s="88"/>
      <c r="H1178" s="182"/>
      <c r="L1178" s="24"/>
      <c r="M1178" s="24"/>
      <c r="N1178" s="186"/>
      <c r="O1178" s="190"/>
      <c r="P1178" s="207"/>
      <c r="Q1178" s="142"/>
      <c r="T1178" s="201"/>
      <c r="Z1178" s="151"/>
      <c r="AB1178" s="64"/>
      <c r="AC1178" s="64"/>
      <c r="AD1178" s="64"/>
      <c r="AE1178" s="64"/>
      <c r="AF1178" s="64"/>
      <c r="AG1178" s="64"/>
      <c r="AH1178" s="64"/>
      <c r="AI1178" s="143"/>
      <c r="AJ1178" s="134"/>
      <c r="AK1178" s="194"/>
      <c r="AL1178" s="90"/>
    </row>
    <row r="1179" spans="1:38" ht="17.100000000000001" customHeight="1" x14ac:dyDescent="0.25">
      <c r="A1179" s="197"/>
      <c r="G1179" s="88"/>
      <c r="H1179" s="182"/>
      <c r="L1179" s="24"/>
      <c r="M1179" s="24"/>
      <c r="N1179" s="186"/>
      <c r="O1179" s="190"/>
      <c r="P1179" s="207"/>
      <c r="Q1179" s="142"/>
      <c r="T1179" s="201"/>
      <c r="Z1179" s="151"/>
      <c r="AB1179" s="64"/>
      <c r="AC1179" s="64"/>
      <c r="AD1179" s="64"/>
      <c r="AE1179" s="64"/>
      <c r="AF1179" s="64"/>
      <c r="AG1179" s="64"/>
      <c r="AH1179" s="64"/>
      <c r="AI1179" s="143"/>
      <c r="AJ1179" s="134"/>
      <c r="AK1179" s="194"/>
      <c r="AL1179" s="90"/>
    </row>
    <row r="1180" spans="1:38" ht="17.100000000000001" customHeight="1" x14ac:dyDescent="0.25">
      <c r="A1180" s="197"/>
      <c r="G1180" s="88"/>
      <c r="H1180" s="182"/>
      <c r="L1180" s="24"/>
      <c r="M1180" s="24"/>
      <c r="N1180" s="186"/>
      <c r="O1180" s="190"/>
      <c r="P1180" s="207"/>
      <c r="Q1180" s="142"/>
      <c r="T1180" s="201"/>
      <c r="Z1180" s="151"/>
      <c r="AB1180" s="64"/>
      <c r="AC1180" s="64"/>
      <c r="AD1180" s="64"/>
      <c r="AE1180" s="64"/>
      <c r="AF1180" s="64"/>
      <c r="AG1180" s="64"/>
      <c r="AH1180" s="64"/>
      <c r="AI1180" s="143"/>
      <c r="AJ1180" s="134"/>
      <c r="AK1180" s="194"/>
      <c r="AL1180" s="90"/>
    </row>
    <row r="1181" spans="1:38" ht="17.100000000000001" customHeight="1" x14ac:dyDescent="0.25">
      <c r="A1181" s="197"/>
      <c r="G1181" s="88"/>
      <c r="H1181" s="182"/>
      <c r="L1181" s="24"/>
      <c r="M1181" s="24"/>
      <c r="N1181" s="186"/>
      <c r="O1181" s="190"/>
      <c r="P1181" s="207"/>
      <c r="Q1181" s="142"/>
      <c r="T1181" s="201"/>
      <c r="Z1181" s="151"/>
      <c r="AB1181" s="64"/>
      <c r="AC1181" s="64"/>
      <c r="AD1181" s="64"/>
      <c r="AE1181" s="64"/>
      <c r="AF1181" s="64"/>
      <c r="AG1181" s="64"/>
      <c r="AH1181" s="64"/>
      <c r="AI1181" s="143"/>
      <c r="AJ1181" s="134"/>
      <c r="AK1181" s="194"/>
      <c r="AL1181" s="90"/>
    </row>
    <row r="1182" spans="1:38" ht="17.100000000000001" customHeight="1" x14ac:dyDescent="0.25">
      <c r="A1182" s="197"/>
      <c r="G1182" s="88"/>
      <c r="H1182" s="182"/>
      <c r="L1182" s="24"/>
      <c r="M1182" s="24"/>
      <c r="N1182" s="186"/>
      <c r="O1182" s="190"/>
      <c r="P1182" s="207"/>
      <c r="Q1182" s="142"/>
      <c r="T1182" s="201"/>
      <c r="Z1182" s="151"/>
      <c r="AB1182" s="64"/>
      <c r="AC1182" s="64"/>
      <c r="AD1182" s="64"/>
      <c r="AE1182" s="64"/>
      <c r="AF1182" s="64"/>
      <c r="AG1182" s="64"/>
      <c r="AH1182" s="64"/>
      <c r="AI1182" s="143"/>
      <c r="AJ1182" s="134"/>
      <c r="AK1182" s="194"/>
      <c r="AL1182" s="90"/>
    </row>
    <row r="1183" spans="1:38" ht="17.100000000000001" customHeight="1" x14ac:dyDescent="0.25">
      <c r="A1183" s="197"/>
      <c r="G1183" s="88"/>
      <c r="H1183" s="182"/>
      <c r="L1183" s="24"/>
      <c r="M1183" s="24"/>
      <c r="N1183" s="186"/>
      <c r="O1183" s="190"/>
      <c r="P1183" s="207"/>
      <c r="Q1183" s="142"/>
      <c r="T1183" s="201"/>
      <c r="Z1183" s="151"/>
      <c r="AB1183" s="64"/>
      <c r="AC1183" s="64"/>
      <c r="AD1183" s="64"/>
      <c r="AE1183" s="64"/>
      <c r="AF1183" s="64"/>
      <c r="AG1183" s="64"/>
      <c r="AH1183" s="64"/>
      <c r="AI1183" s="143"/>
      <c r="AJ1183" s="134"/>
      <c r="AK1183" s="194"/>
      <c r="AL1183" s="90"/>
    </row>
    <row r="1184" spans="1:38" ht="17.100000000000001" customHeight="1" x14ac:dyDescent="0.25">
      <c r="A1184" s="197"/>
      <c r="G1184" s="88"/>
      <c r="H1184" s="182"/>
      <c r="L1184" s="24"/>
      <c r="M1184" s="24"/>
      <c r="N1184" s="186"/>
      <c r="O1184" s="190"/>
      <c r="P1184" s="207"/>
      <c r="Q1184" s="142"/>
      <c r="T1184" s="201"/>
      <c r="Z1184" s="151"/>
      <c r="AB1184" s="64"/>
      <c r="AC1184" s="64"/>
      <c r="AD1184" s="64"/>
      <c r="AE1184" s="64"/>
      <c r="AF1184" s="64"/>
      <c r="AG1184" s="64"/>
      <c r="AH1184" s="64"/>
      <c r="AI1184" s="143"/>
      <c r="AJ1184" s="134"/>
      <c r="AK1184" s="194"/>
      <c r="AL1184" s="90"/>
    </row>
    <row r="1185" spans="1:38" ht="17.100000000000001" customHeight="1" x14ac:dyDescent="0.25">
      <c r="A1185" s="197"/>
      <c r="G1185" s="88"/>
      <c r="H1185" s="182"/>
      <c r="L1185" s="24"/>
      <c r="M1185" s="24"/>
      <c r="N1185" s="186"/>
      <c r="O1185" s="190"/>
      <c r="P1185" s="207"/>
      <c r="Q1185" s="142"/>
      <c r="T1185" s="201"/>
      <c r="Z1185" s="151"/>
      <c r="AB1185" s="64"/>
      <c r="AC1185" s="64"/>
      <c r="AD1185" s="64"/>
      <c r="AE1185" s="64"/>
      <c r="AF1185" s="64"/>
      <c r="AG1185" s="64"/>
      <c r="AH1185" s="64"/>
      <c r="AI1185" s="143"/>
      <c r="AJ1185" s="134"/>
      <c r="AK1185" s="194"/>
      <c r="AL1185" s="90"/>
    </row>
    <row r="1186" spans="1:38" ht="17.100000000000001" customHeight="1" x14ac:dyDescent="0.25">
      <c r="A1186" s="197"/>
      <c r="G1186" s="88"/>
      <c r="H1186" s="182"/>
      <c r="L1186" s="24"/>
      <c r="M1186" s="24"/>
      <c r="N1186" s="186"/>
      <c r="O1186" s="190"/>
      <c r="P1186" s="207"/>
      <c r="Q1186" s="142"/>
      <c r="T1186" s="201"/>
      <c r="Z1186" s="151"/>
      <c r="AB1186" s="64"/>
      <c r="AC1186" s="64"/>
      <c r="AD1186" s="64"/>
      <c r="AE1186" s="64"/>
      <c r="AF1186" s="64"/>
      <c r="AG1186" s="64"/>
      <c r="AH1186" s="64"/>
      <c r="AI1186" s="143"/>
      <c r="AJ1186" s="134"/>
      <c r="AK1186" s="194"/>
      <c r="AL1186" s="90"/>
    </row>
    <row r="1187" spans="1:38" ht="17.100000000000001" customHeight="1" x14ac:dyDescent="0.25">
      <c r="A1187" s="197"/>
      <c r="G1187" s="88"/>
      <c r="H1187" s="182"/>
      <c r="L1187" s="24"/>
      <c r="M1187" s="24"/>
      <c r="N1187" s="186"/>
      <c r="O1187" s="190"/>
      <c r="P1187" s="207"/>
      <c r="Q1187" s="142"/>
      <c r="T1187" s="201"/>
      <c r="Z1187" s="151"/>
      <c r="AB1187" s="64"/>
      <c r="AC1187" s="64"/>
      <c r="AD1187" s="64"/>
      <c r="AE1187" s="64"/>
      <c r="AF1187" s="64"/>
      <c r="AG1187" s="64"/>
      <c r="AH1187" s="64"/>
      <c r="AI1187" s="143"/>
      <c r="AJ1187" s="134"/>
      <c r="AK1187" s="194"/>
      <c r="AL1187" s="90"/>
    </row>
    <row r="1188" spans="1:38" ht="17.100000000000001" customHeight="1" x14ac:dyDescent="0.25">
      <c r="A1188" s="197"/>
      <c r="G1188" s="88"/>
      <c r="H1188" s="182"/>
      <c r="L1188" s="24"/>
      <c r="M1188" s="24"/>
      <c r="N1188" s="186"/>
      <c r="O1188" s="190"/>
      <c r="P1188" s="207"/>
      <c r="Q1188" s="142"/>
      <c r="T1188" s="201"/>
      <c r="Z1188" s="151"/>
      <c r="AB1188" s="64"/>
      <c r="AC1188" s="64"/>
      <c r="AD1188" s="64"/>
      <c r="AE1188" s="64"/>
      <c r="AF1188" s="64"/>
      <c r="AG1188" s="64"/>
      <c r="AH1188" s="64"/>
      <c r="AI1188" s="143"/>
      <c r="AJ1188" s="134"/>
      <c r="AK1188" s="194"/>
      <c r="AL1188" s="90"/>
    </row>
    <row r="1189" spans="1:38" ht="17.100000000000001" customHeight="1" x14ac:dyDescent="0.25">
      <c r="A1189" s="197"/>
      <c r="G1189" s="88"/>
      <c r="H1189" s="182"/>
      <c r="L1189" s="24"/>
      <c r="M1189" s="24"/>
      <c r="N1189" s="186"/>
      <c r="O1189" s="190"/>
      <c r="P1189" s="207"/>
      <c r="Q1189" s="142"/>
      <c r="T1189" s="201"/>
      <c r="Z1189" s="151"/>
      <c r="AB1189" s="64"/>
      <c r="AC1189" s="64"/>
      <c r="AD1189" s="64"/>
      <c r="AE1189" s="64"/>
      <c r="AF1189" s="64"/>
      <c r="AG1189" s="64"/>
      <c r="AH1189" s="64"/>
      <c r="AI1189" s="143"/>
      <c r="AJ1189" s="134"/>
      <c r="AK1189" s="194"/>
      <c r="AL1189" s="90"/>
    </row>
    <row r="1190" spans="1:38" ht="17.100000000000001" customHeight="1" x14ac:dyDescent="0.25">
      <c r="A1190" s="197"/>
      <c r="G1190" s="88"/>
      <c r="H1190" s="182"/>
      <c r="L1190" s="24"/>
      <c r="M1190" s="24"/>
      <c r="N1190" s="186"/>
      <c r="O1190" s="190"/>
      <c r="P1190" s="207"/>
      <c r="Q1190" s="142"/>
      <c r="T1190" s="201"/>
      <c r="Z1190" s="151"/>
      <c r="AB1190" s="64"/>
      <c r="AC1190" s="64"/>
      <c r="AD1190" s="64"/>
      <c r="AE1190" s="64"/>
      <c r="AF1190" s="64"/>
      <c r="AG1190" s="64"/>
      <c r="AH1190" s="64"/>
      <c r="AI1190" s="143"/>
      <c r="AJ1190" s="134"/>
      <c r="AK1190" s="194"/>
      <c r="AL1190" s="90"/>
    </row>
    <row r="1191" spans="1:38" ht="17.100000000000001" customHeight="1" x14ac:dyDescent="0.25">
      <c r="A1191" s="197"/>
      <c r="G1191" s="88"/>
      <c r="H1191" s="182"/>
      <c r="L1191" s="24"/>
      <c r="M1191" s="24"/>
      <c r="N1191" s="186"/>
      <c r="O1191" s="190"/>
      <c r="P1191" s="207"/>
      <c r="Q1191" s="142"/>
      <c r="T1191" s="201"/>
      <c r="Z1191" s="151"/>
      <c r="AB1191" s="64"/>
      <c r="AC1191" s="64"/>
      <c r="AD1191" s="64"/>
      <c r="AE1191" s="64"/>
      <c r="AF1191" s="64"/>
      <c r="AG1191" s="64"/>
      <c r="AH1191" s="64"/>
      <c r="AI1191" s="143"/>
      <c r="AJ1191" s="134"/>
      <c r="AK1191" s="194"/>
      <c r="AL1191" s="90"/>
    </row>
    <row r="1192" spans="1:38" ht="17.100000000000001" customHeight="1" x14ac:dyDescent="0.25">
      <c r="A1192" s="197"/>
      <c r="G1192" s="88"/>
      <c r="H1192" s="182"/>
      <c r="L1192" s="24"/>
      <c r="M1192" s="24"/>
      <c r="N1192" s="186"/>
      <c r="O1192" s="190"/>
      <c r="P1192" s="207"/>
      <c r="Q1192" s="142"/>
      <c r="T1192" s="201"/>
      <c r="Z1192" s="151"/>
      <c r="AB1192" s="64"/>
      <c r="AC1192" s="64"/>
      <c r="AD1192" s="64"/>
      <c r="AE1192" s="64"/>
      <c r="AF1192" s="64"/>
      <c r="AG1192" s="64"/>
      <c r="AH1192" s="64"/>
      <c r="AI1192" s="143"/>
      <c r="AJ1192" s="134"/>
      <c r="AK1192" s="194"/>
      <c r="AL1192" s="90"/>
    </row>
    <row r="1193" spans="1:38" ht="17.100000000000001" customHeight="1" x14ac:dyDescent="0.25">
      <c r="A1193" s="197"/>
      <c r="G1193" s="88"/>
      <c r="H1193" s="182"/>
      <c r="L1193" s="24"/>
      <c r="M1193" s="24"/>
      <c r="N1193" s="186"/>
      <c r="O1193" s="190"/>
      <c r="P1193" s="207"/>
      <c r="Q1193" s="142"/>
      <c r="T1193" s="201"/>
      <c r="Z1193" s="151"/>
      <c r="AB1193" s="64"/>
      <c r="AC1193" s="64"/>
      <c r="AD1193" s="64"/>
      <c r="AE1193" s="64"/>
      <c r="AF1193" s="64"/>
      <c r="AG1193" s="64"/>
      <c r="AH1193" s="64"/>
      <c r="AI1193" s="143"/>
      <c r="AJ1193" s="134"/>
      <c r="AK1193" s="194"/>
      <c r="AL1193" s="90"/>
    </row>
    <row r="1194" spans="1:38" ht="17.100000000000001" customHeight="1" x14ac:dyDescent="0.25">
      <c r="A1194" s="197"/>
      <c r="G1194" s="88"/>
      <c r="H1194" s="182"/>
      <c r="L1194" s="24"/>
      <c r="M1194" s="24"/>
      <c r="N1194" s="186"/>
      <c r="O1194" s="190"/>
      <c r="P1194" s="207"/>
      <c r="Q1194" s="142"/>
      <c r="T1194" s="201"/>
      <c r="Z1194" s="151"/>
      <c r="AB1194" s="64"/>
      <c r="AC1194" s="64"/>
      <c r="AD1194" s="64"/>
      <c r="AE1194" s="64"/>
      <c r="AF1194" s="64"/>
      <c r="AG1194" s="64"/>
      <c r="AH1194" s="64"/>
      <c r="AI1194" s="143"/>
      <c r="AJ1194" s="134"/>
      <c r="AK1194" s="194"/>
      <c r="AL1194" s="90"/>
    </row>
    <row r="1195" spans="1:38" ht="17.100000000000001" customHeight="1" x14ac:dyDescent="0.25">
      <c r="A1195" s="197"/>
      <c r="G1195" s="88"/>
      <c r="H1195" s="182"/>
      <c r="L1195" s="24"/>
      <c r="M1195" s="24"/>
      <c r="N1195" s="186"/>
      <c r="O1195" s="190"/>
      <c r="P1195" s="207"/>
      <c r="Q1195" s="142"/>
      <c r="T1195" s="201"/>
      <c r="Z1195" s="151"/>
      <c r="AB1195" s="64"/>
      <c r="AC1195" s="64"/>
      <c r="AD1195" s="64"/>
      <c r="AE1195" s="64"/>
      <c r="AF1195" s="64"/>
      <c r="AG1195" s="64"/>
      <c r="AH1195" s="64"/>
      <c r="AI1195" s="143"/>
      <c r="AJ1195" s="134"/>
      <c r="AK1195" s="194"/>
      <c r="AL1195" s="90"/>
    </row>
    <row r="1196" spans="1:38" ht="17.100000000000001" customHeight="1" x14ac:dyDescent="0.25">
      <c r="A1196" s="197"/>
      <c r="G1196" s="88"/>
      <c r="H1196" s="182"/>
      <c r="L1196" s="24"/>
      <c r="M1196" s="24"/>
      <c r="N1196" s="186"/>
      <c r="O1196" s="190"/>
      <c r="P1196" s="207"/>
      <c r="Q1196" s="142"/>
      <c r="T1196" s="201"/>
      <c r="Z1196" s="151"/>
      <c r="AB1196" s="64"/>
      <c r="AC1196" s="64"/>
      <c r="AD1196" s="64"/>
      <c r="AE1196" s="64"/>
      <c r="AF1196" s="64"/>
      <c r="AG1196" s="64"/>
      <c r="AH1196" s="64"/>
      <c r="AI1196" s="143"/>
      <c r="AJ1196" s="134"/>
      <c r="AK1196" s="194"/>
      <c r="AL1196" s="90"/>
    </row>
    <row r="1197" spans="1:38" ht="17.100000000000001" customHeight="1" x14ac:dyDescent="0.25">
      <c r="A1197" s="197"/>
      <c r="G1197" s="88"/>
      <c r="H1197" s="182"/>
      <c r="L1197" s="24"/>
      <c r="M1197" s="24"/>
      <c r="N1197" s="186"/>
      <c r="O1197" s="190"/>
      <c r="P1197" s="207"/>
      <c r="Q1197" s="142"/>
      <c r="T1197" s="201"/>
      <c r="Z1197" s="151"/>
      <c r="AB1197" s="64"/>
      <c r="AC1197" s="64"/>
      <c r="AD1197" s="64"/>
      <c r="AE1197" s="64"/>
      <c r="AF1197" s="64"/>
      <c r="AG1197" s="64"/>
      <c r="AH1197" s="64"/>
      <c r="AI1197" s="143"/>
      <c r="AJ1197" s="134"/>
      <c r="AK1197" s="194"/>
      <c r="AL1197" s="90"/>
    </row>
    <row r="1198" spans="1:38" ht="17.100000000000001" customHeight="1" x14ac:dyDescent="0.25">
      <c r="A1198" s="197"/>
      <c r="G1198" s="88"/>
      <c r="H1198" s="182"/>
      <c r="L1198" s="24"/>
      <c r="M1198" s="24"/>
      <c r="N1198" s="186"/>
      <c r="O1198" s="190"/>
      <c r="P1198" s="207"/>
      <c r="Q1198" s="142"/>
      <c r="T1198" s="201"/>
      <c r="Z1198" s="151"/>
      <c r="AB1198" s="64"/>
      <c r="AC1198" s="64"/>
      <c r="AD1198" s="64"/>
      <c r="AE1198" s="64"/>
      <c r="AF1198" s="64"/>
      <c r="AG1198" s="64"/>
      <c r="AH1198" s="64"/>
      <c r="AI1198" s="143"/>
      <c r="AJ1198" s="134"/>
      <c r="AK1198" s="194"/>
      <c r="AL1198" s="90"/>
    </row>
    <row r="1199" spans="1:38" ht="17.100000000000001" customHeight="1" x14ac:dyDescent="0.25">
      <c r="A1199" s="197"/>
      <c r="G1199" s="88"/>
      <c r="H1199" s="182"/>
      <c r="L1199" s="24"/>
      <c r="M1199" s="24"/>
      <c r="N1199" s="186"/>
      <c r="O1199" s="190"/>
      <c r="P1199" s="207"/>
      <c r="Q1199" s="142"/>
      <c r="T1199" s="201"/>
      <c r="Z1199" s="151"/>
      <c r="AB1199" s="64"/>
      <c r="AC1199" s="64"/>
      <c r="AD1199" s="64"/>
      <c r="AE1199" s="64"/>
      <c r="AF1199" s="64"/>
      <c r="AG1199" s="64"/>
      <c r="AH1199" s="64"/>
      <c r="AI1199" s="143"/>
      <c r="AJ1199" s="134"/>
      <c r="AK1199" s="194"/>
      <c r="AL1199" s="90"/>
    </row>
    <row r="1200" spans="1:38" ht="17.100000000000001" customHeight="1" x14ac:dyDescent="0.25">
      <c r="A1200" s="197"/>
      <c r="G1200" s="88"/>
      <c r="H1200" s="182"/>
      <c r="L1200" s="24"/>
      <c r="M1200" s="24"/>
      <c r="N1200" s="186"/>
      <c r="O1200" s="190"/>
      <c r="P1200" s="207"/>
      <c r="Q1200" s="142"/>
      <c r="T1200" s="201"/>
      <c r="Z1200" s="151"/>
      <c r="AB1200" s="64"/>
      <c r="AC1200" s="64"/>
      <c r="AD1200" s="64"/>
      <c r="AE1200" s="64"/>
      <c r="AF1200" s="64"/>
      <c r="AG1200" s="64"/>
      <c r="AH1200" s="64"/>
      <c r="AI1200" s="143"/>
      <c r="AJ1200" s="134"/>
      <c r="AK1200" s="194"/>
      <c r="AL1200" s="90"/>
    </row>
    <row r="1201" spans="1:38" ht="17.100000000000001" customHeight="1" x14ac:dyDescent="0.25">
      <c r="A1201" s="197"/>
      <c r="G1201" s="88"/>
      <c r="H1201" s="182"/>
      <c r="L1201" s="24"/>
      <c r="M1201" s="24"/>
      <c r="N1201" s="186"/>
      <c r="O1201" s="190"/>
      <c r="P1201" s="207"/>
      <c r="Q1201" s="142"/>
      <c r="T1201" s="201"/>
      <c r="Z1201" s="151"/>
      <c r="AB1201" s="64"/>
      <c r="AC1201" s="64"/>
      <c r="AD1201" s="64"/>
      <c r="AE1201" s="64"/>
      <c r="AF1201" s="64"/>
      <c r="AG1201" s="64"/>
      <c r="AH1201" s="64"/>
      <c r="AI1201" s="143"/>
      <c r="AJ1201" s="134"/>
      <c r="AK1201" s="194"/>
      <c r="AL1201" s="90"/>
    </row>
    <row r="1202" spans="1:38" ht="17.100000000000001" customHeight="1" x14ac:dyDescent="0.25">
      <c r="A1202" s="197"/>
      <c r="G1202" s="88"/>
      <c r="H1202" s="182"/>
      <c r="L1202" s="24"/>
      <c r="M1202" s="24"/>
      <c r="N1202" s="186"/>
      <c r="O1202" s="190"/>
      <c r="P1202" s="207"/>
      <c r="Q1202" s="142"/>
      <c r="T1202" s="201"/>
      <c r="Z1202" s="151"/>
      <c r="AB1202" s="64"/>
      <c r="AC1202" s="64"/>
      <c r="AD1202" s="64"/>
      <c r="AE1202" s="64"/>
      <c r="AF1202" s="64"/>
      <c r="AG1202" s="64"/>
      <c r="AH1202" s="64"/>
      <c r="AI1202" s="143"/>
      <c r="AJ1202" s="134"/>
      <c r="AK1202" s="194"/>
      <c r="AL1202" s="90"/>
    </row>
    <row r="1203" spans="1:38" ht="17.100000000000001" customHeight="1" x14ac:dyDescent="0.25">
      <c r="A1203" s="197"/>
      <c r="G1203" s="88"/>
      <c r="H1203" s="182"/>
      <c r="L1203" s="24"/>
      <c r="M1203" s="24"/>
      <c r="N1203" s="186"/>
      <c r="O1203" s="190"/>
      <c r="P1203" s="207"/>
      <c r="Q1203" s="142"/>
      <c r="T1203" s="201"/>
      <c r="Z1203" s="151"/>
      <c r="AB1203" s="64"/>
      <c r="AC1203" s="64"/>
      <c r="AD1203" s="64"/>
      <c r="AE1203" s="64"/>
      <c r="AF1203" s="64"/>
      <c r="AG1203" s="64"/>
      <c r="AH1203" s="64"/>
      <c r="AI1203" s="143"/>
      <c r="AJ1203" s="134"/>
      <c r="AK1203" s="194"/>
      <c r="AL1203" s="90"/>
    </row>
    <row r="1204" spans="1:38" ht="17.100000000000001" customHeight="1" x14ac:dyDescent="0.25">
      <c r="A1204" s="197"/>
      <c r="G1204" s="88"/>
      <c r="H1204" s="182"/>
      <c r="L1204" s="24"/>
      <c r="M1204" s="24"/>
      <c r="N1204" s="186"/>
      <c r="O1204" s="190"/>
      <c r="P1204" s="207"/>
      <c r="Q1204" s="142"/>
      <c r="T1204" s="201"/>
      <c r="Z1204" s="151"/>
      <c r="AB1204" s="64"/>
      <c r="AC1204" s="64"/>
      <c r="AD1204" s="64"/>
      <c r="AE1204" s="64"/>
      <c r="AF1204" s="64"/>
      <c r="AG1204" s="64"/>
      <c r="AH1204" s="64"/>
      <c r="AI1204" s="143"/>
      <c r="AJ1204" s="134"/>
      <c r="AK1204" s="194"/>
      <c r="AL1204" s="90"/>
    </row>
    <row r="1205" spans="1:38" ht="17.100000000000001" customHeight="1" x14ac:dyDescent="0.25">
      <c r="A1205" s="197"/>
      <c r="G1205" s="88"/>
      <c r="H1205" s="182"/>
      <c r="L1205" s="24"/>
      <c r="M1205" s="24"/>
      <c r="N1205" s="186"/>
      <c r="O1205" s="190"/>
      <c r="P1205" s="207"/>
      <c r="Q1205" s="142"/>
      <c r="T1205" s="201"/>
      <c r="Z1205" s="151"/>
      <c r="AB1205" s="64"/>
      <c r="AC1205" s="64"/>
      <c r="AD1205" s="64"/>
      <c r="AE1205" s="64"/>
      <c r="AF1205" s="64"/>
      <c r="AG1205" s="64"/>
      <c r="AH1205" s="64"/>
      <c r="AI1205" s="143"/>
      <c r="AJ1205" s="134"/>
      <c r="AK1205" s="194"/>
      <c r="AL1205" s="90"/>
    </row>
    <row r="1206" spans="1:38" ht="17.100000000000001" customHeight="1" x14ac:dyDescent="0.25">
      <c r="A1206" s="197"/>
      <c r="G1206" s="88"/>
      <c r="H1206" s="182"/>
      <c r="L1206" s="24"/>
      <c r="M1206" s="24"/>
      <c r="N1206" s="186"/>
      <c r="O1206" s="190"/>
      <c r="P1206" s="207"/>
      <c r="Q1206" s="142"/>
      <c r="T1206" s="201"/>
      <c r="Z1206" s="151"/>
      <c r="AB1206" s="64"/>
      <c r="AC1206" s="64"/>
      <c r="AD1206" s="64"/>
      <c r="AE1206" s="64"/>
      <c r="AF1206" s="64"/>
      <c r="AG1206" s="64"/>
      <c r="AH1206" s="64"/>
      <c r="AI1206" s="143"/>
      <c r="AJ1206" s="134"/>
      <c r="AK1206" s="194"/>
      <c r="AL1206" s="90"/>
    </row>
    <row r="1207" spans="1:38" ht="17.100000000000001" customHeight="1" x14ac:dyDescent="0.25">
      <c r="A1207" s="197"/>
      <c r="G1207" s="88"/>
      <c r="H1207" s="182"/>
      <c r="L1207" s="24"/>
      <c r="M1207" s="24"/>
      <c r="N1207" s="186"/>
      <c r="O1207" s="190"/>
      <c r="P1207" s="207"/>
      <c r="Q1207" s="142"/>
      <c r="T1207" s="201"/>
      <c r="Z1207" s="151"/>
      <c r="AB1207" s="64"/>
      <c r="AC1207" s="64"/>
      <c r="AD1207" s="64"/>
      <c r="AE1207" s="64"/>
      <c r="AF1207" s="64"/>
      <c r="AG1207" s="64"/>
      <c r="AH1207" s="64"/>
      <c r="AI1207" s="143"/>
      <c r="AJ1207" s="134"/>
      <c r="AK1207" s="194"/>
      <c r="AL1207" s="90"/>
    </row>
    <row r="1208" spans="1:38" ht="17.100000000000001" customHeight="1" x14ac:dyDescent="0.25">
      <c r="A1208" s="197"/>
      <c r="G1208" s="88"/>
      <c r="H1208" s="182"/>
      <c r="L1208" s="24"/>
      <c r="M1208" s="24"/>
      <c r="N1208" s="186"/>
      <c r="O1208" s="190"/>
      <c r="P1208" s="207"/>
      <c r="Q1208" s="142"/>
      <c r="T1208" s="201"/>
      <c r="Z1208" s="151"/>
      <c r="AB1208" s="64"/>
      <c r="AC1208" s="64"/>
      <c r="AD1208" s="64"/>
      <c r="AE1208" s="64"/>
      <c r="AF1208" s="64"/>
      <c r="AG1208" s="64"/>
      <c r="AH1208" s="64"/>
      <c r="AI1208" s="143"/>
      <c r="AJ1208" s="134"/>
      <c r="AK1208" s="194"/>
      <c r="AL1208" s="90"/>
    </row>
    <row r="1209" spans="1:38" ht="17.100000000000001" customHeight="1" x14ac:dyDescent="0.25">
      <c r="A1209" s="197"/>
      <c r="G1209" s="88"/>
      <c r="H1209" s="182"/>
      <c r="L1209" s="24"/>
      <c r="M1209" s="24"/>
      <c r="N1209" s="186"/>
      <c r="O1209" s="190"/>
      <c r="P1209" s="207"/>
      <c r="Q1209" s="142"/>
      <c r="T1209" s="201"/>
      <c r="Z1209" s="151"/>
      <c r="AB1209" s="64"/>
      <c r="AC1209" s="64"/>
      <c r="AD1209" s="64"/>
      <c r="AE1209" s="64"/>
      <c r="AF1209" s="64"/>
      <c r="AG1209" s="64"/>
      <c r="AH1209" s="64"/>
      <c r="AI1209" s="143"/>
      <c r="AJ1209" s="134"/>
      <c r="AK1209" s="194"/>
      <c r="AL1209" s="90"/>
    </row>
    <row r="1210" spans="1:38" ht="17.100000000000001" customHeight="1" x14ac:dyDescent="0.25">
      <c r="A1210" s="197"/>
      <c r="G1210" s="88"/>
      <c r="H1210" s="182"/>
      <c r="L1210" s="24"/>
      <c r="M1210" s="24"/>
      <c r="N1210" s="186"/>
      <c r="O1210" s="190"/>
      <c r="P1210" s="207"/>
      <c r="Q1210" s="142"/>
      <c r="T1210" s="201"/>
      <c r="Z1210" s="151"/>
      <c r="AB1210" s="64"/>
      <c r="AC1210" s="64"/>
      <c r="AD1210" s="64"/>
      <c r="AE1210" s="64"/>
      <c r="AF1210" s="64"/>
      <c r="AG1210" s="64"/>
      <c r="AH1210" s="64"/>
      <c r="AI1210" s="143"/>
      <c r="AJ1210" s="134"/>
      <c r="AK1210" s="194"/>
      <c r="AL1210" s="90"/>
    </row>
    <row r="1211" spans="1:38" ht="17.100000000000001" customHeight="1" x14ac:dyDescent="0.25">
      <c r="A1211" s="197"/>
      <c r="G1211" s="88"/>
      <c r="H1211" s="182"/>
      <c r="L1211" s="24"/>
      <c r="M1211" s="24"/>
      <c r="N1211" s="186"/>
      <c r="O1211" s="190"/>
      <c r="P1211" s="207"/>
      <c r="Q1211" s="142"/>
      <c r="T1211" s="201"/>
      <c r="Z1211" s="151"/>
      <c r="AB1211" s="64"/>
      <c r="AC1211" s="64"/>
      <c r="AD1211" s="64"/>
      <c r="AE1211" s="64"/>
      <c r="AF1211" s="64"/>
      <c r="AG1211" s="64"/>
      <c r="AH1211" s="64"/>
      <c r="AI1211" s="143"/>
      <c r="AJ1211" s="134"/>
      <c r="AK1211" s="194"/>
      <c r="AL1211" s="90"/>
    </row>
    <row r="1212" spans="1:38" ht="17.100000000000001" customHeight="1" x14ac:dyDescent="0.25">
      <c r="A1212" s="197"/>
      <c r="G1212" s="88"/>
      <c r="H1212" s="182"/>
      <c r="L1212" s="24"/>
      <c r="M1212" s="24"/>
      <c r="N1212" s="186"/>
      <c r="O1212" s="190"/>
      <c r="P1212" s="207"/>
      <c r="Q1212" s="142"/>
      <c r="T1212" s="201"/>
      <c r="Z1212" s="151"/>
      <c r="AB1212" s="64"/>
      <c r="AC1212" s="64"/>
      <c r="AD1212" s="64"/>
      <c r="AE1212" s="64"/>
      <c r="AF1212" s="64"/>
      <c r="AG1212" s="64"/>
      <c r="AH1212" s="64"/>
      <c r="AI1212" s="143"/>
      <c r="AJ1212" s="134"/>
      <c r="AK1212" s="194"/>
      <c r="AL1212" s="90"/>
    </row>
    <row r="1213" spans="1:38" ht="17.100000000000001" customHeight="1" x14ac:dyDescent="0.25">
      <c r="A1213" s="197"/>
      <c r="G1213" s="88"/>
      <c r="H1213" s="182"/>
      <c r="L1213" s="24"/>
      <c r="M1213" s="24"/>
      <c r="N1213" s="186"/>
      <c r="O1213" s="190"/>
      <c r="P1213" s="207"/>
      <c r="Q1213" s="142"/>
      <c r="T1213" s="201"/>
      <c r="Z1213" s="151"/>
      <c r="AB1213" s="64"/>
      <c r="AC1213" s="64"/>
      <c r="AD1213" s="64"/>
      <c r="AE1213" s="64"/>
      <c r="AF1213" s="64"/>
      <c r="AG1213" s="64"/>
      <c r="AH1213" s="64"/>
      <c r="AI1213" s="143"/>
      <c r="AJ1213" s="134"/>
      <c r="AK1213" s="194"/>
      <c r="AL1213" s="90"/>
    </row>
    <row r="1214" spans="1:38" ht="17.100000000000001" customHeight="1" x14ac:dyDescent="0.25">
      <c r="A1214" s="197"/>
      <c r="G1214" s="88"/>
      <c r="H1214" s="182"/>
      <c r="L1214" s="24"/>
      <c r="M1214" s="24"/>
      <c r="N1214" s="186"/>
      <c r="O1214" s="190"/>
      <c r="P1214" s="207"/>
      <c r="Q1214" s="142"/>
      <c r="T1214" s="201"/>
      <c r="Z1214" s="151"/>
      <c r="AB1214" s="64"/>
      <c r="AC1214" s="64"/>
      <c r="AD1214" s="64"/>
      <c r="AE1214" s="64"/>
      <c r="AF1214" s="64"/>
      <c r="AG1214" s="64"/>
      <c r="AH1214" s="64"/>
      <c r="AI1214" s="143"/>
      <c r="AJ1214" s="134"/>
      <c r="AK1214" s="194"/>
      <c r="AL1214" s="90"/>
    </row>
    <row r="1215" spans="1:38" ht="17.100000000000001" customHeight="1" x14ac:dyDescent="0.25">
      <c r="A1215" s="197"/>
      <c r="G1215" s="88"/>
      <c r="H1215" s="182"/>
      <c r="L1215" s="24"/>
      <c r="M1215" s="24"/>
      <c r="N1215" s="186"/>
      <c r="O1215" s="190"/>
      <c r="P1215" s="207"/>
      <c r="Q1215" s="142"/>
      <c r="T1215" s="201"/>
      <c r="Z1215" s="151"/>
      <c r="AB1215" s="64"/>
      <c r="AC1215" s="64"/>
      <c r="AD1215" s="64"/>
      <c r="AE1215" s="64"/>
      <c r="AF1215" s="64"/>
      <c r="AG1215" s="64"/>
      <c r="AH1215" s="64"/>
      <c r="AI1215" s="143"/>
      <c r="AJ1215" s="134"/>
      <c r="AK1215" s="194"/>
      <c r="AL1215" s="90"/>
    </row>
    <row r="1216" spans="1:38" ht="17.100000000000001" customHeight="1" x14ac:dyDescent="0.25">
      <c r="A1216" s="197"/>
      <c r="G1216" s="88"/>
      <c r="H1216" s="182"/>
      <c r="L1216" s="24"/>
      <c r="M1216" s="24"/>
      <c r="N1216" s="186"/>
      <c r="O1216" s="190"/>
      <c r="P1216" s="207"/>
      <c r="Q1216" s="142"/>
      <c r="T1216" s="201"/>
      <c r="Z1216" s="151"/>
      <c r="AB1216" s="64"/>
      <c r="AC1216" s="64"/>
      <c r="AD1216" s="64"/>
      <c r="AE1216" s="64"/>
      <c r="AF1216" s="64"/>
      <c r="AG1216" s="64"/>
      <c r="AH1216" s="64"/>
      <c r="AI1216" s="143"/>
      <c r="AJ1216" s="134"/>
      <c r="AK1216" s="194"/>
      <c r="AL1216" s="90"/>
    </row>
    <row r="1217" spans="1:38" ht="17.100000000000001" customHeight="1" x14ac:dyDescent="0.25">
      <c r="A1217" s="197"/>
      <c r="G1217" s="88"/>
      <c r="H1217" s="182"/>
      <c r="L1217" s="24"/>
      <c r="M1217" s="24"/>
      <c r="N1217" s="186"/>
      <c r="O1217" s="190"/>
      <c r="P1217" s="207"/>
      <c r="Q1217" s="142"/>
      <c r="T1217" s="201"/>
      <c r="Z1217" s="151"/>
      <c r="AB1217" s="64"/>
      <c r="AC1217" s="64"/>
      <c r="AD1217" s="64"/>
      <c r="AE1217" s="64"/>
      <c r="AF1217" s="64"/>
      <c r="AG1217" s="64"/>
      <c r="AH1217" s="64"/>
      <c r="AI1217" s="143"/>
      <c r="AJ1217" s="134"/>
      <c r="AK1217" s="194"/>
      <c r="AL1217" s="90"/>
    </row>
    <row r="1218" spans="1:38" ht="17.100000000000001" customHeight="1" x14ac:dyDescent="0.25">
      <c r="A1218" s="197"/>
      <c r="G1218" s="88"/>
      <c r="H1218" s="182"/>
      <c r="L1218" s="24"/>
      <c r="M1218" s="24"/>
      <c r="N1218" s="186"/>
      <c r="O1218" s="190"/>
      <c r="P1218" s="207"/>
      <c r="Q1218" s="142"/>
      <c r="T1218" s="201"/>
      <c r="Z1218" s="151"/>
      <c r="AB1218" s="64"/>
      <c r="AC1218" s="64"/>
      <c r="AD1218" s="64"/>
      <c r="AE1218" s="64"/>
      <c r="AF1218" s="64"/>
      <c r="AG1218" s="64"/>
      <c r="AH1218" s="64"/>
      <c r="AI1218" s="143"/>
      <c r="AJ1218" s="134"/>
      <c r="AK1218" s="194"/>
      <c r="AL1218" s="90"/>
    </row>
    <row r="1219" spans="1:38" ht="17.100000000000001" customHeight="1" x14ac:dyDescent="0.25">
      <c r="A1219" s="197"/>
      <c r="G1219" s="88"/>
      <c r="H1219" s="182"/>
      <c r="L1219" s="24"/>
      <c r="M1219" s="24"/>
      <c r="N1219" s="186"/>
      <c r="O1219" s="190"/>
      <c r="P1219" s="207"/>
      <c r="Q1219" s="142"/>
      <c r="T1219" s="201"/>
      <c r="Z1219" s="151"/>
      <c r="AB1219" s="64"/>
      <c r="AC1219" s="64"/>
      <c r="AD1219" s="64"/>
      <c r="AE1219" s="64"/>
      <c r="AF1219" s="64"/>
      <c r="AG1219" s="64"/>
      <c r="AH1219" s="64"/>
      <c r="AI1219" s="143"/>
      <c r="AJ1219" s="134"/>
      <c r="AK1219" s="194"/>
      <c r="AL1219" s="90"/>
    </row>
    <row r="1220" spans="1:38" ht="17.100000000000001" customHeight="1" x14ac:dyDescent="0.25">
      <c r="A1220" s="197"/>
      <c r="G1220" s="88"/>
      <c r="H1220" s="182"/>
      <c r="L1220" s="24"/>
      <c r="M1220" s="24"/>
      <c r="N1220" s="186"/>
      <c r="O1220" s="190"/>
      <c r="P1220" s="207"/>
      <c r="Q1220" s="142"/>
      <c r="T1220" s="201"/>
      <c r="Z1220" s="151"/>
      <c r="AB1220" s="64"/>
      <c r="AC1220" s="64"/>
      <c r="AD1220" s="64"/>
      <c r="AE1220" s="64"/>
      <c r="AF1220" s="64"/>
      <c r="AG1220" s="64"/>
      <c r="AH1220" s="64"/>
      <c r="AI1220" s="143"/>
      <c r="AJ1220" s="134"/>
      <c r="AK1220" s="194"/>
      <c r="AL1220" s="90"/>
    </row>
    <row r="1221" spans="1:38" ht="17.100000000000001" customHeight="1" x14ac:dyDescent="0.25">
      <c r="A1221" s="197"/>
      <c r="G1221" s="88"/>
      <c r="H1221" s="182"/>
      <c r="L1221" s="24"/>
      <c r="M1221" s="24"/>
      <c r="N1221" s="186"/>
      <c r="O1221" s="190"/>
      <c r="P1221" s="207"/>
      <c r="Q1221" s="142"/>
      <c r="T1221" s="201"/>
      <c r="Z1221" s="151"/>
      <c r="AB1221" s="64"/>
      <c r="AC1221" s="64"/>
      <c r="AD1221" s="64"/>
      <c r="AE1221" s="64"/>
      <c r="AF1221" s="64"/>
      <c r="AG1221" s="64"/>
      <c r="AH1221" s="64"/>
      <c r="AI1221" s="143"/>
      <c r="AJ1221" s="134"/>
      <c r="AK1221" s="194"/>
      <c r="AL1221" s="90"/>
    </row>
    <row r="1222" spans="1:38" ht="17.100000000000001" customHeight="1" x14ac:dyDescent="0.25">
      <c r="A1222" s="197"/>
      <c r="G1222" s="88"/>
      <c r="H1222" s="182"/>
      <c r="L1222" s="24"/>
      <c r="M1222" s="24"/>
      <c r="N1222" s="186"/>
      <c r="O1222" s="190"/>
      <c r="P1222" s="207"/>
      <c r="Q1222" s="142"/>
      <c r="T1222" s="201"/>
      <c r="Z1222" s="151"/>
      <c r="AB1222" s="64"/>
      <c r="AC1222" s="64"/>
      <c r="AD1222" s="64"/>
      <c r="AE1222" s="64"/>
      <c r="AF1222" s="64"/>
      <c r="AG1222" s="64"/>
      <c r="AH1222" s="64"/>
      <c r="AI1222" s="143"/>
      <c r="AJ1222" s="134"/>
      <c r="AK1222" s="194"/>
      <c r="AL1222" s="90"/>
    </row>
    <row r="1223" spans="1:38" ht="17.100000000000001" customHeight="1" x14ac:dyDescent="0.25">
      <c r="A1223" s="197"/>
      <c r="G1223" s="88"/>
      <c r="H1223" s="182"/>
      <c r="L1223" s="24"/>
      <c r="M1223" s="24"/>
      <c r="N1223" s="186"/>
      <c r="O1223" s="190"/>
      <c r="P1223" s="207"/>
      <c r="Q1223" s="142"/>
      <c r="T1223" s="201"/>
      <c r="Z1223" s="151"/>
      <c r="AB1223" s="64"/>
      <c r="AC1223" s="64"/>
      <c r="AD1223" s="64"/>
      <c r="AE1223" s="64"/>
      <c r="AF1223" s="64"/>
      <c r="AG1223" s="64"/>
      <c r="AH1223" s="64"/>
      <c r="AI1223" s="143"/>
      <c r="AJ1223" s="134"/>
      <c r="AK1223" s="194"/>
      <c r="AL1223" s="90"/>
    </row>
    <row r="1224" spans="1:38" ht="17.100000000000001" customHeight="1" x14ac:dyDescent="0.25">
      <c r="A1224" s="197"/>
      <c r="G1224" s="88"/>
      <c r="H1224" s="182"/>
      <c r="L1224" s="24"/>
      <c r="M1224" s="24"/>
      <c r="N1224" s="186"/>
      <c r="O1224" s="190"/>
      <c r="P1224" s="207"/>
      <c r="Q1224" s="142"/>
      <c r="T1224" s="201"/>
      <c r="Z1224" s="151"/>
      <c r="AB1224" s="64"/>
      <c r="AC1224" s="64"/>
      <c r="AD1224" s="64"/>
      <c r="AE1224" s="64"/>
      <c r="AF1224" s="64"/>
      <c r="AG1224" s="64"/>
      <c r="AH1224" s="64"/>
      <c r="AI1224" s="143"/>
      <c r="AJ1224" s="134"/>
      <c r="AK1224" s="194"/>
      <c r="AL1224" s="90"/>
    </row>
    <row r="1225" spans="1:38" ht="17.100000000000001" customHeight="1" x14ac:dyDescent="0.25">
      <c r="A1225" s="197"/>
      <c r="G1225" s="88"/>
      <c r="H1225" s="182"/>
      <c r="L1225" s="24"/>
      <c r="M1225" s="24"/>
      <c r="N1225" s="186"/>
      <c r="O1225" s="190"/>
      <c r="P1225" s="207"/>
      <c r="Q1225" s="142"/>
      <c r="T1225" s="201"/>
      <c r="Z1225" s="151"/>
      <c r="AB1225" s="64"/>
      <c r="AC1225" s="64"/>
      <c r="AD1225" s="64"/>
      <c r="AE1225" s="64"/>
      <c r="AF1225" s="64"/>
      <c r="AG1225" s="64"/>
      <c r="AH1225" s="64"/>
      <c r="AI1225" s="143"/>
      <c r="AJ1225" s="134"/>
      <c r="AK1225" s="194"/>
      <c r="AL1225" s="90"/>
    </row>
    <row r="1226" spans="1:38" ht="17.100000000000001" customHeight="1" x14ac:dyDescent="0.25">
      <c r="A1226" s="197"/>
      <c r="G1226" s="88"/>
      <c r="H1226" s="182"/>
      <c r="L1226" s="24"/>
      <c r="M1226" s="24"/>
      <c r="N1226" s="186"/>
      <c r="O1226" s="190"/>
      <c r="P1226" s="207"/>
      <c r="Q1226" s="142"/>
      <c r="T1226" s="201"/>
      <c r="Z1226" s="151"/>
      <c r="AB1226" s="64"/>
      <c r="AC1226" s="64"/>
      <c r="AD1226" s="64"/>
      <c r="AE1226" s="64"/>
      <c r="AF1226" s="64"/>
      <c r="AG1226" s="64"/>
      <c r="AH1226" s="64"/>
      <c r="AI1226" s="143"/>
      <c r="AJ1226" s="134"/>
      <c r="AK1226" s="194"/>
      <c r="AL1226" s="90"/>
    </row>
    <row r="1227" spans="1:38" ht="17.100000000000001" customHeight="1" x14ac:dyDescent="0.25">
      <c r="A1227" s="197"/>
      <c r="G1227" s="88"/>
      <c r="H1227" s="182"/>
      <c r="L1227" s="24"/>
      <c r="M1227" s="24"/>
      <c r="N1227" s="186"/>
      <c r="O1227" s="190"/>
      <c r="P1227" s="207"/>
      <c r="Q1227" s="142"/>
      <c r="T1227" s="201"/>
      <c r="Z1227" s="151"/>
      <c r="AB1227" s="64"/>
      <c r="AC1227" s="64"/>
      <c r="AD1227" s="64"/>
      <c r="AE1227" s="64"/>
      <c r="AF1227" s="64"/>
      <c r="AG1227" s="64"/>
      <c r="AH1227" s="64"/>
      <c r="AI1227" s="143"/>
      <c r="AJ1227" s="134"/>
      <c r="AK1227" s="194"/>
      <c r="AL1227" s="90"/>
    </row>
    <row r="1228" spans="1:38" ht="17.100000000000001" customHeight="1" x14ac:dyDescent="0.25">
      <c r="A1228" s="197"/>
      <c r="G1228" s="88"/>
      <c r="H1228" s="182"/>
      <c r="L1228" s="24"/>
      <c r="M1228" s="24"/>
      <c r="N1228" s="186"/>
      <c r="O1228" s="190"/>
      <c r="P1228" s="207"/>
      <c r="Q1228" s="142"/>
      <c r="T1228" s="201"/>
      <c r="Z1228" s="151"/>
      <c r="AB1228" s="64"/>
      <c r="AC1228" s="64"/>
      <c r="AD1228" s="64"/>
      <c r="AE1228" s="64"/>
      <c r="AF1228" s="64"/>
      <c r="AG1228" s="64"/>
      <c r="AH1228" s="64"/>
      <c r="AI1228" s="143"/>
      <c r="AJ1228" s="134"/>
      <c r="AK1228" s="194"/>
      <c r="AL1228" s="90"/>
    </row>
    <row r="1229" spans="1:38" ht="17.100000000000001" customHeight="1" x14ac:dyDescent="0.25">
      <c r="A1229" s="197"/>
      <c r="G1229" s="88"/>
      <c r="H1229" s="182"/>
      <c r="L1229" s="24"/>
      <c r="M1229" s="24"/>
      <c r="N1229" s="186"/>
      <c r="O1229" s="190"/>
      <c r="P1229" s="207"/>
      <c r="Q1229" s="142"/>
      <c r="T1229" s="201"/>
      <c r="Z1229" s="151"/>
      <c r="AB1229" s="64"/>
      <c r="AC1229" s="64"/>
      <c r="AD1229" s="64"/>
      <c r="AE1229" s="64"/>
      <c r="AF1229" s="64"/>
      <c r="AG1229" s="64"/>
      <c r="AH1229" s="64"/>
      <c r="AI1229" s="143"/>
      <c r="AJ1229" s="134"/>
      <c r="AK1229" s="194"/>
      <c r="AL1229" s="90"/>
    </row>
    <row r="1230" spans="1:38" ht="17.100000000000001" customHeight="1" x14ac:dyDescent="0.25">
      <c r="A1230" s="197"/>
      <c r="G1230" s="88"/>
      <c r="H1230" s="182"/>
      <c r="L1230" s="24"/>
      <c r="M1230" s="24"/>
      <c r="N1230" s="186"/>
      <c r="O1230" s="190"/>
      <c r="P1230" s="207"/>
      <c r="Q1230" s="142"/>
      <c r="T1230" s="201"/>
      <c r="Z1230" s="24"/>
      <c r="AB1230" s="26"/>
      <c r="AC1230" s="26"/>
      <c r="AD1230" s="26"/>
      <c r="AE1230" s="26"/>
      <c r="AF1230" s="26"/>
      <c r="AG1230" s="26"/>
      <c r="AH1230" s="26"/>
      <c r="AI1230" s="26"/>
      <c r="AJ1230" s="134"/>
      <c r="AK1230" s="194"/>
      <c r="AL1230" s="90"/>
    </row>
    <row r="1231" spans="1:38" ht="17.100000000000001" customHeight="1" x14ac:dyDescent="0.25">
      <c r="A1231" s="197"/>
      <c r="G1231" s="88"/>
      <c r="H1231" s="182"/>
      <c r="L1231" s="24"/>
      <c r="M1231" s="24"/>
      <c r="N1231" s="186"/>
      <c r="O1231" s="190"/>
      <c r="P1231" s="207"/>
      <c r="Q1231" s="142"/>
      <c r="T1231" s="201"/>
      <c r="Z1231" s="151"/>
      <c r="AB1231" s="64"/>
      <c r="AC1231" s="64"/>
      <c r="AD1231" s="64"/>
      <c r="AE1231" s="64"/>
      <c r="AF1231" s="64"/>
      <c r="AG1231" s="64"/>
      <c r="AH1231" s="64"/>
      <c r="AI1231" s="143"/>
      <c r="AJ1231" s="134"/>
      <c r="AK1231" s="194"/>
      <c r="AL1231" s="90"/>
    </row>
    <row r="1232" spans="1:38" ht="17.100000000000001" customHeight="1" x14ac:dyDescent="0.25">
      <c r="A1232" s="197"/>
      <c r="G1232" s="88"/>
      <c r="H1232" s="182"/>
      <c r="L1232" s="24"/>
      <c r="M1232" s="24"/>
      <c r="N1232" s="186"/>
      <c r="O1232" s="190"/>
      <c r="P1232" s="207"/>
      <c r="Q1232" s="142"/>
      <c r="T1232" s="201"/>
      <c r="Z1232" s="151"/>
      <c r="AB1232" s="64"/>
      <c r="AC1232" s="64"/>
      <c r="AD1232" s="64"/>
      <c r="AE1232" s="64"/>
      <c r="AF1232" s="64"/>
      <c r="AG1232" s="64"/>
      <c r="AH1232" s="64"/>
      <c r="AI1232" s="143"/>
      <c r="AJ1232" s="134"/>
      <c r="AK1232" s="194"/>
      <c r="AL1232" s="90"/>
    </row>
    <row r="1233" spans="1:38" ht="17.100000000000001" customHeight="1" x14ac:dyDescent="0.25">
      <c r="A1233" s="197"/>
      <c r="G1233" s="88"/>
      <c r="H1233" s="182"/>
      <c r="L1233" s="24"/>
      <c r="M1233" s="24"/>
      <c r="N1233" s="186"/>
      <c r="O1233" s="190"/>
      <c r="P1233" s="207"/>
      <c r="Q1233" s="142"/>
      <c r="T1233" s="201"/>
      <c r="Z1233" s="151"/>
      <c r="AB1233" s="64"/>
      <c r="AC1233" s="64"/>
      <c r="AD1233" s="64"/>
      <c r="AE1233" s="64"/>
      <c r="AF1233" s="64"/>
      <c r="AG1233" s="64"/>
      <c r="AH1233" s="64"/>
      <c r="AI1233" s="143"/>
      <c r="AJ1233" s="134"/>
      <c r="AK1233" s="194"/>
      <c r="AL1233" s="90"/>
    </row>
    <row r="1234" spans="1:38" ht="17.100000000000001" customHeight="1" x14ac:dyDescent="0.25">
      <c r="A1234" s="197"/>
      <c r="G1234" s="88"/>
      <c r="H1234" s="182"/>
      <c r="L1234" s="24"/>
      <c r="M1234" s="24"/>
      <c r="N1234" s="186"/>
      <c r="O1234" s="190"/>
      <c r="P1234" s="207"/>
      <c r="Q1234" s="142"/>
      <c r="T1234" s="201"/>
      <c r="Z1234" s="151"/>
      <c r="AB1234" s="64"/>
      <c r="AC1234" s="64"/>
      <c r="AD1234" s="64"/>
      <c r="AE1234" s="64"/>
      <c r="AF1234" s="64"/>
      <c r="AG1234" s="64"/>
      <c r="AH1234" s="64"/>
      <c r="AI1234" s="143"/>
      <c r="AJ1234" s="134"/>
      <c r="AK1234" s="194"/>
      <c r="AL1234" s="90"/>
    </row>
    <row r="1235" spans="1:38" ht="17.100000000000001" customHeight="1" x14ac:dyDescent="0.25">
      <c r="A1235" s="197"/>
      <c r="G1235" s="88"/>
      <c r="H1235" s="182"/>
      <c r="L1235" s="24"/>
      <c r="M1235" s="24"/>
      <c r="N1235" s="186"/>
      <c r="O1235" s="190"/>
      <c r="P1235" s="207"/>
      <c r="Q1235" s="142"/>
      <c r="T1235" s="201"/>
      <c r="Z1235" s="151"/>
      <c r="AB1235" s="64"/>
      <c r="AC1235" s="64"/>
      <c r="AD1235" s="64"/>
      <c r="AE1235" s="64"/>
      <c r="AF1235" s="64"/>
      <c r="AG1235" s="64"/>
      <c r="AH1235" s="64"/>
      <c r="AI1235" s="143"/>
      <c r="AJ1235" s="134"/>
      <c r="AK1235" s="194"/>
      <c r="AL1235" s="90"/>
    </row>
    <row r="1236" spans="1:38" ht="17.100000000000001" customHeight="1" x14ac:dyDescent="0.25">
      <c r="A1236" s="197"/>
      <c r="G1236" s="88"/>
      <c r="H1236" s="182"/>
      <c r="L1236" s="24"/>
      <c r="M1236" s="24"/>
      <c r="N1236" s="186"/>
      <c r="O1236" s="190"/>
      <c r="P1236" s="207"/>
      <c r="Q1236" s="142"/>
      <c r="T1236" s="201"/>
      <c r="Z1236" s="151"/>
      <c r="AB1236" s="64"/>
      <c r="AC1236" s="64"/>
      <c r="AD1236" s="64"/>
      <c r="AE1236" s="64"/>
      <c r="AF1236" s="64"/>
      <c r="AG1236" s="64"/>
      <c r="AH1236" s="64"/>
      <c r="AI1236" s="143"/>
      <c r="AJ1236" s="134"/>
      <c r="AK1236" s="194"/>
      <c r="AL1236" s="90"/>
    </row>
    <row r="1237" spans="1:38" ht="17.100000000000001" customHeight="1" x14ac:dyDescent="0.25">
      <c r="A1237" s="197"/>
      <c r="G1237" s="88"/>
      <c r="H1237" s="182"/>
      <c r="L1237" s="24"/>
      <c r="M1237" s="24"/>
      <c r="N1237" s="186"/>
      <c r="O1237" s="190"/>
      <c r="P1237" s="207"/>
      <c r="Q1237" s="142"/>
      <c r="T1237" s="201"/>
      <c r="Z1237" s="151"/>
      <c r="AB1237" s="64"/>
      <c r="AC1237" s="64"/>
      <c r="AD1237" s="64"/>
      <c r="AE1237" s="64"/>
      <c r="AF1237" s="64"/>
      <c r="AG1237" s="64"/>
      <c r="AH1237" s="64"/>
      <c r="AI1237" s="143"/>
      <c r="AJ1237" s="134"/>
      <c r="AK1237" s="194"/>
      <c r="AL1237" s="90"/>
    </row>
    <row r="1238" spans="1:38" ht="17.100000000000001" customHeight="1" x14ac:dyDescent="0.25">
      <c r="A1238" s="197"/>
      <c r="G1238" s="88"/>
      <c r="H1238" s="182"/>
      <c r="L1238" s="24"/>
      <c r="M1238" s="24"/>
      <c r="N1238" s="186"/>
      <c r="O1238" s="190"/>
      <c r="P1238" s="207"/>
      <c r="Q1238" s="142"/>
      <c r="T1238" s="201"/>
      <c r="Z1238" s="151"/>
      <c r="AB1238" s="64"/>
      <c r="AC1238" s="64"/>
      <c r="AD1238" s="64"/>
      <c r="AE1238" s="64"/>
      <c r="AF1238" s="64"/>
      <c r="AG1238" s="64"/>
      <c r="AH1238" s="64"/>
      <c r="AI1238" s="143"/>
      <c r="AJ1238" s="134"/>
      <c r="AK1238" s="194"/>
      <c r="AL1238" s="90"/>
    </row>
    <row r="1239" spans="1:38" ht="17.100000000000001" customHeight="1" x14ac:dyDescent="0.25">
      <c r="A1239" s="197"/>
      <c r="G1239" s="88"/>
      <c r="H1239" s="182"/>
      <c r="L1239" s="24"/>
      <c r="M1239" s="24"/>
      <c r="N1239" s="186"/>
      <c r="O1239" s="190"/>
      <c r="P1239" s="207"/>
      <c r="Q1239" s="142"/>
      <c r="T1239" s="201"/>
      <c r="Z1239" s="151"/>
      <c r="AB1239" s="64"/>
      <c r="AC1239" s="64"/>
      <c r="AD1239" s="64"/>
      <c r="AE1239" s="64"/>
      <c r="AF1239" s="64"/>
      <c r="AG1239" s="64"/>
      <c r="AH1239" s="64"/>
      <c r="AI1239" s="143"/>
      <c r="AJ1239" s="134"/>
      <c r="AK1239" s="194"/>
      <c r="AL1239" s="90"/>
    </row>
    <row r="1240" spans="1:38" ht="17.100000000000001" customHeight="1" x14ac:dyDescent="0.25">
      <c r="A1240" s="197"/>
      <c r="G1240" s="88"/>
      <c r="H1240" s="182"/>
      <c r="L1240" s="24"/>
      <c r="M1240" s="24"/>
      <c r="N1240" s="186"/>
      <c r="O1240" s="190"/>
      <c r="P1240" s="207"/>
      <c r="Q1240" s="142"/>
      <c r="T1240" s="201"/>
      <c r="Z1240" s="151"/>
      <c r="AB1240" s="64"/>
      <c r="AC1240" s="64"/>
      <c r="AD1240" s="64"/>
      <c r="AE1240" s="64"/>
      <c r="AF1240" s="64"/>
      <c r="AG1240" s="64"/>
      <c r="AH1240" s="64"/>
      <c r="AI1240" s="143"/>
      <c r="AJ1240" s="134"/>
      <c r="AK1240" s="194"/>
      <c r="AL1240" s="90"/>
    </row>
    <row r="1241" spans="1:38" ht="17.100000000000001" customHeight="1" x14ac:dyDescent="0.25">
      <c r="A1241" s="197"/>
      <c r="G1241" s="88"/>
      <c r="H1241" s="182"/>
      <c r="L1241" s="24"/>
      <c r="M1241" s="24"/>
      <c r="N1241" s="186"/>
      <c r="O1241" s="190"/>
      <c r="P1241" s="207"/>
      <c r="Q1241" s="142"/>
      <c r="T1241" s="201"/>
      <c r="Z1241" s="151"/>
      <c r="AB1241" s="64"/>
      <c r="AC1241" s="64"/>
      <c r="AD1241" s="64"/>
      <c r="AE1241" s="64"/>
      <c r="AF1241" s="64"/>
      <c r="AG1241" s="64"/>
      <c r="AH1241" s="64"/>
      <c r="AI1241" s="143"/>
      <c r="AJ1241" s="134"/>
      <c r="AK1241" s="194"/>
      <c r="AL1241" s="90"/>
    </row>
    <row r="1242" spans="1:38" ht="17.100000000000001" customHeight="1" x14ac:dyDescent="0.25">
      <c r="A1242" s="197"/>
      <c r="G1242" s="88"/>
      <c r="H1242" s="182"/>
      <c r="L1242" s="24"/>
      <c r="M1242" s="24"/>
      <c r="N1242" s="186"/>
      <c r="O1242" s="190"/>
      <c r="P1242" s="207"/>
      <c r="Q1242" s="142"/>
      <c r="T1242" s="201"/>
      <c r="Z1242" s="151"/>
      <c r="AB1242" s="64"/>
      <c r="AC1242" s="64"/>
      <c r="AD1242" s="64"/>
      <c r="AE1242" s="64"/>
      <c r="AF1242" s="64"/>
      <c r="AG1242" s="64"/>
      <c r="AH1242" s="64"/>
      <c r="AI1242" s="143"/>
      <c r="AJ1242" s="134"/>
      <c r="AK1242" s="194"/>
      <c r="AL1242" s="90"/>
    </row>
    <row r="1243" spans="1:38" ht="17.100000000000001" customHeight="1" x14ac:dyDescent="0.25">
      <c r="A1243" s="197"/>
      <c r="G1243" s="88"/>
      <c r="H1243" s="182"/>
      <c r="L1243" s="24"/>
      <c r="M1243" s="24"/>
      <c r="N1243" s="186"/>
      <c r="O1243" s="190"/>
      <c r="P1243" s="207"/>
      <c r="Q1243" s="142"/>
      <c r="T1243" s="201"/>
      <c r="Z1243" s="151"/>
      <c r="AB1243" s="64"/>
      <c r="AC1243" s="64"/>
      <c r="AD1243" s="64"/>
      <c r="AE1243" s="64"/>
      <c r="AF1243" s="64"/>
      <c r="AG1243" s="64"/>
      <c r="AH1243" s="64"/>
      <c r="AI1243" s="143"/>
      <c r="AJ1243" s="134"/>
      <c r="AK1243" s="194"/>
      <c r="AL1243" s="90"/>
    </row>
    <row r="1244" spans="1:38" ht="17.100000000000001" customHeight="1" x14ac:dyDescent="0.25">
      <c r="A1244" s="197"/>
      <c r="G1244" s="88"/>
      <c r="H1244" s="182"/>
      <c r="L1244" s="24"/>
      <c r="M1244" s="24"/>
      <c r="N1244" s="186"/>
      <c r="O1244" s="190"/>
      <c r="P1244" s="207"/>
      <c r="Q1244" s="142"/>
      <c r="T1244" s="201"/>
      <c r="Z1244" s="151"/>
      <c r="AB1244" s="64"/>
      <c r="AC1244" s="64"/>
      <c r="AD1244" s="64"/>
      <c r="AE1244" s="64"/>
      <c r="AF1244" s="64"/>
      <c r="AG1244" s="64"/>
      <c r="AH1244" s="64"/>
      <c r="AI1244" s="143"/>
      <c r="AJ1244" s="134"/>
      <c r="AK1244" s="194"/>
      <c r="AL1244" s="90"/>
    </row>
    <row r="1245" spans="1:38" ht="17.100000000000001" customHeight="1" x14ac:dyDescent="0.25">
      <c r="A1245" s="197"/>
      <c r="G1245" s="88"/>
      <c r="H1245" s="182"/>
      <c r="L1245" s="24"/>
      <c r="M1245" s="24"/>
      <c r="N1245" s="186"/>
      <c r="O1245" s="190"/>
      <c r="P1245" s="207"/>
      <c r="Q1245" s="142"/>
      <c r="T1245" s="201"/>
      <c r="Z1245" s="151"/>
      <c r="AB1245" s="64"/>
      <c r="AC1245" s="64"/>
      <c r="AD1245" s="64"/>
      <c r="AE1245" s="64"/>
      <c r="AF1245" s="64"/>
      <c r="AG1245" s="64"/>
      <c r="AH1245" s="64"/>
      <c r="AI1245" s="143"/>
      <c r="AJ1245" s="134"/>
      <c r="AK1245" s="194"/>
      <c r="AL1245" s="90"/>
    </row>
    <row r="1246" spans="1:38" ht="17.100000000000001" customHeight="1" x14ac:dyDescent="0.25">
      <c r="A1246" s="197"/>
      <c r="G1246" s="88"/>
      <c r="H1246" s="182"/>
      <c r="L1246" s="24"/>
      <c r="M1246" s="24"/>
      <c r="N1246" s="186"/>
      <c r="O1246" s="190"/>
      <c r="P1246" s="207"/>
      <c r="Q1246" s="142"/>
      <c r="T1246" s="201"/>
      <c r="Z1246" s="151"/>
      <c r="AB1246" s="64"/>
      <c r="AC1246" s="64"/>
      <c r="AD1246" s="64"/>
      <c r="AE1246" s="64"/>
      <c r="AF1246" s="64"/>
      <c r="AG1246" s="64"/>
      <c r="AH1246" s="64"/>
      <c r="AI1246" s="143"/>
      <c r="AJ1246" s="134"/>
      <c r="AK1246" s="194"/>
      <c r="AL1246" s="90"/>
    </row>
    <row r="1247" spans="1:38" ht="17.100000000000001" customHeight="1" x14ac:dyDescent="0.25">
      <c r="A1247" s="197"/>
      <c r="G1247" s="88"/>
      <c r="H1247" s="182"/>
      <c r="L1247" s="24"/>
      <c r="M1247" s="24"/>
      <c r="N1247" s="186"/>
      <c r="O1247" s="190"/>
      <c r="P1247" s="207"/>
      <c r="Q1247" s="142"/>
      <c r="T1247" s="201"/>
      <c r="Z1247" s="151"/>
      <c r="AB1247" s="64"/>
      <c r="AC1247" s="64"/>
      <c r="AD1247" s="64"/>
      <c r="AE1247" s="64"/>
      <c r="AF1247" s="64"/>
      <c r="AG1247" s="64"/>
      <c r="AH1247" s="64"/>
      <c r="AI1247" s="143"/>
      <c r="AJ1247" s="134"/>
      <c r="AK1247" s="194"/>
      <c r="AL1247" s="90"/>
    </row>
    <row r="1248" spans="1:38" ht="17.100000000000001" customHeight="1" x14ac:dyDescent="0.25">
      <c r="A1248" s="197"/>
      <c r="G1248" s="88"/>
      <c r="H1248" s="182"/>
      <c r="L1248" s="24"/>
      <c r="M1248" s="24"/>
      <c r="N1248" s="186"/>
      <c r="O1248" s="190"/>
      <c r="P1248" s="207"/>
      <c r="Q1248" s="142"/>
      <c r="T1248" s="201"/>
      <c r="Z1248" s="151"/>
      <c r="AB1248" s="64"/>
      <c r="AC1248" s="64"/>
      <c r="AD1248" s="64"/>
      <c r="AE1248" s="64"/>
      <c r="AF1248" s="64"/>
      <c r="AG1248" s="64"/>
      <c r="AH1248" s="64"/>
      <c r="AI1248" s="143"/>
      <c r="AJ1248" s="134"/>
      <c r="AK1248" s="194"/>
      <c r="AL1248" s="90"/>
    </row>
    <row r="1249" spans="1:38" ht="17.100000000000001" customHeight="1" x14ac:dyDescent="0.25">
      <c r="A1249" s="197"/>
      <c r="G1249" s="88"/>
      <c r="H1249" s="182"/>
      <c r="L1249" s="24"/>
      <c r="M1249" s="24"/>
      <c r="N1249" s="186"/>
      <c r="O1249" s="190"/>
      <c r="P1249" s="207"/>
      <c r="Q1249" s="142"/>
      <c r="T1249" s="201"/>
      <c r="Z1249" s="151"/>
      <c r="AB1249" s="64"/>
      <c r="AC1249" s="64"/>
      <c r="AD1249" s="64"/>
      <c r="AE1249" s="64"/>
      <c r="AF1249" s="64"/>
      <c r="AG1249" s="64"/>
      <c r="AH1249" s="64"/>
      <c r="AI1249" s="143"/>
      <c r="AJ1249" s="134"/>
      <c r="AK1249" s="194"/>
      <c r="AL1249" s="90"/>
    </row>
    <row r="1250" spans="1:38" ht="17.100000000000001" customHeight="1" x14ac:dyDescent="0.25">
      <c r="A1250" s="197"/>
      <c r="G1250" s="88"/>
      <c r="H1250" s="182"/>
      <c r="L1250" s="24"/>
      <c r="M1250" s="24"/>
      <c r="N1250" s="186"/>
      <c r="O1250" s="190"/>
      <c r="P1250" s="207"/>
      <c r="Q1250" s="142"/>
      <c r="T1250" s="201"/>
      <c r="Z1250" s="151"/>
      <c r="AB1250" s="64"/>
      <c r="AC1250" s="64"/>
      <c r="AD1250" s="64"/>
      <c r="AE1250" s="64"/>
      <c r="AF1250" s="64"/>
      <c r="AG1250" s="64"/>
      <c r="AH1250" s="64"/>
      <c r="AI1250" s="143"/>
      <c r="AJ1250" s="134"/>
      <c r="AK1250" s="194"/>
      <c r="AL1250" s="90"/>
    </row>
    <row r="1251" spans="1:38" ht="17.100000000000001" customHeight="1" x14ac:dyDescent="0.25">
      <c r="A1251" s="197"/>
      <c r="G1251" s="88"/>
      <c r="H1251" s="182"/>
      <c r="L1251" s="24"/>
      <c r="M1251" s="24"/>
      <c r="N1251" s="186"/>
      <c r="O1251" s="190"/>
      <c r="P1251" s="207"/>
      <c r="Q1251" s="142"/>
      <c r="T1251" s="201"/>
      <c r="Z1251" s="151"/>
      <c r="AB1251" s="64"/>
      <c r="AC1251" s="64"/>
      <c r="AD1251" s="64"/>
      <c r="AE1251" s="64"/>
      <c r="AF1251" s="64"/>
      <c r="AG1251" s="64"/>
      <c r="AH1251" s="64"/>
      <c r="AI1251" s="143"/>
      <c r="AJ1251" s="134"/>
      <c r="AK1251" s="194"/>
      <c r="AL1251" s="90"/>
    </row>
    <row r="1252" spans="1:38" ht="17.100000000000001" customHeight="1" x14ac:dyDescent="0.25">
      <c r="A1252" s="197"/>
      <c r="G1252" s="88"/>
      <c r="H1252" s="182"/>
      <c r="L1252" s="24"/>
      <c r="M1252" s="24"/>
      <c r="N1252" s="186"/>
      <c r="O1252" s="190"/>
      <c r="P1252" s="207"/>
      <c r="Q1252" s="142"/>
      <c r="T1252" s="201"/>
      <c r="Z1252" s="151"/>
      <c r="AB1252" s="64"/>
      <c r="AC1252" s="64"/>
      <c r="AD1252" s="64"/>
      <c r="AE1252" s="64"/>
      <c r="AF1252" s="64"/>
      <c r="AG1252" s="64"/>
      <c r="AH1252" s="64"/>
      <c r="AI1252" s="143"/>
      <c r="AJ1252" s="134"/>
      <c r="AK1252" s="194"/>
      <c r="AL1252" s="90"/>
    </row>
    <row r="1253" spans="1:38" ht="17.100000000000001" customHeight="1" x14ac:dyDescent="0.25">
      <c r="A1253" s="197"/>
      <c r="G1253" s="88"/>
      <c r="H1253" s="182"/>
      <c r="L1253" s="24"/>
      <c r="M1253" s="24"/>
      <c r="N1253" s="186"/>
      <c r="O1253" s="190"/>
      <c r="P1253" s="207"/>
      <c r="Q1253" s="142"/>
      <c r="T1253" s="201"/>
      <c r="Z1253" s="151"/>
      <c r="AB1253" s="64"/>
      <c r="AC1253" s="64"/>
      <c r="AD1253" s="64"/>
      <c r="AE1253" s="64"/>
      <c r="AF1253" s="64"/>
      <c r="AG1253" s="64"/>
      <c r="AH1253" s="64"/>
      <c r="AI1253" s="143"/>
      <c r="AJ1253" s="134"/>
      <c r="AK1253" s="194"/>
      <c r="AL1253" s="90"/>
    </row>
    <row r="1254" spans="1:38" ht="17.100000000000001" customHeight="1" x14ac:dyDescent="0.25">
      <c r="A1254" s="197"/>
      <c r="G1254" s="88"/>
      <c r="H1254" s="182"/>
      <c r="L1254" s="24"/>
      <c r="M1254" s="24"/>
      <c r="N1254" s="186"/>
      <c r="O1254" s="190"/>
      <c r="P1254" s="207"/>
      <c r="Q1254" s="142"/>
      <c r="T1254" s="201"/>
      <c r="Z1254" s="151"/>
      <c r="AB1254" s="64"/>
      <c r="AC1254" s="64"/>
      <c r="AD1254" s="64"/>
      <c r="AE1254" s="64"/>
      <c r="AF1254" s="64"/>
      <c r="AG1254" s="64"/>
      <c r="AH1254" s="64"/>
      <c r="AI1254" s="143"/>
      <c r="AJ1254" s="134"/>
      <c r="AK1254" s="194"/>
      <c r="AL1254" s="90"/>
    </row>
    <row r="1255" spans="1:38" ht="17.100000000000001" customHeight="1" x14ac:dyDescent="0.25">
      <c r="A1255" s="197"/>
      <c r="G1255" s="88"/>
      <c r="H1255" s="182"/>
      <c r="L1255" s="24"/>
      <c r="M1255" s="24"/>
      <c r="N1255" s="186"/>
      <c r="O1255" s="190"/>
      <c r="P1255" s="207"/>
      <c r="Q1255" s="142"/>
      <c r="T1255" s="201"/>
      <c r="Z1255" s="151"/>
      <c r="AB1255" s="64"/>
      <c r="AC1255" s="64"/>
      <c r="AD1255" s="64"/>
      <c r="AE1255" s="64"/>
      <c r="AF1255" s="64"/>
      <c r="AG1255" s="64"/>
      <c r="AH1255" s="64"/>
      <c r="AI1255" s="143"/>
      <c r="AJ1255" s="134"/>
      <c r="AK1255" s="194"/>
      <c r="AL1255" s="90"/>
    </row>
    <row r="1256" spans="1:38" ht="17.100000000000001" customHeight="1" x14ac:dyDescent="0.25">
      <c r="A1256" s="197"/>
      <c r="G1256" s="88"/>
      <c r="H1256" s="182"/>
      <c r="L1256" s="24"/>
      <c r="M1256" s="24"/>
      <c r="N1256" s="186"/>
      <c r="O1256" s="190"/>
      <c r="P1256" s="207"/>
      <c r="Q1256" s="142"/>
      <c r="T1256" s="201"/>
      <c r="Z1256" s="151"/>
      <c r="AB1256" s="64"/>
      <c r="AC1256" s="64"/>
      <c r="AD1256" s="64"/>
      <c r="AE1256" s="64"/>
      <c r="AF1256" s="64"/>
      <c r="AG1256" s="64"/>
      <c r="AH1256" s="64"/>
      <c r="AI1256" s="143"/>
      <c r="AJ1256" s="134"/>
      <c r="AK1256" s="194"/>
      <c r="AL1256" s="90"/>
    </row>
    <row r="1257" spans="1:38" ht="17.100000000000001" customHeight="1" x14ac:dyDescent="0.25">
      <c r="A1257" s="197"/>
      <c r="G1257" s="88"/>
      <c r="H1257" s="182"/>
      <c r="L1257" s="24"/>
      <c r="M1257" s="24"/>
      <c r="N1257" s="186"/>
      <c r="O1257" s="190"/>
      <c r="P1257" s="207"/>
      <c r="Q1257" s="142"/>
      <c r="T1257" s="201"/>
      <c r="Z1257" s="151"/>
      <c r="AB1257" s="64"/>
      <c r="AC1257" s="64"/>
      <c r="AD1257" s="64"/>
      <c r="AE1257" s="64"/>
      <c r="AF1257" s="64"/>
      <c r="AG1257" s="64"/>
      <c r="AH1257" s="64"/>
      <c r="AI1257" s="143"/>
      <c r="AJ1257" s="134"/>
      <c r="AK1257" s="194"/>
      <c r="AL1257" s="90"/>
    </row>
    <row r="1258" spans="1:38" ht="17.100000000000001" customHeight="1" x14ac:dyDescent="0.25">
      <c r="A1258" s="197"/>
      <c r="G1258" s="88"/>
      <c r="H1258" s="182"/>
      <c r="L1258" s="24"/>
      <c r="M1258" s="24"/>
      <c r="N1258" s="186"/>
      <c r="O1258" s="190"/>
      <c r="P1258" s="207"/>
      <c r="Q1258" s="142"/>
      <c r="T1258" s="201"/>
      <c r="Z1258" s="151"/>
      <c r="AB1258" s="64"/>
      <c r="AC1258" s="64"/>
      <c r="AD1258" s="64"/>
      <c r="AE1258" s="64"/>
      <c r="AF1258" s="64"/>
      <c r="AG1258" s="64"/>
      <c r="AH1258" s="64"/>
      <c r="AI1258" s="143"/>
      <c r="AJ1258" s="134"/>
      <c r="AK1258" s="194"/>
      <c r="AL1258" s="90"/>
    </row>
    <row r="1259" spans="1:38" ht="17.100000000000001" customHeight="1" x14ac:dyDescent="0.25">
      <c r="A1259" s="197"/>
      <c r="G1259" s="88"/>
      <c r="H1259" s="182"/>
      <c r="L1259" s="24"/>
      <c r="M1259" s="24"/>
      <c r="N1259" s="186"/>
      <c r="O1259" s="190"/>
      <c r="P1259" s="207"/>
      <c r="Q1259" s="142"/>
      <c r="T1259" s="201"/>
      <c r="Z1259" s="151"/>
      <c r="AB1259" s="64"/>
      <c r="AC1259" s="64"/>
      <c r="AD1259" s="64"/>
      <c r="AE1259" s="64"/>
      <c r="AF1259" s="64"/>
      <c r="AG1259" s="64"/>
      <c r="AH1259" s="64"/>
      <c r="AI1259" s="143"/>
      <c r="AJ1259" s="134"/>
      <c r="AK1259" s="194"/>
      <c r="AL1259" s="90"/>
    </row>
    <row r="1260" spans="1:38" ht="17.100000000000001" customHeight="1" x14ac:dyDescent="0.25">
      <c r="A1260" s="197"/>
      <c r="G1260" s="88"/>
      <c r="H1260" s="182"/>
      <c r="L1260" s="24"/>
      <c r="M1260" s="24"/>
      <c r="N1260" s="186"/>
      <c r="O1260" s="190"/>
      <c r="P1260" s="207"/>
      <c r="Q1260" s="142"/>
      <c r="T1260" s="201"/>
      <c r="Z1260" s="151"/>
      <c r="AB1260" s="64"/>
      <c r="AC1260" s="64"/>
      <c r="AD1260" s="64"/>
      <c r="AE1260" s="64"/>
      <c r="AF1260" s="64"/>
      <c r="AG1260" s="64"/>
      <c r="AH1260" s="64"/>
      <c r="AI1260" s="143"/>
      <c r="AJ1260" s="177"/>
      <c r="AK1260" s="194"/>
      <c r="AL1260" s="90"/>
    </row>
    <row r="1261" spans="1:38" ht="17.100000000000001" customHeight="1" x14ac:dyDescent="0.25">
      <c r="A1261" s="197"/>
      <c r="G1261" s="88"/>
      <c r="H1261" s="182"/>
      <c r="L1261" s="24"/>
      <c r="M1261" s="24"/>
      <c r="N1261" s="186"/>
      <c r="O1261" s="190"/>
      <c r="P1261" s="207"/>
      <c r="Q1261" s="142"/>
      <c r="T1261" s="201"/>
      <c r="Z1261" s="151"/>
      <c r="AB1261" s="64"/>
      <c r="AC1261" s="64"/>
      <c r="AD1261" s="64"/>
      <c r="AE1261" s="64"/>
      <c r="AF1261" s="64"/>
      <c r="AG1261" s="64"/>
      <c r="AH1261" s="64"/>
      <c r="AI1261" s="143"/>
      <c r="AJ1261" s="177"/>
      <c r="AK1261" s="194"/>
      <c r="AL1261" s="90"/>
    </row>
    <row r="1262" spans="1:38" ht="17.100000000000001" customHeight="1" x14ac:dyDescent="0.25">
      <c r="A1262" s="197"/>
      <c r="G1262" s="88"/>
      <c r="H1262" s="182"/>
      <c r="L1262" s="24"/>
      <c r="M1262" s="24"/>
      <c r="N1262" s="186"/>
      <c r="O1262" s="190"/>
      <c r="P1262" s="207"/>
      <c r="Q1262" s="142"/>
      <c r="T1262" s="201"/>
      <c r="Z1262" s="151"/>
      <c r="AB1262" s="64"/>
      <c r="AC1262" s="64"/>
      <c r="AD1262" s="64"/>
      <c r="AE1262" s="64"/>
      <c r="AF1262" s="64"/>
      <c r="AG1262" s="64"/>
      <c r="AH1262" s="64"/>
      <c r="AI1262" s="143"/>
      <c r="AJ1262" s="177"/>
      <c r="AK1262" s="194"/>
      <c r="AL1262" s="90"/>
    </row>
    <row r="1263" spans="1:38" ht="17.100000000000001" customHeight="1" x14ac:dyDescent="0.25">
      <c r="A1263" s="197"/>
      <c r="G1263" s="88"/>
      <c r="H1263" s="182"/>
      <c r="L1263" s="24"/>
      <c r="M1263" s="24"/>
      <c r="N1263" s="186"/>
      <c r="O1263" s="190"/>
      <c r="P1263" s="207"/>
      <c r="Q1263" s="142"/>
      <c r="T1263" s="201"/>
      <c r="Z1263" s="151"/>
      <c r="AB1263" s="64"/>
      <c r="AC1263" s="64"/>
      <c r="AD1263" s="64"/>
      <c r="AE1263" s="64"/>
      <c r="AF1263" s="64"/>
      <c r="AG1263" s="64"/>
      <c r="AH1263" s="64"/>
      <c r="AI1263" s="143"/>
      <c r="AJ1263" s="177"/>
      <c r="AK1263" s="194"/>
      <c r="AL1263" s="90"/>
    </row>
    <row r="1264" spans="1:38" ht="17.100000000000001" customHeight="1" x14ac:dyDescent="0.25">
      <c r="A1264" s="197"/>
      <c r="G1264" s="88"/>
      <c r="H1264" s="182"/>
      <c r="L1264" s="24"/>
      <c r="M1264" s="24"/>
      <c r="N1264" s="186"/>
      <c r="O1264" s="190"/>
      <c r="P1264" s="207"/>
      <c r="Q1264" s="142"/>
      <c r="T1264" s="201"/>
      <c r="Z1264" s="151"/>
      <c r="AB1264" s="64"/>
      <c r="AC1264" s="64"/>
      <c r="AD1264" s="64"/>
      <c r="AE1264" s="64"/>
      <c r="AF1264" s="64"/>
      <c r="AG1264" s="64"/>
      <c r="AH1264" s="64"/>
      <c r="AI1264" s="143"/>
      <c r="AJ1264" s="177"/>
      <c r="AK1264" s="194"/>
      <c r="AL1264" s="90"/>
    </row>
    <row r="1265" spans="1:38" ht="17.100000000000001" customHeight="1" x14ac:dyDescent="0.25">
      <c r="A1265" s="197"/>
      <c r="G1265" s="88"/>
      <c r="H1265" s="182"/>
      <c r="L1265" s="24"/>
      <c r="M1265" s="24"/>
      <c r="N1265" s="186"/>
      <c r="O1265" s="190"/>
      <c r="P1265" s="207"/>
      <c r="Q1265" s="142"/>
      <c r="T1265" s="201"/>
      <c r="Z1265" s="151"/>
      <c r="AB1265" s="64"/>
      <c r="AC1265" s="64"/>
      <c r="AD1265" s="64"/>
      <c r="AE1265" s="64"/>
      <c r="AF1265" s="64"/>
      <c r="AG1265" s="64"/>
      <c r="AH1265" s="64"/>
      <c r="AI1265" s="143"/>
      <c r="AJ1265" s="177"/>
      <c r="AK1265" s="194"/>
      <c r="AL1265" s="90"/>
    </row>
    <row r="1266" spans="1:38" ht="17.100000000000001" customHeight="1" x14ac:dyDescent="0.25">
      <c r="A1266" s="197"/>
      <c r="G1266" s="88"/>
      <c r="H1266" s="182"/>
      <c r="L1266" s="24"/>
      <c r="M1266" s="24"/>
      <c r="N1266" s="186"/>
      <c r="O1266" s="190"/>
      <c r="P1266" s="207"/>
      <c r="Q1266" s="142"/>
      <c r="T1266" s="201"/>
      <c r="Z1266" s="151"/>
      <c r="AB1266" s="64"/>
      <c r="AC1266" s="64"/>
      <c r="AD1266" s="64"/>
      <c r="AE1266" s="64"/>
      <c r="AF1266" s="64"/>
      <c r="AG1266" s="64"/>
      <c r="AH1266" s="64"/>
      <c r="AI1266" s="143"/>
      <c r="AJ1266" s="177"/>
      <c r="AK1266" s="194"/>
      <c r="AL1266" s="90"/>
    </row>
  </sheetData>
  <mergeCells count="4">
    <mergeCell ref="AN3:AP3"/>
    <mergeCell ref="AN4:AP5"/>
    <mergeCell ref="AJ1:AL1"/>
    <mergeCell ref="S1:S2"/>
  </mergeCells>
  <phoneticPr fontId="40" type="noConversion"/>
  <conditionalFormatting sqref="G7:G20">
    <cfRule type="containsText" dxfId="132" priority="13" operator="containsText" text="*">
      <formula>NOT(ISERROR(SEARCH("*",G7)))</formula>
    </cfRule>
  </conditionalFormatting>
  <conditionalFormatting sqref="P1:P1048576">
    <cfRule type="cellIs" dxfId="131" priority="12" operator="equal">
      <formula>"yes"</formula>
    </cfRule>
  </conditionalFormatting>
  <conditionalFormatting sqref="A7:A20">
    <cfRule type="duplicateValues" dxfId="130" priority="14"/>
  </conditionalFormatting>
  <conditionalFormatting sqref="S1:S1048576">
    <cfRule type="duplicateValues" dxfId="129" priority="11"/>
  </conditionalFormatting>
  <conditionalFormatting sqref="R1:R1048576">
    <cfRule type="duplicateValues" dxfId="128" priority="10"/>
  </conditionalFormatting>
  <conditionalFormatting sqref="T1:T1048576">
    <cfRule type="duplicateValues" dxfId="127" priority="9"/>
  </conditionalFormatting>
  <conditionalFormatting sqref="W1:W1048576">
    <cfRule type="duplicateValues" dxfId="126" priority="8"/>
  </conditionalFormatting>
  <conditionalFormatting sqref="X1:X1048576">
    <cfRule type="duplicateValues" dxfId="125" priority="7"/>
  </conditionalFormatting>
  <conditionalFormatting sqref="AC1:AC1048576">
    <cfRule type="duplicateValues" dxfId="124" priority="6"/>
  </conditionalFormatting>
  <conditionalFormatting sqref="AD1:AD1048576">
    <cfRule type="duplicateValues" dxfId="123" priority="5"/>
  </conditionalFormatting>
  <conditionalFormatting sqref="R1:T1048576">
    <cfRule type="containsText" dxfId="122" priority="4" operator="containsText" text=" ">
      <formula>NOT(ISERROR(SEARCH(" ",R1)))</formula>
    </cfRule>
  </conditionalFormatting>
  <conditionalFormatting sqref="I7:I20">
    <cfRule type="expression" dxfId="121" priority="3">
      <formula>LEN(TRIM(I7))=0</formula>
    </cfRule>
  </conditionalFormatting>
  <conditionalFormatting sqref="A1:AI1048576">
    <cfRule type="cellIs" dxfId="120" priority="2" operator="equal">
      <formula>"n"</formula>
    </cfRule>
  </conditionalFormatting>
  <conditionalFormatting sqref="A1:AI1048576">
    <cfRule type="cellIs" dxfId="119" priority="1" stopIfTrue="1" operator="equal">
      <formula>"n/a"</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Reset_Formatting.Reset_Formatting">
                <anchor moveWithCells="1">
                  <from>
                    <xdr:col>33</xdr:col>
                    <xdr:colOff>552450</xdr:colOff>
                    <xdr:row>0</xdr:row>
                    <xdr:rowOff>133350</xdr:rowOff>
                  </from>
                  <to>
                    <xdr:col>34</xdr:col>
                    <xdr:colOff>923925</xdr:colOff>
                    <xdr:row>1</xdr:row>
                    <xdr:rowOff>123825</xdr:rowOff>
                  </to>
                </anchor>
              </controlPr>
            </control>
          </mc:Choice>
        </mc:AlternateContent>
        <mc:AlternateContent xmlns:mc="http://schemas.openxmlformats.org/markup-compatibility/2006">
          <mc:Choice Requires="x14">
            <control shapeId="25609" r:id="rId5" name="Button 9">
              <controlPr defaultSize="0" print="0" autoFill="0" autoPict="0" macro="[0]!MakeSlips">
                <anchor moveWithCells="1">
                  <from>
                    <xdr:col>9</xdr:col>
                    <xdr:colOff>66675</xdr:colOff>
                    <xdr:row>0</xdr:row>
                    <xdr:rowOff>133350</xdr:rowOff>
                  </from>
                  <to>
                    <xdr:col>11</xdr:col>
                    <xdr:colOff>19050</xdr:colOff>
                    <xdr:row>1</xdr:row>
                    <xdr:rowOff>123825</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9D972-C8E3-4287-A9FB-D8E7F40574B8}">
  <sheetPr codeName="SA_Slips">
    <pageSetUpPr fitToPage="1"/>
  </sheetPr>
  <dimension ref="A1:J2"/>
  <sheetViews>
    <sheetView view="pageLayout" zoomScaleNormal="100" workbookViewId="0">
      <selection activeCell="J14" sqref="J14"/>
    </sheetView>
  </sheetViews>
  <sheetFormatPr defaultColWidth="9.140625" defaultRowHeight="21" x14ac:dyDescent="0.25"/>
  <cols>
    <col min="1" max="1" width="3.7109375" style="107" customWidth="1"/>
    <col min="2" max="2" width="9.140625" style="108"/>
    <col min="3" max="3" width="3.7109375" style="18" customWidth="1"/>
    <col min="4" max="4" width="5" style="18" customWidth="1"/>
    <col min="5" max="5" width="3.7109375" style="18" customWidth="1"/>
    <col min="6" max="6" width="5" style="109" customWidth="1"/>
    <col min="7" max="7" width="3.7109375" style="18" customWidth="1"/>
    <col min="8" max="8" width="7.5703125" style="111" customWidth="1"/>
    <col min="9" max="9" width="3.7109375" style="18" customWidth="1"/>
    <col min="10" max="10" width="51" style="70" customWidth="1"/>
  </cols>
  <sheetData>
    <row r="1" spans="1:10" ht="57.6" customHeight="1" x14ac:dyDescent="0.25">
      <c r="A1" s="65" t="s">
        <v>1002</v>
      </c>
      <c r="B1" s="66" t="s">
        <v>1001</v>
      </c>
      <c r="C1" s="69" t="s">
        <v>1000</v>
      </c>
      <c r="D1" s="171">
        <v>635</v>
      </c>
      <c r="E1" s="69" t="s">
        <v>62</v>
      </c>
      <c r="F1" s="152" t="s">
        <v>94</v>
      </c>
      <c r="G1" s="68" t="s">
        <v>72</v>
      </c>
      <c r="H1" s="110" t="s">
        <v>954</v>
      </c>
      <c r="I1" s="68"/>
      <c r="J1" s="67" t="s">
        <v>955</v>
      </c>
    </row>
    <row r="2" spans="1:10" x14ac:dyDescent="0.25">
      <c r="A2" s="65"/>
      <c r="B2" s="66"/>
      <c r="C2" s="69"/>
      <c r="D2" s="171"/>
      <c r="E2" s="69"/>
      <c r="F2" s="152"/>
      <c r="G2" s="68"/>
      <c r="H2" s="110"/>
      <c r="I2" s="68"/>
      <c r="J2" s="67"/>
    </row>
  </sheetData>
  <pageMargins left="0.25" right="0.25" top="0.75" bottom="0.75" header="0.3" footer="0.3"/>
  <pageSetup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0CE09-35B9-4934-9649-917BFA36AFD1}">
  <sheetPr codeName="Manual_Slips"/>
  <dimension ref="A1:M33"/>
  <sheetViews>
    <sheetView view="pageLayout" zoomScaleNormal="100" workbookViewId="0">
      <selection activeCell="D10" sqref="D10:D12"/>
    </sheetView>
  </sheetViews>
  <sheetFormatPr defaultColWidth="9.140625" defaultRowHeight="15" x14ac:dyDescent="0.25"/>
  <cols>
    <col min="1" max="1" width="3.7109375" customWidth="1"/>
    <col min="2" max="3" width="5" customWidth="1"/>
    <col min="4" max="4" width="8.85546875" customWidth="1"/>
    <col min="6" max="6" width="16" customWidth="1"/>
    <col min="7" max="8" width="6.42578125" customWidth="1"/>
    <col min="9" max="9" width="2.5703125" customWidth="1"/>
    <col min="10" max="10" width="6.42578125" customWidth="1"/>
    <col min="13" max="13" width="11.42578125" customWidth="1"/>
  </cols>
  <sheetData>
    <row r="1" spans="1:13" ht="20.85" customHeight="1" x14ac:dyDescent="0.25">
      <c r="A1" s="232" t="s">
        <v>958</v>
      </c>
      <c r="B1" s="219" t="s">
        <v>959</v>
      </c>
      <c r="C1" s="222" t="s">
        <v>956</v>
      </c>
      <c r="D1" s="225"/>
      <c r="E1" s="33" t="s">
        <v>957</v>
      </c>
      <c r="F1" s="31"/>
      <c r="G1" s="33" t="s">
        <v>960</v>
      </c>
      <c r="H1" s="34"/>
      <c r="I1" s="35" t="s">
        <v>961</v>
      </c>
      <c r="J1" s="34"/>
      <c r="K1" s="33" t="s">
        <v>962</v>
      </c>
      <c r="L1" s="35"/>
      <c r="M1" s="31"/>
    </row>
    <row r="2" spans="1:13" ht="20.85" customHeight="1" x14ac:dyDescent="0.25">
      <c r="A2" s="233"/>
      <c r="B2" s="220"/>
      <c r="C2" s="223"/>
      <c r="D2" s="226"/>
      <c r="E2" s="36"/>
      <c r="G2" s="32" t="s">
        <v>963</v>
      </c>
      <c r="H2" s="228"/>
      <c r="I2" s="228"/>
      <c r="J2" s="228"/>
      <c r="K2" s="228"/>
      <c r="L2" s="228"/>
      <c r="M2" s="229"/>
    </row>
    <row r="3" spans="1:13" ht="20.85" customHeight="1" x14ac:dyDescent="0.25">
      <c r="A3" s="234"/>
      <c r="B3" s="221"/>
      <c r="C3" s="224"/>
      <c r="D3" s="227"/>
      <c r="E3" s="37" t="s">
        <v>964</v>
      </c>
      <c r="F3" s="30"/>
      <c r="G3" s="38"/>
      <c r="H3" s="230"/>
      <c r="I3" s="230"/>
      <c r="J3" s="230"/>
      <c r="K3" s="230"/>
      <c r="L3" s="230"/>
      <c r="M3" s="231"/>
    </row>
    <row r="4" spans="1:13" ht="20.85" customHeight="1" x14ac:dyDescent="0.25">
      <c r="A4" s="232" t="s">
        <v>958</v>
      </c>
      <c r="B4" s="219" t="s">
        <v>959</v>
      </c>
      <c r="C4" s="222" t="s">
        <v>956</v>
      </c>
      <c r="D4" s="225"/>
      <c r="E4" s="33" t="s">
        <v>957</v>
      </c>
      <c r="F4" s="31"/>
      <c r="G4" s="33" t="s">
        <v>960</v>
      </c>
      <c r="H4" s="34"/>
      <c r="I4" s="35" t="s">
        <v>961</v>
      </c>
      <c r="J4" s="34"/>
      <c r="K4" s="33" t="s">
        <v>962</v>
      </c>
      <c r="L4" s="31"/>
      <c r="M4" s="31"/>
    </row>
    <row r="5" spans="1:13" ht="20.85" customHeight="1" x14ac:dyDescent="0.25">
      <c r="A5" s="233"/>
      <c r="B5" s="220"/>
      <c r="C5" s="223"/>
      <c r="D5" s="226"/>
      <c r="E5" s="36"/>
      <c r="G5" s="32" t="s">
        <v>963</v>
      </c>
      <c r="H5" s="228"/>
      <c r="I5" s="228"/>
      <c r="J5" s="228"/>
      <c r="K5" s="228"/>
      <c r="L5" s="228"/>
      <c r="M5" s="229"/>
    </row>
    <row r="6" spans="1:13" ht="20.85" customHeight="1" x14ac:dyDescent="0.25">
      <c r="A6" s="234"/>
      <c r="B6" s="221"/>
      <c r="C6" s="224"/>
      <c r="D6" s="227"/>
      <c r="E6" s="37" t="s">
        <v>964</v>
      </c>
      <c r="F6" s="30"/>
      <c r="G6" s="38"/>
      <c r="H6" s="230"/>
      <c r="I6" s="230"/>
      <c r="J6" s="230"/>
      <c r="K6" s="230"/>
      <c r="L6" s="230"/>
      <c r="M6" s="231"/>
    </row>
    <row r="7" spans="1:13" ht="20.85" customHeight="1" x14ac:dyDescent="0.25">
      <c r="A7" s="232" t="s">
        <v>958</v>
      </c>
      <c r="B7" s="219" t="s">
        <v>959</v>
      </c>
      <c r="C7" s="222" t="s">
        <v>956</v>
      </c>
      <c r="D7" s="225"/>
      <c r="E7" s="33" t="s">
        <v>957</v>
      </c>
      <c r="F7" s="31"/>
      <c r="G7" s="33" t="s">
        <v>960</v>
      </c>
      <c r="H7" s="34"/>
      <c r="I7" s="35" t="s">
        <v>961</v>
      </c>
      <c r="J7" s="34"/>
      <c r="K7" s="33" t="s">
        <v>962</v>
      </c>
      <c r="L7" s="31"/>
      <c r="M7" s="31"/>
    </row>
    <row r="8" spans="1:13" ht="20.85" customHeight="1" x14ac:dyDescent="0.25">
      <c r="A8" s="233"/>
      <c r="B8" s="220"/>
      <c r="C8" s="223"/>
      <c r="D8" s="226"/>
      <c r="E8" s="36"/>
      <c r="G8" s="32" t="s">
        <v>963</v>
      </c>
      <c r="H8" s="228"/>
      <c r="I8" s="228"/>
      <c r="J8" s="228"/>
      <c r="K8" s="228"/>
      <c r="L8" s="228"/>
      <c r="M8" s="229"/>
    </row>
    <row r="9" spans="1:13" ht="20.85" customHeight="1" x14ac:dyDescent="0.25">
      <c r="A9" s="234"/>
      <c r="B9" s="221"/>
      <c r="C9" s="224"/>
      <c r="D9" s="227"/>
      <c r="E9" s="37" t="s">
        <v>964</v>
      </c>
      <c r="F9" s="30"/>
      <c r="G9" s="38"/>
      <c r="H9" s="230"/>
      <c r="I9" s="230"/>
      <c r="J9" s="230"/>
      <c r="K9" s="230"/>
      <c r="L9" s="230"/>
      <c r="M9" s="231"/>
    </row>
    <row r="10" spans="1:13" ht="20.85" customHeight="1" x14ac:dyDescent="0.25">
      <c r="A10" s="232" t="s">
        <v>958</v>
      </c>
      <c r="B10" s="219" t="s">
        <v>959</v>
      </c>
      <c r="C10" s="222" t="s">
        <v>956</v>
      </c>
      <c r="D10" s="225"/>
      <c r="E10" s="33" t="s">
        <v>957</v>
      </c>
      <c r="F10" s="31"/>
      <c r="G10" s="33" t="s">
        <v>960</v>
      </c>
      <c r="H10" s="34"/>
      <c r="I10" s="35" t="s">
        <v>961</v>
      </c>
      <c r="J10" s="34"/>
      <c r="K10" s="33" t="s">
        <v>962</v>
      </c>
      <c r="L10" s="31"/>
      <c r="M10" s="31"/>
    </row>
    <row r="11" spans="1:13" ht="20.85" customHeight="1" x14ac:dyDescent="0.25">
      <c r="A11" s="233"/>
      <c r="B11" s="220"/>
      <c r="C11" s="223"/>
      <c r="D11" s="226"/>
      <c r="E11" s="36"/>
      <c r="G11" s="32" t="s">
        <v>963</v>
      </c>
      <c r="H11" s="228"/>
      <c r="I11" s="228"/>
      <c r="J11" s="228"/>
      <c r="K11" s="228"/>
      <c r="L11" s="228"/>
      <c r="M11" s="229"/>
    </row>
    <row r="12" spans="1:13" ht="20.85" customHeight="1" x14ac:dyDescent="0.25">
      <c r="A12" s="234"/>
      <c r="B12" s="221"/>
      <c r="C12" s="224"/>
      <c r="D12" s="227"/>
      <c r="E12" s="37" t="s">
        <v>964</v>
      </c>
      <c r="F12" s="30"/>
      <c r="G12" s="38"/>
      <c r="H12" s="230"/>
      <c r="I12" s="230"/>
      <c r="J12" s="230"/>
      <c r="K12" s="230"/>
      <c r="L12" s="230"/>
      <c r="M12" s="231"/>
    </row>
    <row r="13" spans="1:13" ht="20.85" customHeight="1" x14ac:dyDescent="0.25">
      <c r="A13" s="232" t="s">
        <v>958</v>
      </c>
      <c r="B13" s="219" t="s">
        <v>959</v>
      </c>
      <c r="C13" s="222" t="s">
        <v>956</v>
      </c>
      <c r="D13" s="225"/>
      <c r="E13" s="33" t="s">
        <v>957</v>
      </c>
      <c r="F13" s="31"/>
      <c r="G13" s="33" t="s">
        <v>960</v>
      </c>
      <c r="H13" s="34"/>
      <c r="I13" s="35" t="s">
        <v>961</v>
      </c>
      <c r="J13" s="34"/>
      <c r="K13" s="33" t="s">
        <v>962</v>
      </c>
      <c r="L13" s="31"/>
      <c r="M13" s="31"/>
    </row>
    <row r="14" spans="1:13" ht="20.85" customHeight="1" x14ac:dyDescent="0.25">
      <c r="A14" s="233"/>
      <c r="B14" s="220"/>
      <c r="C14" s="223"/>
      <c r="D14" s="226"/>
      <c r="E14" s="36"/>
      <c r="G14" s="32" t="s">
        <v>963</v>
      </c>
      <c r="H14" s="228"/>
      <c r="I14" s="228"/>
      <c r="J14" s="228"/>
      <c r="K14" s="228"/>
      <c r="L14" s="228"/>
      <c r="M14" s="229"/>
    </row>
    <row r="15" spans="1:13" ht="20.85" customHeight="1" x14ac:dyDescent="0.25">
      <c r="A15" s="234"/>
      <c r="B15" s="221"/>
      <c r="C15" s="224"/>
      <c r="D15" s="227"/>
      <c r="E15" s="37" t="s">
        <v>964</v>
      </c>
      <c r="F15" s="30"/>
      <c r="G15" s="38"/>
      <c r="H15" s="230"/>
      <c r="I15" s="230"/>
      <c r="J15" s="230"/>
      <c r="K15" s="230"/>
      <c r="L15" s="230"/>
      <c r="M15" s="231"/>
    </row>
    <row r="16" spans="1:13" ht="20.85" customHeight="1" x14ac:dyDescent="0.25">
      <c r="A16" s="232" t="s">
        <v>958</v>
      </c>
      <c r="B16" s="219" t="s">
        <v>959</v>
      </c>
      <c r="C16" s="222" t="s">
        <v>956</v>
      </c>
      <c r="D16" s="225"/>
      <c r="E16" s="33" t="s">
        <v>957</v>
      </c>
      <c r="F16" s="31"/>
      <c r="G16" s="33" t="s">
        <v>960</v>
      </c>
      <c r="H16" s="34"/>
      <c r="I16" s="35" t="s">
        <v>961</v>
      </c>
      <c r="J16" s="34"/>
      <c r="K16" s="33" t="s">
        <v>962</v>
      </c>
      <c r="L16" s="31"/>
      <c r="M16" s="31"/>
    </row>
    <row r="17" spans="1:13" ht="20.85" customHeight="1" x14ac:dyDescent="0.25">
      <c r="A17" s="233"/>
      <c r="B17" s="220"/>
      <c r="C17" s="223"/>
      <c r="D17" s="226"/>
      <c r="E17" s="36"/>
      <c r="G17" s="32" t="s">
        <v>963</v>
      </c>
      <c r="H17" s="228"/>
      <c r="I17" s="228"/>
      <c r="J17" s="228"/>
      <c r="K17" s="228"/>
      <c r="L17" s="228"/>
      <c r="M17" s="229"/>
    </row>
    <row r="18" spans="1:13" ht="20.85" customHeight="1" x14ac:dyDescent="0.25">
      <c r="A18" s="234"/>
      <c r="B18" s="221"/>
      <c r="C18" s="224"/>
      <c r="D18" s="227"/>
      <c r="E18" s="37" t="s">
        <v>964</v>
      </c>
      <c r="F18" s="30"/>
      <c r="G18" s="38"/>
      <c r="H18" s="230"/>
      <c r="I18" s="230"/>
      <c r="J18" s="230"/>
      <c r="K18" s="230"/>
      <c r="L18" s="230"/>
      <c r="M18" s="231"/>
    </row>
    <row r="19" spans="1:13" ht="20.85" customHeight="1" x14ac:dyDescent="0.25">
      <c r="A19" s="232" t="s">
        <v>958</v>
      </c>
      <c r="B19" s="219" t="s">
        <v>959</v>
      </c>
      <c r="C19" s="222" t="s">
        <v>956</v>
      </c>
      <c r="D19" s="225"/>
      <c r="E19" s="33" t="s">
        <v>957</v>
      </c>
      <c r="F19" s="31"/>
      <c r="G19" s="33" t="s">
        <v>960</v>
      </c>
      <c r="H19" s="34"/>
      <c r="I19" s="35" t="s">
        <v>961</v>
      </c>
      <c r="J19" s="34"/>
      <c r="K19" s="33" t="s">
        <v>962</v>
      </c>
      <c r="L19" s="31"/>
      <c r="M19" s="31"/>
    </row>
    <row r="20" spans="1:13" ht="20.85" customHeight="1" x14ac:dyDescent="0.25">
      <c r="A20" s="233"/>
      <c r="B20" s="220"/>
      <c r="C20" s="223"/>
      <c r="D20" s="226"/>
      <c r="E20" s="36"/>
      <c r="G20" s="32" t="s">
        <v>963</v>
      </c>
      <c r="H20" s="228"/>
      <c r="I20" s="228"/>
      <c r="J20" s="228"/>
      <c r="K20" s="228"/>
      <c r="L20" s="228"/>
      <c r="M20" s="229"/>
    </row>
    <row r="21" spans="1:13" ht="20.85" customHeight="1" x14ac:dyDescent="0.25">
      <c r="A21" s="234"/>
      <c r="B21" s="221"/>
      <c r="C21" s="224"/>
      <c r="D21" s="227"/>
      <c r="E21" s="37" t="s">
        <v>964</v>
      </c>
      <c r="F21" s="30"/>
      <c r="G21" s="38"/>
      <c r="H21" s="230"/>
      <c r="I21" s="230"/>
      <c r="J21" s="230"/>
      <c r="K21" s="230"/>
      <c r="L21" s="230"/>
      <c r="M21" s="231"/>
    </row>
    <row r="22" spans="1:13" ht="20.85" customHeight="1" x14ac:dyDescent="0.25">
      <c r="A22" s="232" t="s">
        <v>958</v>
      </c>
      <c r="B22" s="219" t="s">
        <v>959</v>
      </c>
      <c r="C22" s="222" t="s">
        <v>956</v>
      </c>
      <c r="D22" s="225"/>
      <c r="E22" s="33" t="s">
        <v>957</v>
      </c>
      <c r="F22" s="31"/>
      <c r="G22" s="33" t="s">
        <v>960</v>
      </c>
      <c r="H22" s="34"/>
      <c r="I22" s="35" t="s">
        <v>961</v>
      </c>
      <c r="J22" s="34"/>
      <c r="K22" s="33" t="s">
        <v>962</v>
      </c>
      <c r="L22" s="31"/>
      <c r="M22" s="31"/>
    </row>
    <row r="23" spans="1:13" ht="20.85" customHeight="1" x14ac:dyDescent="0.25">
      <c r="A23" s="233"/>
      <c r="B23" s="220"/>
      <c r="C23" s="223"/>
      <c r="D23" s="226"/>
      <c r="E23" s="36"/>
      <c r="G23" s="32" t="s">
        <v>963</v>
      </c>
      <c r="H23" s="228"/>
      <c r="I23" s="228"/>
      <c r="J23" s="228"/>
      <c r="K23" s="228"/>
      <c r="L23" s="228"/>
      <c r="M23" s="229"/>
    </row>
    <row r="24" spans="1:13" ht="20.85" customHeight="1" x14ac:dyDescent="0.25">
      <c r="A24" s="234"/>
      <c r="B24" s="221"/>
      <c r="C24" s="224"/>
      <c r="D24" s="227"/>
      <c r="E24" s="37" t="s">
        <v>964</v>
      </c>
      <c r="F24" s="30"/>
      <c r="G24" s="38"/>
      <c r="H24" s="230"/>
      <c r="I24" s="230"/>
      <c r="J24" s="230"/>
      <c r="K24" s="230"/>
      <c r="L24" s="230"/>
      <c r="M24" s="231"/>
    </row>
    <row r="25" spans="1:13" ht="20.85" customHeight="1" x14ac:dyDescent="0.25">
      <c r="A25" s="232" t="s">
        <v>958</v>
      </c>
      <c r="B25" s="219" t="s">
        <v>959</v>
      </c>
      <c r="C25" s="222" t="s">
        <v>956</v>
      </c>
      <c r="D25" s="225"/>
      <c r="E25" s="33" t="s">
        <v>957</v>
      </c>
      <c r="F25" s="31"/>
      <c r="G25" s="33" t="s">
        <v>960</v>
      </c>
      <c r="H25" s="34"/>
      <c r="I25" s="35" t="s">
        <v>961</v>
      </c>
      <c r="J25" s="34"/>
      <c r="K25" s="33" t="s">
        <v>962</v>
      </c>
      <c r="L25" s="31"/>
      <c r="M25" s="31"/>
    </row>
    <row r="26" spans="1:13" ht="20.85" customHeight="1" x14ac:dyDescent="0.25">
      <c r="A26" s="233"/>
      <c r="B26" s="220"/>
      <c r="C26" s="223"/>
      <c r="D26" s="226"/>
      <c r="E26" s="36"/>
      <c r="G26" s="32" t="s">
        <v>963</v>
      </c>
      <c r="H26" s="228"/>
      <c r="I26" s="228"/>
      <c r="J26" s="228"/>
      <c r="K26" s="228"/>
      <c r="L26" s="228"/>
      <c r="M26" s="229"/>
    </row>
    <row r="27" spans="1:13" ht="20.85" customHeight="1" x14ac:dyDescent="0.25">
      <c r="A27" s="234"/>
      <c r="B27" s="221"/>
      <c r="C27" s="224"/>
      <c r="D27" s="227"/>
      <c r="E27" s="37" t="s">
        <v>964</v>
      </c>
      <c r="F27" s="30"/>
      <c r="G27" s="38"/>
      <c r="H27" s="230"/>
      <c r="I27" s="230"/>
      <c r="J27" s="230"/>
      <c r="K27" s="230"/>
      <c r="L27" s="230"/>
      <c r="M27" s="231"/>
    </row>
    <row r="28" spans="1:13" ht="20.85" customHeight="1" x14ac:dyDescent="0.25">
      <c r="A28" s="232" t="s">
        <v>958</v>
      </c>
      <c r="B28" s="219" t="s">
        <v>959</v>
      </c>
      <c r="C28" s="222" t="s">
        <v>956</v>
      </c>
      <c r="D28" s="225"/>
      <c r="E28" s="33" t="s">
        <v>957</v>
      </c>
      <c r="F28" s="31"/>
      <c r="G28" s="33" t="s">
        <v>960</v>
      </c>
      <c r="H28" s="34"/>
      <c r="I28" s="35" t="s">
        <v>961</v>
      </c>
      <c r="J28" s="34"/>
      <c r="K28" s="33" t="s">
        <v>962</v>
      </c>
      <c r="L28" s="31"/>
      <c r="M28" s="31"/>
    </row>
    <row r="29" spans="1:13" ht="20.85" customHeight="1" x14ac:dyDescent="0.25">
      <c r="A29" s="233"/>
      <c r="B29" s="220"/>
      <c r="C29" s="223"/>
      <c r="D29" s="226"/>
      <c r="E29" s="36"/>
      <c r="G29" s="32" t="s">
        <v>963</v>
      </c>
      <c r="H29" s="228"/>
      <c r="I29" s="228"/>
      <c r="J29" s="228"/>
      <c r="K29" s="228"/>
      <c r="L29" s="228"/>
      <c r="M29" s="229"/>
    </row>
    <row r="30" spans="1:13" ht="20.85" customHeight="1" x14ac:dyDescent="0.25">
      <c r="A30" s="234"/>
      <c r="B30" s="221"/>
      <c r="C30" s="224"/>
      <c r="D30" s="227"/>
      <c r="E30" s="37" t="s">
        <v>964</v>
      </c>
      <c r="F30" s="30"/>
      <c r="G30" s="38"/>
      <c r="H30" s="230"/>
      <c r="I30" s="230"/>
      <c r="J30" s="230"/>
      <c r="K30" s="230"/>
      <c r="L30" s="230"/>
      <c r="M30" s="231"/>
    </row>
    <row r="31" spans="1:13" ht="20.85" customHeight="1" x14ac:dyDescent="0.25">
      <c r="A31" s="232" t="s">
        <v>958</v>
      </c>
      <c r="B31" s="219" t="s">
        <v>959</v>
      </c>
      <c r="C31" s="222" t="s">
        <v>956</v>
      </c>
      <c r="D31" s="225"/>
      <c r="E31" s="33" t="s">
        <v>957</v>
      </c>
      <c r="F31" s="31"/>
      <c r="G31" s="33" t="s">
        <v>960</v>
      </c>
      <c r="H31" s="34"/>
      <c r="I31" s="35" t="s">
        <v>961</v>
      </c>
      <c r="J31" s="34"/>
      <c r="K31" s="33" t="s">
        <v>962</v>
      </c>
      <c r="L31" s="31"/>
      <c r="M31" s="31"/>
    </row>
    <row r="32" spans="1:13" ht="20.85" customHeight="1" x14ac:dyDescent="0.25">
      <c r="A32" s="233"/>
      <c r="B32" s="220"/>
      <c r="C32" s="223"/>
      <c r="D32" s="226"/>
      <c r="E32" s="36"/>
      <c r="G32" s="32" t="s">
        <v>963</v>
      </c>
      <c r="H32" s="228"/>
      <c r="I32" s="228"/>
      <c r="J32" s="228"/>
      <c r="K32" s="228"/>
      <c r="L32" s="228"/>
      <c r="M32" s="229"/>
    </row>
    <row r="33" spans="1:13" ht="20.85" customHeight="1" x14ac:dyDescent="0.25">
      <c r="A33" s="234"/>
      <c r="B33" s="221"/>
      <c r="C33" s="224"/>
      <c r="D33" s="227"/>
      <c r="E33" s="37" t="s">
        <v>964</v>
      </c>
      <c r="F33" s="30"/>
      <c r="G33" s="38"/>
      <c r="H33" s="230"/>
      <c r="I33" s="230"/>
      <c r="J33" s="230"/>
      <c r="K33" s="230"/>
      <c r="L33" s="230"/>
      <c r="M33" s="231"/>
    </row>
  </sheetData>
  <mergeCells count="55">
    <mergeCell ref="A31:A33"/>
    <mergeCell ref="B31:B33"/>
    <mergeCell ref="C31:C33"/>
    <mergeCell ref="D31:D33"/>
    <mergeCell ref="H32:M33"/>
    <mergeCell ref="A25:A27"/>
    <mergeCell ref="B25:B27"/>
    <mergeCell ref="C25:C27"/>
    <mergeCell ref="D25:D27"/>
    <mergeCell ref="H26:M27"/>
    <mergeCell ref="A28:A30"/>
    <mergeCell ref="B28:B30"/>
    <mergeCell ref="C28:C30"/>
    <mergeCell ref="D28:D30"/>
    <mergeCell ref="H29:M30"/>
    <mergeCell ref="A19:A21"/>
    <mergeCell ref="B19:B21"/>
    <mergeCell ref="C19:C21"/>
    <mergeCell ref="D19:D21"/>
    <mergeCell ref="H20:M21"/>
    <mergeCell ref="A22:A24"/>
    <mergeCell ref="B22:B24"/>
    <mergeCell ref="C22:C24"/>
    <mergeCell ref="D22:D24"/>
    <mergeCell ref="H23:M24"/>
    <mergeCell ref="A13:A15"/>
    <mergeCell ref="B13:B15"/>
    <mergeCell ref="C13:C15"/>
    <mergeCell ref="D13:D15"/>
    <mergeCell ref="H14:M15"/>
    <mergeCell ref="A16:A18"/>
    <mergeCell ref="B16:B18"/>
    <mergeCell ref="C16:C18"/>
    <mergeCell ref="D16:D18"/>
    <mergeCell ref="H17:M18"/>
    <mergeCell ref="A7:A9"/>
    <mergeCell ref="B7:B9"/>
    <mergeCell ref="C7:C9"/>
    <mergeCell ref="D7:D9"/>
    <mergeCell ref="H8:M9"/>
    <mergeCell ref="A10:A12"/>
    <mergeCell ref="B10:B12"/>
    <mergeCell ref="C10:C12"/>
    <mergeCell ref="D10:D12"/>
    <mergeCell ref="H11:M12"/>
    <mergeCell ref="B1:B3"/>
    <mergeCell ref="C1:C3"/>
    <mergeCell ref="D1:D3"/>
    <mergeCell ref="H2:M3"/>
    <mergeCell ref="A4:A6"/>
    <mergeCell ref="B4:B6"/>
    <mergeCell ref="C4:C6"/>
    <mergeCell ref="D4:D6"/>
    <mergeCell ref="H5:M6"/>
    <mergeCell ref="A1:A3"/>
  </mergeCells>
  <pageMargins left="0.25" right="0.25" top="0.75" bottom="0.75" header="0.3" footer="0.3"/>
  <pageSetup orientation="portrait" r:id="rId1"/>
  <headerFooter>
    <oddHeader>&amp;C&amp;K00-049manual slips</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DE681-4BBD-43DF-841A-0516B51EF0CC}">
  <sheetPr codeName="Assian">
    <tabColor theme="4"/>
  </sheetPr>
  <dimension ref="A2:B18"/>
  <sheetViews>
    <sheetView zoomScaleNormal="100" workbookViewId="0">
      <selection activeCell="E27" sqref="E27"/>
    </sheetView>
  </sheetViews>
  <sheetFormatPr defaultRowHeight="15" x14ac:dyDescent="0.25"/>
  <cols>
    <col min="1" max="1" width="20.7109375" style="2" customWidth="1"/>
    <col min="2" max="2" width="6.7109375" style="2" customWidth="1"/>
  </cols>
  <sheetData>
    <row r="2" spans="1:2" ht="20.100000000000001" customHeight="1" x14ac:dyDescent="0.25">
      <c r="A2" s="180" t="s">
        <v>62</v>
      </c>
      <c r="B2" s="178" t="s">
        <v>1315</v>
      </c>
    </row>
    <row r="3" spans="1:2" x14ac:dyDescent="0.25">
      <c r="A3" s="29" t="s">
        <v>1024</v>
      </c>
      <c r="B3" s="2">
        <v>1</v>
      </c>
    </row>
    <row r="4" spans="1:2" x14ac:dyDescent="0.25">
      <c r="A4" s="29" t="s">
        <v>410</v>
      </c>
      <c r="B4" s="2">
        <v>1</v>
      </c>
    </row>
    <row r="5" spans="1:2" x14ac:dyDescent="0.25">
      <c r="A5" s="29" t="s">
        <v>261</v>
      </c>
      <c r="B5" s="2">
        <v>1</v>
      </c>
    </row>
    <row r="6" spans="1:2" x14ac:dyDescent="0.25">
      <c r="A6" s="29" t="s">
        <v>187</v>
      </c>
      <c r="B6" s="2">
        <v>1</v>
      </c>
    </row>
    <row r="7" spans="1:2" x14ac:dyDescent="0.25">
      <c r="A7" s="29" t="s">
        <v>445</v>
      </c>
      <c r="B7" s="2">
        <v>1</v>
      </c>
    </row>
    <row r="8" spans="1:2" x14ac:dyDescent="0.25">
      <c r="A8" s="29" t="s">
        <v>853</v>
      </c>
      <c r="B8" s="2">
        <v>1</v>
      </c>
    </row>
    <row r="9" spans="1:2" x14ac:dyDescent="0.25">
      <c r="A9" s="29" t="s">
        <v>824</v>
      </c>
      <c r="B9" s="2">
        <v>1</v>
      </c>
    </row>
    <row r="10" spans="1:2" x14ac:dyDescent="0.25">
      <c r="A10" s="29" t="s">
        <v>1048</v>
      </c>
      <c r="B10" s="2">
        <v>1</v>
      </c>
    </row>
    <row r="11" spans="1:2" x14ac:dyDescent="0.25">
      <c r="A11" s="29" t="s">
        <v>162</v>
      </c>
      <c r="B11" s="2">
        <v>2</v>
      </c>
    </row>
    <row r="12" spans="1:2" x14ac:dyDescent="0.25">
      <c r="A12" s="29" t="s">
        <v>935</v>
      </c>
      <c r="B12" s="2">
        <v>17</v>
      </c>
    </row>
    <row r="13" spans="1:2" x14ac:dyDescent="0.25">
      <c r="A13" s="29" t="s">
        <v>141</v>
      </c>
      <c r="B13" s="2">
        <v>79</v>
      </c>
    </row>
    <row r="14" spans="1:2" x14ac:dyDescent="0.25">
      <c r="A14" s="29" t="s">
        <v>269</v>
      </c>
      <c r="B14" s="2">
        <v>341</v>
      </c>
    </row>
    <row r="15" spans="1:2" x14ac:dyDescent="0.25">
      <c r="A15" s="29" t="s">
        <v>105</v>
      </c>
      <c r="B15" s="2">
        <v>367</v>
      </c>
    </row>
    <row r="16" spans="1:2" x14ac:dyDescent="0.25">
      <c r="A16" s="29" t="s">
        <v>94</v>
      </c>
      <c r="B16" s="2">
        <v>439</v>
      </c>
    </row>
    <row r="17" spans="1:2" x14ac:dyDescent="0.25">
      <c r="A17" s="29" t="s">
        <v>1314</v>
      </c>
      <c r="B17" s="2">
        <v>1253</v>
      </c>
    </row>
    <row r="18" spans="1:2" x14ac:dyDescent="0.25">
      <c r="A18"/>
      <c r="B18"/>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0961" r:id="rId5" name="Button 1">
              <controlPr defaultSize="0" print="0" autoFill="0" autoPict="0" macro="[0]!Assign_Refresh">
                <anchor moveWithCells="1">
                  <from>
                    <xdr:col>3</xdr:col>
                    <xdr:colOff>0</xdr:colOff>
                    <xdr:row>1</xdr:row>
                    <xdr:rowOff>0</xdr:rowOff>
                  </from>
                  <to>
                    <xdr:col>5</xdr:col>
                    <xdr:colOff>0</xdr:colOff>
                    <xdr:row>1</xdr:row>
                    <xdr:rowOff>238125</xdr:rowOff>
                  </to>
                </anchor>
              </controlPr>
            </control>
          </mc:Choice>
        </mc:AlternateContent>
        <mc:AlternateContent xmlns:mc="http://schemas.openxmlformats.org/markup-compatibility/2006">
          <mc:Choice Requires="x14">
            <control shapeId="40962" r:id="rId6" name="Button 2">
              <controlPr defaultSize="0" print="0" autoFill="0" autoPict="0" macro="[0]!Assign_Expand">
                <anchor moveWithCells="1">
                  <from>
                    <xdr:col>6</xdr:col>
                    <xdr:colOff>0</xdr:colOff>
                    <xdr:row>1</xdr:row>
                    <xdr:rowOff>9525</xdr:rowOff>
                  </from>
                  <to>
                    <xdr:col>7</xdr:col>
                    <xdr:colOff>0</xdr:colOff>
                    <xdr:row>2</xdr:row>
                    <xdr:rowOff>0</xdr:rowOff>
                  </to>
                </anchor>
              </controlPr>
            </control>
          </mc:Choice>
        </mc:AlternateContent>
        <mc:AlternateContent xmlns:mc="http://schemas.openxmlformats.org/markup-compatibility/2006">
          <mc:Choice Requires="x14">
            <control shapeId="40963" r:id="rId7" name="Button 3">
              <controlPr defaultSize="0" print="0" autoFill="0" autoPict="0" macro="[0]!Assign_Contract">
                <anchor moveWithCells="1">
                  <from>
                    <xdr:col>8</xdr:col>
                    <xdr:colOff>0</xdr:colOff>
                    <xdr:row>1</xdr:row>
                    <xdr:rowOff>9525</xdr:rowOff>
                  </from>
                  <to>
                    <xdr:col>9</xdr:col>
                    <xdr:colOff>0</xdr:colOff>
                    <xdr:row>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44EDC-D1E9-4FE9-AE6C-03904C57B2A1}">
  <sheetPr codeName="Series">
    <tabColor theme="4"/>
  </sheetPr>
  <dimension ref="A2:Q239"/>
  <sheetViews>
    <sheetView workbookViewId="0">
      <selection activeCell="C6" sqref="C6"/>
    </sheetView>
  </sheetViews>
  <sheetFormatPr defaultRowHeight="15" x14ac:dyDescent="0.25"/>
  <cols>
    <col min="1" max="1" width="30.7109375" style="2" customWidth="1"/>
    <col min="2" max="2" width="6.7109375" style="2" customWidth="1"/>
    <col min="16" max="16" width="30.7109375" customWidth="1"/>
    <col min="17" max="17" width="6.28515625" bestFit="1" customWidth="1"/>
  </cols>
  <sheetData>
    <row r="2" spans="1:17" s="178" customFormat="1" ht="20.100000000000001" customHeight="1" x14ac:dyDescent="0.25">
      <c r="A2" s="180" t="s">
        <v>1316</v>
      </c>
      <c r="B2" s="178" t="s">
        <v>1315</v>
      </c>
      <c r="P2" s="180" t="s">
        <v>967</v>
      </c>
      <c r="Q2" s="178" t="s">
        <v>1315</v>
      </c>
    </row>
    <row r="3" spans="1:17" x14ac:dyDescent="0.25">
      <c r="A3" s="29" t="s">
        <v>966</v>
      </c>
      <c r="P3" s="16" t="s">
        <v>966</v>
      </c>
      <c r="Q3">
        <v>0</v>
      </c>
    </row>
    <row r="4" spans="1:17" x14ac:dyDescent="0.25">
      <c r="A4" s="29" t="s">
        <v>709</v>
      </c>
      <c r="B4" s="2">
        <v>1</v>
      </c>
      <c r="P4" s="16" t="s">
        <v>635</v>
      </c>
      <c r="Q4">
        <v>1</v>
      </c>
    </row>
    <row r="5" spans="1:17" x14ac:dyDescent="0.25">
      <c r="A5" s="29" t="s">
        <v>397</v>
      </c>
      <c r="B5" s="2">
        <v>1</v>
      </c>
      <c r="P5" s="16" t="s">
        <v>770</v>
      </c>
      <c r="Q5">
        <v>1</v>
      </c>
    </row>
    <row r="6" spans="1:17" x14ac:dyDescent="0.25">
      <c r="A6" s="29" t="s">
        <v>1174</v>
      </c>
      <c r="B6" s="2">
        <v>1</v>
      </c>
      <c r="P6" s="16" t="s">
        <v>755</v>
      </c>
      <c r="Q6">
        <v>1</v>
      </c>
    </row>
    <row r="7" spans="1:17" x14ac:dyDescent="0.25">
      <c r="A7" s="29" t="s">
        <v>189</v>
      </c>
      <c r="B7" s="2">
        <v>1</v>
      </c>
      <c r="P7" s="16" t="s">
        <v>928</v>
      </c>
      <c r="Q7">
        <v>1</v>
      </c>
    </row>
    <row r="8" spans="1:17" x14ac:dyDescent="0.25">
      <c r="A8" s="29" t="s">
        <v>1177</v>
      </c>
      <c r="B8" s="2">
        <v>1</v>
      </c>
      <c r="P8" s="16" t="s">
        <v>306</v>
      </c>
      <c r="Q8">
        <v>1</v>
      </c>
    </row>
    <row r="9" spans="1:17" x14ac:dyDescent="0.25">
      <c r="A9" s="29" t="s">
        <v>1232</v>
      </c>
      <c r="B9" s="2">
        <v>1</v>
      </c>
      <c r="P9" s="16" t="s">
        <v>371</v>
      </c>
      <c r="Q9">
        <v>1</v>
      </c>
    </row>
    <row r="10" spans="1:17" x14ac:dyDescent="0.25">
      <c r="A10" s="29" t="s">
        <v>1082</v>
      </c>
      <c r="B10" s="2">
        <v>1</v>
      </c>
      <c r="P10" s="16" t="s">
        <v>245</v>
      </c>
      <c r="Q10">
        <v>1</v>
      </c>
    </row>
    <row r="11" spans="1:17" x14ac:dyDescent="0.25">
      <c r="A11" s="29" t="s">
        <v>1186</v>
      </c>
      <c r="B11" s="2">
        <v>1</v>
      </c>
      <c r="P11" s="16" t="s">
        <v>630</v>
      </c>
      <c r="Q11">
        <v>1</v>
      </c>
    </row>
    <row r="12" spans="1:17" x14ac:dyDescent="0.25">
      <c r="A12" s="29" t="s">
        <v>232</v>
      </c>
      <c r="B12" s="2">
        <v>1</v>
      </c>
      <c r="P12" s="16" t="s">
        <v>701</v>
      </c>
      <c r="Q12">
        <v>1</v>
      </c>
    </row>
    <row r="13" spans="1:17" x14ac:dyDescent="0.25">
      <c r="A13" s="29" t="s">
        <v>1021</v>
      </c>
      <c r="B13" s="2">
        <v>1</v>
      </c>
      <c r="P13" s="16" t="s">
        <v>762</v>
      </c>
      <c r="Q13">
        <v>1</v>
      </c>
    </row>
    <row r="14" spans="1:17" x14ac:dyDescent="0.25">
      <c r="A14" s="29" t="s">
        <v>330</v>
      </c>
      <c r="B14" s="2">
        <v>1</v>
      </c>
      <c r="P14" s="16" t="s">
        <v>917</v>
      </c>
      <c r="Q14">
        <v>1</v>
      </c>
    </row>
    <row r="15" spans="1:17" x14ac:dyDescent="0.25">
      <c r="A15" s="29" t="s">
        <v>453</v>
      </c>
      <c r="B15" s="2">
        <v>1</v>
      </c>
      <c r="P15" s="16" t="s">
        <v>766</v>
      </c>
      <c r="Q15">
        <v>1</v>
      </c>
    </row>
    <row r="16" spans="1:17" x14ac:dyDescent="0.25">
      <c r="A16" s="29" t="s">
        <v>1119</v>
      </c>
      <c r="B16" s="2">
        <v>1</v>
      </c>
      <c r="P16" s="16" t="s">
        <v>516</v>
      </c>
      <c r="Q16">
        <v>1</v>
      </c>
    </row>
    <row r="17" spans="1:17" x14ac:dyDescent="0.25">
      <c r="A17" s="29" t="s">
        <v>1007</v>
      </c>
      <c r="B17" s="2">
        <v>1</v>
      </c>
      <c r="P17" s="16" t="s">
        <v>906</v>
      </c>
      <c r="Q17">
        <v>1</v>
      </c>
    </row>
    <row r="18" spans="1:17" x14ac:dyDescent="0.25">
      <c r="A18" s="29" t="s">
        <v>108</v>
      </c>
      <c r="B18" s="2">
        <v>1</v>
      </c>
      <c r="P18" s="16" t="s">
        <v>233</v>
      </c>
      <c r="Q18">
        <v>1</v>
      </c>
    </row>
    <row r="19" spans="1:17" x14ac:dyDescent="0.25">
      <c r="A19" s="29" t="s">
        <v>691</v>
      </c>
      <c r="B19" s="2">
        <v>1</v>
      </c>
      <c r="P19" s="16" t="s">
        <v>498</v>
      </c>
      <c r="Q19">
        <v>1</v>
      </c>
    </row>
    <row r="20" spans="1:17" x14ac:dyDescent="0.25">
      <c r="A20" s="29" t="s">
        <v>873</v>
      </c>
      <c r="B20" s="2">
        <v>1</v>
      </c>
      <c r="P20" s="16" t="s">
        <v>679</v>
      </c>
      <c r="Q20">
        <v>1</v>
      </c>
    </row>
    <row r="21" spans="1:17" x14ac:dyDescent="0.25">
      <c r="A21" s="29" t="s">
        <v>1221</v>
      </c>
      <c r="B21" s="2">
        <v>1</v>
      </c>
      <c r="P21" s="16" t="s">
        <v>920</v>
      </c>
      <c r="Q21">
        <v>1</v>
      </c>
    </row>
    <row r="22" spans="1:17" x14ac:dyDescent="0.25">
      <c r="A22" s="29" t="s">
        <v>1128</v>
      </c>
      <c r="B22" s="2">
        <v>1</v>
      </c>
      <c r="P22" s="16" t="s">
        <v>258</v>
      </c>
      <c r="Q22">
        <v>1</v>
      </c>
    </row>
    <row r="23" spans="1:17" x14ac:dyDescent="0.25">
      <c r="A23" s="29" t="s">
        <v>226</v>
      </c>
      <c r="B23" s="2">
        <v>1</v>
      </c>
      <c r="P23" s="16" t="s">
        <v>1281</v>
      </c>
      <c r="Q23">
        <v>1</v>
      </c>
    </row>
    <row r="24" spans="1:17" x14ac:dyDescent="0.25">
      <c r="A24" s="29" t="s">
        <v>689</v>
      </c>
      <c r="B24" s="2">
        <v>1</v>
      </c>
      <c r="P24" s="16" t="s">
        <v>424</v>
      </c>
      <c r="Q24">
        <v>1</v>
      </c>
    </row>
    <row r="25" spans="1:17" x14ac:dyDescent="0.25">
      <c r="A25" s="29" t="s">
        <v>243</v>
      </c>
      <c r="B25" s="2">
        <v>1</v>
      </c>
      <c r="P25" s="16" t="s">
        <v>1123</v>
      </c>
      <c r="Q25">
        <v>1</v>
      </c>
    </row>
    <row r="26" spans="1:17" x14ac:dyDescent="0.25">
      <c r="A26" s="29" t="s">
        <v>1139</v>
      </c>
      <c r="B26" s="2">
        <v>1</v>
      </c>
      <c r="P26" s="16" t="s">
        <v>465</v>
      </c>
      <c r="Q26">
        <v>1</v>
      </c>
    </row>
    <row r="27" spans="1:17" x14ac:dyDescent="0.25">
      <c r="A27" s="29" t="s">
        <v>558</v>
      </c>
      <c r="B27" s="2">
        <v>1</v>
      </c>
      <c r="P27" s="16" t="s">
        <v>302</v>
      </c>
      <c r="Q27">
        <v>1</v>
      </c>
    </row>
    <row r="28" spans="1:17" x14ac:dyDescent="0.25">
      <c r="A28" s="29" t="s">
        <v>606</v>
      </c>
      <c r="B28" s="2">
        <v>1</v>
      </c>
      <c r="P28" s="16" t="s">
        <v>365</v>
      </c>
      <c r="Q28">
        <v>1</v>
      </c>
    </row>
    <row r="29" spans="1:17" x14ac:dyDescent="0.25">
      <c r="A29" s="29" t="s">
        <v>914</v>
      </c>
      <c r="B29" s="2">
        <v>1</v>
      </c>
      <c r="P29" s="16" t="s">
        <v>398</v>
      </c>
      <c r="Q29">
        <v>1</v>
      </c>
    </row>
    <row r="30" spans="1:17" x14ac:dyDescent="0.25">
      <c r="A30" s="29" t="s">
        <v>863</v>
      </c>
      <c r="B30" s="2">
        <v>1</v>
      </c>
      <c r="P30" s="16" t="s">
        <v>841</v>
      </c>
      <c r="Q30">
        <v>1</v>
      </c>
    </row>
    <row r="31" spans="1:17" x14ac:dyDescent="0.25">
      <c r="A31" s="29" t="s">
        <v>840</v>
      </c>
      <c r="B31" s="2">
        <v>1</v>
      </c>
      <c r="P31" s="16" t="s">
        <v>298</v>
      </c>
      <c r="Q31">
        <v>1</v>
      </c>
    </row>
    <row r="32" spans="1:17" x14ac:dyDescent="0.25">
      <c r="A32" s="29" t="s">
        <v>893</v>
      </c>
      <c r="B32" s="2">
        <v>1</v>
      </c>
      <c r="P32" s="16" t="s">
        <v>559</v>
      </c>
      <c r="Q32">
        <v>1</v>
      </c>
    </row>
    <row r="33" spans="1:17" x14ac:dyDescent="0.25">
      <c r="A33" s="29" t="s">
        <v>820</v>
      </c>
      <c r="B33" s="2">
        <v>1</v>
      </c>
      <c r="P33" s="16" t="s">
        <v>913</v>
      </c>
      <c r="Q33">
        <v>1</v>
      </c>
    </row>
    <row r="34" spans="1:17" x14ac:dyDescent="0.25">
      <c r="A34" s="29" t="s">
        <v>366</v>
      </c>
      <c r="B34" s="2">
        <v>1</v>
      </c>
      <c r="P34" s="16" t="s">
        <v>809</v>
      </c>
      <c r="Q34">
        <v>1</v>
      </c>
    </row>
    <row r="35" spans="1:17" x14ac:dyDescent="0.25">
      <c r="A35" s="29" t="s">
        <v>153</v>
      </c>
      <c r="B35" s="2">
        <v>1</v>
      </c>
      <c r="P35" s="16" t="s">
        <v>717</v>
      </c>
      <c r="Q35">
        <v>1</v>
      </c>
    </row>
    <row r="36" spans="1:17" x14ac:dyDescent="0.25">
      <c r="A36" s="29" t="s">
        <v>1045</v>
      </c>
      <c r="B36" s="2">
        <v>1</v>
      </c>
      <c r="P36" s="16" t="s">
        <v>915</v>
      </c>
      <c r="Q36">
        <v>1</v>
      </c>
    </row>
    <row r="37" spans="1:17" x14ac:dyDescent="0.25">
      <c r="A37" s="29" t="s">
        <v>965</v>
      </c>
      <c r="B37" s="2">
        <v>1</v>
      </c>
      <c r="P37" s="16" t="s">
        <v>747</v>
      </c>
      <c r="Q37">
        <v>1</v>
      </c>
    </row>
    <row r="38" spans="1:17" x14ac:dyDescent="0.25">
      <c r="A38" s="29" t="s">
        <v>1025</v>
      </c>
      <c r="B38" s="2">
        <v>1</v>
      </c>
      <c r="P38" s="16" t="s">
        <v>471</v>
      </c>
      <c r="Q38">
        <v>1</v>
      </c>
    </row>
    <row r="39" spans="1:17" x14ac:dyDescent="0.25">
      <c r="A39" s="29" t="s">
        <v>1280</v>
      </c>
      <c r="B39" s="2">
        <v>1</v>
      </c>
      <c r="P39" s="16" t="s">
        <v>527</v>
      </c>
      <c r="Q39">
        <v>1</v>
      </c>
    </row>
    <row r="40" spans="1:17" x14ac:dyDescent="0.25">
      <c r="A40" s="29" t="s">
        <v>1136</v>
      </c>
      <c r="B40" s="2">
        <v>1</v>
      </c>
      <c r="P40" s="16" t="s">
        <v>821</v>
      </c>
      <c r="Q40">
        <v>1</v>
      </c>
    </row>
    <row r="41" spans="1:17" x14ac:dyDescent="0.25">
      <c r="A41" s="29" t="s">
        <v>902</v>
      </c>
      <c r="B41" s="2">
        <v>1</v>
      </c>
      <c r="P41" s="16" t="s">
        <v>927</v>
      </c>
      <c r="Q41">
        <v>1</v>
      </c>
    </row>
    <row r="42" spans="1:17" x14ac:dyDescent="0.25">
      <c r="A42" s="29" t="s">
        <v>277</v>
      </c>
      <c r="B42" s="2">
        <v>1</v>
      </c>
      <c r="P42" s="16" t="s">
        <v>154</v>
      </c>
      <c r="Q42">
        <v>1</v>
      </c>
    </row>
    <row r="43" spans="1:17" x14ac:dyDescent="0.25">
      <c r="A43" s="29" t="s">
        <v>678</v>
      </c>
      <c r="B43" s="2">
        <v>1</v>
      </c>
      <c r="P43" s="16" t="s">
        <v>614</v>
      </c>
      <c r="Q43">
        <v>1</v>
      </c>
    </row>
    <row r="44" spans="1:17" x14ac:dyDescent="0.25">
      <c r="A44" s="29" t="s">
        <v>704</v>
      </c>
      <c r="B44" s="2">
        <v>1</v>
      </c>
      <c r="P44" s="16" t="s">
        <v>932</v>
      </c>
      <c r="Q44">
        <v>1</v>
      </c>
    </row>
    <row r="45" spans="1:17" x14ac:dyDescent="0.25">
      <c r="A45" s="29" t="s">
        <v>528</v>
      </c>
      <c r="B45" s="2">
        <v>1</v>
      </c>
      <c r="P45" s="16" t="s">
        <v>937</v>
      </c>
      <c r="Q45">
        <v>1</v>
      </c>
    </row>
    <row r="46" spans="1:17" x14ac:dyDescent="0.25">
      <c r="A46" s="29" t="s">
        <v>1202</v>
      </c>
      <c r="B46" s="2">
        <v>1</v>
      </c>
      <c r="P46" s="16" t="s">
        <v>930</v>
      </c>
      <c r="Q46">
        <v>1</v>
      </c>
    </row>
    <row r="47" spans="1:17" x14ac:dyDescent="0.25">
      <c r="A47" s="29" t="s">
        <v>1037</v>
      </c>
      <c r="B47" s="2">
        <v>1</v>
      </c>
      <c r="P47" s="16" t="s">
        <v>481</v>
      </c>
      <c r="Q47">
        <v>1</v>
      </c>
    </row>
    <row r="48" spans="1:17" x14ac:dyDescent="0.25">
      <c r="A48" s="29" t="s">
        <v>392</v>
      </c>
      <c r="B48" s="2">
        <v>1</v>
      </c>
      <c r="P48" s="16" t="s">
        <v>903</v>
      </c>
      <c r="Q48">
        <v>1</v>
      </c>
    </row>
    <row r="49" spans="1:17" x14ac:dyDescent="0.25">
      <c r="A49" s="29" t="s">
        <v>1102</v>
      </c>
      <c r="B49" s="2">
        <v>1</v>
      </c>
      <c r="P49" s="16" t="s">
        <v>795</v>
      </c>
      <c r="Q49">
        <v>1</v>
      </c>
    </row>
    <row r="50" spans="1:17" x14ac:dyDescent="0.25">
      <c r="A50" s="29" t="s">
        <v>391</v>
      </c>
      <c r="B50" s="2">
        <v>1</v>
      </c>
      <c r="P50" s="16" t="s">
        <v>315</v>
      </c>
      <c r="Q50">
        <v>1</v>
      </c>
    </row>
    <row r="51" spans="1:17" x14ac:dyDescent="0.25">
      <c r="A51" s="29" t="s">
        <v>754</v>
      </c>
      <c r="B51" s="2">
        <v>1</v>
      </c>
      <c r="P51" s="16" t="s">
        <v>529</v>
      </c>
      <c r="Q51">
        <v>1</v>
      </c>
    </row>
    <row r="52" spans="1:17" x14ac:dyDescent="0.25">
      <c r="A52" s="29" t="s">
        <v>1156</v>
      </c>
      <c r="B52" s="2">
        <v>1</v>
      </c>
      <c r="P52" s="16" t="s">
        <v>732</v>
      </c>
      <c r="Q52">
        <v>1</v>
      </c>
    </row>
    <row r="53" spans="1:17" x14ac:dyDescent="0.25">
      <c r="A53" s="29" t="s">
        <v>1122</v>
      </c>
      <c r="B53" s="2">
        <v>1</v>
      </c>
      <c r="P53" s="16" t="s">
        <v>846</v>
      </c>
      <c r="Q53">
        <v>1</v>
      </c>
    </row>
    <row r="54" spans="1:17" x14ac:dyDescent="0.25">
      <c r="A54" s="29" t="s">
        <v>1046</v>
      </c>
      <c r="B54" s="2">
        <v>1</v>
      </c>
      <c r="P54" s="16" t="s">
        <v>565</v>
      </c>
      <c r="Q54">
        <v>1</v>
      </c>
    </row>
    <row r="55" spans="1:17" x14ac:dyDescent="0.25">
      <c r="A55" s="29" t="s">
        <v>895</v>
      </c>
      <c r="B55" s="2">
        <v>1</v>
      </c>
      <c r="P55" s="16" t="s">
        <v>925</v>
      </c>
      <c r="Q55">
        <v>1</v>
      </c>
    </row>
    <row r="56" spans="1:17" x14ac:dyDescent="0.25">
      <c r="A56" s="29" t="s">
        <v>1061</v>
      </c>
      <c r="B56" s="2">
        <v>1</v>
      </c>
      <c r="P56" s="16" t="s">
        <v>607</v>
      </c>
      <c r="Q56">
        <v>1</v>
      </c>
    </row>
    <row r="57" spans="1:17" x14ac:dyDescent="0.25">
      <c r="A57" s="29" t="s">
        <v>1182</v>
      </c>
      <c r="B57" s="2">
        <v>1</v>
      </c>
      <c r="P57" s="16" t="s">
        <v>869</v>
      </c>
      <c r="Q57">
        <v>1</v>
      </c>
    </row>
    <row r="58" spans="1:17" x14ac:dyDescent="0.25">
      <c r="A58" s="29" t="s">
        <v>1296</v>
      </c>
      <c r="B58" s="2">
        <v>1</v>
      </c>
      <c r="P58" s="16" t="s">
        <v>953</v>
      </c>
      <c r="Q58">
        <v>1</v>
      </c>
    </row>
    <row r="59" spans="1:17" x14ac:dyDescent="0.25">
      <c r="A59" s="29" t="s">
        <v>203</v>
      </c>
      <c r="B59" s="2">
        <v>1</v>
      </c>
      <c r="P59" s="16" t="s">
        <v>386</v>
      </c>
      <c r="Q59">
        <v>1</v>
      </c>
    </row>
    <row r="60" spans="1:17" x14ac:dyDescent="0.25">
      <c r="A60" s="29" t="s">
        <v>805</v>
      </c>
      <c r="B60" s="2">
        <v>1</v>
      </c>
      <c r="P60" s="16" t="s">
        <v>889</v>
      </c>
      <c r="Q60">
        <v>1</v>
      </c>
    </row>
    <row r="61" spans="1:17" x14ac:dyDescent="0.25">
      <c r="A61" s="29" t="s">
        <v>1199</v>
      </c>
      <c r="B61" s="2">
        <v>1</v>
      </c>
      <c r="P61" s="16" t="s">
        <v>686</v>
      </c>
      <c r="Q61">
        <v>1</v>
      </c>
    </row>
    <row r="62" spans="1:17" x14ac:dyDescent="0.25">
      <c r="A62" s="29" t="s">
        <v>936</v>
      </c>
      <c r="B62" s="2">
        <v>1</v>
      </c>
      <c r="P62" s="16" t="s">
        <v>885</v>
      </c>
      <c r="Q62">
        <v>1</v>
      </c>
    </row>
    <row r="63" spans="1:17" x14ac:dyDescent="0.25">
      <c r="A63" s="29" t="s">
        <v>1076</v>
      </c>
      <c r="B63" s="2">
        <v>1</v>
      </c>
      <c r="P63" s="16" t="s">
        <v>874</v>
      </c>
      <c r="Q63">
        <v>1</v>
      </c>
    </row>
    <row r="64" spans="1:17" x14ac:dyDescent="0.25">
      <c r="A64" s="29" t="s">
        <v>868</v>
      </c>
      <c r="B64" s="2">
        <v>1</v>
      </c>
      <c r="P64" s="16" t="s">
        <v>941</v>
      </c>
      <c r="Q64">
        <v>1</v>
      </c>
    </row>
    <row r="65" spans="1:17" x14ac:dyDescent="0.25">
      <c r="A65" s="29" t="s">
        <v>1051</v>
      </c>
      <c r="B65" s="2">
        <v>1</v>
      </c>
      <c r="P65" s="16" t="s">
        <v>894</v>
      </c>
      <c r="Q65">
        <v>1</v>
      </c>
    </row>
    <row r="66" spans="1:17" x14ac:dyDescent="0.25">
      <c r="A66" s="29" t="s">
        <v>871</v>
      </c>
      <c r="B66" s="2">
        <v>1</v>
      </c>
      <c r="P66" s="16" t="s">
        <v>331</v>
      </c>
      <c r="Q66">
        <v>1</v>
      </c>
    </row>
    <row r="67" spans="1:17" x14ac:dyDescent="0.25">
      <c r="A67" s="29" t="s">
        <v>246</v>
      </c>
      <c r="B67" s="2">
        <v>1</v>
      </c>
      <c r="P67" s="16" t="s">
        <v>896</v>
      </c>
      <c r="Q67">
        <v>1</v>
      </c>
    </row>
    <row r="68" spans="1:17" x14ac:dyDescent="0.25">
      <c r="A68" s="29" t="s">
        <v>775</v>
      </c>
      <c r="B68" s="2">
        <v>1</v>
      </c>
      <c r="P68" s="16" t="s">
        <v>826</v>
      </c>
      <c r="Q68">
        <v>1</v>
      </c>
    </row>
    <row r="69" spans="1:17" x14ac:dyDescent="0.25">
      <c r="A69" s="29" t="s">
        <v>1209</v>
      </c>
      <c r="B69" s="2">
        <v>1</v>
      </c>
      <c r="P69" s="16" t="s">
        <v>1295</v>
      </c>
      <c r="Q69">
        <v>1</v>
      </c>
    </row>
    <row r="70" spans="1:17" x14ac:dyDescent="0.25">
      <c r="A70" s="29" t="s">
        <v>526</v>
      </c>
      <c r="B70" s="2">
        <v>1</v>
      </c>
      <c r="P70" s="16" t="s">
        <v>190</v>
      </c>
      <c r="Q70">
        <v>1</v>
      </c>
    </row>
    <row r="71" spans="1:17" x14ac:dyDescent="0.25">
      <c r="A71" s="29" t="s">
        <v>470</v>
      </c>
      <c r="B71" s="2">
        <v>1</v>
      </c>
      <c r="P71" s="16" t="s">
        <v>729</v>
      </c>
      <c r="Q71">
        <v>1</v>
      </c>
    </row>
    <row r="72" spans="1:17" x14ac:dyDescent="0.25">
      <c r="A72" s="29" t="s">
        <v>511</v>
      </c>
      <c r="B72" s="2">
        <v>1</v>
      </c>
      <c r="P72" s="16" t="s">
        <v>922</v>
      </c>
      <c r="Q72">
        <v>1</v>
      </c>
    </row>
    <row r="73" spans="1:17" x14ac:dyDescent="0.25">
      <c r="A73" s="29" t="s">
        <v>931</v>
      </c>
      <c r="B73" s="2">
        <v>1</v>
      </c>
      <c r="P73" s="16" t="s">
        <v>806</v>
      </c>
      <c r="Q73">
        <v>1</v>
      </c>
    </row>
    <row r="74" spans="1:17" x14ac:dyDescent="0.25">
      <c r="A74" s="29" t="s">
        <v>921</v>
      </c>
      <c r="B74" s="2">
        <v>1</v>
      </c>
      <c r="P74" s="16" t="s">
        <v>786</v>
      </c>
      <c r="Q74">
        <v>1</v>
      </c>
    </row>
    <row r="75" spans="1:17" x14ac:dyDescent="0.25">
      <c r="A75" s="29" t="s">
        <v>425</v>
      </c>
      <c r="B75" s="2">
        <v>1</v>
      </c>
      <c r="P75" s="16" t="s">
        <v>231</v>
      </c>
      <c r="Q75">
        <v>1</v>
      </c>
    </row>
    <row r="76" spans="1:17" x14ac:dyDescent="0.25">
      <c r="A76" s="29" t="s">
        <v>881</v>
      </c>
      <c r="B76" s="2">
        <v>1</v>
      </c>
      <c r="P76" s="16" t="s">
        <v>710</v>
      </c>
      <c r="Q76">
        <v>1</v>
      </c>
    </row>
    <row r="77" spans="1:17" x14ac:dyDescent="0.25">
      <c r="A77" s="29" t="s">
        <v>908</v>
      </c>
      <c r="B77" s="2">
        <v>1</v>
      </c>
      <c r="P77" s="16" t="s">
        <v>724</v>
      </c>
      <c r="Q77">
        <v>1</v>
      </c>
    </row>
    <row r="78" spans="1:17" x14ac:dyDescent="0.25">
      <c r="A78" s="29" t="s">
        <v>1095</v>
      </c>
      <c r="B78" s="2">
        <v>1</v>
      </c>
      <c r="P78" s="16" t="s">
        <v>454</v>
      </c>
      <c r="Q78">
        <v>1</v>
      </c>
    </row>
    <row r="79" spans="1:17" x14ac:dyDescent="0.25">
      <c r="A79" s="29" t="s">
        <v>497</v>
      </c>
      <c r="B79" s="2">
        <v>1</v>
      </c>
      <c r="P79" s="16" t="s">
        <v>692</v>
      </c>
      <c r="Q79">
        <v>1</v>
      </c>
    </row>
    <row r="80" spans="1:17" x14ac:dyDescent="0.25">
      <c r="A80" s="29" t="s">
        <v>506</v>
      </c>
      <c r="B80" s="2">
        <v>1</v>
      </c>
      <c r="P80" s="16" t="s">
        <v>549</v>
      </c>
      <c r="Q80">
        <v>1</v>
      </c>
    </row>
    <row r="81" spans="1:17" x14ac:dyDescent="0.25">
      <c r="A81" s="29" t="s">
        <v>297</v>
      </c>
      <c r="B81" s="2">
        <v>1</v>
      </c>
      <c r="P81" s="16" t="s">
        <v>867</v>
      </c>
      <c r="Q81">
        <v>1</v>
      </c>
    </row>
    <row r="82" spans="1:17" x14ac:dyDescent="0.25">
      <c r="A82" s="29" t="s">
        <v>257</v>
      </c>
      <c r="B82" s="2">
        <v>1</v>
      </c>
      <c r="P82" s="16" t="s">
        <v>426</v>
      </c>
      <c r="Q82">
        <v>1</v>
      </c>
    </row>
    <row r="83" spans="1:17" x14ac:dyDescent="0.25">
      <c r="A83" s="29" t="s">
        <v>1294</v>
      </c>
      <c r="B83" s="2">
        <v>1</v>
      </c>
      <c r="P83" s="16" t="s">
        <v>876</v>
      </c>
      <c r="Q83">
        <v>1</v>
      </c>
    </row>
    <row r="84" spans="1:17" x14ac:dyDescent="0.25">
      <c r="A84" s="29" t="s">
        <v>738</v>
      </c>
      <c r="B84" s="2">
        <v>1</v>
      </c>
      <c r="P84" s="16" t="s">
        <v>600</v>
      </c>
      <c r="Q84">
        <v>1</v>
      </c>
    </row>
    <row r="85" spans="1:17" x14ac:dyDescent="0.25">
      <c r="A85" s="29" t="s">
        <v>503</v>
      </c>
      <c r="B85" s="2">
        <v>1</v>
      </c>
      <c r="P85" s="16" t="s">
        <v>156</v>
      </c>
      <c r="Q85">
        <v>1</v>
      </c>
    </row>
    <row r="86" spans="1:17" x14ac:dyDescent="0.25">
      <c r="A86" s="29" t="s">
        <v>1093</v>
      </c>
      <c r="B86" s="2">
        <v>1</v>
      </c>
      <c r="P86" s="16" t="s">
        <v>705</v>
      </c>
      <c r="Q86">
        <v>1</v>
      </c>
    </row>
    <row r="87" spans="1:17" x14ac:dyDescent="0.25">
      <c r="A87" s="29" t="s">
        <v>1233</v>
      </c>
      <c r="B87" s="2">
        <v>1</v>
      </c>
      <c r="P87" s="16" t="s">
        <v>393</v>
      </c>
      <c r="Q87">
        <v>1</v>
      </c>
    </row>
    <row r="88" spans="1:17" x14ac:dyDescent="0.25">
      <c r="A88" s="29" t="s">
        <v>609</v>
      </c>
      <c r="B88" s="2">
        <v>1</v>
      </c>
      <c r="P88" s="16" t="s">
        <v>791</v>
      </c>
      <c r="Q88">
        <v>1</v>
      </c>
    </row>
    <row r="89" spans="1:17" x14ac:dyDescent="0.25">
      <c r="A89" s="29" t="s">
        <v>790</v>
      </c>
      <c r="B89" s="2">
        <v>1</v>
      </c>
      <c r="P89" s="16" t="s">
        <v>367</v>
      </c>
      <c r="Q89">
        <v>1</v>
      </c>
    </row>
    <row r="90" spans="1:17" x14ac:dyDescent="0.25">
      <c r="A90" s="29" t="s">
        <v>898</v>
      </c>
      <c r="B90" s="2">
        <v>1</v>
      </c>
      <c r="P90" s="16" t="s">
        <v>540</v>
      </c>
      <c r="Q90">
        <v>1</v>
      </c>
    </row>
    <row r="91" spans="1:17" x14ac:dyDescent="0.25">
      <c r="A91" s="29" t="s">
        <v>599</v>
      </c>
      <c r="B91" s="2">
        <v>1</v>
      </c>
      <c r="P91" s="16" t="s">
        <v>776</v>
      </c>
      <c r="Q91">
        <v>1</v>
      </c>
    </row>
    <row r="92" spans="1:17" x14ac:dyDescent="0.25">
      <c r="A92" s="29" t="s">
        <v>1132</v>
      </c>
      <c r="B92" s="2">
        <v>1</v>
      </c>
      <c r="P92" s="16" t="s">
        <v>610</v>
      </c>
      <c r="Q92">
        <v>1</v>
      </c>
    </row>
    <row r="93" spans="1:17" x14ac:dyDescent="0.25">
      <c r="A93" s="29" t="s">
        <v>918</v>
      </c>
      <c r="B93" s="2">
        <v>1</v>
      </c>
      <c r="P93" s="16" t="s">
        <v>752</v>
      </c>
      <c r="Q93">
        <v>1</v>
      </c>
    </row>
    <row r="94" spans="1:17" x14ac:dyDescent="0.25">
      <c r="A94" s="29" t="s">
        <v>808</v>
      </c>
      <c r="B94" s="2">
        <v>1</v>
      </c>
      <c r="P94" s="16" t="s">
        <v>737</v>
      </c>
      <c r="Q94">
        <v>1</v>
      </c>
    </row>
    <row r="95" spans="1:17" x14ac:dyDescent="0.25">
      <c r="A95" s="29" t="s">
        <v>364</v>
      </c>
      <c r="B95" s="2">
        <v>1</v>
      </c>
      <c r="P95" s="16" t="s">
        <v>872</v>
      </c>
      <c r="Q95">
        <v>1</v>
      </c>
    </row>
    <row r="96" spans="1:17" x14ac:dyDescent="0.25">
      <c r="A96" s="29" t="s">
        <v>1057</v>
      </c>
      <c r="B96" s="2">
        <v>1</v>
      </c>
      <c r="P96" s="16" t="s">
        <v>780</v>
      </c>
      <c r="Q96">
        <v>1</v>
      </c>
    </row>
    <row r="97" spans="1:17" x14ac:dyDescent="0.25">
      <c r="A97" s="29" t="s">
        <v>905</v>
      </c>
      <c r="B97" s="2">
        <v>1</v>
      </c>
      <c r="P97" s="16" t="s">
        <v>864</v>
      </c>
      <c r="Q97">
        <v>1</v>
      </c>
    </row>
    <row r="98" spans="1:17" x14ac:dyDescent="0.25">
      <c r="A98" s="29" t="s">
        <v>940</v>
      </c>
      <c r="B98" s="2">
        <v>1</v>
      </c>
      <c r="P98" s="16" t="s">
        <v>739</v>
      </c>
      <c r="Q98">
        <v>1</v>
      </c>
    </row>
    <row r="99" spans="1:17" x14ac:dyDescent="0.25">
      <c r="A99" s="29" t="s">
        <v>423</v>
      </c>
      <c r="B99" s="2">
        <v>1</v>
      </c>
      <c r="P99" s="16" t="s">
        <v>899</v>
      </c>
      <c r="Q99">
        <v>1</v>
      </c>
    </row>
    <row r="100" spans="1:17" x14ac:dyDescent="0.25">
      <c r="A100" s="29" t="s">
        <v>1205</v>
      </c>
      <c r="B100" s="2">
        <v>1</v>
      </c>
      <c r="P100" s="16" t="s">
        <v>512</v>
      </c>
      <c r="Q100">
        <v>1</v>
      </c>
    </row>
    <row r="101" spans="1:17" x14ac:dyDescent="0.25">
      <c r="A101" s="29" t="s">
        <v>515</v>
      </c>
      <c r="B101" s="2">
        <v>1</v>
      </c>
      <c r="P101" s="16" t="s">
        <v>721</v>
      </c>
      <c r="Q101">
        <v>1</v>
      </c>
    </row>
    <row r="102" spans="1:17" x14ac:dyDescent="0.25">
      <c r="A102" s="29" t="s">
        <v>95</v>
      </c>
      <c r="B102" s="2">
        <v>1</v>
      </c>
      <c r="P102" s="16" t="s">
        <v>418</v>
      </c>
      <c r="Q102">
        <v>1</v>
      </c>
    </row>
    <row r="103" spans="1:17" x14ac:dyDescent="0.25">
      <c r="A103" s="29" t="s">
        <v>230</v>
      </c>
      <c r="B103" s="2">
        <v>1</v>
      </c>
      <c r="P103" s="16" t="s">
        <v>909</v>
      </c>
      <c r="Q103">
        <v>1</v>
      </c>
    </row>
    <row r="104" spans="1:17" x14ac:dyDescent="0.25">
      <c r="A104" s="29" t="s">
        <v>133</v>
      </c>
      <c r="B104" s="2">
        <v>1</v>
      </c>
      <c r="P104" s="16" t="s">
        <v>858</v>
      </c>
      <c r="Q104">
        <v>1</v>
      </c>
    </row>
    <row r="105" spans="1:17" x14ac:dyDescent="0.25">
      <c r="A105" s="29" t="s">
        <v>564</v>
      </c>
      <c r="B105" s="2">
        <v>1</v>
      </c>
      <c r="P105" s="16" t="s">
        <v>508</v>
      </c>
      <c r="Q105">
        <v>1</v>
      </c>
    </row>
    <row r="106" spans="1:17" x14ac:dyDescent="0.25">
      <c r="A106" s="29" t="s">
        <v>634</v>
      </c>
      <c r="B106" s="2">
        <v>1</v>
      </c>
      <c r="P106" s="16" t="s">
        <v>882</v>
      </c>
      <c r="Q106">
        <v>1</v>
      </c>
    </row>
    <row r="107" spans="1:17" x14ac:dyDescent="0.25">
      <c r="A107" s="29" t="s">
        <v>1069</v>
      </c>
      <c r="B107" s="2">
        <v>1</v>
      </c>
      <c r="P107" s="16" t="s">
        <v>1275</v>
      </c>
      <c r="Q107">
        <v>1</v>
      </c>
    </row>
    <row r="108" spans="1:17" x14ac:dyDescent="0.25">
      <c r="A108" s="29" t="s">
        <v>919</v>
      </c>
      <c r="B108" s="2">
        <v>1</v>
      </c>
      <c r="P108" s="16" t="s">
        <v>759</v>
      </c>
      <c r="Q108">
        <v>1</v>
      </c>
    </row>
    <row r="109" spans="1:17" x14ac:dyDescent="0.25">
      <c r="A109" s="29" t="s">
        <v>1042</v>
      </c>
      <c r="B109" s="2">
        <v>1</v>
      </c>
      <c r="P109" s="16" t="s">
        <v>684</v>
      </c>
      <c r="Q109">
        <v>2</v>
      </c>
    </row>
    <row r="110" spans="1:17" x14ac:dyDescent="0.25">
      <c r="A110" s="29" t="s">
        <v>912</v>
      </c>
      <c r="B110" s="2">
        <v>1</v>
      </c>
      <c r="P110" s="16" t="s">
        <v>544</v>
      </c>
      <c r="Q110">
        <v>2</v>
      </c>
    </row>
    <row r="111" spans="1:17" x14ac:dyDescent="0.25">
      <c r="A111" s="29" t="s">
        <v>155</v>
      </c>
      <c r="B111" s="2">
        <v>1</v>
      </c>
      <c r="P111" s="16" t="s">
        <v>554</v>
      </c>
      <c r="Q111">
        <v>2</v>
      </c>
    </row>
    <row r="112" spans="1:17" x14ac:dyDescent="0.25">
      <c r="A112" s="29" t="s">
        <v>1072</v>
      </c>
      <c r="B112" s="2">
        <v>1</v>
      </c>
      <c r="P112" s="16" t="s">
        <v>848</v>
      </c>
      <c r="Q112">
        <v>2</v>
      </c>
    </row>
    <row r="113" spans="1:17" x14ac:dyDescent="0.25">
      <c r="A113" s="29" t="s">
        <v>464</v>
      </c>
      <c r="B113" s="2">
        <v>1</v>
      </c>
      <c r="P113" s="16" t="s">
        <v>675</v>
      </c>
      <c r="Q113">
        <v>2</v>
      </c>
    </row>
    <row r="114" spans="1:17" x14ac:dyDescent="0.25">
      <c r="A114" s="29" t="s">
        <v>119</v>
      </c>
      <c r="B114" s="2">
        <v>1</v>
      </c>
      <c r="P114" s="16" t="s">
        <v>227</v>
      </c>
      <c r="Q114">
        <v>2</v>
      </c>
    </row>
    <row r="115" spans="1:17" x14ac:dyDescent="0.25">
      <c r="A115" s="29" t="s">
        <v>1207</v>
      </c>
      <c r="B115" s="2">
        <v>1</v>
      </c>
      <c r="P115" s="16" t="s">
        <v>475</v>
      </c>
      <c r="Q115">
        <v>2</v>
      </c>
    </row>
    <row r="116" spans="1:17" x14ac:dyDescent="0.25">
      <c r="A116" s="29" t="s">
        <v>1153</v>
      </c>
      <c r="B116" s="2">
        <v>1</v>
      </c>
      <c r="P116" s="16" t="s">
        <v>648</v>
      </c>
      <c r="Q116">
        <v>2</v>
      </c>
    </row>
    <row r="117" spans="1:17" x14ac:dyDescent="0.25">
      <c r="A117" s="29" t="s">
        <v>1198</v>
      </c>
      <c r="B117" s="2">
        <v>1</v>
      </c>
      <c r="P117" s="16" t="s">
        <v>944</v>
      </c>
      <c r="Q117">
        <v>2</v>
      </c>
    </row>
    <row r="118" spans="1:17" x14ac:dyDescent="0.25">
      <c r="A118" s="29" t="s">
        <v>275</v>
      </c>
      <c r="B118" s="2">
        <v>1</v>
      </c>
      <c r="P118" s="16" t="s">
        <v>669</v>
      </c>
      <c r="Q118">
        <v>2</v>
      </c>
    </row>
    <row r="119" spans="1:17" x14ac:dyDescent="0.25">
      <c r="A119" s="29" t="s">
        <v>1179</v>
      </c>
      <c r="B119" s="2">
        <v>1</v>
      </c>
      <c r="P119" s="16" t="s">
        <v>532</v>
      </c>
      <c r="Q119">
        <v>2</v>
      </c>
    </row>
    <row r="120" spans="1:17" x14ac:dyDescent="0.25">
      <c r="A120" s="29" t="s">
        <v>1172</v>
      </c>
      <c r="B120" s="2">
        <v>1</v>
      </c>
      <c r="P120" s="16" t="s">
        <v>815</v>
      </c>
      <c r="Q120">
        <v>2</v>
      </c>
    </row>
    <row r="121" spans="1:17" x14ac:dyDescent="0.25">
      <c r="A121" s="29" t="s">
        <v>1211</v>
      </c>
      <c r="B121" s="2">
        <v>1</v>
      </c>
      <c r="P121" s="16" t="s">
        <v>561</v>
      </c>
      <c r="Q121">
        <v>2</v>
      </c>
    </row>
    <row r="122" spans="1:17" x14ac:dyDescent="0.25">
      <c r="A122" s="29" t="s">
        <v>929</v>
      </c>
      <c r="B122" s="2">
        <v>1</v>
      </c>
      <c r="P122" s="16" t="s">
        <v>617</v>
      </c>
      <c r="Q122">
        <v>3</v>
      </c>
    </row>
    <row r="123" spans="1:17" x14ac:dyDescent="0.25">
      <c r="A123" s="29" t="s">
        <v>1189</v>
      </c>
      <c r="B123" s="2">
        <v>1</v>
      </c>
      <c r="P123" s="16" t="s">
        <v>359</v>
      </c>
      <c r="Q123">
        <v>3</v>
      </c>
    </row>
    <row r="124" spans="1:17" x14ac:dyDescent="0.25">
      <c r="A124" s="29" t="s">
        <v>785</v>
      </c>
      <c r="B124" s="2">
        <v>1</v>
      </c>
      <c r="P124" s="16" t="s">
        <v>357</v>
      </c>
      <c r="Q124">
        <v>3</v>
      </c>
    </row>
    <row r="125" spans="1:17" x14ac:dyDescent="0.25">
      <c r="A125" s="29" t="s">
        <v>480</v>
      </c>
      <c r="B125" s="2">
        <v>1</v>
      </c>
      <c r="P125" s="16" t="s">
        <v>326</v>
      </c>
      <c r="Q125">
        <v>3</v>
      </c>
    </row>
    <row r="126" spans="1:17" x14ac:dyDescent="0.25">
      <c r="A126" s="29" t="s">
        <v>875</v>
      </c>
      <c r="B126" s="2">
        <v>1</v>
      </c>
      <c r="P126" s="16" t="s">
        <v>286</v>
      </c>
      <c r="Q126">
        <v>3</v>
      </c>
    </row>
    <row r="127" spans="1:17" x14ac:dyDescent="0.25">
      <c r="A127" s="29" t="s">
        <v>794</v>
      </c>
      <c r="B127" s="2">
        <v>1</v>
      </c>
      <c r="P127" s="16" t="s">
        <v>538</v>
      </c>
      <c r="Q127">
        <v>3</v>
      </c>
    </row>
    <row r="128" spans="1:17" x14ac:dyDescent="0.25">
      <c r="A128" s="29" t="s">
        <v>758</v>
      </c>
      <c r="B128" s="2">
        <v>1</v>
      </c>
      <c r="P128" s="16" t="s">
        <v>495</v>
      </c>
      <c r="Q128">
        <v>4</v>
      </c>
    </row>
    <row r="129" spans="1:17" x14ac:dyDescent="0.25">
      <c r="A129" s="29" t="s">
        <v>1113</v>
      </c>
      <c r="B129" s="2">
        <v>1</v>
      </c>
      <c r="P129" s="16" t="s">
        <v>878</v>
      </c>
      <c r="Q129">
        <v>5</v>
      </c>
    </row>
    <row r="130" spans="1:17" x14ac:dyDescent="0.25">
      <c r="A130" s="29" t="s">
        <v>916</v>
      </c>
      <c r="B130" s="2">
        <v>1</v>
      </c>
      <c r="P130" s="16" t="s">
        <v>321</v>
      </c>
      <c r="Q130">
        <v>5</v>
      </c>
    </row>
    <row r="131" spans="1:17" x14ac:dyDescent="0.25">
      <c r="A131" s="29" t="s">
        <v>1117</v>
      </c>
      <c r="B131" s="2">
        <v>1</v>
      </c>
      <c r="P131" s="16" t="s">
        <v>842</v>
      </c>
      <c r="Q131">
        <v>6</v>
      </c>
    </row>
    <row r="132" spans="1:17" x14ac:dyDescent="0.25">
      <c r="A132" s="29" t="s">
        <v>417</v>
      </c>
      <c r="B132" s="2">
        <v>1</v>
      </c>
      <c r="P132" s="16" t="s">
        <v>489</v>
      </c>
      <c r="Q132">
        <v>6</v>
      </c>
    </row>
    <row r="133" spans="1:17" x14ac:dyDescent="0.25">
      <c r="A133" s="29" t="s">
        <v>1106</v>
      </c>
      <c r="B133" s="2">
        <v>1</v>
      </c>
      <c r="P133" s="16" t="s">
        <v>571</v>
      </c>
      <c r="Q133">
        <v>6</v>
      </c>
    </row>
    <row r="134" spans="1:17" x14ac:dyDescent="0.25">
      <c r="A134" s="29" t="s">
        <v>383</v>
      </c>
      <c r="B134" s="2">
        <v>1</v>
      </c>
      <c r="P134" s="16" t="s">
        <v>568</v>
      </c>
      <c r="Q134">
        <v>6</v>
      </c>
    </row>
    <row r="135" spans="1:17" x14ac:dyDescent="0.25">
      <c r="A135" s="29" t="s">
        <v>1214</v>
      </c>
      <c r="B135" s="2">
        <v>1</v>
      </c>
      <c r="P135" s="16" t="s">
        <v>583</v>
      </c>
      <c r="Q135">
        <v>7</v>
      </c>
    </row>
    <row r="136" spans="1:17" x14ac:dyDescent="0.25">
      <c r="A136" s="29" t="s">
        <v>736</v>
      </c>
      <c r="B136" s="2">
        <v>1</v>
      </c>
      <c r="P136" s="16" t="s">
        <v>860</v>
      </c>
      <c r="Q136">
        <v>7</v>
      </c>
    </row>
    <row r="137" spans="1:17" x14ac:dyDescent="0.25">
      <c r="A137" s="29" t="s">
        <v>1239</v>
      </c>
      <c r="B137" s="2">
        <v>1</v>
      </c>
      <c r="P137" s="16" t="s">
        <v>892</v>
      </c>
      <c r="Q137">
        <v>8</v>
      </c>
    </row>
    <row r="138" spans="1:17" x14ac:dyDescent="0.25">
      <c r="A138" s="29" t="s">
        <v>825</v>
      </c>
      <c r="B138" s="2">
        <v>1</v>
      </c>
      <c r="P138" s="16" t="s">
        <v>126</v>
      </c>
      <c r="Q138">
        <v>8</v>
      </c>
    </row>
    <row r="139" spans="1:17" x14ac:dyDescent="0.25">
      <c r="A139" s="29" t="s">
        <v>1152</v>
      </c>
      <c r="B139" s="2">
        <v>1</v>
      </c>
      <c r="P139" s="16" t="s">
        <v>178</v>
      </c>
      <c r="Q139">
        <v>9</v>
      </c>
    </row>
    <row r="140" spans="1:17" x14ac:dyDescent="0.25">
      <c r="A140" s="29" t="s">
        <v>1188</v>
      </c>
      <c r="B140" s="2">
        <v>1</v>
      </c>
      <c r="P140" s="16" t="s">
        <v>575</v>
      </c>
      <c r="Q140">
        <v>9</v>
      </c>
    </row>
    <row r="141" spans="1:17" x14ac:dyDescent="0.25">
      <c r="A141" s="29" t="s">
        <v>1130</v>
      </c>
      <c r="B141" s="2">
        <v>1</v>
      </c>
      <c r="P141" s="16" t="s">
        <v>350</v>
      </c>
      <c r="Q141">
        <v>10</v>
      </c>
    </row>
    <row r="142" spans="1:17" x14ac:dyDescent="0.25">
      <c r="A142" s="29" t="s">
        <v>244</v>
      </c>
      <c r="B142" s="2">
        <v>1</v>
      </c>
      <c r="P142" s="16" t="s">
        <v>856</v>
      </c>
      <c r="Q142">
        <v>10</v>
      </c>
    </row>
    <row r="143" spans="1:17" x14ac:dyDescent="0.25">
      <c r="A143" s="29" t="s">
        <v>1120</v>
      </c>
      <c r="B143" s="2">
        <v>1</v>
      </c>
      <c r="P143" s="16" t="s">
        <v>838</v>
      </c>
      <c r="Q143">
        <v>12</v>
      </c>
    </row>
    <row r="144" spans="1:17" x14ac:dyDescent="0.25">
      <c r="A144" s="29" t="s">
        <v>1242</v>
      </c>
      <c r="B144" s="2">
        <v>1</v>
      </c>
      <c r="P144" s="16" t="s">
        <v>290</v>
      </c>
      <c r="Q144">
        <v>12</v>
      </c>
    </row>
    <row r="145" spans="1:17" x14ac:dyDescent="0.25">
      <c r="A145" s="29" t="s">
        <v>1074</v>
      </c>
      <c r="B145" s="2">
        <v>1</v>
      </c>
      <c r="P145" s="16" t="s">
        <v>586</v>
      </c>
      <c r="Q145">
        <v>12</v>
      </c>
    </row>
    <row r="146" spans="1:17" x14ac:dyDescent="0.25">
      <c r="A146" s="29" t="s">
        <v>370</v>
      </c>
      <c r="B146" s="2">
        <v>1</v>
      </c>
      <c r="P146" s="16" t="s">
        <v>401</v>
      </c>
      <c r="Q146">
        <v>16</v>
      </c>
    </row>
    <row r="147" spans="1:17" x14ac:dyDescent="0.25">
      <c r="A147" s="29" t="s">
        <v>1167</v>
      </c>
      <c r="B147" s="2">
        <v>1</v>
      </c>
      <c r="P147" s="16" t="s">
        <v>429</v>
      </c>
      <c r="Q147">
        <v>24</v>
      </c>
    </row>
    <row r="148" spans="1:17" x14ac:dyDescent="0.25">
      <c r="A148" s="29" t="s">
        <v>539</v>
      </c>
      <c r="B148" s="2">
        <v>1</v>
      </c>
      <c r="P148" s="16" t="s">
        <v>587</v>
      </c>
      <c r="Q148">
        <v>25</v>
      </c>
    </row>
    <row r="149" spans="1:17" x14ac:dyDescent="0.25">
      <c r="A149" s="29" t="s">
        <v>1009</v>
      </c>
      <c r="B149" s="2">
        <v>1</v>
      </c>
      <c r="P149" s="16" t="s">
        <v>1314</v>
      </c>
      <c r="Q149">
        <v>356</v>
      </c>
    </row>
    <row r="150" spans="1:17" x14ac:dyDescent="0.25">
      <c r="A150" s="29" t="s">
        <v>1032</v>
      </c>
      <c r="B150" s="2">
        <v>1</v>
      </c>
    </row>
    <row r="151" spans="1:17" x14ac:dyDescent="0.25">
      <c r="A151" s="29" t="s">
        <v>1162</v>
      </c>
      <c r="B151" s="2">
        <v>1</v>
      </c>
    </row>
    <row r="152" spans="1:17" x14ac:dyDescent="0.25">
      <c r="A152" s="29" t="s">
        <v>685</v>
      </c>
      <c r="B152" s="2">
        <v>1</v>
      </c>
    </row>
    <row r="153" spans="1:17" x14ac:dyDescent="0.25">
      <c r="A153" s="29" t="s">
        <v>1100</v>
      </c>
      <c r="B153" s="2">
        <v>1</v>
      </c>
    </row>
    <row r="154" spans="1:17" x14ac:dyDescent="0.25">
      <c r="A154" s="29" t="s">
        <v>1235</v>
      </c>
      <c r="B154" s="2">
        <v>1</v>
      </c>
    </row>
    <row r="155" spans="1:17" x14ac:dyDescent="0.25">
      <c r="A155" s="29" t="s">
        <v>769</v>
      </c>
      <c r="B155" s="2">
        <v>1</v>
      </c>
    </row>
    <row r="156" spans="1:17" x14ac:dyDescent="0.25">
      <c r="A156" s="29" t="s">
        <v>700</v>
      </c>
      <c r="B156" s="2">
        <v>1</v>
      </c>
    </row>
    <row r="157" spans="1:17" x14ac:dyDescent="0.25">
      <c r="A157" s="29" t="s">
        <v>1064</v>
      </c>
      <c r="B157" s="2">
        <v>1</v>
      </c>
    </row>
    <row r="158" spans="1:17" x14ac:dyDescent="0.25">
      <c r="A158" s="29" t="s">
        <v>746</v>
      </c>
      <c r="B158" s="2">
        <v>1</v>
      </c>
    </row>
    <row r="159" spans="1:17" x14ac:dyDescent="0.25">
      <c r="A159" s="29" t="s">
        <v>267</v>
      </c>
      <c r="B159" s="2">
        <v>1</v>
      </c>
    </row>
    <row r="160" spans="1:17" x14ac:dyDescent="0.25">
      <c r="A160" s="29" t="s">
        <v>206</v>
      </c>
      <c r="B160" s="2">
        <v>1</v>
      </c>
    </row>
    <row r="161" spans="1:2" x14ac:dyDescent="0.25">
      <c r="A161" s="29" t="s">
        <v>1200</v>
      </c>
      <c r="B161" s="2">
        <v>1</v>
      </c>
    </row>
    <row r="162" spans="1:2" x14ac:dyDescent="0.25">
      <c r="A162" s="29" t="s">
        <v>1190</v>
      </c>
      <c r="B162" s="2">
        <v>1</v>
      </c>
    </row>
    <row r="163" spans="1:2" x14ac:dyDescent="0.25">
      <c r="A163" s="29" t="s">
        <v>765</v>
      </c>
      <c r="B163" s="2">
        <v>1</v>
      </c>
    </row>
    <row r="164" spans="1:2" x14ac:dyDescent="0.25">
      <c r="A164" s="29" t="s">
        <v>1225</v>
      </c>
      <c r="B164" s="2">
        <v>1</v>
      </c>
    </row>
    <row r="165" spans="1:2" x14ac:dyDescent="0.25">
      <c r="A165" s="29" t="s">
        <v>761</v>
      </c>
      <c r="B165" s="2">
        <v>1</v>
      </c>
    </row>
    <row r="166" spans="1:2" x14ac:dyDescent="0.25">
      <c r="A166" s="29" t="s">
        <v>1104</v>
      </c>
      <c r="B166" s="2">
        <v>1</v>
      </c>
    </row>
    <row r="167" spans="1:2" x14ac:dyDescent="0.25">
      <c r="A167" s="29" t="s">
        <v>845</v>
      </c>
      <c r="B167" s="2">
        <v>1</v>
      </c>
    </row>
    <row r="168" spans="1:2" x14ac:dyDescent="0.25">
      <c r="A168" s="29" t="s">
        <v>1193</v>
      </c>
      <c r="B168" s="2">
        <v>1</v>
      </c>
    </row>
    <row r="169" spans="1:2" x14ac:dyDescent="0.25">
      <c r="A169" s="29" t="s">
        <v>723</v>
      </c>
      <c r="B169" s="2">
        <v>1</v>
      </c>
    </row>
    <row r="170" spans="1:2" x14ac:dyDescent="0.25">
      <c r="A170" s="29" t="s">
        <v>548</v>
      </c>
      <c r="B170" s="2">
        <v>1</v>
      </c>
    </row>
    <row r="171" spans="1:2" x14ac:dyDescent="0.25">
      <c r="A171" s="29" t="s">
        <v>731</v>
      </c>
      <c r="B171" s="2">
        <v>1</v>
      </c>
    </row>
    <row r="172" spans="1:2" x14ac:dyDescent="0.25">
      <c r="A172" s="29" t="s">
        <v>1097</v>
      </c>
      <c r="B172" s="2">
        <v>1</v>
      </c>
    </row>
    <row r="173" spans="1:2" x14ac:dyDescent="0.25">
      <c r="A173" s="29" t="s">
        <v>301</v>
      </c>
      <c r="B173" s="2">
        <v>1</v>
      </c>
    </row>
    <row r="174" spans="1:2" x14ac:dyDescent="0.25">
      <c r="A174" s="29" t="s">
        <v>779</v>
      </c>
      <c r="B174" s="2">
        <v>1</v>
      </c>
    </row>
    <row r="175" spans="1:2" x14ac:dyDescent="0.25">
      <c r="A175" s="29" t="s">
        <v>888</v>
      </c>
      <c r="B175" s="2">
        <v>1</v>
      </c>
    </row>
    <row r="176" spans="1:2" x14ac:dyDescent="0.25">
      <c r="A176" s="29" t="s">
        <v>1180</v>
      </c>
      <c r="B176" s="2">
        <v>1</v>
      </c>
    </row>
    <row r="177" spans="1:2" x14ac:dyDescent="0.25">
      <c r="A177" s="29" t="s">
        <v>952</v>
      </c>
      <c r="B177" s="2">
        <v>1</v>
      </c>
    </row>
    <row r="178" spans="1:2" x14ac:dyDescent="0.25">
      <c r="A178" s="29" t="s">
        <v>1169</v>
      </c>
      <c r="B178" s="2">
        <v>1</v>
      </c>
    </row>
    <row r="179" spans="1:2" x14ac:dyDescent="0.25">
      <c r="A179" s="29" t="s">
        <v>884</v>
      </c>
      <c r="B179" s="2">
        <v>1</v>
      </c>
    </row>
    <row r="180" spans="1:2" x14ac:dyDescent="0.25">
      <c r="A180" s="29" t="s">
        <v>926</v>
      </c>
      <c r="B180" s="2">
        <v>1</v>
      </c>
    </row>
    <row r="181" spans="1:2" x14ac:dyDescent="0.25">
      <c r="A181" s="29" t="s">
        <v>716</v>
      </c>
      <c r="B181" s="2">
        <v>1</v>
      </c>
    </row>
    <row r="182" spans="1:2" x14ac:dyDescent="0.25">
      <c r="A182" s="29" t="s">
        <v>629</v>
      </c>
      <c r="B182" s="2">
        <v>1</v>
      </c>
    </row>
    <row r="183" spans="1:2" x14ac:dyDescent="0.25">
      <c r="A183" s="29" t="s">
        <v>728</v>
      </c>
      <c r="B183" s="2">
        <v>1</v>
      </c>
    </row>
    <row r="184" spans="1:2" x14ac:dyDescent="0.25">
      <c r="A184" s="29" t="s">
        <v>314</v>
      </c>
      <c r="B184" s="2">
        <v>1</v>
      </c>
    </row>
    <row r="185" spans="1:2" x14ac:dyDescent="0.25">
      <c r="A185" s="29" t="s">
        <v>720</v>
      </c>
      <c r="B185" s="2">
        <v>1</v>
      </c>
    </row>
    <row r="186" spans="1:2" x14ac:dyDescent="0.25">
      <c r="A186" s="29" t="s">
        <v>507</v>
      </c>
      <c r="B186" s="2">
        <v>1</v>
      </c>
    </row>
    <row r="187" spans="1:2" x14ac:dyDescent="0.25">
      <c r="A187" s="29" t="s">
        <v>305</v>
      </c>
      <c r="B187" s="2">
        <v>1</v>
      </c>
    </row>
    <row r="188" spans="1:2" x14ac:dyDescent="0.25">
      <c r="A188" s="29" t="s">
        <v>101</v>
      </c>
      <c r="B188" s="2">
        <v>2</v>
      </c>
    </row>
    <row r="189" spans="1:2" x14ac:dyDescent="0.25">
      <c r="A189" s="29" t="s">
        <v>1012</v>
      </c>
      <c r="B189" s="2">
        <v>2</v>
      </c>
    </row>
    <row r="190" spans="1:2" x14ac:dyDescent="0.25">
      <c r="A190" s="29" t="s">
        <v>847</v>
      </c>
      <c r="B190" s="2">
        <v>2</v>
      </c>
    </row>
    <row r="191" spans="1:2" x14ac:dyDescent="0.25">
      <c r="A191" s="29" t="s">
        <v>265</v>
      </c>
      <c r="B191" s="2">
        <v>2</v>
      </c>
    </row>
    <row r="192" spans="1:2" x14ac:dyDescent="0.25">
      <c r="A192" s="29" t="s">
        <v>613</v>
      </c>
      <c r="B192" s="2">
        <v>2</v>
      </c>
    </row>
    <row r="193" spans="1:2" x14ac:dyDescent="0.25">
      <c r="A193" s="29" t="s">
        <v>560</v>
      </c>
      <c r="B193" s="2">
        <v>2</v>
      </c>
    </row>
    <row r="194" spans="1:2" x14ac:dyDescent="0.25">
      <c r="A194" s="29" t="s">
        <v>1159</v>
      </c>
      <c r="B194" s="2">
        <v>2</v>
      </c>
    </row>
    <row r="195" spans="1:2" x14ac:dyDescent="0.25">
      <c r="A195" s="29" t="s">
        <v>474</v>
      </c>
      <c r="B195" s="2">
        <v>2</v>
      </c>
    </row>
    <row r="196" spans="1:2" x14ac:dyDescent="0.25">
      <c r="A196" s="29" t="s">
        <v>866</v>
      </c>
      <c r="B196" s="2">
        <v>2</v>
      </c>
    </row>
    <row r="197" spans="1:2" x14ac:dyDescent="0.25">
      <c r="A197" s="29" t="s">
        <v>531</v>
      </c>
      <c r="B197" s="2">
        <v>2</v>
      </c>
    </row>
    <row r="198" spans="1:2" x14ac:dyDescent="0.25">
      <c r="A198" s="29" t="s">
        <v>543</v>
      </c>
      <c r="B198" s="2">
        <v>2</v>
      </c>
    </row>
    <row r="199" spans="1:2" x14ac:dyDescent="0.25">
      <c r="A199" s="29" t="s">
        <v>668</v>
      </c>
      <c r="B199" s="2">
        <v>2</v>
      </c>
    </row>
    <row r="200" spans="1:2" x14ac:dyDescent="0.25">
      <c r="A200" s="29" t="s">
        <v>1080</v>
      </c>
      <c r="B200" s="2">
        <v>2</v>
      </c>
    </row>
    <row r="201" spans="1:2" x14ac:dyDescent="0.25">
      <c r="A201" s="29" t="s">
        <v>683</v>
      </c>
      <c r="B201" s="2">
        <v>2</v>
      </c>
    </row>
    <row r="202" spans="1:2" x14ac:dyDescent="0.25">
      <c r="A202" s="29" t="s">
        <v>1146</v>
      </c>
      <c r="B202" s="2">
        <v>2</v>
      </c>
    </row>
    <row r="203" spans="1:2" x14ac:dyDescent="0.25">
      <c r="A203" s="29" t="s">
        <v>857</v>
      </c>
      <c r="B203" s="2">
        <v>2</v>
      </c>
    </row>
    <row r="204" spans="1:2" x14ac:dyDescent="0.25">
      <c r="A204" s="29" t="s">
        <v>616</v>
      </c>
      <c r="B204" s="2">
        <v>2</v>
      </c>
    </row>
    <row r="205" spans="1:2" x14ac:dyDescent="0.25">
      <c r="A205" s="29" t="s">
        <v>943</v>
      </c>
      <c r="B205" s="2">
        <v>2</v>
      </c>
    </row>
    <row r="206" spans="1:2" x14ac:dyDescent="0.25">
      <c r="A206" s="29" t="s">
        <v>553</v>
      </c>
      <c r="B206" s="2">
        <v>2</v>
      </c>
    </row>
    <row r="207" spans="1:2" x14ac:dyDescent="0.25">
      <c r="A207" s="29" t="s">
        <v>674</v>
      </c>
      <c r="B207" s="2">
        <v>2</v>
      </c>
    </row>
    <row r="208" spans="1:2" x14ac:dyDescent="0.25">
      <c r="A208" s="29" t="s">
        <v>647</v>
      </c>
      <c r="B208" s="2">
        <v>2</v>
      </c>
    </row>
    <row r="209" spans="1:2" x14ac:dyDescent="0.25">
      <c r="A209" s="29" t="s">
        <v>279</v>
      </c>
      <c r="B209" s="2">
        <v>2</v>
      </c>
    </row>
    <row r="210" spans="1:2" x14ac:dyDescent="0.25">
      <c r="A210" s="29" t="s">
        <v>1035</v>
      </c>
      <c r="B210" s="2">
        <v>3</v>
      </c>
    </row>
    <row r="211" spans="1:2" x14ac:dyDescent="0.25">
      <c r="A211" s="29" t="s">
        <v>358</v>
      </c>
      <c r="B211" s="2">
        <v>3</v>
      </c>
    </row>
    <row r="212" spans="1:2" x14ac:dyDescent="0.25">
      <c r="A212" s="29" t="s">
        <v>144</v>
      </c>
      <c r="B212" s="2">
        <v>3</v>
      </c>
    </row>
    <row r="213" spans="1:2" x14ac:dyDescent="0.25">
      <c r="A213" s="29" t="s">
        <v>537</v>
      </c>
      <c r="B213" s="2">
        <v>3</v>
      </c>
    </row>
    <row r="214" spans="1:2" x14ac:dyDescent="0.25">
      <c r="A214" s="29" t="s">
        <v>325</v>
      </c>
      <c r="B214" s="2">
        <v>3</v>
      </c>
    </row>
    <row r="215" spans="1:2" x14ac:dyDescent="0.25">
      <c r="A215" s="29" t="s">
        <v>285</v>
      </c>
      <c r="B215" s="2">
        <v>3</v>
      </c>
    </row>
    <row r="216" spans="1:2" x14ac:dyDescent="0.25">
      <c r="A216" s="29" t="s">
        <v>356</v>
      </c>
      <c r="B216" s="2">
        <v>4</v>
      </c>
    </row>
    <row r="217" spans="1:2" x14ac:dyDescent="0.25">
      <c r="A217" s="29" t="s">
        <v>1052</v>
      </c>
      <c r="B217" s="2">
        <v>4</v>
      </c>
    </row>
    <row r="218" spans="1:2" x14ac:dyDescent="0.25">
      <c r="A218" s="29" t="s">
        <v>494</v>
      </c>
      <c r="B218" s="2">
        <v>4</v>
      </c>
    </row>
    <row r="219" spans="1:2" x14ac:dyDescent="0.25">
      <c r="A219" s="29" t="s">
        <v>877</v>
      </c>
      <c r="B219" s="2">
        <v>5</v>
      </c>
    </row>
    <row r="220" spans="1:2" x14ac:dyDescent="0.25">
      <c r="A220" s="29" t="s">
        <v>320</v>
      </c>
      <c r="B220" s="2">
        <v>5</v>
      </c>
    </row>
    <row r="221" spans="1:2" x14ac:dyDescent="0.25">
      <c r="A221" s="29" t="s">
        <v>570</v>
      </c>
      <c r="B221" s="2">
        <v>6</v>
      </c>
    </row>
    <row r="222" spans="1:2" x14ac:dyDescent="0.25">
      <c r="A222" s="29" t="s">
        <v>488</v>
      </c>
      <c r="B222" s="2">
        <v>6</v>
      </c>
    </row>
    <row r="223" spans="1:2" x14ac:dyDescent="0.25">
      <c r="A223" s="29" t="s">
        <v>842</v>
      </c>
      <c r="B223" s="2">
        <v>6</v>
      </c>
    </row>
    <row r="224" spans="1:2" x14ac:dyDescent="0.25">
      <c r="A224" s="29" t="s">
        <v>567</v>
      </c>
      <c r="B224" s="2">
        <v>6</v>
      </c>
    </row>
    <row r="225" spans="1:2" x14ac:dyDescent="0.25">
      <c r="A225" s="29" t="s">
        <v>859</v>
      </c>
      <c r="B225" s="2">
        <v>7</v>
      </c>
    </row>
    <row r="226" spans="1:2" x14ac:dyDescent="0.25">
      <c r="A226" s="29" t="s">
        <v>125</v>
      </c>
      <c r="B226" s="2">
        <v>8</v>
      </c>
    </row>
    <row r="227" spans="1:2" x14ac:dyDescent="0.25">
      <c r="A227" s="29" t="s">
        <v>891</v>
      </c>
      <c r="B227" s="2">
        <v>8</v>
      </c>
    </row>
    <row r="228" spans="1:2" x14ac:dyDescent="0.25">
      <c r="A228" s="29" t="s">
        <v>177</v>
      </c>
      <c r="B228" s="2">
        <v>9</v>
      </c>
    </row>
    <row r="229" spans="1:2" x14ac:dyDescent="0.25">
      <c r="A229" s="29" t="s">
        <v>574</v>
      </c>
      <c r="B229" s="2">
        <v>9</v>
      </c>
    </row>
    <row r="230" spans="1:2" x14ac:dyDescent="0.25">
      <c r="A230" s="29" t="s">
        <v>855</v>
      </c>
      <c r="B230" s="2">
        <v>9</v>
      </c>
    </row>
    <row r="231" spans="1:2" x14ac:dyDescent="0.25">
      <c r="A231" s="29" t="s">
        <v>582</v>
      </c>
      <c r="B231" s="2">
        <v>10</v>
      </c>
    </row>
    <row r="232" spans="1:2" x14ac:dyDescent="0.25">
      <c r="A232" s="29" t="s">
        <v>349</v>
      </c>
      <c r="B232" s="2">
        <v>11</v>
      </c>
    </row>
    <row r="233" spans="1:2" x14ac:dyDescent="0.25">
      <c r="A233" s="29" t="s">
        <v>837</v>
      </c>
      <c r="B233" s="2">
        <v>12</v>
      </c>
    </row>
    <row r="234" spans="1:2" x14ac:dyDescent="0.25">
      <c r="A234" s="29" t="s">
        <v>289</v>
      </c>
      <c r="B234" s="2">
        <v>12</v>
      </c>
    </row>
    <row r="235" spans="1:2" x14ac:dyDescent="0.25">
      <c r="A235" s="29" t="s">
        <v>400</v>
      </c>
      <c r="B235" s="2">
        <v>16</v>
      </c>
    </row>
    <row r="236" spans="1:2" x14ac:dyDescent="0.25">
      <c r="A236" s="29" t="s">
        <v>428</v>
      </c>
      <c r="B236" s="2">
        <v>23</v>
      </c>
    </row>
    <row r="237" spans="1:2" x14ac:dyDescent="0.25">
      <c r="A237" s="29" t="s">
        <v>585</v>
      </c>
      <c r="B237" s="2">
        <v>37</v>
      </c>
    </row>
    <row r="238" spans="1:2" x14ac:dyDescent="0.25">
      <c r="A238" s="29" t="s">
        <v>1314</v>
      </c>
      <c r="B238" s="2">
        <v>463</v>
      </c>
    </row>
    <row r="239" spans="1:2" x14ac:dyDescent="0.25">
      <c r="A239"/>
      <c r="B239"/>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6866" r:id="rId5" name="Button 2">
              <controlPr defaultSize="0" print="0" autoFill="0" autoPict="0" macro="[0]!SeriesRE_Refresh">
                <anchor moveWithCells="1">
                  <from>
                    <xdr:col>3</xdr:col>
                    <xdr:colOff>0</xdr:colOff>
                    <xdr:row>1</xdr:row>
                    <xdr:rowOff>0</xdr:rowOff>
                  </from>
                  <to>
                    <xdr:col>5</xdr:col>
                    <xdr:colOff>0</xdr:colOff>
                    <xdr:row>1</xdr:row>
                    <xdr:rowOff>238125</xdr:rowOff>
                  </to>
                </anchor>
              </controlPr>
            </control>
          </mc:Choice>
        </mc:AlternateContent>
        <mc:AlternateContent xmlns:mc="http://schemas.openxmlformats.org/markup-compatibility/2006">
          <mc:Choice Requires="x14">
            <control shapeId="36867" r:id="rId6" name="Button 3">
              <controlPr defaultSize="0" print="0" autoFill="0" autoPict="0" macro="[0]!SeriesRE_Expand">
                <anchor moveWithCells="1">
                  <from>
                    <xdr:col>6</xdr:col>
                    <xdr:colOff>0</xdr:colOff>
                    <xdr:row>1</xdr:row>
                    <xdr:rowOff>9525</xdr:rowOff>
                  </from>
                  <to>
                    <xdr:col>7</xdr:col>
                    <xdr:colOff>0</xdr:colOff>
                    <xdr:row>2</xdr:row>
                    <xdr:rowOff>0</xdr:rowOff>
                  </to>
                </anchor>
              </controlPr>
            </control>
          </mc:Choice>
        </mc:AlternateContent>
        <mc:AlternateContent xmlns:mc="http://schemas.openxmlformats.org/markup-compatibility/2006">
          <mc:Choice Requires="x14">
            <control shapeId="36868" r:id="rId7" name="Button 4">
              <controlPr defaultSize="0" print="0" autoFill="0" autoPict="0" macro="[0]!SeriesRE_Contract">
                <anchor moveWithCells="1">
                  <from>
                    <xdr:col>8</xdr:col>
                    <xdr:colOff>0</xdr:colOff>
                    <xdr:row>1</xdr:row>
                    <xdr:rowOff>9525</xdr:rowOff>
                  </from>
                  <to>
                    <xdr:col>9</xdr:col>
                    <xdr:colOff>0</xdr:colOff>
                    <xdr:row>2</xdr:row>
                    <xdr:rowOff>0</xdr:rowOff>
                  </to>
                </anchor>
              </controlPr>
            </control>
          </mc:Choice>
        </mc:AlternateContent>
        <mc:AlternateContent xmlns:mc="http://schemas.openxmlformats.org/markup-compatibility/2006">
          <mc:Choice Requires="x14">
            <control shapeId="36869" r:id="rId8" name="Button 5">
              <controlPr defaultSize="0" print="0" autoFill="0" autoPict="0" macro="[0]!SeriesRE_Refresh">
                <anchor moveWithCells="1">
                  <from>
                    <xdr:col>18</xdr:col>
                    <xdr:colOff>0</xdr:colOff>
                    <xdr:row>1</xdr:row>
                    <xdr:rowOff>0</xdr:rowOff>
                  </from>
                  <to>
                    <xdr:col>20</xdr:col>
                    <xdr:colOff>0</xdr:colOff>
                    <xdr:row>1</xdr:row>
                    <xdr:rowOff>238125</xdr:rowOff>
                  </to>
                </anchor>
              </controlPr>
            </control>
          </mc:Choice>
        </mc:AlternateContent>
        <mc:AlternateContent xmlns:mc="http://schemas.openxmlformats.org/markup-compatibility/2006">
          <mc:Choice Requires="x14">
            <control shapeId="36870" r:id="rId9" name="Button 6">
              <controlPr defaultSize="0" print="0" autoFill="0" autoPict="0" macro="[0]!SeriesN_Expand">
                <anchor moveWithCells="1">
                  <from>
                    <xdr:col>21</xdr:col>
                    <xdr:colOff>0</xdr:colOff>
                    <xdr:row>1</xdr:row>
                    <xdr:rowOff>9525</xdr:rowOff>
                  </from>
                  <to>
                    <xdr:col>22</xdr:col>
                    <xdr:colOff>0</xdr:colOff>
                    <xdr:row>2</xdr:row>
                    <xdr:rowOff>0</xdr:rowOff>
                  </to>
                </anchor>
              </controlPr>
            </control>
          </mc:Choice>
        </mc:AlternateContent>
        <mc:AlternateContent xmlns:mc="http://schemas.openxmlformats.org/markup-compatibility/2006">
          <mc:Choice Requires="x14">
            <control shapeId="36871" r:id="rId10" name="Button 7">
              <controlPr defaultSize="0" print="0" autoFill="0" autoPict="0" macro="[0]!SeriesN_Contract">
                <anchor moveWithCells="1">
                  <from>
                    <xdr:col>23</xdr:col>
                    <xdr:colOff>0</xdr:colOff>
                    <xdr:row>1</xdr:row>
                    <xdr:rowOff>9525</xdr:rowOff>
                  </from>
                  <to>
                    <xdr:col>24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2D831-3940-4B28-9736-D8F98B2B34D8}">
  <sheetPr codeName="Publisher">
    <tabColor theme="4"/>
  </sheetPr>
  <dimension ref="A2:O419"/>
  <sheetViews>
    <sheetView workbookViewId="0">
      <selection activeCell="W14" sqref="W14"/>
    </sheetView>
  </sheetViews>
  <sheetFormatPr defaultRowHeight="15" x14ac:dyDescent="0.25"/>
  <cols>
    <col min="1" max="1" width="30.7109375" customWidth="1"/>
    <col min="2" max="2" width="6.7109375" customWidth="1"/>
    <col min="14" max="14" width="30.7109375" customWidth="1"/>
    <col min="15" max="15" width="6.7109375" customWidth="1"/>
  </cols>
  <sheetData>
    <row r="2" spans="1:15" ht="20.100000000000001" customHeight="1" x14ac:dyDescent="0.25">
      <c r="A2" s="180" t="s">
        <v>1317</v>
      </c>
      <c r="B2" s="178" t="s">
        <v>1315</v>
      </c>
      <c r="N2" s="180" t="s">
        <v>1318</v>
      </c>
      <c r="O2" s="178" t="s">
        <v>1315</v>
      </c>
    </row>
    <row r="3" spans="1:15" x14ac:dyDescent="0.25">
      <c r="A3" s="16" t="s">
        <v>966</v>
      </c>
      <c r="B3">
        <v>0</v>
      </c>
      <c r="N3" s="16" t="s">
        <v>966</v>
      </c>
    </row>
    <row r="4" spans="1:15" x14ac:dyDescent="0.25">
      <c r="A4" s="16" t="s">
        <v>434</v>
      </c>
      <c r="B4">
        <v>1</v>
      </c>
      <c r="N4" s="16" t="s">
        <v>357</v>
      </c>
      <c r="O4">
        <v>1</v>
      </c>
    </row>
    <row r="5" spans="1:15" x14ac:dyDescent="0.25">
      <c r="A5" s="16" t="s">
        <v>1192</v>
      </c>
      <c r="B5">
        <v>1</v>
      </c>
      <c r="N5" s="16" t="s">
        <v>834</v>
      </c>
      <c r="O5">
        <v>1</v>
      </c>
    </row>
    <row r="6" spans="1:15" x14ac:dyDescent="0.25">
      <c r="A6" s="16" t="s">
        <v>268</v>
      </c>
      <c r="B6">
        <v>1</v>
      </c>
      <c r="N6" s="16" t="s">
        <v>836</v>
      </c>
      <c r="O6">
        <v>1</v>
      </c>
    </row>
    <row r="7" spans="1:15" x14ac:dyDescent="0.25">
      <c r="A7" s="16" t="s">
        <v>545</v>
      </c>
      <c r="B7">
        <v>1</v>
      </c>
      <c r="N7" s="16" t="s">
        <v>625</v>
      </c>
      <c r="O7">
        <v>1</v>
      </c>
    </row>
    <row r="8" spans="1:15" x14ac:dyDescent="0.25">
      <c r="A8" s="16" t="s">
        <v>1309</v>
      </c>
      <c r="B8">
        <v>1</v>
      </c>
      <c r="N8" s="16" t="s">
        <v>1291</v>
      </c>
      <c r="O8">
        <v>1</v>
      </c>
    </row>
    <row r="9" spans="1:15" x14ac:dyDescent="0.25">
      <c r="A9" s="16" t="s">
        <v>843</v>
      </c>
      <c r="B9">
        <v>1</v>
      </c>
      <c r="N9" s="16" t="s">
        <v>341</v>
      </c>
      <c r="O9">
        <v>1</v>
      </c>
    </row>
    <row r="10" spans="1:15" x14ac:dyDescent="0.25">
      <c r="A10" s="16" t="s">
        <v>835</v>
      </c>
      <c r="B10">
        <v>1</v>
      </c>
      <c r="N10" s="16" t="s">
        <v>726</v>
      </c>
      <c r="O10">
        <v>1</v>
      </c>
    </row>
    <row r="11" spans="1:15" x14ac:dyDescent="0.25">
      <c r="A11" s="16" t="s">
        <v>1226</v>
      </c>
      <c r="B11">
        <v>1</v>
      </c>
      <c r="N11" s="16" t="s">
        <v>432</v>
      </c>
      <c r="O11">
        <v>1</v>
      </c>
    </row>
    <row r="12" spans="1:15" x14ac:dyDescent="0.25">
      <c r="A12" s="16" t="s">
        <v>1160</v>
      </c>
      <c r="B12">
        <v>1</v>
      </c>
      <c r="N12" s="16" t="s">
        <v>652</v>
      </c>
      <c r="O12">
        <v>1</v>
      </c>
    </row>
    <row r="13" spans="1:15" x14ac:dyDescent="0.25">
      <c r="A13" s="16" t="s">
        <v>239</v>
      </c>
      <c r="B13">
        <v>1</v>
      </c>
      <c r="N13" s="16" t="s">
        <v>242</v>
      </c>
      <c r="O13">
        <v>1</v>
      </c>
    </row>
    <row r="14" spans="1:15" x14ac:dyDescent="0.25">
      <c r="A14" s="16" t="s">
        <v>462</v>
      </c>
      <c r="B14">
        <v>1</v>
      </c>
      <c r="N14" s="16" t="s">
        <v>271</v>
      </c>
      <c r="O14">
        <v>1</v>
      </c>
    </row>
    <row r="15" spans="1:15" x14ac:dyDescent="0.25">
      <c r="A15" s="16" t="s">
        <v>1227</v>
      </c>
      <c r="B15">
        <v>1</v>
      </c>
      <c r="N15" s="16" t="s">
        <v>452</v>
      </c>
      <c r="O15">
        <v>1</v>
      </c>
    </row>
    <row r="16" spans="1:15" x14ac:dyDescent="0.25">
      <c r="A16" s="16" t="s">
        <v>484</v>
      </c>
      <c r="B16">
        <v>1</v>
      </c>
      <c r="N16" s="16" t="s">
        <v>946</v>
      </c>
      <c r="O16">
        <v>1</v>
      </c>
    </row>
    <row r="17" spans="1:15" x14ac:dyDescent="0.25">
      <c r="A17" s="16" t="s">
        <v>180</v>
      </c>
      <c r="B17">
        <v>1</v>
      </c>
      <c r="N17" s="16" t="s">
        <v>1279</v>
      </c>
      <c r="O17">
        <v>1</v>
      </c>
    </row>
    <row r="18" spans="1:15" x14ac:dyDescent="0.25">
      <c r="A18" s="16" t="s">
        <v>1083</v>
      </c>
      <c r="B18">
        <v>1</v>
      </c>
      <c r="N18" s="16" t="s">
        <v>158</v>
      </c>
      <c r="O18">
        <v>1</v>
      </c>
    </row>
    <row r="19" spans="1:15" x14ac:dyDescent="0.25">
      <c r="A19" s="16" t="s">
        <v>1304</v>
      </c>
      <c r="B19">
        <v>1</v>
      </c>
      <c r="N19" s="16" t="s">
        <v>774</v>
      </c>
      <c r="O19">
        <v>1</v>
      </c>
    </row>
    <row r="20" spans="1:15" x14ac:dyDescent="0.25">
      <c r="A20" s="16" t="s">
        <v>641</v>
      </c>
      <c r="B20">
        <v>1</v>
      </c>
      <c r="N20" s="16" t="s">
        <v>147</v>
      </c>
      <c r="O20">
        <v>1</v>
      </c>
    </row>
    <row r="21" spans="1:15" x14ac:dyDescent="0.25">
      <c r="A21" s="16" t="s">
        <v>1204</v>
      </c>
      <c r="B21">
        <v>1</v>
      </c>
      <c r="N21" s="16" t="s">
        <v>409</v>
      </c>
      <c r="O21">
        <v>1</v>
      </c>
    </row>
    <row r="22" spans="1:15" x14ac:dyDescent="0.25">
      <c r="A22" s="16" t="s">
        <v>120</v>
      </c>
      <c r="B22">
        <v>1</v>
      </c>
      <c r="N22" s="16" t="s">
        <v>363</v>
      </c>
      <c r="O22">
        <v>1</v>
      </c>
    </row>
    <row r="23" spans="1:15" x14ac:dyDescent="0.25">
      <c r="A23" s="16" t="s">
        <v>1129</v>
      </c>
      <c r="B23">
        <v>1</v>
      </c>
      <c r="N23" s="16" t="s">
        <v>403</v>
      </c>
      <c r="O23">
        <v>1</v>
      </c>
    </row>
    <row r="24" spans="1:15" x14ac:dyDescent="0.25">
      <c r="A24" s="16" t="s">
        <v>693</v>
      </c>
      <c r="B24">
        <v>1</v>
      </c>
      <c r="N24" s="16" t="s">
        <v>623</v>
      </c>
      <c r="O24">
        <v>1</v>
      </c>
    </row>
    <row r="25" spans="1:15" x14ac:dyDescent="0.25">
      <c r="A25" s="16" t="s">
        <v>534</v>
      </c>
      <c r="B25">
        <v>1</v>
      </c>
      <c r="N25" s="16" t="s">
        <v>1254</v>
      </c>
      <c r="O25">
        <v>1</v>
      </c>
    </row>
    <row r="26" spans="1:15" x14ac:dyDescent="0.25">
      <c r="A26" s="16" t="s">
        <v>1168</v>
      </c>
      <c r="B26">
        <v>1</v>
      </c>
      <c r="N26" s="16" t="s">
        <v>703</v>
      </c>
      <c r="O26">
        <v>1</v>
      </c>
    </row>
    <row r="27" spans="1:15" x14ac:dyDescent="0.25">
      <c r="A27" s="16" t="s">
        <v>1230</v>
      </c>
      <c r="B27">
        <v>1</v>
      </c>
      <c r="N27" s="16" t="s">
        <v>399</v>
      </c>
      <c r="O27">
        <v>1</v>
      </c>
    </row>
    <row r="28" spans="1:15" x14ac:dyDescent="0.25">
      <c r="A28" s="16" t="s">
        <v>1016</v>
      </c>
      <c r="B28">
        <v>1</v>
      </c>
      <c r="N28" s="16" t="s">
        <v>911</v>
      </c>
      <c r="O28">
        <v>1</v>
      </c>
    </row>
    <row r="29" spans="1:15" x14ac:dyDescent="0.25">
      <c r="A29" s="16" t="s">
        <v>282</v>
      </c>
      <c r="B29">
        <v>1</v>
      </c>
      <c r="N29" s="16" t="s">
        <v>422</v>
      </c>
      <c r="O29">
        <v>1</v>
      </c>
    </row>
    <row r="30" spans="1:15" x14ac:dyDescent="0.25">
      <c r="A30" s="16" t="s">
        <v>1217</v>
      </c>
      <c r="B30">
        <v>1</v>
      </c>
      <c r="N30" s="16" t="s">
        <v>628</v>
      </c>
      <c r="O30">
        <v>1</v>
      </c>
    </row>
    <row r="31" spans="1:15" x14ac:dyDescent="0.25">
      <c r="A31" s="16" t="s">
        <v>636</v>
      </c>
      <c r="B31">
        <v>1</v>
      </c>
      <c r="N31" s="16" t="s">
        <v>904</v>
      </c>
      <c r="O31">
        <v>1</v>
      </c>
    </row>
    <row r="32" spans="1:15" x14ac:dyDescent="0.25">
      <c r="A32" s="16" t="s">
        <v>1006</v>
      </c>
      <c r="B32">
        <v>1</v>
      </c>
      <c r="N32" s="16" t="s">
        <v>633</v>
      </c>
      <c r="O32">
        <v>1</v>
      </c>
    </row>
    <row r="33" spans="1:15" x14ac:dyDescent="0.25">
      <c r="A33" s="16" t="s">
        <v>861</v>
      </c>
      <c r="B33">
        <v>1</v>
      </c>
      <c r="N33" s="16" t="s">
        <v>546</v>
      </c>
      <c r="O33">
        <v>1</v>
      </c>
    </row>
    <row r="34" spans="1:15" x14ac:dyDescent="0.25">
      <c r="A34" s="16" t="s">
        <v>1005</v>
      </c>
      <c r="B34">
        <v>1</v>
      </c>
      <c r="N34" s="16" t="s">
        <v>753</v>
      </c>
      <c r="O34">
        <v>1</v>
      </c>
    </row>
    <row r="35" spans="1:15" x14ac:dyDescent="0.25">
      <c r="A35" s="16" t="s">
        <v>1147</v>
      </c>
      <c r="B35">
        <v>1</v>
      </c>
      <c r="N35" s="16" t="s">
        <v>772</v>
      </c>
      <c r="O35">
        <v>1</v>
      </c>
    </row>
    <row r="36" spans="1:15" x14ac:dyDescent="0.25">
      <c r="A36" s="16" t="s">
        <v>1053</v>
      </c>
      <c r="B36">
        <v>1</v>
      </c>
      <c r="N36" s="16" t="s">
        <v>673</v>
      </c>
      <c r="O36">
        <v>1</v>
      </c>
    </row>
    <row r="37" spans="1:15" x14ac:dyDescent="0.25">
      <c r="A37" s="16" t="s">
        <v>1003</v>
      </c>
      <c r="B37">
        <v>1</v>
      </c>
      <c r="N37" s="16" t="s">
        <v>420</v>
      </c>
      <c r="O37">
        <v>1</v>
      </c>
    </row>
    <row r="38" spans="1:15" x14ac:dyDescent="0.25">
      <c r="A38" s="16" t="s">
        <v>1058</v>
      </c>
      <c r="B38">
        <v>1</v>
      </c>
      <c r="N38" s="16" t="s">
        <v>643</v>
      </c>
      <c r="O38">
        <v>1</v>
      </c>
    </row>
    <row r="39" spans="1:15" x14ac:dyDescent="0.25">
      <c r="A39" s="16" t="s">
        <v>1161</v>
      </c>
      <c r="B39">
        <v>1</v>
      </c>
      <c r="N39" s="16" t="s">
        <v>317</v>
      </c>
      <c r="O39">
        <v>1</v>
      </c>
    </row>
    <row r="40" spans="1:15" x14ac:dyDescent="0.25">
      <c r="A40" s="16" t="s">
        <v>1038</v>
      </c>
      <c r="B40">
        <v>1</v>
      </c>
      <c r="N40" s="16" t="s">
        <v>201</v>
      </c>
      <c r="O40">
        <v>1</v>
      </c>
    </row>
    <row r="41" spans="1:15" x14ac:dyDescent="0.25">
      <c r="A41" s="16" t="s">
        <v>1145</v>
      </c>
      <c r="B41">
        <v>1</v>
      </c>
      <c r="N41" s="16" t="s">
        <v>887</v>
      </c>
      <c r="O41">
        <v>1</v>
      </c>
    </row>
    <row r="42" spans="1:15" x14ac:dyDescent="0.25">
      <c r="A42" s="16" t="s">
        <v>1008</v>
      </c>
      <c r="B42">
        <v>1</v>
      </c>
      <c r="N42" s="16" t="s">
        <v>458</v>
      </c>
      <c r="O42">
        <v>1</v>
      </c>
    </row>
    <row r="43" spans="1:15" x14ac:dyDescent="0.25">
      <c r="A43" s="16" t="s">
        <v>771</v>
      </c>
      <c r="B43">
        <v>1</v>
      </c>
      <c r="N43" s="16" t="s">
        <v>463</v>
      </c>
      <c r="O43">
        <v>1</v>
      </c>
    </row>
    <row r="44" spans="1:15" x14ac:dyDescent="0.25">
      <c r="A44" s="16" t="s">
        <v>1034</v>
      </c>
      <c r="B44">
        <v>1</v>
      </c>
      <c r="N44" s="16" t="s">
        <v>473</v>
      </c>
      <c r="O44">
        <v>1</v>
      </c>
    </row>
    <row r="45" spans="1:15" x14ac:dyDescent="0.25">
      <c r="A45" s="16" t="s">
        <v>1175</v>
      </c>
      <c r="B45">
        <v>1</v>
      </c>
      <c r="N45" s="16" t="s">
        <v>225</v>
      </c>
      <c r="O45">
        <v>1</v>
      </c>
    </row>
    <row r="46" spans="1:15" x14ac:dyDescent="0.25">
      <c r="A46" s="16" t="s">
        <v>1020</v>
      </c>
      <c r="B46">
        <v>1</v>
      </c>
      <c r="N46" s="16" t="s">
        <v>784</v>
      </c>
      <c r="O46">
        <v>1</v>
      </c>
    </row>
    <row r="47" spans="1:15" x14ac:dyDescent="0.25">
      <c r="A47" s="16" t="s">
        <v>223</v>
      </c>
      <c r="B47">
        <v>1</v>
      </c>
      <c r="N47" s="16" t="s">
        <v>1219</v>
      </c>
      <c r="O47">
        <v>1</v>
      </c>
    </row>
    <row r="48" spans="1:15" x14ac:dyDescent="0.25">
      <c r="A48" s="16" t="s">
        <v>1060</v>
      </c>
      <c r="B48">
        <v>1</v>
      </c>
      <c r="N48" s="16" t="s">
        <v>283</v>
      </c>
      <c r="O48">
        <v>1</v>
      </c>
    </row>
    <row r="49" spans="1:15" x14ac:dyDescent="0.25">
      <c r="A49" s="16" t="s">
        <v>552</v>
      </c>
      <c r="B49">
        <v>1</v>
      </c>
      <c r="N49" s="16" t="s">
        <v>1187</v>
      </c>
      <c r="O49">
        <v>1</v>
      </c>
    </row>
    <row r="50" spans="1:15" x14ac:dyDescent="0.25">
      <c r="A50" s="16" t="s">
        <v>1253</v>
      </c>
      <c r="B50">
        <v>1</v>
      </c>
      <c r="N50" s="16" t="s">
        <v>293</v>
      </c>
      <c r="O50">
        <v>1</v>
      </c>
    </row>
    <row r="51" spans="1:15" x14ac:dyDescent="0.25">
      <c r="A51" s="16" t="s">
        <v>1173</v>
      </c>
      <c r="B51">
        <v>1</v>
      </c>
      <c r="N51" s="16" t="s">
        <v>1125</v>
      </c>
      <c r="O51">
        <v>1</v>
      </c>
    </row>
    <row r="52" spans="1:15" x14ac:dyDescent="0.25">
      <c r="A52" s="16" t="s">
        <v>408</v>
      </c>
      <c r="B52">
        <v>1</v>
      </c>
      <c r="N52" s="16" t="s">
        <v>535</v>
      </c>
      <c r="O52">
        <v>1</v>
      </c>
    </row>
    <row r="53" spans="1:15" x14ac:dyDescent="0.25">
      <c r="A53" s="16" t="s">
        <v>260</v>
      </c>
      <c r="B53">
        <v>1</v>
      </c>
      <c r="N53" s="16" t="s">
        <v>1092</v>
      </c>
      <c r="O53">
        <v>1</v>
      </c>
    </row>
    <row r="54" spans="1:15" x14ac:dyDescent="0.25">
      <c r="A54" s="16" t="s">
        <v>402</v>
      </c>
      <c r="B54">
        <v>1</v>
      </c>
      <c r="N54" s="16" t="s">
        <v>456</v>
      </c>
      <c r="O54">
        <v>1</v>
      </c>
    </row>
    <row r="55" spans="1:15" x14ac:dyDescent="0.25">
      <c r="A55" s="16" t="s">
        <v>1144</v>
      </c>
      <c r="B55">
        <v>1</v>
      </c>
      <c r="N55" s="16" t="s">
        <v>1091</v>
      </c>
      <c r="O55">
        <v>1</v>
      </c>
    </row>
    <row r="56" spans="1:15" x14ac:dyDescent="0.25">
      <c r="A56" s="16" t="s">
        <v>798</v>
      </c>
      <c r="B56">
        <v>1</v>
      </c>
      <c r="N56" s="16" t="s">
        <v>440</v>
      </c>
      <c r="O56">
        <v>1</v>
      </c>
    </row>
    <row r="57" spans="1:15" x14ac:dyDescent="0.25">
      <c r="A57" s="16" t="s">
        <v>1255</v>
      </c>
      <c r="B57">
        <v>1</v>
      </c>
      <c r="N57" s="16" t="s">
        <v>714</v>
      </c>
      <c r="O57">
        <v>1</v>
      </c>
    </row>
    <row r="58" spans="1:15" x14ac:dyDescent="0.25">
      <c r="A58" s="16" t="s">
        <v>1223</v>
      </c>
      <c r="B58">
        <v>1</v>
      </c>
      <c r="N58" s="16" t="s">
        <v>121</v>
      </c>
      <c r="O58">
        <v>1</v>
      </c>
    </row>
    <row r="59" spans="1:15" x14ac:dyDescent="0.25">
      <c r="A59" s="16" t="s">
        <v>299</v>
      </c>
      <c r="B59">
        <v>1</v>
      </c>
      <c r="N59" s="16" t="s">
        <v>198</v>
      </c>
      <c r="O59">
        <v>1</v>
      </c>
    </row>
    <row r="60" spans="1:15" x14ac:dyDescent="0.25">
      <c r="A60" s="16" t="s">
        <v>938</v>
      </c>
      <c r="B60">
        <v>1</v>
      </c>
      <c r="N60" s="16" t="s">
        <v>810</v>
      </c>
      <c r="O60">
        <v>1</v>
      </c>
    </row>
    <row r="61" spans="1:15" x14ac:dyDescent="0.25">
      <c r="A61" s="16" t="s">
        <v>1218</v>
      </c>
      <c r="B61">
        <v>1</v>
      </c>
      <c r="N61" s="16" t="s">
        <v>137</v>
      </c>
      <c r="O61">
        <v>1</v>
      </c>
    </row>
    <row r="62" spans="1:15" x14ac:dyDescent="0.25">
      <c r="A62" s="16" t="s">
        <v>541</v>
      </c>
      <c r="B62">
        <v>1</v>
      </c>
      <c r="N62" s="16" t="s">
        <v>300</v>
      </c>
      <c r="O62">
        <v>1</v>
      </c>
    </row>
    <row r="63" spans="1:15" x14ac:dyDescent="0.25">
      <c r="A63" s="16" t="s">
        <v>1111</v>
      </c>
      <c r="B63">
        <v>1</v>
      </c>
      <c r="N63" s="16" t="s">
        <v>832</v>
      </c>
      <c r="O63">
        <v>1</v>
      </c>
    </row>
    <row r="64" spans="1:15" x14ac:dyDescent="0.25">
      <c r="A64" s="16" t="s">
        <v>733</v>
      </c>
      <c r="B64">
        <v>1</v>
      </c>
      <c r="N64" s="16" t="s">
        <v>602</v>
      </c>
      <c r="O64">
        <v>1</v>
      </c>
    </row>
    <row r="65" spans="1:15" x14ac:dyDescent="0.25">
      <c r="A65" s="16" t="s">
        <v>1164</v>
      </c>
      <c r="B65">
        <v>1</v>
      </c>
      <c r="N65" s="16" t="s">
        <v>310</v>
      </c>
      <c r="O65">
        <v>1</v>
      </c>
    </row>
    <row r="66" spans="1:15" x14ac:dyDescent="0.25">
      <c r="A66" s="16" t="s">
        <v>707</v>
      </c>
      <c r="B66">
        <v>1</v>
      </c>
      <c r="N66" s="16" t="s">
        <v>632</v>
      </c>
      <c r="O66">
        <v>1</v>
      </c>
    </row>
    <row r="67" spans="1:15" x14ac:dyDescent="0.25">
      <c r="A67" s="16" t="s">
        <v>394</v>
      </c>
      <c r="B67">
        <v>1</v>
      </c>
      <c r="N67" s="16" t="s">
        <v>939</v>
      </c>
      <c r="O67">
        <v>1</v>
      </c>
    </row>
    <row r="68" spans="1:15" x14ac:dyDescent="0.25">
      <c r="A68" s="16" t="s">
        <v>620</v>
      </c>
      <c r="B68">
        <v>1</v>
      </c>
      <c r="N68" s="16" t="s">
        <v>296</v>
      </c>
      <c r="O68">
        <v>1</v>
      </c>
    </row>
    <row r="69" spans="1:15" x14ac:dyDescent="0.25">
      <c r="A69" s="16" t="s">
        <v>202</v>
      </c>
      <c r="B69">
        <v>1</v>
      </c>
      <c r="N69" s="16" t="s">
        <v>828</v>
      </c>
      <c r="O69">
        <v>1</v>
      </c>
    </row>
    <row r="70" spans="1:15" x14ac:dyDescent="0.25">
      <c r="A70" s="16" t="s">
        <v>1078</v>
      </c>
      <c r="B70">
        <v>1</v>
      </c>
      <c r="N70" s="16" t="s">
        <v>778</v>
      </c>
      <c r="O70">
        <v>1</v>
      </c>
    </row>
    <row r="71" spans="1:15" x14ac:dyDescent="0.25">
      <c r="A71" s="16" t="s">
        <v>170</v>
      </c>
      <c r="B71">
        <v>1</v>
      </c>
      <c r="N71" s="16" t="s">
        <v>395</v>
      </c>
      <c r="O71">
        <v>1</v>
      </c>
    </row>
    <row r="72" spans="1:15" x14ac:dyDescent="0.25">
      <c r="A72" s="16" t="s">
        <v>427</v>
      </c>
      <c r="B72">
        <v>1</v>
      </c>
      <c r="N72" s="16" t="s">
        <v>344</v>
      </c>
      <c r="O72">
        <v>1</v>
      </c>
    </row>
    <row r="73" spans="1:15" x14ac:dyDescent="0.25">
      <c r="A73" s="16" t="s">
        <v>1073</v>
      </c>
      <c r="B73">
        <v>1</v>
      </c>
      <c r="N73" s="16" t="s">
        <v>788</v>
      </c>
      <c r="O73">
        <v>1</v>
      </c>
    </row>
    <row r="74" spans="1:15" x14ac:dyDescent="0.25">
      <c r="A74" s="16" t="s">
        <v>448</v>
      </c>
      <c r="B74">
        <v>1</v>
      </c>
      <c r="N74" s="16" t="s">
        <v>665</v>
      </c>
      <c r="O74">
        <v>1</v>
      </c>
    </row>
    <row r="75" spans="1:15" x14ac:dyDescent="0.25">
      <c r="A75" s="16" t="s">
        <v>1154</v>
      </c>
      <c r="B75">
        <v>1</v>
      </c>
      <c r="N75" s="16" t="s">
        <v>443</v>
      </c>
      <c r="O75">
        <v>1</v>
      </c>
    </row>
    <row r="76" spans="1:15" x14ac:dyDescent="0.25">
      <c r="A76" s="16" t="s">
        <v>414</v>
      </c>
      <c r="B76">
        <v>1</v>
      </c>
      <c r="N76" s="16" t="s">
        <v>751</v>
      </c>
      <c r="O76">
        <v>1</v>
      </c>
    </row>
    <row r="77" spans="1:15" x14ac:dyDescent="0.25">
      <c r="A77" s="16" t="s">
        <v>455</v>
      </c>
      <c r="B77">
        <v>1</v>
      </c>
      <c r="N77" s="16" t="s">
        <v>304</v>
      </c>
      <c r="O77">
        <v>1</v>
      </c>
    </row>
    <row r="78" spans="1:15" x14ac:dyDescent="0.25">
      <c r="A78" s="16" t="s">
        <v>1138</v>
      </c>
      <c r="B78">
        <v>1</v>
      </c>
      <c r="N78" s="16" t="s">
        <v>405</v>
      </c>
      <c r="O78">
        <v>1</v>
      </c>
    </row>
    <row r="79" spans="1:15" x14ac:dyDescent="0.25">
      <c r="A79" s="16" t="s">
        <v>1116</v>
      </c>
      <c r="B79">
        <v>1</v>
      </c>
      <c r="N79" s="16" t="s">
        <v>782</v>
      </c>
      <c r="O79">
        <v>1</v>
      </c>
    </row>
    <row r="80" spans="1:15" x14ac:dyDescent="0.25">
      <c r="A80" s="16" t="s">
        <v>1240</v>
      </c>
      <c r="B80">
        <v>1</v>
      </c>
      <c r="N80" s="16" t="s">
        <v>263</v>
      </c>
      <c r="O80">
        <v>1</v>
      </c>
    </row>
    <row r="81" spans="1:15" x14ac:dyDescent="0.25">
      <c r="A81" s="16" t="s">
        <v>656</v>
      </c>
      <c r="B81">
        <v>1</v>
      </c>
      <c r="N81" s="16" t="s">
        <v>435</v>
      </c>
      <c r="O81">
        <v>1</v>
      </c>
    </row>
    <row r="82" spans="1:15" x14ac:dyDescent="0.25">
      <c r="A82" s="16" t="s">
        <v>622</v>
      </c>
      <c r="B82">
        <v>1</v>
      </c>
      <c r="N82" s="16" t="s">
        <v>483</v>
      </c>
      <c r="O82">
        <v>1</v>
      </c>
    </row>
    <row r="83" spans="1:15" x14ac:dyDescent="0.25">
      <c r="A83" s="16" t="s">
        <v>1176</v>
      </c>
      <c r="B83">
        <v>1</v>
      </c>
      <c r="N83" s="16" t="s">
        <v>514</v>
      </c>
      <c r="O83">
        <v>1</v>
      </c>
    </row>
    <row r="84" spans="1:15" x14ac:dyDescent="0.25">
      <c r="A84" s="16" t="s">
        <v>1107</v>
      </c>
      <c r="B84">
        <v>1</v>
      </c>
      <c r="N84" s="16" t="s">
        <v>563</v>
      </c>
      <c r="O84">
        <v>1</v>
      </c>
    </row>
    <row r="85" spans="1:15" x14ac:dyDescent="0.25">
      <c r="A85" s="16" t="s">
        <v>247</v>
      </c>
      <c r="B85">
        <v>1</v>
      </c>
      <c r="N85" s="16" t="s">
        <v>518</v>
      </c>
      <c r="O85">
        <v>1</v>
      </c>
    </row>
    <row r="86" spans="1:15" x14ac:dyDescent="0.25">
      <c r="A86" s="16" t="s">
        <v>1094</v>
      </c>
      <c r="B86">
        <v>1</v>
      </c>
      <c r="N86" s="16" t="s">
        <v>934</v>
      </c>
      <c r="O86">
        <v>1</v>
      </c>
    </row>
    <row r="87" spans="1:15" x14ac:dyDescent="0.25">
      <c r="A87" s="16" t="s">
        <v>787</v>
      </c>
      <c r="B87">
        <v>1</v>
      </c>
      <c r="N87" s="16" t="s">
        <v>657</v>
      </c>
      <c r="O87">
        <v>1</v>
      </c>
    </row>
    <row r="88" spans="1:15" x14ac:dyDescent="0.25">
      <c r="A88" s="16" t="s">
        <v>1115</v>
      </c>
      <c r="B88">
        <v>1</v>
      </c>
      <c r="N88" s="16" t="s">
        <v>1310</v>
      </c>
      <c r="O88">
        <v>1</v>
      </c>
    </row>
    <row r="89" spans="1:15" x14ac:dyDescent="0.25">
      <c r="A89" s="16" t="s">
        <v>1014</v>
      </c>
      <c r="B89">
        <v>1</v>
      </c>
      <c r="N89" s="16" t="s">
        <v>698</v>
      </c>
      <c r="O89">
        <v>1</v>
      </c>
    </row>
    <row r="90" spans="1:15" x14ac:dyDescent="0.25">
      <c r="A90" s="16" t="s">
        <v>1089</v>
      </c>
      <c r="B90">
        <v>1</v>
      </c>
      <c r="N90" s="16" t="s">
        <v>117</v>
      </c>
      <c r="O90">
        <v>1</v>
      </c>
    </row>
    <row r="91" spans="1:15" x14ac:dyDescent="0.25">
      <c r="A91" s="16" t="s">
        <v>134</v>
      </c>
      <c r="B91">
        <v>1</v>
      </c>
      <c r="N91" s="16" t="s">
        <v>496</v>
      </c>
      <c r="O91">
        <v>1</v>
      </c>
    </row>
    <row r="92" spans="1:15" x14ac:dyDescent="0.25">
      <c r="A92" s="16" t="s">
        <v>322</v>
      </c>
      <c r="B92">
        <v>1</v>
      </c>
      <c r="N92" s="16" t="s">
        <v>712</v>
      </c>
      <c r="O92">
        <v>1</v>
      </c>
    </row>
    <row r="93" spans="1:15" x14ac:dyDescent="0.25">
      <c r="A93" s="16" t="s">
        <v>1191</v>
      </c>
      <c r="B93">
        <v>1</v>
      </c>
      <c r="N93" s="16" t="s">
        <v>222</v>
      </c>
      <c r="O93">
        <v>1</v>
      </c>
    </row>
    <row r="94" spans="1:15" x14ac:dyDescent="0.25">
      <c r="A94" s="16" t="s">
        <v>270</v>
      </c>
      <c r="B94">
        <v>1</v>
      </c>
      <c r="N94" s="16" t="s">
        <v>412</v>
      </c>
      <c r="O94">
        <v>1</v>
      </c>
    </row>
    <row r="95" spans="1:15" x14ac:dyDescent="0.25">
      <c r="A95" s="16" t="s">
        <v>1033</v>
      </c>
      <c r="B95">
        <v>1</v>
      </c>
      <c r="N95" s="16" t="s">
        <v>852</v>
      </c>
      <c r="O95">
        <v>1</v>
      </c>
    </row>
    <row r="96" spans="1:15" x14ac:dyDescent="0.25">
      <c r="A96" s="16" t="s">
        <v>897</v>
      </c>
      <c r="B96">
        <v>1</v>
      </c>
      <c r="N96" s="16" t="s">
        <v>542</v>
      </c>
      <c r="O96">
        <v>1</v>
      </c>
    </row>
    <row r="97" spans="1:15" x14ac:dyDescent="0.25">
      <c r="A97" s="16" t="s">
        <v>1026</v>
      </c>
      <c r="B97">
        <v>1</v>
      </c>
      <c r="N97" s="16" t="s">
        <v>741</v>
      </c>
      <c r="O97">
        <v>1</v>
      </c>
    </row>
    <row r="98" spans="1:15" x14ac:dyDescent="0.25">
      <c r="A98" s="16" t="s">
        <v>680</v>
      </c>
      <c r="B98">
        <v>1</v>
      </c>
      <c r="N98" s="16" t="s">
        <v>640</v>
      </c>
      <c r="O98">
        <v>1</v>
      </c>
    </row>
    <row r="99" spans="1:15" x14ac:dyDescent="0.25">
      <c r="A99" s="16" t="s">
        <v>651</v>
      </c>
      <c r="B99">
        <v>1</v>
      </c>
      <c r="N99" s="16" t="s">
        <v>627</v>
      </c>
      <c r="O99">
        <v>1</v>
      </c>
    </row>
    <row r="100" spans="1:15" x14ac:dyDescent="0.25">
      <c r="A100" s="16" t="s">
        <v>1049</v>
      </c>
      <c r="B100">
        <v>1</v>
      </c>
      <c r="N100" s="16" t="s">
        <v>505</v>
      </c>
      <c r="O100">
        <v>1</v>
      </c>
    </row>
    <row r="101" spans="1:15" x14ac:dyDescent="0.25">
      <c r="A101" s="16" t="s">
        <v>800</v>
      </c>
      <c r="B101">
        <v>1</v>
      </c>
      <c r="N101" s="16" t="s">
        <v>768</v>
      </c>
      <c r="O101">
        <v>1</v>
      </c>
    </row>
    <row r="102" spans="1:15" x14ac:dyDescent="0.25">
      <c r="A102" s="16" t="s">
        <v>1044</v>
      </c>
      <c r="B102">
        <v>1</v>
      </c>
      <c r="N102" s="16" t="s">
        <v>819</v>
      </c>
      <c r="O102">
        <v>1</v>
      </c>
    </row>
    <row r="103" spans="1:15" x14ac:dyDescent="0.25">
      <c r="A103" s="16" t="s">
        <v>813</v>
      </c>
      <c r="B103">
        <v>1</v>
      </c>
      <c r="N103" s="16" t="s">
        <v>804</v>
      </c>
      <c r="O103">
        <v>1</v>
      </c>
    </row>
    <row r="104" spans="1:15" x14ac:dyDescent="0.25">
      <c r="A104" s="16" t="s">
        <v>1036</v>
      </c>
      <c r="B104">
        <v>1</v>
      </c>
      <c r="N104" s="16" t="s">
        <v>749</v>
      </c>
      <c r="O104">
        <v>1</v>
      </c>
    </row>
    <row r="105" spans="1:15" x14ac:dyDescent="0.25">
      <c r="A105" s="16" t="s">
        <v>750</v>
      </c>
      <c r="B105">
        <v>1</v>
      </c>
      <c r="N105" s="16" t="s">
        <v>520</v>
      </c>
      <c r="O105">
        <v>1</v>
      </c>
    </row>
    <row r="106" spans="1:15" x14ac:dyDescent="0.25">
      <c r="A106" s="16" t="s">
        <v>109</v>
      </c>
      <c r="B106">
        <v>1</v>
      </c>
      <c r="N106" s="16" t="s">
        <v>801</v>
      </c>
      <c r="O106">
        <v>1</v>
      </c>
    </row>
    <row r="107" spans="1:15" x14ac:dyDescent="0.25">
      <c r="A107" s="16" t="s">
        <v>294</v>
      </c>
      <c r="B107">
        <v>1</v>
      </c>
      <c r="N107" s="16" t="s">
        <v>1313</v>
      </c>
      <c r="O107">
        <v>1</v>
      </c>
    </row>
    <row r="108" spans="1:15" x14ac:dyDescent="0.25">
      <c r="A108" s="16" t="s">
        <v>1134</v>
      </c>
      <c r="B108">
        <v>1</v>
      </c>
      <c r="N108" s="16" t="s">
        <v>377</v>
      </c>
      <c r="O108">
        <v>1</v>
      </c>
    </row>
    <row r="109" spans="1:15" x14ac:dyDescent="0.25">
      <c r="A109" s="16" t="s">
        <v>209</v>
      </c>
      <c r="B109">
        <v>1</v>
      </c>
      <c r="N109" s="16" t="s">
        <v>1298</v>
      </c>
      <c r="O109">
        <v>1</v>
      </c>
    </row>
    <row r="110" spans="1:15" x14ac:dyDescent="0.25">
      <c r="A110" s="16" t="s">
        <v>1185</v>
      </c>
      <c r="B110">
        <v>1</v>
      </c>
      <c r="N110" s="16" t="s">
        <v>524</v>
      </c>
      <c r="O110">
        <v>1</v>
      </c>
    </row>
    <row r="111" spans="1:15" x14ac:dyDescent="0.25">
      <c r="A111" s="16" t="s">
        <v>829</v>
      </c>
      <c r="B111">
        <v>1</v>
      </c>
      <c r="N111" s="16" t="s">
        <v>1258</v>
      </c>
      <c r="O111">
        <v>1</v>
      </c>
    </row>
    <row r="112" spans="1:15" x14ac:dyDescent="0.25">
      <c r="A112" s="16" t="s">
        <v>318</v>
      </c>
      <c r="B112">
        <v>1</v>
      </c>
      <c r="N112" s="16" t="s">
        <v>659</v>
      </c>
      <c r="O112">
        <v>1</v>
      </c>
    </row>
    <row r="113" spans="1:15" x14ac:dyDescent="0.25">
      <c r="A113" s="16" t="s">
        <v>1206</v>
      </c>
      <c r="B113">
        <v>1</v>
      </c>
      <c r="N113" s="16" t="s">
        <v>551</v>
      </c>
      <c r="O113">
        <v>1</v>
      </c>
    </row>
    <row r="114" spans="1:15" x14ac:dyDescent="0.25">
      <c r="A114" s="16" t="s">
        <v>1071</v>
      </c>
      <c r="B114">
        <v>1</v>
      </c>
      <c r="N114" s="16" t="s">
        <v>477</v>
      </c>
      <c r="O114">
        <v>1</v>
      </c>
    </row>
    <row r="115" spans="1:15" x14ac:dyDescent="0.25">
      <c r="A115" s="16" t="s">
        <v>221</v>
      </c>
      <c r="B115">
        <v>1</v>
      </c>
      <c r="N115" s="16" t="s">
        <v>1300</v>
      </c>
      <c r="O115">
        <v>1</v>
      </c>
    </row>
    <row r="116" spans="1:15" x14ac:dyDescent="0.25">
      <c r="A116" s="16" t="s">
        <v>472</v>
      </c>
      <c r="B116">
        <v>1</v>
      </c>
      <c r="N116" s="16" t="s">
        <v>308</v>
      </c>
      <c r="O116">
        <v>1</v>
      </c>
    </row>
    <row r="117" spans="1:15" x14ac:dyDescent="0.25">
      <c r="A117" s="16" t="s">
        <v>948</v>
      </c>
      <c r="B117">
        <v>1</v>
      </c>
      <c r="N117" s="16" t="s">
        <v>743</v>
      </c>
      <c r="O117">
        <v>1</v>
      </c>
    </row>
    <row r="118" spans="1:15" x14ac:dyDescent="0.25">
      <c r="A118" s="16" t="s">
        <v>273</v>
      </c>
      <c r="B118">
        <v>1</v>
      </c>
      <c r="N118" s="16" t="s">
        <v>415</v>
      </c>
      <c r="O118">
        <v>1</v>
      </c>
    </row>
    <row r="119" spans="1:15" x14ac:dyDescent="0.25">
      <c r="A119" s="16" t="s">
        <v>404</v>
      </c>
      <c r="B119">
        <v>1</v>
      </c>
      <c r="N119" s="16" t="s">
        <v>719</v>
      </c>
      <c r="O119">
        <v>1</v>
      </c>
    </row>
    <row r="120" spans="1:15" x14ac:dyDescent="0.25">
      <c r="A120" s="16" t="s">
        <v>352</v>
      </c>
      <c r="B120">
        <v>1</v>
      </c>
      <c r="N120" s="16" t="s">
        <v>461</v>
      </c>
      <c r="O120">
        <v>1</v>
      </c>
    </row>
    <row r="121" spans="1:15" x14ac:dyDescent="0.25">
      <c r="A121" s="16" t="s">
        <v>1096</v>
      </c>
      <c r="B121">
        <v>1</v>
      </c>
      <c r="N121" s="16" t="s">
        <v>814</v>
      </c>
      <c r="O121">
        <v>1</v>
      </c>
    </row>
    <row r="122" spans="1:15" x14ac:dyDescent="0.25">
      <c r="A122" s="16" t="s">
        <v>650</v>
      </c>
      <c r="B122">
        <v>1</v>
      </c>
      <c r="N122" s="16" t="s">
        <v>313</v>
      </c>
      <c r="O122">
        <v>1</v>
      </c>
    </row>
    <row r="123" spans="1:15" x14ac:dyDescent="0.25">
      <c r="A123" s="16" t="s">
        <v>376</v>
      </c>
      <c r="B123">
        <v>1</v>
      </c>
      <c r="N123" s="16" t="s">
        <v>605</v>
      </c>
      <c r="O123">
        <v>1</v>
      </c>
    </row>
    <row r="124" spans="1:15" x14ac:dyDescent="0.25">
      <c r="A124" s="16" t="s">
        <v>803</v>
      </c>
      <c r="B124">
        <v>1</v>
      </c>
      <c r="N124" s="16" t="s">
        <v>385</v>
      </c>
      <c r="O124">
        <v>1</v>
      </c>
    </row>
    <row r="125" spans="1:15" x14ac:dyDescent="0.25">
      <c r="A125" s="16" t="s">
        <v>476</v>
      </c>
      <c r="B125">
        <v>1</v>
      </c>
      <c r="N125" s="16" t="s">
        <v>479</v>
      </c>
      <c r="O125">
        <v>1</v>
      </c>
    </row>
    <row r="126" spans="1:15" x14ac:dyDescent="0.25">
      <c r="A126" s="16" t="s">
        <v>303</v>
      </c>
      <c r="B126">
        <v>1</v>
      </c>
      <c r="N126" s="16" t="s">
        <v>715</v>
      </c>
      <c r="O126">
        <v>1</v>
      </c>
    </row>
    <row r="127" spans="1:15" x14ac:dyDescent="0.25">
      <c r="A127" s="16" t="s">
        <v>212</v>
      </c>
      <c r="B127">
        <v>1</v>
      </c>
      <c r="N127" s="16" t="s">
        <v>179</v>
      </c>
      <c r="O127">
        <v>1</v>
      </c>
    </row>
    <row r="128" spans="1:15" x14ac:dyDescent="0.25">
      <c r="A128" s="16" t="s">
        <v>695</v>
      </c>
      <c r="B128">
        <v>1</v>
      </c>
      <c r="N128" s="16" t="s">
        <v>637</v>
      </c>
      <c r="O128">
        <v>1</v>
      </c>
    </row>
    <row r="129" spans="1:15" x14ac:dyDescent="0.25">
      <c r="A129" s="16" t="s">
        <v>312</v>
      </c>
      <c r="B129">
        <v>1</v>
      </c>
      <c r="N129" s="16" t="s">
        <v>373</v>
      </c>
      <c r="O129">
        <v>1</v>
      </c>
    </row>
    <row r="130" spans="1:15" x14ac:dyDescent="0.25">
      <c r="A130" s="16" t="s">
        <v>1011</v>
      </c>
      <c r="B130">
        <v>1</v>
      </c>
      <c r="N130" s="16" t="s">
        <v>323</v>
      </c>
      <c r="O130">
        <v>1</v>
      </c>
    </row>
    <row r="131" spans="1:15" x14ac:dyDescent="0.25">
      <c r="A131" s="16" t="s">
        <v>562</v>
      </c>
      <c r="B131">
        <v>1</v>
      </c>
      <c r="N131" s="16" t="s">
        <v>604</v>
      </c>
      <c r="O131">
        <v>1</v>
      </c>
    </row>
    <row r="132" spans="1:15" x14ac:dyDescent="0.25">
      <c r="A132" s="16" t="s">
        <v>157</v>
      </c>
      <c r="B132">
        <v>1</v>
      </c>
      <c r="N132" s="16" t="s">
        <v>416</v>
      </c>
      <c r="O132">
        <v>1</v>
      </c>
    </row>
    <row r="133" spans="1:15" x14ac:dyDescent="0.25">
      <c r="A133" s="16" t="s">
        <v>1261</v>
      </c>
      <c r="B133">
        <v>1</v>
      </c>
      <c r="N133" s="16" t="s">
        <v>734</v>
      </c>
      <c r="O133">
        <v>1</v>
      </c>
    </row>
    <row r="134" spans="1:15" x14ac:dyDescent="0.25">
      <c r="A134" s="16" t="s">
        <v>411</v>
      </c>
      <c r="B134">
        <v>1</v>
      </c>
      <c r="N134" s="16" t="s">
        <v>645</v>
      </c>
      <c r="O134">
        <v>1</v>
      </c>
    </row>
    <row r="135" spans="1:15" x14ac:dyDescent="0.25">
      <c r="A135" s="16" t="s">
        <v>1004</v>
      </c>
      <c r="B135">
        <v>1</v>
      </c>
      <c r="N135" s="16" t="s">
        <v>213</v>
      </c>
      <c r="O135">
        <v>1</v>
      </c>
    </row>
    <row r="136" spans="1:15" x14ac:dyDescent="0.25">
      <c r="A136" s="16" t="s">
        <v>384</v>
      </c>
      <c r="B136">
        <v>1</v>
      </c>
      <c r="N136" s="16" t="s">
        <v>901</v>
      </c>
      <c r="O136">
        <v>1</v>
      </c>
    </row>
    <row r="137" spans="1:15" x14ac:dyDescent="0.25">
      <c r="A137" s="16" t="s">
        <v>767</v>
      </c>
      <c r="B137">
        <v>1</v>
      </c>
      <c r="N137" s="16" t="s">
        <v>612</v>
      </c>
      <c r="O137">
        <v>1</v>
      </c>
    </row>
    <row r="138" spans="1:15" x14ac:dyDescent="0.25">
      <c r="A138" s="16" t="s">
        <v>910</v>
      </c>
      <c r="B138">
        <v>1</v>
      </c>
      <c r="N138" s="16" t="s">
        <v>799</v>
      </c>
      <c r="O138">
        <v>1</v>
      </c>
    </row>
    <row r="139" spans="1:15" x14ac:dyDescent="0.25">
      <c r="A139" s="16" t="s">
        <v>649</v>
      </c>
      <c r="B139">
        <v>1</v>
      </c>
      <c r="N139" s="16" t="s">
        <v>1308</v>
      </c>
      <c r="O139">
        <v>1</v>
      </c>
    </row>
    <row r="140" spans="1:15" x14ac:dyDescent="0.25">
      <c r="A140" s="16" t="s">
        <v>644</v>
      </c>
      <c r="B140">
        <v>1</v>
      </c>
      <c r="N140" s="16" t="s">
        <v>745</v>
      </c>
      <c r="O140">
        <v>1</v>
      </c>
    </row>
    <row r="141" spans="1:15" x14ac:dyDescent="0.25">
      <c r="A141" s="16" t="s">
        <v>1141</v>
      </c>
      <c r="B141">
        <v>1</v>
      </c>
      <c r="N141" s="16" t="s">
        <v>353</v>
      </c>
      <c r="O141">
        <v>1</v>
      </c>
    </row>
    <row r="142" spans="1:15" x14ac:dyDescent="0.25">
      <c r="A142" s="16" t="s">
        <v>1155</v>
      </c>
      <c r="B142">
        <v>1</v>
      </c>
      <c r="N142" s="16" t="s">
        <v>661</v>
      </c>
      <c r="O142">
        <v>1</v>
      </c>
    </row>
    <row r="143" spans="1:15" x14ac:dyDescent="0.25">
      <c r="A143" s="16" t="s">
        <v>1105</v>
      </c>
      <c r="B143">
        <v>1</v>
      </c>
      <c r="N143" s="16" t="s">
        <v>907</v>
      </c>
      <c r="O143">
        <v>1</v>
      </c>
    </row>
    <row r="144" spans="1:15" x14ac:dyDescent="0.25">
      <c r="A144" s="16" t="s">
        <v>1065</v>
      </c>
      <c r="B144">
        <v>1</v>
      </c>
      <c r="N144" s="16" t="s">
        <v>793</v>
      </c>
      <c r="O144">
        <v>1</v>
      </c>
    </row>
    <row r="145" spans="1:15" x14ac:dyDescent="0.25">
      <c r="A145" s="16" t="s">
        <v>1027</v>
      </c>
      <c r="B145">
        <v>1</v>
      </c>
      <c r="N145" s="16" t="s">
        <v>210</v>
      </c>
      <c r="O145">
        <v>1</v>
      </c>
    </row>
    <row r="146" spans="1:15" x14ac:dyDescent="0.25">
      <c r="A146" s="16" t="s">
        <v>468</v>
      </c>
      <c r="B146">
        <v>1</v>
      </c>
      <c r="N146" s="16" t="s">
        <v>862</v>
      </c>
      <c r="O146">
        <v>1</v>
      </c>
    </row>
    <row r="147" spans="1:15" x14ac:dyDescent="0.25">
      <c r="A147" s="16" t="s">
        <v>1203</v>
      </c>
      <c r="B147">
        <v>1</v>
      </c>
      <c r="N147" s="16" t="s">
        <v>949</v>
      </c>
      <c r="O147">
        <v>1</v>
      </c>
    </row>
    <row r="148" spans="1:15" x14ac:dyDescent="0.25">
      <c r="A148" s="16" t="s">
        <v>499</v>
      </c>
      <c r="B148">
        <v>1</v>
      </c>
      <c r="N148" s="16" t="s">
        <v>216</v>
      </c>
      <c r="O148">
        <v>1</v>
      </c>
    </row>
    <row r="149" spans="1:15" x14ac:dyDescent="0.25">
      <c r="A149" s="16" t="s">
        <v>1163</v>
      </c>
      <c r="B149">
        <v>1</v>
      </c>
      <c r="N149" s="16" t="s">
        <v>642</v>
      </c>
      <c r="O149">
        <v>1</v>
      </c>
    </row>
    <row r="150" spans="1:15" x14ac:dyDescent="0.25">
      <c r="A150" s="16" t="s">
        <v>504</v>
      </c>
      <c r="B150">
        <v>1</v>
      </c>
      <c r="N150" s="16" t="s">
        <v>621</v>
      </c>
      <c r="O150">
        <v>1</v>
      </c>
    </row>
    <row r="151" spans="1:15" x14ac:dyDescent="0.25">
      <c r="A151" s="16" t="s">
        <v>1086</v>
      </c>
      <c r="B151">
        <v>1</v>
      </c>
      <c r="N151" s="16" t="s">
        <v>830</v>
      </c>
      <c r="O151">
        <v>1</v>
      </c>
    </row>
    <row r="152" spans="1:15" x14ac:dyDescent="0.25">
      <c r="A152" s="16" t="s">
        <v>240</v>
      </c>
      <c r="B152">
        <v>1</v>
      </c>
      <c r="N152" s="16" t="s">
        <v>817</v>
      </c>
      <c r="O152">
        <v>1</v>
      </c>
    </row>
    <row r="153" spans="1:15" x14ac:dyDescent="0.25">
      <c r="A153" s="16" t="s">
        <v>900</v>
      </c>
      <c r="B153">
        <v>1</v>
      </c>
      <c r="N153" s="16" t="s">
        <v>500</v>
      </c>
      <c r="O153">
        <v>1</v>
      </c>
    </row>
    <row r="154" spans="1:15" x14ac:dyDescent="0.25">
      <c r="A154" s="16" t="s">
        <v>664</v>
      </c>
      <c r="B154">
        <v>1</v>
      </c>
      <c r="N154" s="16" t="s">
        <v>487</v>
      </c>
      <c r="O154">
        <v>1</v>
      </c>
    </row>
    <row r="155" spans="1:15" x14ac:dyDescent="0.25">
      <c r="A155" s="16" t="s">
        <v>444</v>
      </c>
      <c r="B155">
        <v>1</v>
      </c>
      <c r="N155" s="16" t="s">
        <v>467</v>
      </c>
      <c r="O155">
        <v>1</v>
      </c>
    </row>
    <row r="156" spans="1:15" x14ac:dyDescent="0.25">
      <c r="A156" s="16" t="s">
        <v>781</v>
      </c>
      <c r="B156">
        <v>1</v>
      </c>
      <c r="N156" s="16" t="s">
        <v>694</v>
      </c>
      <c r="O156">
        <v>1</v>
      </c>
    </row>
    <row r="157" spans="1:15" x14ac:dyDescent="0.25">
      <c r="A157" s="16" t="s">
        <v>1031</v>
      </c>
      <c r="B157">
        <v>1</v>
      </c>
      <c r="N157" s="16" t="s">
        <v>469</v>
      </c>
      <c r="O157">
        <v>1</v>
      </c>
    </row>
    <row r="158" spans="1:15" x14ac:dyDescent="0.25">
      <c r="A158" s="16" t="s">
        <v>760</v>
      </c>
      <c r="B158">
        <v>1</v>
      </c>
      <c r="N158" s="16" t="s">
        <v>708</v>
      </c>
      <c r="O158">
        <v>1</v>
      </c>
    </row>
    <row r="159" spans="1:15" x14ac:dyDescent="0.25">
      <c r="A159" s="16" t="s">
        <v>1241</v>
      </c>
      <c r="B159">
        <v>1</v>
      </c>
      <c r="N159" s="16" t="s">
        <v>523</v>
      </c>
      <c r="O159">
        <v>1</v>
      </c>
    </row>
    <row r="160" spans="1:15" x14ac:dyDescent="0.25">
      <c r="A160" s="16" t="s">
        <v>639</v>
      </c>
      <c r="B160">
        <v>1</v>
      </c>
      <c r="N160" s="16" t="s">
        <v>485</v>
      </c>
      <c r="O160">
        <v>1</v>
      </c>
    </row>
    <row r="161" spans="1:15" x14ac:dyDescent="0.25">
      <c r="A161" s="16" t="s">
        <v>1197</v>
      </c>
      <c r="B161">
        <v>1</v>
      </c>
      <c r="N161" s="16" t="s">
        <v>797</v>
      </c>
      <c r="O161">
        <v>1</v>
      </c>
    </row>
    <row r="162" spans="1:15" x14ac:dyDescent="0.25">
      <c r="A162" s="16" t="s">
        <v>439</v>
      </c>
      <c r="B162">
        <v>1</v>
      </c>
      <c r="N162" s="16" t="s">
        <v>1256</v>
      </c>
      <c r="O162">
        <v>1</v>
      </c>
    </row>
    <row r="163" spans="1:15" x14ac:dyDescent="0.25">
      <c r="A163" s="16" t="s">
        <v>1127</v>
      </c>
      <c r="B163">
        <v>1</v>
      </c>
      <c r="N163" s="16" t="s">
        <v>449</v>
      </c>
      <c r="O163">
        <v>1</v>
      </c>
    </row>
    <row r="164" spans="1:15" x14ac:dyDescent="0.25">
      <c r="A164" s="16" t="s">
        <v>442</v>
      </c>
      <c r="B164">
        <v>1</v>
      </c>
      <c r="N164" s="16" t="s">
        <v>140</v>
      </c>
      <c r="O164">
        <v>1</v>
      </c>
    </row>
    <row r="165" spans="1:15" x14ac:dyDescent="0.25">
      <c r="A165" s="16" t="s">
        <v>1170</v>
      </c>
      <c r="B165">
        <v>1</v>
      </c>
      <c r="N165" s="16" t="s">
        <v>696</v>
      </c>
      <c r="O165">
        <v>1</v>
      </c>
    </row>
    <row r="166" spans="1:15" x14ac:dyDescent="0.25">
      <c r="A166" s="16" t="s">
        <v>431</v>
      </c>
      <c r="B166">
        <v>1</v>
      </c>
      <c r="N166" s="16" t="s">
        <v>1276</v>
      </c>
      <c r="O166">
        <v>1</v>
      </c>
    </row>
    <row r="167" spans="1:15" x14ac:dyDescent="0.25">
      <c r="A167" s="16" t="s">
        <v>1290</v>
      </c>
      <c r="B167">
        <v>1</v>
      </c>
      <c r="N167" s="16" t="s">
        <v>764</v>
      </c>
      <c r="O167">
        <v>1</v>
      </c>
    </row>
    <row r="168" spans="1:15" x14ac:dyDescent="0.25">
      <c r="A168" s="16" t="s">
        <v>1278</v>
      </c>
      <c r="B168">
        <v>1</v>
      </c>
      <c r="N168" s="16" t="s">
        <v>667</v>
      </c>
      <c r="O168">
        <v>1</v>
      </c>
    </row>
    <row r="169" spans="1:15" x14ac:dyDescent="0.25">
      <c r="A169" s="16" t="s">
        <v>281</v>
      </c>
      <c r="B169">
        <v>1</v>
      </c>
      <c r="N169" s="16" t="s">
        <v>663</v>
      </c>
      <c r="O169">
        <v>1</v>
      </c>
    </row>
    <row r="170" spans="1:15" x14ac:dyDescent="0.25">
      <c r="A170" s="16" t="s">
        <v>280</v>
      </c>
      <c r="B170">
        <v>1</v>
      </c>
      <c r="N170" s="16" t="s">
        <v>1287</v>
      </c>
      <c r="O170">
        <v>2</v>
      </c>
    </row>
    <row r="171" spans="1:15" x14ac:dyDescent="0.25">
      <c r="A171" s="16" t="s">
        <v>1047</v>
      </c>
      <c r="B171">
        <v>1</v>
      </c>
      <c r="N171" s="16" t="s">
        <v>823</v>
      </c>
      <c r="O171">
        <v>2</v>
      </c>
    </row>
    <row r="172" spans="1:15" x14ac:dyDescent="0.25">
      <c r="A172" s="16" t="s">
        <v>241</v>
      </c>
      <c r="B172">
        <v>1</v>
      </c>
      <c r="N172" s="16" t="s">
        <v>812</v>
      </c>
      <c r="O172">
        <v>2</v>
      </c>
    </row>
    <row r="173" spans="1:15" x14ac:dyDescent="0.25">
      <c r="A173" s="16" t="s">
        <v>672</v>
      </c>
      <c r="B173">
        <v>1</v>
      </c>
      <c r="N173" s="16" t="s">
        <v>1288</v>
      </c>
      <c r="O173">
        <v>2</v>
      </c>
    </row>
    <row r="174" spans="1:15" x14ac:dyDescent="0.25">
      <c r="A174" s="16" t="s">
        <v>451</v>
      </c>
      <c r="B174">
        <v>1</v>
      </c>
      <c r="N174" s="16" t="s">
        <v>1260</v>
      </c>
      <c r="O174">
        <v>2</v>
      </c>
    </row>
    <row r="175" spans="1:15" x14ac:dyDescent="0.25">
      <c r="A175" s="16" t="s">
        <v>631</v>
      </c>
      <c r="B175">
        <v>1</v>
      </c>
      <c r="N175" s="16" t="s">
        <v>1248</v>
      </c>
      <c r="O175">
        <v>2</v>
      </c>
    </row>
    <row r="176" spans="1:15" x14ac:dyDescent="0.25">
      <c r="A176" s="16" t="s">
        <v>1124</v>
      </c>
      <c r="B176">
        <v>1</v>
      </c>
      <c r="N176" s="16" t="s">
        <v>681</v>
      </c>
      <c r="O176">
        <v>2</v>
      </c>
    </row>
    <row r="177" spans="1:15" x14ac:dyDescent="0.25">
      <c r="A177" s="16" t="s">
        <v>262</v>
      </c>
      <c r="B177">
        <v>1</v>
      </c>
      <c r="N177" s="16" t="s">
        <v>677</v>
      </c>
      <c r="O177">
        <v>2</v>
      </c>
    </row>
    <row r="178" spans="1:15" x14ac:dyDescent="0.25">
      <c r="A178" s="16" t="s">
        <v>626</v>
      </c>
      <c r="B178">
        <v>1</v>
      </c>
      <c r="N178" s="16" t="s">
        <v>380</v>
      </c>
      <c r="O178">
        <v>2</v>
      </c>
    </row>
    <row r="179" spans="1:15" x14ac:dyDescent="0.25">
      <c r="A179" s="16" t="s">
        <v>130</v>
      </c>
      <c r="B179">
        <v>1</v>
      </c>
      <c r="N179" s="16" t="s">
        <v>688</v>
      </c>
      <c r="O179">
        <v>2</v>
      </c>
    </row>
    <row r="180" spans="1:15" x14ac:dyDescent="0.25">
      <c r="A180" s="16" t="s">
        <v>1030</v>
      </c>
      <c r="B180">
        <v>1</v>
      </c>
      <c r="N180" s="16" t="s">
        <v>237</v>
      </c>
      <c r="O180">
        <v>2</v>
      </c>
    </row>
    <row r="181" spans="1:15" x14ac:dyDescent="0.25">
      <c r="A181" s="16" t="s">
        <v>1056</v>
      </c>
      <c r="B181">
        <v>1</v>
      </c>
      <c r="N181" s="16" t="s">
        <v>234</v>
      </c>
      <c r="O181">
        <v>2</v>
      </c>
    </row>
    <row r="182" spans="1:15" x14ac:dyDescent="0.25">
      <c r="A182" s="16" t="s">
        <v>658</v>
      </c>
      <c r="B182">
        <v>1</v>
      </c>
      <c r="N182" s="16" t="s">
        <v>1284</v>
      </c>
      <c r="O182">
        <v>2</v>
      </c>
    </row>
    <row r="183" spans="1:15" x14ac:dyDescent="0.25">
      <c r="A183" s="16" t="s">
        <v>139</v>
      </c>
      <c r="B183">
        <v>1</v>
      </c>
      <c r="N183" s="16" t="s">
        <v>229</v>
      </c>
      <c r="O183">
        <v>2</v>
      </c>
    </row>
    <row r="184" spans="1:15" x14ac:dyDescent="0.25">
      <c r="A184" s="16" t="s">
        <v>486</v>
      </c>
      <c r="B184">
        <v>1</v>
      </c>
      <c r="N184" s="16" t="s">
        <v>447</v>
      </c>
      <c r="O184">
        <v>2</v>
      </c>
    </row>
    <row r="185" spans="1:15" x14ac:dyDescent="0.25">
      <c r="A185" s="16" t="s">
        <v>1068</v>
      </c>
      <c r="B185">
        <v>1</v>
      </c>
      <c r="N185" s="16" t="s">
        <v>890</v>
      </c>
      <c r="O185">
        <v>2</v>
      </c>
    </row>
    <row r="186" spans="1:15" x14ac:dyDescent="0.25">
      <c r="A186" s="16" t="s">
        <v>550</v>
      </c>
      <c r="B186">
        <v>1</v>
      </c>
      <c r="N186" s="16" t="s">
        <v>255</v>
      </c>
      <c r="O186">
        <v>2</v>
      </c>
    </row>
    <row r="187" spans="1:15" x14ac:dyDescent="0.25">
      <c r="A187" s="16" t="s">
        <v>460</v>
      </c>
      <c r="B187">
        <v>1</v>
      </c>
      <c r="N187" s="16" t="s">
        <v>556</v>
      </c>
      <c r="O187">
        <v>2</v>
      </c>
    </row>
    <row r="188" spans="1:15" x14ac:dyDescent="0.25">
      <c r="A188" s="16" t="s">
        <v>1149</v>
      </c>
      <c r="B188">
        <v>1</v>
      </c>
      <c r="N188" s="16" t="s">
        <v>184</v>
      </c>
      <c r="O188">
        <v>2</v>
      </c>
    </row>
    <row r="189" spans="1:15" x14ac:dyDescent="0.25">
      <c r="A189" s="16" t="s">
        <v>796</v>
      </c>
      <c r="B189">
        <v>1</v>
      </c>
      <c r="N189" s="16" t="s">
        <v>396</v>
      </c>
      <c r="O189">
        <v>2</v>
      </c>
    </row>
    <row r="190" spans="1:15" x14ac:dyDescent="0.25">
      <c r="A190" s="16" t="s">
        <v>478</v>
      </c>
      <c r="B190">
        <v>1</v>
      </c>
      <c r="N190" s="16" t="s">
        <v>192</v>
      </c>
      <c r="O190">
        <v>2</v>
      </c>
    </row>
    <row r="191" spans="1:15" x14ac:dyDescent="0.25">
      <c r="A191" s="16" t="s">
        <v>152</v>
      </c>
      <c r="B191">
        <v>1</v>
      </c>
      <c r="N191" s="16" t="s">
        <v>655</v>
      </c>
      <c r="O191">
        <v>2</v>
      </c>
    </row>
    <row r="192" spans="1:15" x14ac:dyDescent="0.25">
      <c r="A192" s="16" t="s">
        <v>1303</v>
      </c>
      <c r="B192">
        <v>1</v>
      </c>
      <c r="N192" s="16" t="s">
        <v>850</v>
      </c>
      <c r="O192">
        <v>2</v>
      </c>
    </row>
    <row r="193" spans="1:15" x14ac:dyDescent="0.25">
      <c r="A193" s="16" t="s">
        <v>513</v>
      </c>
      <c r="B193">
        <v>1</v>
      </c>
      <c r="N193" s="16" t="s">
        <v>671</v>
      </c>
      <c r="O193">
        <v>2</v>
      </c>
    </row>
    <row r="194" spans="1:15" x14ac:dyDescent="0.25">
      <c r="A194" s="16" t="s">
        <v>1151</v>
      </c>
      <c r="B194">
        <v>1</v>
      </c>
      <c r="N194" s="16" t="s">
        <v>224</v>
      </c>
      <c r="O194">
        <v>2</v>
      </c>
    </row>
    <row r="195" spans="1:15" x14ac:dyDescent="0.25">
      <c r="A195" s="16" t="s">
        <v>1196</v>
      </c>
      <c r="B195">
        <v>1</v>
      </c>
      <c r="N195" s="16" t="s">
        <v>355</v>
      </c>
      <c r="O195">
        <v>2</v>
      </c>
    </row>
    <row r="196" spans="1:15" x14ac:dyDescent="0.25">
      <c r="A196" s="16" t="s">
        <v>1050</v>
      </c>
      <c r="B196">
        <v>1</v>
      </c>
      <c r="N196" s="16" t="s">
        <v>183</v>
      </c>
      <c r="O196">
        <v>2</v>
      </c>
    </row>
    <row r="197" spans="1:15" x14ac:dyDescent="0.25">
      <c r="A197" s="16" t="s">
        <v>1213</v>
      </c>
      <c r="B197">
        <v>1</v>
      </c>
      <c r="N197" s="16" t="s">
        <v>1301</v>
      </c>
      <c r="O197">
        <v>2</v>
      </c>
    </row>
    <row r="198" spans="1:15" x14ac:dyDescent="0.25">
      <c r="A198" s="16" t="s">
        <v>1142</v>
      </c>
      <c r="B198">
        <v>1</v>
      </c>
      <c r="N198" s="16" t="s">
        <v>947</v>
      </c>
      <c r="O198">
        <v>2</v>
      </c>
    </row>
    <row r="199" spans="1:15" x14ac:dyDescent="0.25">
      <c r="A199" s="16" t="s">
        <v>1222</v>
      </c>
      <c r="B199">
        <v>1</v>
      </c>
      <c r="N199" s="16" t="s">
        <v>195</v>
      </c>
      <c r="O199">
        <v>2</v>
      </c>
    </row>
    <row r="200" spans="1:15" x14ac:dyDescent="0.25">
      <c r="A200" s="16" t="s">
        <v>146</v>
      </c>
      <c r="B200">
        <v>1</v>
      </c>
      <c r="N200" s="16" t="s">
        <v>619</v>
      </c>
      <c r="O200">
        <v>3</v>
      </c>
    </row>
    <row r="201" spans="1:15" x14ac:dyDescent="0.25">
      <c r="A201" s="16" t="s">
        <v>249</v>
      </c>
      <c r="B201">
        <v>1</v>
      </c>
      <c r="N201" s="16" t="s">
        <v>493</v>
      </c>
      <c r="O201">
        <v>3</v>
      </c>
    </row>
    <row r="202" spans="1:15" x14ac:dyDescent="0.25">
      <c r="A202" s="16" t="s">
        <v>295</v>
      </c>
      <c r="B202">
        <v>1</v>
      </c>
      <c r="N202" s="16" t="s">
        <v>1274</v>
      </c>
      <c r="O202">
        <v>3</v>
      </c>
    </row>
    <row r="203" spans="1:15" x14ac:dyDescent="0.25">
      <c r="A203" s="16" t="s">
        <v>748</v>
      </c>
      <c r="B203">
        <v>1</v>
      </c>
      <c r="N203" s="16" t="s">
        <v>951</v>
      </c>
      <c r="O203">
        <v>3</v>
      </c>
    </row>
    <row r="204" spans="1:15" x14ac:dyDescent="0.25">
      <c r="A204" s="16" t="s">
        <v>1165</v>
      </c>
      <c r="B204">
        <v>1</v>
      </c>
      <c r="N204" s="16" t="s">
        <v>757</v>
      </c>
      <c r="O204">
        <v>3</v>
      </c>
    </row>
    <row r="205" spans="1:15" x14ac:dyDescent="0.25">
      <c r="A205" s="16" t="s">
        <v>491</v>
      </c>
      <c r="B205">
        <v>1</v>
      </c>
      <c r="N205" s="16" t="s">
        <v>335</v>
      </c>
      <c r="O205">
        <v>3</v>
      </c>
    </row>
    <row r="206" spans="1:15" x14ac:dyDescent="0.25">
      <c r="A206" s="16" t="s">
        <v>97</v>
      </c>
      <c r="B206">
        <v>1</v>
      </c>
      <c r="N206" s="16" t="s">
        <v>438</v>
      </c>
      <c r="O206">
        <v>3</v>
      </c>
    </row>
    <row r="207" spans="1:15" x14ac:dyDescent="0.25">
      <c r="A207" s="16" t="s">
        <v>1299</v>
      </c>
      <c r="B207">
        <v>1</v>
      </c>
      <c r="N207" s="16" t="s">
        <v>346</v>
      </c>
      <c r="O207">
        <v>4</v>
      </c>
    </row>
    <row r="208" spans="1:15" x14ac:dyDescent="0.25">
      <c r="A208" s="16" t="s">
        <v>792</v>
      </c>
      <c r="B208">
        <v>1</v>
      </c>
      <c r="N208" s="16" t="s">
        <v>1250</v>
      </c>
      <c r="O208">
        <v>4</v>
      </c>
    </row>
    <row r="209" spans="1:15" x14ac:dyDescent="0.25">
      <c r="A209" s="16" t="s">
        <v>697</v>
      </c>
      <c r="B209">
        <v>1</v>
      </c>
      <c r="N209" s="16" t="s">
        <v>390</v>
      </c>
      <c r="O209">
        <v>5</v>
      </c>
    </row>
    <row r="210" spans="1:15" x14ac:dyDescent="0.25">
      <c r="A210" s="16" t="s">
        <v>777</v>
      </c>
      <c r="B210">
        <v>1</v>
      </c>
      <c r="N210" s="16" t="s">
        <v>1251</v>
      </c>
      <c r="O210">
        <v>5</v>
      </c>
    </row>
    <row r="211" spans="1:15" x14ac:dyDescent="0.25">
      <c r="A211" s="16" t="s">
        <v>1210</v>
      </c>
      <c r="B211">
        <v>1</v>
      </c>
      <c r="N211" s="16" t="s">
        <v>880</v>
      </c>
      <c r="O211">
        <v>5</v>
      </c>
    </row>
    <row r="212" spans="1:15" x14ac:dyDescent="0.25">
      <c r="A212" s="16" t="s">
        <v>362</v>
      </c>
      <c r="B212">
        <v>1</v>
      </c>
      <c r="N212" s="16" t="s">
        <v>430</v>
      </c>
      <c r="O212">
        <v>5</v>
      </c>
    </row>
    <row r="213" spans="1:15" x14ac:dyDescent="0.25">
      <c r="A213" s="16" t="s">
        <v>207</v>
      </c>
      <c r="B213">
        <v>1</v>
      </c>
      <c r="N213" s="16" t="s">
        <v>161</v>
      </c>
      <c r="O213">
        <v>5</v>
      </c>
    </row>
    <row r="214" spans="1:15" x14ac:dyDescent="0.25">
      <c r="A214" s="16" t="s">
        <v>1238</v>
      </c>
      <c r="B214">
        <v>1</v>
      </c>
      <c r="N214" s="16" t="s">
        <v>388</v>
      </c>
      <c r="O214">
        <v>6</v>
      </c>
    </row>
    <row r="215" spans="1:15" x14ac:dyDescent="0.25">
      <c r="A215" s="16" t="s">
        <v>259</v>
      </c>
      <c r="B215">
        <v>1</v>
      </c>
      <c r="N215" s="16" t="s">
        <v>1293</v>
      </c>
      <c r="O215">
        <v>7</v>
      </c>
    </row>
    <row r="216" spans="1:15" x14ac:dyDescent="0.25">
      <c r="A216" s="16" t="s">
        <v>136</v>
      </c>
      <c r="B216">
        <v>1</v>
      </c>
      <c r="N216" s="16" t="s">
        <v>252</v>
      </c>
      <c r="O216">
        <v>7</v>
      </c>
    </row>
    <row r="217" spans="1:15" x14ac:dyDescent="0.25">
      <c r="A217" s="16" t="s">
        <v>1257</v>
      </c>
      <c r="B217">
        <v>1</v>
      </c>
      <c r="N217" s="16" t="s">
        <v>382</v>
      </c>
      <c r="O217">
        <v>8</v>
      </c>
    </row>
    <row r="218" spans="1:15" x14ac:dyDescent="0.25">
      <c r="A218" s="16" t="s">
        <v>831</v>
      </c>
      <c r="B218">
        <v>1</v>
      </c>
      <c r="N218" s="16" t="s">
        <v>149</v>
      </c>
      <c r="O218">
        <v>9</v>
      </c>
    </row>
    <row r="219" spans="1:15" x14ac:dyDescent="0.25">
      <c r="A219" s="16" t="s">
        <v>666</v>
      </c>
      <c r="B219">
        <v>1</v>
      </c>
      <c r="N219" s="16" t="s">
        <v>577</v>
      </c>
      <c r="O219">
        <v>10</v>
      </c>
    </row>
    <row r="220" spans="1:15" x14ac:dyDescent="0.25">
      <c r="A220" s="16" t="s">
        <v>883</v>
      </c>
      <c r="B220">
        <v>1</v>
      </c>
      <c r="N220" s="16" t="s">
        <v>143</v>
      </c>
      <c r="O220">
        <v>10</v>
      </c>
    </row>
    <row r="221" spans="1:15" x14ac:dyDescent="0.25">
      <c r="A221" s="16" t="s">
        <v>742</v>
      </c>
      <c r="B221">
        <v>1</v>
      </c>
      <c r="N221" s="16" t="s">
        <v>173</v>
      </c>
      <c r="O221">
        <v>10</v>
      </c>
    </row>
    <row r="222" spans="1:15" x14ac:dyDescent="0.25">
      <c r="A222" s="16" t="s">
        <v>1018</v>
      </c>
      <c r="B222">
        <v>1</v>
      </c>
      <c r="N222" s="16" t="s">
        <v>1263</v>
      </c>
      <c r="O222">
        <v>10</v>
      </c>
    </row>
    <row r="223" spans="1:15" x14ac:dyDescent="0.25">
      <c r="A223" s="16" t="s">
        <v>1143</v>
      </c>
      <c r="B223">
        <v>1</v>
      </c>
      <c r="N223" s="16" t="s">
        <v>1271</v>
      </c>
      <c r="O223">
        <v>11</v>
      </c>
    </row>
    <row r="224" spans="1:15" x14ac:dyDescent="0.25">
      <c r="A224" s="16" t="s">
        <v>1054</v>
      </c>
      <c r="B224">
        <v>1</v>
      </c>
      <c r="N224" s="16" t="s">
        <v>342</v>
      </c>
      <c r="O224">
        <v>12</v>
      </c>
    </row>
    <row r="225" spans="1:15" x14ac:dyDescent="0.25">
      <c r="A225" s="16" t="s">
        <v>1040</v>
      </c>
      <c r="B225">
        <v>1</v>
      </c>
      <c r="N225" s="16" t="s">
        <v>292</v>
      </c>
      <c r="O225">
        <v>12</v>
      </c>
    </row>
    <row r="226" spans="1:15" x14ac:dyDescent="0.25">
      <c r="A226" s="16" t="s">
        <v>713</v>
      </c>
      <c r="B226">
        <v>1</v>
      </c>
      <c r="N226" s="16" t="s">
        <v>369</v>
      </c>
      <c r="O226">
        <v>12</v>
      </c>
    </row>
    <row r="227" spans="1:15" x14ac:dyDescent="0.25">
      <c r="A227" s="16" t="s">
        <v>1306</v>
      </c>
      <c r="B227">
        <v>1</v>
      </c>
      <c r="N227" s="16" t="s">
        <v>361</v>
      </c>
      <c r="O227">
        <v>14</v>
      </c>
    </row>
    <row r="228" spans="1:15" x14ac:dyDescent="0.25">
      <c r="A228" s="16" t="s">
        <v>197</v>
      </c>
      <c r="B228">
        <v>1</v>
      </c>
      <c r="N228" s="16" t="s">
        <v>580</v>
      </c>
      <c r="O228">
        <v>14</v>
      </c>
    </row>
    <row r="229" spans="1:15" x14ac:dyDescent="0.25">
      <c r="A229" s="16" t="s">
        <v>113</v>
      </c>
      <c r="B229">
        <v>1</v>
      </c>
      <c r="N229" s="16" t="s">
        <v>171</v>
      </c>
      <c r="O229">
        <v>15</v>
      </c>
    </row>
    <row r="230" spans="1:15" x14ac:dyDescent="0.25">
      <c r="A230" s="16" t="s">
        <v>1194</v>
      </c>
      <c r="B230">
        <v>1</v>
      </c>
      <c r="N230" s="16" t="s">
        <v>333</v>
      </c>
      <c r="O230">
        <v>17</v>
      </c>
    </row>
    <row r="231" spans="1:15" x14ac:dyDescent="0.25">
      <c r="A231" s="16" t="s">
        <v>1272</v>
      </c>
      <c r="B231">
        <v>1</v>
      </c>
      <c r="N231" s="16" t="s">
        <v>375</v>
      </c>
      <c r="O231">
        <v>19</v>
      </c>
    </row>
    <row r="232" spans="1:15" x14ac:dyDescent="0.25">
      <c r="A232" s="16" t="s">
        <v>309</v>
      </c>
      <c r="B232">
        <v>1</v>
      </c>
      <c r="N232" s="16" t="s">
        <v>502</v>
      </c>
      <c r="O232">
        <v>22</v>
      </c>
    </row>
    <row r="233" spans="1:15" x14ac:dyDescent="0.25">
      <c r="A233" s="16" t="s">
        <v>711</v>
      </c>
      <c r="B233">
        <v>1</v>
      </c>
      <c r="N233" s="16" t="s">
        <v>337</v>
      </c>
      <c r="O233">
        <v>24</v>
      </c>
    </row>
    <row r="234" spans="1:15" x14ac:dyDescent="0.25">
      <c r="A234" s="16" t="s">
        <v>1140</v>
      </c>
      <c r="B234">
        <v>1</v>
      </c>
      <c r="N234" s="16" t="s">
        <v>339</v>
      </c>
      <c r="O234">
        <v>26</v>
      </c>
    </row>
    <row r="235" spans="1:15" x14ac:dyDescent="0.25">
      <c r="A235" s="16" t="s">
        <v>509</v>
      </c>
      <c r="B235">
        <v>1</v>
      </c>
      <c r="N235" s="16" t="s">
        <v>124</v>
      </c>
      <c r="O235">
        <v>30</v>
      </c>
    </row>
    <row r="236" spans="1:15" x14ac:dyDescent="0.25">
      <c r="A236" s="16" t="s">
        <v>1121</v>
      </c>
      <c r="B236">
        <v>1</v>
      </c>
      <c r="N236" s="16" t="s">
        <v>436</v>
      </c>
      <c r="O236">
        <v>33</v>
      </c>
    </row>
    <row r="237" spans="1:15" x14ac:dyDescent="0.25">
      <c r="A237" s="16" t="s">
        <v>1157</v>
      </c>
      <c r="B237">
        <v>1</v>
      </c>
      <c r="N237" s="16" t="s">
        <v>328</v>
      </c>
      <c r="O237">
        <v>52</v>
      </c>
    </row>
    <row r="238" spans="1:15" x14ac:dyDescent="0.25">
      <c r="A238" s="16" t="s">
        <v>163</v>
      </c>
      <c r="B238">
        <v>1</v>
      </c>
      <c r="N238" s="16" t="s">
        <v>166</v>
      </c>
      <c r="O238">
        <v>57</v>
      </c>
    </row>
    <row r="239" spans="1:15" x14ac:dyDescent="0.25">
      <c r="A239" s="16" t="s">
        <v>1236</v>
      </c>
      <c r="B239">
        <v>1</v>
      </c>
      <c r="N239" s="16" t="s">
        <v>168</v>
      </c>
      <c r="O239">
        <v>83</v>
      </c>
    </row>
    <row r="240" spans="1:15" x14ac:dyDescent="0.25">
      <c r="A240" s="16" t="s">
        <v>276</v>
      </c>
      <c r="B240">
        <v>1</v>
      </c>
      <c r="N240" s="16" t="s">
        <v>1314</v>
      </c>
      <c r="O240">
        <v>810</v>
      </c>
    </row>
    <row r="241" spans="1:2" x14ac:dyDescent="0.25">
      <c r="A241" s="16" t="s">
        <v>274</v>
      </c>
      <c r="B241">
        <v>1</v>
      </c>
    </row>
    <row r="242" spans="1:2" x14ac:dyDescent="0.25">
      <c r="A242" s="16" t="s">
        <v>1181</v>
      </c>
      <c r="B242">
        <v>1</v>
      </c>
    </row>
    <row r="243" spans="1:2" x14ac:dyDescent="0.25">
      <c r="A243" s="16" t="s">
        <v>945</v>
      </c>
      <c r="B243">
        <v>1</v>
      </c>
    </row>
    <row r="244" spans="1:2" x14ac:dyDescent="0.25">
      <c r="A244" s="16" t="s">
        <v>1077</v>
      </c>
      <c r="B244">
        <v>1</v>
      </c>
    </row>
    <row r="245" spans="1:2" x14ac:dyDescent="0.25">
      <c r="A245" s="16" t="s">
        <v>372</v>
      </c>
      <c r="B245">
        <v>1</v>
      </c>
    </row>
    <row r="246" spans="1:2" x14ac:dyDescent="0.25">
      <c r="A246" s="16" t="s">
        <v>1208</v>
      </c>
      <c r="B246">
        <v>1</v>
      </c>
    </row>
    <row r="247" spans="1:2" x14ac:dyDescent="0.25">
      <c r="A247" s="16" t="s">
        <v>603</v>
      </c>
      <c r="B247">
        <v>1</v>
      </c>
    </row>
    <row r="248" spans="1:2" x14ac:dyDescent="0.25">
      <c r="A248" s="16" t="s">
        <v>1264</v>
      </c>
      <c r="B248">
        <v>1</v>
      </c>
    </row>
    <row r="249" spans="1:2" x14ac:dyDescent="0.25">
      <c r="A249" s="16" t="s">
        <v>1201</v>
      </c>
      <c r="B249">
        <v>1</v>
      </c>
    </row>
    <row r="250" spans="1:2" x14ac:dyDescent="0.25">
      <c r="A250" s="16" t="s">
        <v>1215</v>
      </c>
      <c r="B250">
        <v>1</v>
      </c>
    </row>
    <row r="251" spans="1:2" x14ac:dyDescent="0.25">
      <c r="A251" s="16" t="s">
        <v>725</v>
      </c>
      <c r="B251">
        <v>1</v>
      </c>
    </row>
    <row r="252" spans="1:2" x14ac:dyDescent="0.25">
      <c r="A252" s="16" t="s">
        <v>1067</v>
      </c>
      <c r="B252">
        <v>1</v>
      </c>
    </row>
    <row r="253" spans="1:2" x14ac:dyDescent="0.25">
      <c r="A253" s="16" t="s">
        <v>457</v>
      </c>
      <c r="B253">
        <v>1</v>
      </c>
    </row>
    <row r="254" spans="1:2" x14ac:dyDescent="0.25">
      <c r="A254" s="16" t="s">
        <v>1108</v>
      </c>
      <c r="B254">
        <v>1</v>
      </c>
    </row>
    <row r="255" spans="1:2" x14ac:dyDescent="0.25">
      <c r="A255" s="16" t="s">
        <v>662</v>
      </c>
      <c r="B255">
        <v>1</v>
      </c>
    </row>
    <row r="256" spans="1:2" x14ac:dyDescent="0.25">
      <c r="A256" s="16" t="s">
        <v>1109</v>
      </c>
      <c r="B256">
        <v>1</v>
      </c>
    </row>
    <row r="257" spans="1:2" x14ac:dyDescent="0.25">
      <c r="A257" s="16" t="s">
        <v>219</v>
      </c>
      <c r="B257">
        <v>1</v>
      </c>
    </row>
    <row r="258" spans="1:2" x14ac:dyDescent="0.25">
      <c r="A258" s="16" t="s">
        <v>278</v>
      </c>
      <c r="B258">
        <v>1</v>
      </c>
    </row>
    <row r="259" spans="1:2" x14ac:dyDescent="0.25">
      <c r="A259" s="16" t="s">
        <v>660</v>
      </c>
      <c r="B259">
        <v>1</v>
      </c>
    </row>
    <row r="260" spans="1:2" x14ac:dyDescent="0.25">
      <c r="A260" s="16" t="s">
        <v>421</v>
      </c>
      <c r="B260">
        <v>1</v>
      </c>
    </row>
    <row r="261" spans="1:2" x14ac:dyDescent="0.25">
      <c r="A261" s="16" t="s">
        <v>816</v>
      </c>
      <c r="B261">
        <v>1</v>
      </c>
    </row>
    <row r="262" spans="1:2" x14ac:dyDescent="0.25">
      <c r="A262" s="16" t="s">
        <v>1023</v>
      </c>
      <c r="B262">
        <v>1</v>
      </c>
    </row>
    <row r="263" spans="1:2" x14ac:dyDescent="0.25">
      <c r="A263" s="16" t="s">
        <v>718</v>
      </c>
      <c r="B263">
        <v>1</v>
      </c>
    </row>
    <row r="264" spans="1:2" x14ac:dyDescent="0.25">
      <c r="A264" s="16" t="s">
        <v>1043</v>
      </c>
      <c r="B264">
        <v>1</v>
      </c>
    </row>
    <row r="265" spans="1:2" x14ac:dyDescent="0.25">
      <c r="A265" s="16" t="s">
        <v>1178</v>
      </c>
      <c r="B265">
        <v>1</v>
      </c>
    </row>
    <row r="266" spans="1:2" x14ac:dyDescent="0.25">
      <c r="A266" s="16" t="s">
        <v>933</v>
      </c>
      <c r="B266">
        <v>1</v>
      </c>
    </row>
    <row r="267" spans="1:2" x14ac:dyDescent="0.25">
      <c r="A267" s="16" t="s">
        <v>783</v>
      </c>
      <c r="B267">
        <v>1</v>
      </c>
    </row>
    <row r="268" spans="1:2" x14ac:dyDescent="0.25">
      <c r="A268" s="16" t="s">
        <v>624</v>
      </c>
      <c r="B268">
        <v>1</v>
      </c>
    </row>
    <row r="269" spans="1:2" x14ac:dyDescent="0.25">
      <c r="A269" s="16" t="s">
        <v>744</v>
      </c>
      <c r="B269">
        <v>1</v>
      </c>
    </row>
    <row r="270" spans="1:2" x14ac:dyDescent="0.25">
      <c r="A270" s="16" t="s">
        <v>833</v>
      </c>
      <c r="B270">
        <v>1</v>
      </c>
    </row>
    <row r="271" spans="1:2" x14ac:dyDescent="0.25">
      <c r="A271" s="16" t="s">
        <v>1148</v>
      </c>
      <c r="B271">
        <v>1</v>
      </c>
    </row>
    <row r="272" spans="1:2" x14ac:dyDescent="0.25">
      <c r="A272" s="16" t="s">
        <v>1195</v>
      </c>
      <c r="B272">
        <v>1</v>
      </c>
    </row>
    <row r="273" spans="1:2" x14ac:dyDescent="0.25">
      <c r="A273" s="16" t="s">
        <v>1234</v>
      </c>
      <c r="B273">
        <v>1</v>
      </c>
    </row>
    <row r="274" spans="1:2" x14ac:dyDescent="0.25">
      <c r="A274" s="16" t="s">
        <v>1171</v>
      </c>
      <c r="B274">
        <v>1</v>
      </c>
    </row>
    <row r="275" spans="1:2" x14ac:dyDescent="0.25">
      <c r="A275" s="16" t="s">
        <v>1282</v>
      </c>
      <c r="B275">
        <v>1</v>
      </c>
    </row>
    <row r="276" spans="1:2" x14ac:dyDescent="0.25">
      <c r="A276" s="16" t="s">
        <v>200</v>
      </c>
      <c r="B276">
        <v>1</v>
      </c>
    </row>
    <row r="277" spans="1:2" x14ac:dyDescent="0.25">
      <c r="A277" s="16" t="s">
        <v>1041</v>
      </c>
      <c r="B277">
        <v>1</v>
      </c>
    </row>
    <row r="278" spans="1:2" x14ac:dyDescent="0.25">
      <c r="A278" s="16" t="s">
        <v>601</v>
      </c>
      <c r="B278">
        <v>1</v>
      </c>
    </row>
    <row r="279" spans="1:2" x14ac:dyDescent="0.25">
      <c r="A279" s="16" t="s">
        <v>1118</v>
      </c>
      <c r="B279">
        <v>1</v>
      </c>
    </row>
    <row r="280" spans="1:2" x14ac:dyDescent="0.25">
      <c r="A280" s="16" t="s">
        <v>773</v>
      </c>
      <c r="B280">
        <v>1</v>
      </c>
    </row>
    <row r="281" spans="1:2" x14ac:dyDescent="0.25">
      <c r="A281" s="16" t="s">
        <v>522</v>
      </c>
      <c r="B281">
        <v>1</v>
      </c>
    </row>
    <row r="282" spans="1:2" x14ac:dyDescent="0.25">
      <c r="A282" s="16" t="s">
        <v>740</v>
      </c>
      <c r="B282">
        <v>1</v>
      </c>
    </row>
    <row r="283" spans="1:2" x14ac:dyDescent="0.25">
      <c r="A283" s="16" t="s">
        <v>763</v>
      </c>
      <c r="B283">
        <v>1</v>
      </c>
    </row>
    <row r="284" spans="1:2" x14ac:dyDescent="0.25">
      <c r="A284" s="16" t="s">
        <v>730</v>
      </c>
      <c r="B284">
        <v>1</v>
      </c>
    </row>
    <row r="285" spans="1:2" x14ac:dyDescent="0.25">
      <c r="A285" s="16" t="s">
        <v>827</v>
      </c>
      <c r="B285">
        <v>1</v>
      </c>
    </row>
    <row r="286" spans="1:2" x14ac:dyDescent="0.25">
      <c r="A286" s="16" t="s">
        <v>1166</v>
      </c>
      <c r="B286">
        <v>1</v>
      </c>
    </row>
    <row r="287" spans="1:2" x14ac:dyDescent="0.25">
      <c r="A287" s="16" t="s">
        <v>215</v>
      </c>
      <c r="B287">
        <v>1</v>
      </c>
    </row>
    <row r="288" spans="1:2" x14ac:dyDescent="0.25">
      <c r="A288" s="16" t="s">
        <v>1098</v>
      </c>
      <c r="B288">
        <v>1</v>
      </c>
    </row>
    <row r="289" spans="1:2" x14ac:dyDescent="0.25">
      <c r="A289" s="16" t="s">
        <v>1229</v>
      </c>
      <c r="B289">
        <v>1</v>
      </c>
    </row>
    <row r="290" spans="1:2" x14ac:dyDescent="0.25">
      <c r="A290" s="16" t="s">
        <v>611</v>
      </c>
      <c r="B290">
        <v>1</v>
      </c>
    </row>
    <row r="291" spans="1:2" x14ac:dyDescent="0.25">
      <c r="A291" s="16" t="s">
        <v>1017</v>
      </c>
      <c r="B291">
        <v>1</v>
      </c>
    </row>
    <row r="292" spans="1:2" x14ac:dyDescent="0.25">
      <c r="A292" s="16" t="s">
        <v>1307</v>
      </c>
      <c r="B292">
        <v>1</v>
      </c>
    </row>
    <row r="293" spans="1:2" x14ac:dyDescent="0.25">
      <c r="A293" s="16" t="s">
        <v>1245</v>
      </c>
      <c r="B293">
        <v>1</v>
      </c>
    </row>
    <row r="294" spans="1:2" x14ac:dyDescent="0.25">
      <c r="A294" s="16" t="s">
        <v>316</v>
      </c>
      <c r="B294">
        <v>1</v>
      </c>
    </row>
    <row r="295" spans="1:2" x14ac:dyDescent="0.25">
      <c r="A295" s="16" t="s">
        <v>151</v>
      </c>
      <c r="B295">
        <v>1</v>
      </c>
    </row>
    <row r="296" spans="1:2" x14ac:dyDescent="0.25">
      <c r="A296" s="16" t="s">
        <v>702</v>
      </c>
      <c r="B296">
        <v>1</v>
      </c>
    </row>
    <row r="297" spans="1:2" x14ac:dyDescent="0.25">
      <c r="A297" s="16" t="s">
        <v>517</v>
      </c>
      <c r="B297">
        <v>1</v>
      </c>
    </row>
    <row r="298" spans="1:2" x14ac:dyDescent="0.25">
      <c r="A298" s="16" t="s">
        <v>886</v>
      </c>
      <c r="B298">
        <v>1</v>
      </c>
    </row>
    <row r="299" spans="1:2" x14ac:dyDescent="0.25">
      <c r="A299" s="16" t="s">
        <v>1055</v>
      </c>
      <c r="B299">
        <v>1</v>
      </c>
    </row>
    <row r="300" spans="1:2" x14ac:dyDescent="0.25">
      <c r="A300" s="16" t="s">
        <v>419</v>
      </c>
      <c r="B300">
        <v>1</v>
      </c>
    </row>
    <row r="301" spans="1:2" x14ac:dyDescent="0.25">
      <c r="A301" s="16" t="s">
        <v>519</v>
      </c>
      <c r="B301">
        <v>1</v>
      </c>
    </row>
    <row r="302" spans="1:2" x14ac:dyDescent="0.25">
      <c r="A302" s="16" t="s">
        <v>818</v>
      </c>
      <c r="B302">
        <v>1</v>
      </c>
    </row>
    <row r="303" spans="1:2" x14ac:dyDescent="0.25">
      <c r="A303" s="16" t="s">
        <v>1312</v>
      </c>
      <c r="B303">
        <v>1</v>
      </c>
    </row>
    <row r="304" spans="1:2" x14ac:dyDescent="0.25">
      <c r="A304" s="16" t="s">
        <v>307</v>
      </c>
      <c r="B304">
        <v>1</v>
      </c>
    </row>
    <row r="305" spans="1:2" x14ac:dyDescent="0.25">
      <c r="A305" s="16" t="s">
        <v>1286</v>
      </c>
      <c r="B305">
        <v>2</v>
      </c>
    </row>
    <row r="306" spans="1:2" x14ac:dyDescent="0.25">
      <c r="A306" s="16" t="s">
        <v>706</v>
      </c>
      <c r="B306">
        <v>2</v>
      </c>
    </row>
    <row r="307" spans="1:2" x14ac:dyDescent="0.25">
      <c r="A307" s="16" t="s">
        <v>1079</v>
      </c>
      <c r="B307">
        <v>2</v>
      </c>
    </row>
    <row r="308" spans="1:2" x14ac:dyDescent="0.25">
      <c r="A308" s="16" t="s">
        <v>1099</v>
      </c>
      <c r="B308">
        <v>2</v>
      </c>
    </row>
    <row r="309" spans="1:2" x14ac:dyDescent="0.25">
      <c r="A309" s="16" t="s">
        <v>608</v>
      </c>
      <c r="B309">
        <v>2</v>
      </c>
    </row>
    <row r="310" spans="1:2" x14ac:dyDescent="0.25">
      <c r="A310" s="16" t="s">
        <v>654</v>
      </c>
      <c r="B310">
        <v>2</v>
      </c>
    </row>
    <row r="311" spans="1:2" x14ac:dyDescent="0.25">
      <c r="A311" s="16" t="s">
        <v>182</v>
      </c>
      <c r="B311">
        <v>2</v>
      </c>
    </row>
    <row r="312" spans="1:2" x14ac:dyDescent="0.25">
      <c r="A312" s="16" t="s">
        <v>1133</v>
      </c>
      <c r="B312">
        <v>2</v>
      </c>
    </row>
    <row r="313" spans="1:2" x14ac:dyDescent="0.25">
      <c r="A313" s="16" t="s">
        <v>811</v>
      </c>
      <c r="B313">
        <v>2</v>
      </c>
    </row>
    <row r="314" spans="1:2" x14ac:dyDescent="0.25">
      <c r="A314" s="16" t="s">
        <v>1228</v>
      </c>
      <c r="B314">
        <v>2</v>
      </c>
    </row>
    <row r="315" spans="1:2" x14ac:dyDescent="0.25">
      <c r="A315" s="16" t="s">
        <v>501</v>
      </c>
      <c r="B315">
        <v>2</v>
      </c>
    </row>
    <row r="316" spans="1:2" x14ac:dyDescent="0.25">
      <c r="A316" s="16" t="s">
        <v>1212</v>
      </c>
      <c r="B316">
        <v>2</v>
      </c>
    </row>
    <row r="317" spans="1:2" x14ac:dyDescent="0.25">
      <c r="A317" s="16" t="s">
        <v>1028</v>
      </c>
      <c r="B317">
        <v>2</v>
      </c>
    </row>
    <row r="318" spans="1:2" x14ac:dyDescent="0.25">
      <c r="A318" s="16" t="s">
        <v>102</v>
      </c>
      <c r="B318">
        <v>2</v>
      </c>
    </row>
    <row r="319" spans="1:2" x14ac:dyDescent="0.25">
      <c r="A319" s="16" t="s">
        <v>194</v>
      </c>
      <c r="B319">
        <v>2</v>
      </c>
    </row>
    <row r="320" spans="1:2" x14ac:dyDescent="0.25">
      <c r="A320" s="16" t="s">
        <v>446</v>
      </c>
      <c r="B320">
        <v>2</v>
      </c>
    </row>
    <row r="321" spans="1:2" x14ac:dyDescent="0.25">
      <c r="A321" s="16" t="s">
        <v>1110</v>
      </c>
      <c r="B321">
        <v>2</v>
      </c>
    </row>
    <row r="322" spans="1:2" x14ac:dyDescent="0.25">
      <c r="A322" s="16" t="s">
        <v>1085</v>
      </c>
      <c r="B322">
        <v>2</v>
      </c>
    </row>
    <row r="323" spans="1:2" x14ac:dyDescent="0.25">
      <c r="A323" s="16" t="s">
        <v>676</v>
      </c>
      <c r="B323">
        <v>2</v>
      </c>
    </row>
    <row r="324" spans="1:2" x14ac:dyDescent="0.25">
      <c r="A324" s="16" t="s">
        <v>1070</v>
      </c>
      <c r="B324">
        <v>2</v>
      </c>
    </row>
    <row r="325" spans="1:2" x14ac:dyDescent="0.25">
      <c r="A325" s="16" t="s">
        <v>1062</v>
      </c>
      <c r="B325">
        <v>2</v>
      </c>
    </row>
    <row r="326" spans="1:2" x14ac:dyDescent="0.25">
      <c r="A326" s="16" t="s">
        <v>191</v>
      </c>
      <c r="B326">
        <v>2</v>
      </c>
    </row>
    <row r="327" spans="1:2" x14ac:dyDescent="0.25">
      <c r="A327" s="16" t="s">
        <v>756</v>
      </c>
      <c r="B327">
        <v>2</v>
      </c>
    </row>
    <row r="328" spans="1:2" x14ac:dyDescent="0.25">
      <c r="A328" s="16" t="s">
        <v>1059</v>
      </c>
      <c r="B328">
        <v>2</v>
      </c>
    </row>
    <row r="329" spans="1:2" x14ac:dyDescent="0.25">
      <c r="A329" s="16" t="s">
        <v>1137</v>
      </c>
      <c r="B329">
        <v>2</v>
      </c>
    </row>
    <row r="330" spans="1:2" x14ac:dyDescent="0.25">
      <c r="A330" s="16" t="s">
        <v>1015</v>
      </c>
      <c r="B330">
        <v>2</v>
      </c>
    </row>
    <row r="331" spans="1:2" x14ac:dyDescent="0.25">
      <c r="A331" s="16" t="s">
        <v>184</v>
      </c>
      <c r="B331">
        <v>2</v>
      </c>
    </row>
    <row r="332" spans="1:2" x14ac:dyDescent="0.25">
      <c r="A332" s="16" t="s">
        <v>334</v>
      </c>
      <c r="B332">
        <v>2</v>
      </c>
    </row>
    <row r="333" spans="1:2" x14ac:dyDescent="0.25">
      <c r="A333" s="16" t="s">
        <v>459</v>
      </c>
      <c r="B333">
        <v>2</v>
      </c>
    </row>
    <row r="334" spans="1:2" x14ac:dyDescent="0.25">
      <c r="A334" s="16" t="s">
        <v>670</v>
      </c>
      <c r="B334">
        <v>2</v>
      </c>
    </row>
    <row r="335" spans="1:2" x14ac:dyDescent="0.25">
      <c r="A335" s="16" t="s">
        <v>1013</v>
      </c>
      <c r="B335">
        <v>2</v>
      </c>
    </row>
    <row r="336" spans="1:2" x14ac:dyDescent="0.25">
      <c r="A336" s="16" t="s">
        <v>1268</v>
      </c>
      <c r="B336">
        <v>2</v>
      </c>
    </row>
    <row r="337" spans="1:2" x14ac:dyDescent="0.25">
      <c r="A337" s="16" t="s">
        <v>822</v>
      </c>
      <c r="B337">
        <v>2</v>
      </c>
    </row>
    <row r="338" spans="1:2" x14ac:dyDescent="0.25">
      <c r="A338" s="16" t="s">
        <v>1019</v>
      </c>
      <c r="B338">
        <v>2</v>
      </c>
    </row>
    <row r="339" spans="1:2" x14ac:dyDescent="0.25">
      <c r="A339" s="16" t="s">
        <v>254</v>
      </c>
      <c r="B339">
        <v>2</v>
      </c>
    </row>
    <row r="340" spans="1:2" x14ac:dyDescent="0.25">
      <c r="A340" s="16" t="s">
        <v>1224</v>
      </c>
      <c r="B340">
        <v>2</v>
      </c>
    </row>
    <row r="341" spans="1:2" x14ac:dyDescent="0.25">
      <c r="A341" s="16" t="s">
        <v>266</v>
      </c>
      <c r="B341">
        <v>2</v>
      </c>
    </row>
    <row r="342" spans="1:2" x14ac:dyDescent="0.25">
      <c r="A342" s="16" t="s">
        <v>236</v>
      </c>
      <c r="B342">
        <v>2</v>
      </c>
    </row>
    <row r="343" spans="1:2" x14ac:dyDescent="0.25">
      <c r="A343" s="16" t="s">
        <v>1135</v>
      </c>
      <c r="B343">
        <v>2</v>
      </c>
    </row>
    <row r="344" spans="1:2" x14ac:dyDescent="0.25">
      <c r="A344" s="16" t="s">
        <v>1283</v>
      </c>
      <c r="B344">
        <v>2</v>
      </c>
    </row>
    <row r="345" spans="1:2" x14ac:dyDescent="0.25">
      <c r="A345" s="16" t="s">
        <v>687</v>
      </c>
      <c r="B345">
        <v>2</v>
      </c>
    </row>
    <row r="346" spans="1:2" x14ac:dyDescent="0.25">
      <c r="A346" s="16" t="s">
        <v>379</v>
      </c>
      <c r="B346">
        <v>2</v>
      </c>
    </row>
    <row r="347" spans="1:2" x14ac:dyDescent="0.25">
      <c r="A347" s="16" t="s">
        <v>849</v>
      </c>
      <c r="B347">
        <v>2</v>
      </c>
    </row>
    <row r="348" spans="1:2" x14ac:dyDescent="0.25">
      <c r="A348" s="16" t="s">
        <v>555</v>
      </c>
      <c r="B348">
        <v>2</v>
      </c>
    </row>
    <row r="349" spans="1:2" x14ac:dyDescent="0.25">
      <c r="A349" s="16" t="s">
        <v>1259</v>
      </c>
      <c r="B349">
        <v>2</v>
      </c>
    </row>
    <row r="350" spans="1:2" x14ac:dyDescent="0.25">
      <c r="A350" s="16" t="s">
        <v>1150</v>
      </c>
      <c r="B350">
        <v>2</v>
      </c>
    </row>
    <row r="351" spans="1:2" x14ac:dyDescent="0.25">
      <c r="A351" s="16" t="s">
        <v>482</v>
      </c>
      <c r="B351">
        <v>2</v>
      </c>
    </row>
    <row r="352" spans="1:2" x14ac:dyDescent="0.25">
      <c r="A352" s="16" t="s">
        <v>615</v>
      </c>
      <c r="B352">
        <v>2</v>
      </c>
    </row>
    <row r="353" spans="1:2" x14ac:dyDescent="0.25">
      <c r="A353" s="16" t="s">
        <v>186</v>
      </c>
      <c r="B353">
        <v>2</v>
      </c>
    </row>
    <row r="354" spans="1:2" x14ac:dyDescent="0.25">
      <c r="A354" s="16" t="s">
        <v>1247</v>
      </c>
      <c r="B354">
        <v>2</v>
      </c>
    </row>
    <row r="355" spans="1:2" x14ac:dyDescent="0.25">
      <c r="A355" s="16" t="s">
        <v>1087</v>
      </c>
      <c r="B355">
        <v>3</v>
      </c>
    </row>
    <row r="356" spans="1:2" x14ac:dyDescent="0.25">
      <c r="A356" s="16" t="s">
        <v>735</v>
      </c>
      <c r="B356">
        <v>3</v>
      </c>
    </row>
    <row r="357" spans="1:2" x14ac:dyDescent="0.25">
      <c r="A357" s="16" t="s">
        <v>175</v>
      </c>
      <c r="B357">
        <v>3</v>
      </c>
    </row>
    <row r="358" spans="1:2" x14ac:dyDescent="0.25">
      <c r="A358" s="16" t="s">
        <v>228</v>
      </c>
      <c r="B358">
        <v>3</v>
      </c>
    </row>
    <row r="359" spans="1:2" x14ac:dyDescent="0.25">
      <c r="A359" s="16" t="s">
        <v>406</v>
      </c>
      <c r="B359">
        <v>3</v>
      </c>
    </row>
    <row r="360" spans="1:2" x14ac:dyDescent="0.25">
      <c r="A360" s="16" t="s">
        <v>1126</v>
      </c>
      <c r="B360">
        <v>3</v>
      </c>
    </row>
    <row r="361" spans="1:2" x14ac:dyDescent="0.25">
      <c r="A361" s="16" t="s">
        <v>1063</v>
      </c>
      <c r="B361">
        <v>3</v>
      </c>
    </row>
    <row r="362" spans="1:2" x14ac:dyDescent="0.25">
      <c r="A362" s="16" t="s">
        <v>722</v>
      </c>
      <c r="B362">
        <v>3</v>
      </c>
    </row>
    <row r="363" spans="1:2" x14ac:dyDescent="0.25">
      <c r="A363" s="16" t="s">
        <v>437</v>
      </c>
      <c r="B363">
        <v>3</v>
      </c>
    </row>
    <row r="364" spans="1:2" x14ac:dyDescent="0.25">
      <c r="A364" s="16" t="s">
        <v>950</v>
      </c>
      <c r="B364">
        <v>3</v>
      </c>
    </row>
    <row r="365" spans="1:2" x14ac:dyDescent="0.25">
      <c r="A365" s="16" t="s">
        <v>618</v>
      </c>
      <c r="B365">
        <v>3</v>
      </c>
    </row>
    <row r="366" spans="1:2" x14ac:dyDescent="0.25">
      <c r="A366" s="16" t="s">
        <v>466</v>
      </c>
      <c r="B366">
        <v>3</v>
      </c>
    </row>
    <row r="367" spans="1:2" x14ac:dyDescent="0.25">
      <c r="A367" s="16" t="s">
        <v>413</v>
      </c>
      <c r="B367">
        <v>3</v>
      </c>
    </row>
    <row r="368" spans="1:2" x14ac:dyDescent="0.25">
      <c r="A368" s="16" t="s">
        <v>1084</v>
      </c>
      <c r="B368">
        <v>3</v>
      </c>
    </row>
    <row r="369" spans="1:2" x14ac:dyDescent="0.25">
      <c r="A369" s="16" t="s">
        <v>111</v>
      </c>
      <c r="B369">
        <v>4</v>
      </c>
    </row>
    <row r="370" spans="1:2" x14ac:dyDescent="0.25">
      <c r="A370" s="16" t="s">
        <v>351</v>
      </c>
      <c r="B370">
        <v>4</v>
      </c>
    </row>
    <row r="371" spans="1:2" x14ac:dyDescent="0.25">
      <c r="A371" s="16" t="s">
        <v>172</v>
      </c>
      <c r="B371">
        <v>4</v>
      </c>
    </row>
    <row r="372" spans="1:2" x14ac:dyDescent="0.25">
      <c r="A372" s="16" t="s">
        <v>1039</v>
      </c>
      <c r="B372">
        <v>4</v>
      </c>
    </row>
    <row r="373" spans="1:2" x14ac:dyDescent="0.25">
      <c r="A373" s="16" t="s">
        <v>1066</v>
      </c>
      <c r="B373">
        <v>4</v>
      </c>
    </row>
    <row r="374" spans="1:2" x14ac:dyDescent="0.25">
      <c r="A374" s="16" t="s">
        <v>1010</v>
      </c>
      <c r="B374">
        <v>4</v>
      </c>
    </row>
    <row r="375" spans="1:2" x14ac:dyDescent="0.25">
      <c r="A375" s="16" t="s">
        <v>204</v>
      </c>
      <c r="B375">
        <v>4</v>
      </c>
    </row>
    <row r="376" spans="1:2" x14ac:dyDescent="0.25">
      <c r="A376" s="16" t="s">
        <v>1103</v>
      </c>
      <c r="B376">
        <v>4</v>
      </c>
    </row>
    <row r="377" spans="1:2" x14ac:dyDescent="0.25">
      <c r="A377" s="16" t="s">
        <v>1184</v>
      </c>
      <c r="B377">
        <v>4</v>
      </c>
    </row>
    <row r="378" spans="1:2" x14ac:dyDescent="0.25">
      <c r="A378" s="16" t="s">
        <v>1183</v>
      </c>
      <c r="B378">
        <v>4</v>
      </c>
    </row>
    <row r="379" spans="1:2" x14ac:dyDescent="0.25">
      <c r="A379" s="16" t="s">
        <v>492</v>
      </c>
      <c r="B379">
        <v>4</v>
      </c>
    </row>
    <row r="380" spans="1:2" x14ac:dyDescent="0.25">
      <c r="A380" s="16" t="s">
        <v>145</v>
      </c>
      <c r="B380">
        <v>4</v>
      </c>
    </row>
    <row r="381" spans="1:2" x14ac:dyDescent="0.25">
      <c r="A381" s="16" t="s">
        <v>127</v>
      </c>
      <c r="B381">
        <v>5</v>
      </c>
    </row>
    <row r="382" spans="1:2" x14ac:dyDescent="0.25">
      <c r="A382" s="16" t="s">
        <v>1101</v>
      </c>
      <c r="B382">
        <v>5</v>
      </c>
    </row>
    <row r="383" spans="1:2" x14ac:dyDescent="0.25">
      <c r="A383" s="16" t="s">
        <v>345</v>
      </c>
      <c r="B383">
        <v>5</v>
      </c>
    </row>
    <row r="384" spans="1:2" x14ac:dyDescent="0.25">
      <c r="A384" s="16" t="s">
        <v>879</v>
      </c>
      <c r="B384">
        <v>5</v>
      </c>
    </row>
    <row r="385" spans="1:2" x14ac:dyDescent="0.25">
      <c r="A385" s="16" t="s">
        <v>251</v>
      </c>
      <c r="B385">
        <v>5</v>
      </c>
    </row>
    <row r="386" spans="1:2" x14ac:dyDescent="0.25">
      <c r="A386" s="16" t="s">
        <v>387</v>
      </c>
      <c r="B386">
        <v>6</v>
      </c>
    </row>
    <row r="387" spans="1:2" x14ac:dyDescent="0.25">
      <c r="A387" s="16" t="s">
        <v>160</v>
      </c>
      <c r="B387">
        <v>6</v>
      </c>
    </row>
    <row r="388" spans="1:2" x14ac:dyDescent="0.25">
      <c r="A388" s="16" t="s">
        <v>389</v>
      </c>
      <c r="B388">
        <v>6</v>
      </c>
    </row>
    <row r="389" spans="1:2" x14ac:dyDescent="0.25">
      <c r="A389" s="16" t="s">
        <v>1090</v>
      </c>
      <c r="B389">
        <v>6</v>
      </c>
    </row>
    <row r="390" spans="1:2" x14ac:dyDescent="0.25">
      <c r="A390" s="16" t="s">
        <v>1292</v>
      </c>
      <c r="B390">
        <v>7</v>
      </c>
    </row>
    <row r="391" spans="1:2" x14ac:dyDescent="0.25">
      <c r="A391" s="16" t="s">
        <v>1114</v>
      </c>
      <c r="B391">
        <v>7</v>
      </c>
    </row>
    <row r="392" spans="1:2" x14ac:dyDescent="0.25">
      <c r="A392" s="16" t="s">
        <v>381</v>
      </c>
      <c r="B392">
        <v>8</v>
      </c>
    </row>
    <row r="393" spans="1:2" x14ac:dyDescent="0.25">
      <c r="A393" s="16" t="s">
        <v>1075</v>
      </c>
      <c r="B393">
        <v>9</v>
      </c>
    </row>
    <row r="394" spans="1:2" x14ac:dyDescent="0.25">
      <c r="A394" s="16" t="s">
        <v>148</v>
      </c>
      <c r="B394">
        <v>9</v>
      </c>
    </row>
    <row r="395" spans="1:2" x14ac:dyDescent="0.25">
      <c r="A395" s="16" t="s">
        <v>142</v>
      </c>
      <c r="B395">
        <v>10</v>
      </c>
    </row>
    <row r="396" spans="1:2" x14ac:dyDescent="0.25">
      <c r="A396" s="16" t="s">
        <v>1262</v>
      </c>
      <c r="B396">
        <v>10</v>
      </c>
    </row>
    <row r="397" spans="1:2" x14ac:dyDescent="0.25">
      <c r="A397" s="16" t="s">
        <v>1249</v>
      </c>
      <c r="B397">
        <v>10</v>
      </c>
    </row>
    <row r="398" spans="1:2" x14ac:dyDescent="0.25">
      <c r="A398" s="16" t="s">
        <v>1088</v>
      </c>
      <c r="B398">
        <v>10</v>
      </c>
    </row>
    <row r="399" spans="1:2" x14ac:dyDescent="0.25">
      <c r="A399" s="16" t="s">
        <v>576</v>
      </c>
      <c r="B399">
        <v>10</v>
      </c>
    </row>
    <row r="400" spans="1:2" x14ac:dyDescent="0.25">
      <c r="A400" s="16" t="s">
        <v>1270</v>
      </c>
      <c r="B400">
        <v>11</v>
      </c>
    </row>
    <row r="401" spans="1:2" x14ac:dyDescent="0.25">
      <c r="A401" s="16" t="s">
        <v>374</v>
      </c>
      <c r="B401">
        <v>11</v>
      </c>
    </row>
    <row r="402" spans="1:2" x14ac:dyDescent="0.25">
      <c r="A402" s="16" t="s">
        <v>1081</v>
      </c>
      <c r="B402">
        <v>12</v>
      </c>
    </row>
    <row r="403" spans="1:2" x14ac:dyDescent="0.25">
      <c r="A403" s="16" t="s">
        <v>291</v>
      </c>
      <c r="B403">
        <v>12</v>
      </c>
    </row>
    <row r="404" spans="1:2" x14ac:dyDescent="0.25">
      <c r="A404" s="16" t="s">
        <v>360</v>
      </c>
      <c r="B404">
        <v>14</v>
      </c>
    </row>
    <row r="405" spans="1:2" x14ac:dyDescent="0.25">
      <c r="A405" s="16" t="s">
        <v>340</v>
      </c>
      <c r="B405">
        <v>14</v>
      </c>
    </row>
    <row r="406" spans="1:2" x14ac:dyDescent="0.25">
      <c r="A406" s="16" t="s">
        <v>368</v>
      </c>
      <c r="B406">
        <v>14</v>
      </c>
    </row>
    <row r="407" spans="1:2" x14ac:dyDescent="0.25">
      <c r="A407" s="16" t="s">
        <v>579</v>
      </c>
      <c r="B407">
        <v>14</v>
      </c>
    </row>
    <row r="408" spans="1:2" x14ac:dyDescent="0.25">
      <c r="A408" s="16" t="s">
        <v>287</v>
      </c>
      <c r="B408">
        <v>15</v>
      </c>
    </row>
    <row r="409" spans="1:2" x14ac:dyDescent="0.25">
      <c r="A409" s="16" t="s">
        <v>117</v>
      </c>
      <c r="B409">
        <v>16</v>
      </c>
    </row>
    <row r="410" spans="1:2" x14ac:dyDescent="0.25">
      <c r="A410" s="16" t="s">
        <v>336</v>
      </c>
      <c r="B410">
        <v>20</v>
      </c>
    </row>
    <row r="411" spans="1:2" x14ac:dyDescent="0.25">
      <c r="A411" s="16" t="s">
        <v>789</v>
      </c>
      <c r="B411">
        <v>20</v>
      </c>
    </row>
    <row r="412" spans="1:2" x14ac:dyDescent="0.25">
      <c r="A412" s="16" t="s">
        <v>332</v>
      </c>
      <c r="B412">
        <v>21</v>
      </c>
    </row>
    <row r="413" spans="1:2" x14ac:dyDescent="0.25">
      <c r="A413" s="16" t="s">
        <v>338</v>
      </c>
      <c r="B413">
        <v>27</v>
      </c>
    </row>
    <row r="414" spans="1:2" x14ac:dyDescent="0.25">
      <c r="A414" s="16" t="s">
        <v>123</v>
      </c>
      <c r="B414">
        <v>28</v>
      </c>
    </row>
    <row r="415" spans="1:2" x14ac:dyDescent="0.25">
      <c r="A415" s="16" t="s">
        <v>343</v>
      </c>
      <c r="B415">
        <v>34</v>
      </c>
    </row>
    <row r="416" spans="1:2" x14ac:dyDescent="0.25">
      <c r="A416" s="16" t="s">
        <v>327</v>
      </c>
      <c r="B416">
        <v>54</v>
      </c>
    </row>
    <row r="417" spans="1:2" x14ac:dyDescent="0.25">
      <c r="A417" s="16" t="s">
        <v>165</v>
      </c>
      <c r="B417">
        <v>57</v>
      </c>
    </row>
    <row r="418" spans="1:2" x14ac:dyDescent="0.25">
      <c r="A418" s="16" t="s">
        <v>167</v>
      </c>
      <c r="B418">
        <v>69</v>
      </c>
    </row>
    <row r="419" spans="1:2" x14ac:dyDescent="0.25">
      <c r="A419" s="16" t="s">
        <v>1314</v>
      </c>
      <c r="B419">
        <v>1093</v>
      </c>
    </row>
  </sheetData>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7889" r:id="rId5" name="Button 1">
              <controlPr defaultSize="0" print="0" autoFill="0" autoPict="0" macro="[0]!PubR_Refresh">
                <anchor moveWithCells="1">
                  <from>
                    <xdr:col>3</xdr:col>
                    <xdr:colOff>0</xdr:colOff>
                    <xdr:row>1</xdr:row>
                    <xdr:rowOff>0</xdr:rowOff>
                  </from>
                  <to>
                    <xdr:col>5</xdr:col>
                    <xdr:colOff>0</xdr:colOff>
                    <xdr:row>1</xdr:row>
                    <xdr:rowOff>238125</xdr:rowOff>
                  </to>
                </anchor>
              </controlPr>
            </control>
          </mc:Choice>
        </mc:AlternateContent>
        <mc:AlternateContent xmlns:mc="http://schemas.openxmlformats.org/markup-compatibility/2006">
          <mc:Choice Requires="x14">
            <control shapeId="37890" r:id="rId6" name="Button 2">
              <controlPr defaultSize="0" print="0" autoFill="0" autoPict="0" macro="[0]!PubR_Expand">
                <anchor moveWithCells="1">
                  <from>
                    <xdr:col>6</xdr:col>
                    <xdr:colOff>0</xdr:colOff>
                    <xdr:row>1</xdr:row>
                    <xdr:rowOff>9525</xdr:rowOff>
                  </from>
                  <to>
                    <xdr:col>7</xdr:col>
                    <xdr:colOff>0</xdr:colOff>
                    <xdr:row>2</xdr:row>
                    <xdr:rowOff>0</xdr:rowOff>
                  </to>
                </anchor>
              </controlPr>
            </control>
          </mc:Choice>
        </mc:AlternateContent>
        <mc:AlternateContent xmlns:mc="http://schemas.openxmlformats.org/markup-compatibility/2006">
          <mc:Choice Requires="x14">
            <control shapeId="37891" r:id="rId7" name="Button 3">
              <controlPr defaultSize="0" print="0" autoFill="0" autoPict="0" macro="[0]!PubR_Contract">
                <anchor moveWithCells="1">
                  <from>
                    <xdr:col>8</xdr:col>
                    <xdr:colOff>0</xdr:colOff>
                    <xdr:row>1</xdr:row>
                    <xdr:rowOff>9525</xdr:rowOff>
                  </from>
                  <to>
                    <xdr:col>9</xdr:col>
                    <xdr:colOff>0</xdr:colOff>
                    <xdr:row>2</xdr:row>
                    <xdr:rowOff>0</xdr:rowOff>
                  </to>
                </anchor>
              </controlPr>
            </control>
          </mc:Choice>
        </mc:AlternateContent>
        <mc:AlternateContent xmlns:mc="http://schemas.openxmlformats.org/markup-compatibility/2006">
          <mc:Choice Requires="x14">
            <control shapeId="37892" r:id="rId8" name="Button 4">
              <controlPr defaultSize="0" print="0" autoFill="0" autoPict="0" macro="[0]!PubR_Refresh">
                <anchor moveWithCells="1">
                  <from>
                    <xdr:col>16</xdr:col>
                    <xdr:colOff>0</xdr:colOff>
                    <xdr:row>1</xdr:row>
                    <xdr:rowOff>0</xdr:rowOff>
                  </from>
                  <to>
                    <xdr:col>18</xdr:col>
                    <xdr:colOff>0</xdr:colOff>
                    <xdr:row>1</xdr:row>
                    <xdr:rowOff>238125</xdr:rowOff>
                  </to>
                </anchor>
              </controlPr>
            </control>
          </mc:Choice>
        </mc:AlternateContent>
        <mc:AlternateContent xmlns:mc="http://schemas.openxmlformats.org/markup-compatibility/2006">
          <mc:Choice Requires="x14">
            <control shapeId="37893" r:id="rId9" name="Button 5">
              <controlPr defaultSize="0" print="0" autoFill="0" autoPict="0" macro="[0]!PubN_Expand">
                <anchor moveWithCells="1">
                  <from>
                    <xdr:col>19</xdr:col>
                    <xdr:colOff>0</xdr:colOff>
                    <xdr:row>1</xdr:row>
                    <xdr:rowOff>9525</xdr:rowOff>
                  </from>
                  <to>
                    <xdr:col>20</xdr:col>
                    <xdr:colOff>0</xdr:colOff>
                    <xdr:row>2</xdr:row>
                    <xdr:rowOff>0</xdr:rowOff>
                  </to>
                </anchor>
              </controlPr>
            </control>
          </mc:Choice>
        </mc:AlternateContent>
        <mc:AlternateContent xmlns:mc="http://schemas.openxmlformats.org/markup-compatibility/2006">
          <mc:Choice Requires="x14">
            <control shapeId="37894" r:id="rId10" name="Button 6">
              <controlPr defaultSize="0" print="0" autoFill="0" autoPict="0" macro="[0]!PubN_Contract">
                <anchor moveWithCells="1">
                  <from>
                    <xdr:col>21</xdr:col>
                    <xdr:colOff>0</xdr:colOff>
                    <xdr:row>1</xdr:row>
                    <xdr:rowOff>9525</xdr:rowOff>
                  </from>
                  <to>
                    <xdr:col>22</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A1B78-5521-4BFB-BE0B-80493E0983F4}">
  <sheetPr codeName="Pub_Date">
    <tabColor theme="4"/>
  </sheetPr>
  <dimension ref="A1:U1254"/>
  <sheetViews>
    <sheetView topLeftCell="A3" workbookViewId="0">
      <selection activeCell="AE11" sqref="AE11"/>
    </sheetView>
  </sheetViews>
  <sheetFormatPr defaultRowHeight="15" x14ac:dyDescent="0.25"/>
  <cols>
    <col min="1" max="1" width="15.7109375" style="2" customWidth="1"/>
    <col min="2" max="2" width="6.7109375" style="2" customWidth="1"/>
    <col min="3" max="12" width="9.140625" style="2"/>
    <col min="13" max="13" width="12.7109375" style="29" hidden="1" customWidth="1"/>
    <col min="14" max="14" width="12.7109375" style="178" hidden="1" customWidth="1"/>
    <col min="15" max="16" width="12.7109375" style="52" hidden="1" customWidth="1"/>
    <col min="17" max="17" width="12.7109375" style="178" hidden="1" customWidth="1"/>
    <col min="18" max="20" width="8.7109375" style="178" hidden="1" customWidth="1"/>
    <col min="21" max="16384" width="9.140625" style="2"/>
  </cols>
  <sheetData>
    <row r="1" spans="1:21" x14ac:dyDescent="0.25">
      <c r="M1" s="29" t="s">
        <v>1319</v>
      </c>
      <c r="O1" s="52" t="s">
        <v>1323</v>
      </c>
      <c r="P1" s="52" t="s">
        <v>1324</v>
      </c>
      <c r="R1" s="178" t="s">
        <v>1321</v>
      </c>
      <c r="T1" s="178" t="s">
        <v>1322</v>
      </c>
    </row>
    <row r="2" spans="1:21" ht="20.100000000000001" customHeight="1" x14ac:dyDescent="0.25">
      <c r="A2" s="180" t="s">
        <v>1319</v>
      </c>
      <c r="B2" s="178" t="s">
        <v>1315</v>
      </c>
      <c r="M2" s="29" cm="1">
        <f t="array" ref="M2:M15">Items[Pub Date (R/E)]</f>
        <v>0</v>
      </c>
      <c r="N2" s="178" t="str">
        <f t="shared" ref="N2:N65" si="0">IF(AND(ISNUMBER(VALUE(MID(M2,1,1))), ISNUMBER(VALUE(MID(M2,2,1))), ISNUMBER(VALUE(MID(M2,3,1))), ISNUMBER(VALUE(MID(M2,4,1)))), LEFT(M2,4), "")</f>
        <v/>
      </c>
      <c r="O2" s="52" t="e" cm="1" vm="4">
        <f t="array" ref="O2">_xlfn._xlws.SORT(_xlfn._xlws.FILTER(N:N,(N:N&lt;&gt;"n/a")*(N:N&lt;&gt;0)*(N:N&lt;&gt;"")))</f>
        <v>#VALUE!</v>
      </c>
      <c r="P2" s="52" t="s">
        <v>1320</v>
      </c>
      <c r="Q2" s="178" t="e" vm="5">
        <f>FLOOR(O2,10)</f>
        <v>#VALUE!</v>
      </c>
      <c r="R2" s="179" t="e" vm="5">
        <f>MIN(Q:Q)</f>
        <v>#VALUE!</v>
      </c>
      <c r="S2" s="178" t="e" vm="5">
        <f>CEILING(O2,10)</f>
        <v>#VALUE!</v>
      </c>
      <c r="T2" s="179" t="e" vm="5">
        <f>MAX(S:S)</f>
        <v>#VALUE!</v>
      </c>
      <c r="U2"/>
    </row>
    <row r="3" spans="1:21" x14ac:dyDescent="0.25">
      <c r="A3" s="29" t="s">
        <v>1265</v>
      </c>
      <c r="B3" s="2">
        <v>9</v>
      </c>
      <c r="M3" s="29">
        <v>0</v>
      </c>
      <c r="N3" s="178" t="str">
        <f>IF(AND(ISNUMBER(VALUE(MID(M3,1,1))), ISNUMBER(VALUE(MID(M3,2,1))), ISNUMBER(VALUE(MID(M3,3,1))), ISNUMBER(VALUE(MID(M3,4,1)))), LEFT(M3,4), "")</f>
        <v/>
      </c>
      <c r="P3" s="52" t="s">
        <v>1320</v>
      </c>
      <c r="Q3" s="178">
        <f t="shared" ref="Q3:Q66" si="1">FLOOR(O3,10)</f>
        <v>0</v>
      </c>
      <c r="S3" s="178">
        <f t="shared" ref="S3:S66" si="2">CEILING(O3,10)</f>
        <v>0</v>
      </c>
      <c r="U3"/>
    </row>
    <row r="4" spans="1:21" x14ac:dyDescent="0.25">
      <c r="A4" s="29" t="s">
        <v>288</v>
      </c>
      <c r="B4" s="2">
        <v>12</v>
      </c>
      <c r="M4" s="29">
        <v>0</v>
      </c>
      <c r="N4" s="178" t="str">
        <f t="shared" si="0"/>
        <v/>
      </c>
      <c r="P4" s="52" t="s">
        <v>1320</v>
      </c>
      <c r="Q4" s="178">
        <f t="shared" si="1"/>
        <v>0</v>
      </c>
      <c r="S4" s="178">
        <f t="shared" si="2"/>
        <v>0</v>
      </c>
      <c r="U4"/>
    </row>
    <row r="5" spans="1:21" x14ac:dyDescent="0.25">
      <c r="A5" s="29" t="s">
        <v>1273</v>
      </c>
      <c r="B5" s="2">
        <v>3</v>
      </c>
      <c r="M5" s="29">
        <v>0</v>
      </c>
      <c r="N5" s="178" t="str">
        <f t="shared" si="0"/>
        <v/>
      </c>
      <c r="P5" s="52" t="s">
        <v>1320</v>
      </c>
      <c r="Q5" s="178">
        <f t="shared" si="1"/>
        <v>0</v>
      </c>
      <c r="S5" s="178">
        <f t="shared" si="2"/>
        <v>0</v>
      </c>
      <c r="U5"/>
    </row>
    <row r="6" spans="1:21" x14ac:dyDescent="0.25">
      <c r="A6" s="29" t="s">
        <v>1022</v>
      </c>
      <c r="B6" s="2">
        <v>2</v>
      </c>
      <c r="M6" s="29">
        <v>0</v>
      </c>
      <c r="N6" s="178" t="str">
        <f t="shared" si="0"/>
        <v/>
      </c>
      <c r="P6" s="52" t="s">
        <v>1320</v>
      </c>
      <c r="Q6" s="178">
        <f t="shared" si="1"/>
        <v>0</v>
      </c>
      <c r="S6" s="178">
        <f t="shared" si="2"/>
        <v>0</v>
      </c>
      <c r="U6"/>
    </row>
    <row r="7" spans="1:21" x14ac:dyDescent="0.25">
      <c r="A7" s="29" t="s">
        <v>1289</v>
      </c>
      <c r="B7" s="2">
        <v>1</v>
      </c>
      <c r="M7" s="29">
        <v>0</v>
      </c>
      <c r="N7" s="178" t="str">
        <f t="shared" si="0"/>
        <v/>
      </c>
      <c r="P7" s="52" t="s">
        <v>1320</v>
      </c>
      <c r="Q7" s="178">
        <f t="shared" si="1"/>
        <v>0</v>
      </c>
      <c r="S7" s="178">
        <f t="shared" si="2"/>
        <v>0</v>
      </c>
      <c r="U7"/>
    </row>
    <row r="8" spans="1:21" x14ac:dyDescent="0.25">
      <c r="A8" s="29" t="s">
        <v>924</v>
      </c>
      <c r="B8" s="2">
        <v>1</v>
      </c>
      <c r="M8" s="29">
        <v>0</v>
      </c>
      <c r="N8" s="178" t="str">
        <f t="shared" si="0"/>
        <v/>
      </c>
      <c r="P8" s="52" t="s">
        <v>1320</v>
      </c>
      <c r="Q8" s="178">
        <f t="shared" si="1"/>
        <v>0</v>
      </c>
      <c r="S8" s="178">
        <f t="shared" si="2"/>
        <v>0</v>
      </c>
      <c r="U8"/>
    </row>
    <row r="9" spans="1:21" x14ac:dyDescent="0.25">
      <c r="A9" s="29" t="s">
        <v>653</v>
      </c>
      <c r="B9" s="2">
        <v>2</v>
      </c>
      <c r="M9" s="29">
        <v>0</v>
      </c>
      <c r="N9" s="178" t="str">
        <f t="shared" si="0"/>
        <v/>
      </c>
      <c r="P9" s="52" t="s">
        <v>1320</v>
      </c>
      <c r="Q9" s="178">
        <f t="shared" si="1"/>
        <v>0</v>
      </c>
      <c r="S9" s="178">
        <f t="shared" si="2"/>
        <v>0</v>
      </c>
      <c r="U9"/>
    </row>
    <row r="10" spans="1:21" x14ac:dyDescent="0.25">
      <c r="A10" s="29" t="s">
        <v>1131</v>
      </c>
      <c r="B10" s="2">
        <v>1</v>
      </c>
      <c r="M10" s="29">
        <v>0</v>
      </c>
      <c r="N10" s="178" t="str">
        <f t="shared" si="0"/>
        <v/>
      </c>
      <c r="P10" s="52" t="s">
        <v>1320</v>
      </c>
      <c r="Q10" s="178">
        <f t="shared" si="1"/>
        <v>0</v>
      </c>
      <c r="S10" s="178">
        <f t="shared" si="2"/>
        <v>0</v>
      </c>
      <c r="U10"/>
    </row>
    <row r="11" spans="1:21" x14ac:dyDescent="0.25">
      <c r="A11" s="29" t="s">
        <v>1311</v>
      </c>
      <c r="B11" s="2">
        <v>1</v>
      </c>
      <c r="M11" s="29">
        <v>0</v>
      </c>
      <c r="N11" s="178" t="str">
        <f t="shared" si="0"/>
        <v/>
      </c>
      <c r="P11" s="52" t="s">
        <v>1273</v>
      </c>
      <c r="Q11" s="178">
        <f t="shared" si="1"/>
        <v>0</v>
      </c>
      <c r="S11" s="178">
        <f t="shared" si="2"/>
        <v>0</v>
      </c>
      <c r="U11"/>
    </row>
    <row r="12" spans="1:21" x14ac:dyDescent="0.25">
      <c r="A12" s="29" t="s">
        <v>1277</v>
      </c>
      <c r="B12" s="2">
        <v>1</v>
      </c>
      <c r="M12" s="29">
        <v>0</v>
      </c>
      <c r="N12" s="178" t="str">
        <f t="shared" si="0"/>
        <v/>
      </c>
      <c r="P12" s="52" t="s">
        <v>1273</v>
      </c>
      <c r="Q12" s="178">
        <f t="shared" si="1"/>
        <v>0</v>
      </c>
      <c r="S12" s="178">
        <f t="shared" si="2"/>
        <v>0</v>
      </c>
      <c r="U12"/>
    </row>
    <row r="13" spans="1:21" x14ac:dyDescent="0.25">
      <c r="A13" s="29" t="s">
        <v>851</v>
      </c>
      <c r="B13" s="2">
        <v>3</v>
      </c>
      <c r="M13" s="29">
        <v>0</v>
      </c>
      <c r="N13" s="178" t="str">
        <f t="shared" si="0"/>
        <v/>
      </c>
      <c r="P13" s="52" t="s">
        <v>1273</v>
      </c>
      <c r="Q13" s="178">
        <f t="shared" si="1"/>
        <v>0</v>
      </c>
      <c r="S13" s="178">
        <f t="shared" si="2"/>
        <v>0</v>
      </c>
      <c r="U13"/>
    </row>
    <row r="14" spans="1:21" x14ac:dyDescent="0.25">
      <c r="A14" s="29" t="s">
        <v>923</v>
      </c>
      <c r="B14" s="2">
        <v>1</v>
      </c>
      <c r="M14" s="29">
        <v>0</v>
      </c>
      <c r="N14" s="178" t="str">
        <f t="shared" si="0"/>
        <v/>
      </c>
      <c r="P14" s="52" t="s">
        <v>1022</v>
      </c>
      <c r="Q14" s="178">
        <f t="shared" si="1"/>
        <v>0</v>
      </c>
      <c r="S14" s="178">
        <f t="shared" si="2"/>
        <v>0</v>
      </c>
      <c r="U14"/>
    </row>
    <row r="15" spans="1:21" x14ac:dyDescent="0.25">
      <c r="A15" s="29" t="s">
        <v>844</v>
      </c>
      <c r="B15" s="2">
        <v>1</v>
      </c>
      <c r="M15" s="29">
        <v>0</v>
      </c>
      <c r="N15" s="178" t="str">
        <f t="shared" si="0"/>
        <v/>
      </c>
      <c r="P15" s="52" t="s">
        <v>1022</v>
      </c>
      <c r="Q15" s="178">
        <f t="shared" si="1"/>
        <v>0</v>
      </c>
      <c r="S15" s="178">
        <f t="shared" si="2"/>
        <v>0</v>
      </c>
      <c r="U15"/>
    </row>
    <row r="16" spans="1:21" x14ac:dyDescent="0.25">
      <c r="A16" s="29" t="s">
        <v>250</v>
      </c>
      <c r="B16" s="2">
        <v>1</v>
      </c>
      <c r="N16" s="178" t="str">
        <f t="shared" si="0"/>
        <v/>
      </c>
      <c r="P16" s="52" t="s">
        <v>1289</v>
      </c>
      <c r="Q16" s="178">
        <f t="shared" si="1"/>
        <v>0</v>
      </c>
      <c r="S16" s="178">
        <f t="shared" si="2"/>
        <v>0</v>
      </c>
      <c r="U16"/>
    </row>
    <row r="17" spans="1:21" x14ac:dyDescent="0.25">
      <c r="A17" s="29" t="s">
        <v>865</v>
      </c>
      <c r="B17" s="2">
        <v>3</v>
      </c>
      <c r="N17" s="178" t="str">
        <f t="shared" si="0"/>
        <v/>
      </c>
      <c r="P17" s="52" t="s">
        <v>924</v>
      </c>
      <c r="Q17" s="178">
        <f t="shared" si="1"/>
        <v>0</v>
      </c>
      <c r="S17" s="178">
        <f t="shared" si="2"/>
        <v>0</v>
      </c>
      <c r="U17"/>
    </row>
    <row r="18" spans="1:21" x14ac:dyDescent="0.25">
      <c r="A18" s="29" t="s">
        <v>1112</v>
      </c>
      <c r="B18" s="2">
        <v>3</v>
      </c>
      <c r="N18" s="178" t="str">
        <f t="shared" si="0"/>
        <v/>
      </c>
      <c r="P18" s="52" t="s">
        <v>653</v>
      </c>
      <c r="Q18" s="178">
        <f t="shared" si="1"/>
        <v>0</v>
      </c>
      <c r="S18" s="178">
        <f t="shared" si="2"/>
        <v>0</v>
      </c>
      <c r="U18"/>
    </row>
    <row r="19" spans="1:21" x14ac:dyDescent="0.25">
      <c r="A19" s="29" t="s">
        <v>196</v>
      </c>
      <c r="B19" s="2">
        <v>4</v>
      </c>
      <c r="N19" s="178" t="str">
        <f t="shared" si="0"/>
        <v/>
      </c>
      <c r="P19" s="52" t="s">
        <v>653</v>
      </c>
      <c r="Q19" s="178">
        <f t="shared" si="1"/>
        <v>0</v>
      </c>
      <c r="S19" s="178">
        <f t="shared" si="2"/>
        <v>0</v>
      </c>
      <c r="U19"/>
    </row>
    <row r="20" spans="1:21" x14ac:dyDescent="0.25">
      <c r="A20" s="29" t="s">
        <v>802</v>
      </c>
      <c r="B20" s="2">
        <v>8</v>
      </c>
      <c r="N20" s="178" t="str">
        <f t="shared" si="0"/>
        <v/>
      </c>
      <c r="P20" s="52" t="s">
        <v>1131</v>
      </c>
      <c r="Q20" s="178">
        <f t="shared" si="1"/>
        <v>0</v>
      </c>
      <c r="S20" s="178">
        <f t="shared" si="2"/>
        <v>0</v>
      </c>
    </row>
    <row r="21" spans="1:21" x14ac:dyDescent="0.25">
      <c r="A21" s="29" t="s">
        <v>1237</v>
      </c>
      <c r="B21" s="2">
        <v>1</v>
      </c>
      <c r="N21" s="178" t="str">
        <f t="shared" si="0"/>
        <v/>
      </c>
      <c r="P21" s="52" t="s">
        <v>1311</v>
      </c>
      <c r="Q21" s="178">
        <f t="shared" si="1"/>
        <v>0</v>
      </c>
      <c r="S21" s="178">
        <f t="shared" si="2"/>
        <v>0</v>
      </c>
    </row>
    <row r="22" spans="1:21" x14ac:dyDescent="0.25">
      <c r="A22" s="29" t="s">
        <v>378</v>
      </c>
      <c r="B22" s="2">
        <v>6</v>
      </c>
      <c r="N22" s="178" t="str">
        <f t="shared" si="0"/>
        <v/>
      </c>
      <c r="P22" s="52" t="s">
        <v>1311</v>
      </c>
      <c r="Q22" s="178">
        <f t="shared" si="1"/>
        <v>0</v>
      </c>
      <c r="S22" s="178">
        <f t="shared" si="2"/>
        <v>0</v>
      </c>
    </row>
    <row r="23" spans="1:21" x14ac:dyDescent="0.25">
      <c r="A23" s="29" t="s">
        <v>1269</v>
      </c>
      <c r="B23" s="2">
        <v>32</v>
      </c>
      <c r="N23" s="178" t="str">
        <f t="shared" si="0"/>
        <v/>
      </c>
      <c r="P23" s="52" t="s">
        <v>851</v>
      </c>
      <c r="Q23" s="178">
        <f t="shared" si="1"/>
        <v>0</v>
      </c>
      <c r="S23" s="178">
        <f t="shared" si="2"/>
        <v>0</v>
      </c>
    </row>
    <row r="24" spans="1:21" x14ac:dyDescent="0.25">
      <c r="A24" s="29" t="s">
        <v>588</v>
      </c>
      <c r="B24" s="2">
        <v>4</v>
      </c>
      <c r="N24" s="178" t="str">
        <f t="shared" si="0"/>
        <v/>
      </c>
      <c r="P24" s="52" t="s">
        <v>851</v>
      </c>
      <c r="Q24" s="178">
        <f t="shared" si="1"/>
        <v>0</v>
      </c>
      <c r="S24" s="178">
        <f t="shared" si="2"/>
        <v>0</v>
      </c>
    </row>
    <row r="25" spans="1:21" x14ac:dyDescent="0.25">
      <c r="A25" s="29" t="s">
        <v>584</v>
      </c>
      <c r="B25" s="2">
        <v>4</v>
      </c>
      <c r="N25" s="178" t="str">
        <f t="shared" si="0"/>
        <v/>
      </c>
      <c r="P25" s="52" t="s">
        <v>851</v>
      </c>
      <c r="Q25" s="178">
        <f t="shared" si="1"/>
        <v>0</v>
      </c>
      <c r="S25" s="178">
        <f t="shared" si="2"/>
        <v>0</v>
      </c>
    </row>
    <row r="26" spans="1:21" x14ac:dyDescent="0.25">
      <c r="A26" s="29" t="s">
        <v>1305</v>
      </c>
      <c r="B26" s="2">
        <v>1</v>
      </c>
      <c r="N26" s="178" t="str">
        <f t="shared" si="0"/>
        <v/>
      </c>
      <c r="P26" s="52" t="s">
        <v>923</v>
      </c>
      <c r="Q26" s="178">
        <f t="shared" si="1"/>
        <v>0</v>
      </c>
      <c r="S26" s="178">
        <f t="shared" si="2"/>
        <v>0</v>
      </c>
    </row>
    <row r="27" spans="1:21" x14ac:dyDescent="0.25">
      <c r="A27" s="29" t="s">
        <v>557</v>
      </c>
      <c r="B27" s="2">
        <v>9</v>
      </c>
      <c r="N27" s="178" t="str">
        <f t="shared" si="0"/>
        <v/>
      </c>
      <c r="P27" s="52" t="s">
        <v>844</v>
      </c>
      <c r="Q27" s="178">
        <f t="shared" si="1"/>
        <v>0</v>
      </c>
      <c r="S27" s="178">
        <f t="shared" si="2"/>
        <v>0</v>
      </c>
    </row>
    <row r="28" spans="1:21" x14ac:dyDescent="0.25">
      <c r="A28" s="29" t="s">
        <v>590</v>
      </c>
      <c r="B28" s="2">
        <v>4</v>
      </c>
      <c r="N28" s="178" t="str">
        <f t="shared" si="0"/>
        <v/>
      </c>
      <c r="P28" s="52" t="s">
        <v>844</v>
      </c>
      <c r="Q28" s="178">
        <f t="shared" si="1"/>
        <v>0</v>
      </c>
      <c r="S28" s="178">
        <f t="shared" si="2"/>
        <v>0</v>
      </c>
    </row>
    <row r="29" spans="1:21" x14ac:dyDescent="0.25">
      <c r="A29" s="29" t="s">
        <v>597</v>
      </c>
      <c r="B29" s="2">
        <v>4</v>
      </c>
      <c r="N29" s="178" t="str">
        <f t="shared" si="0"/>
        <v/>
      </c>
      <c r="P29" s="52" t="s">
        <v>865</v>
      </c>
      <c r="Q29" s="178">
        <f t="shared" si="1"/>
        <v>0</v>
      </c>
      <c r="S29" s="178">
        <f t="shared" si="2"/>
        <v>0</v>
      </c>
    </row>
    <row r="30" spans="1:21" x14ac:dyDescent="0.25">
      <c r="A30" s="29" t="s">
        <v>593</v>
      </c>
      <c r="B30" s="2">
        <v>2</v>
      </c>
      <c r="N30" s="178" t="str">
        <f t="shared" si="0"/>
        <v/>
      </c>
      <c r="P30" s="52" t="s">
        <v>865</v>
      </c>
      <c r="Q30" s="178">
        <f t="shared" si="1"/>
        <v>0</v>
      </c>
      <c r="S30" s="178">
        <f t="shared" si="2"/>
        <v>0</v>
      </c>
    </row>
    <row r="31" spans="1:21" x14ac:dyDescent="0.25">
      <c r="A31" s="29" t="s">
        <v>589</v>
      </c>
      <c r="B31" s="2">
        <v>3</v>
      </c>
      <c r="N31" s="178" t="str">
        <f t="shared" si="0"/>
        <v/>
      </c>
      <c r="P31" s="52" t="s">
        <v>865</v>
      </c>
      <c r="Q31" s="178">
        <f t="shared" si="1"/>
        <v>0</v>
      </c>
      <c r="S31" s="178">
        <f t="shared" si="2"/>
        <v>0</v>
      </c>
    </row>
    <row r="32" spans="1:21" x14ac:dyDescent="0.25">
      <c r="A32" s="29" t="s">
        <v>592</v>
      </c>
      <c r="B32" s="2">
        <v>5</v>
      </c>
      <c r="N32" s="178" t="str">
        <f t="shared" si="0"/>
        <v/>
      </c>
      <c r="P32" s="52" t="s">
        <v>1112</v>
      </c>
      <c r="Q32" s="178">
        <f t="shared" si="1"/>
        <v>0</v>
      </c>
      <c r="S32" s="178">
        <f t="shared" si="2"/>
        <v>0</v>
      </c>
    </row>
    <row r="33" spans="1:19" x14ac:dyDescent="0.25">
      <c r="A33" s="29" t="s">
        <v>569</v>
      </c>
      <c r="B33" s="2">
        <v>3</v>
      </c>
      <c r="N33" s="178" t="str">
        <f t="shared" si="0"/>
        <v/>
      </c>
      <c r="P33" s="52" t="s">
        <v>1112</v>
      </c>
      <c r="Q33" s="178">
        <f t="shared" si="1"/>
        <v>0</v>
      </c>
      <c r="S33" s="178">
        <f t="shared" si="2"/>
        <v>0</v>
      </c>
    </row>
    <row r="34" spans="1:19" x14ac:dyDescent="0.25">
      <c r="A34" s="29" t="s">
        <v>591</v>
      </c>
      <c r="B34" s="2">
        <v>9</v>
      </c>
      <c r="N34" s="178" t="str">
        <f t="shared" si="0"/>
        <v/>
      </c>
      <c r="P34" s="52" t="s">
        <v>1112</v>
      </c>
      <c r="Q34" s="178">
        <f t="shared" si="1"/>
        <v>0</v>
      </c>
      <c r="S34" s="178">
        <f t="shared" si="2"/>
        <v>0</v>
      </c>
    </row>
    <row r="35" spans="1:19" x14ac:dyDescent="0.25">
      <c r="A35" s="29" t="s">
        <v>596</v>
      </c>
      <c r="B35" s="2">
        <v>2</v>
      </c>
      <c r="N35" s="178" t="str">
        <f t="shared" si="0"/>
        <v/>
      </c>
      <c r="P35" s="52" t="s">
        <v>196</v>
      </c>
      <c r="Q35" s="178">
        <f t="shared" si="1"/>
        <v>0</v>
      </c>
      <c r="S35" s="178">
        <f t="shared" si="2"/>
        <v>0</v>
      </c>
    </row>
    <row r="36" spans="1:19" x14ac:dyDescent="0.25">
      <c r="A36" s="29" t="s">
        <v>594</v>
      </c>
      <c r="B36" s="2">
        <v>2</v>
      </c>
      <c r="N36" s="178" t="str">
        <f t="shared" si="0"/>
        <v/>
      </c>
      <c r="P36" s="52" t="s">
        <v>196</v>
      </c>
      <c r="Q36" s="178">
        <f t="shared" si="1"/>
        <v>0</v>
      </c>
      <c r="S36" s="178">
        <f t="shared" si="2"/>
        <v>0</v>
      </c>
    </row>
    <row r="37" spans="1:19" x14ac:dyDescent="0.25">
      <c r="A37" s="29" t="s">
        <v>595</v>
      </c>
      <c r="B37" s="2">
        <v>2</v>
      </c>
      <c r="N37" s="178" t="str">
        <f t="shared" si="0"/>
        <v/>
      </c>
      <c r="P37" s="52" t="s">
        <v>196</v>
      </c>
      <c r="Q37" s="178">
        <f t="shared" si="1"/>
        <v>0</v>
      </c>
      <c r="S37" s="178">
        <f t="shared" si="2"/>
        <v>0</v>
      </c>
    </row>
    <row r="38" spans="1:19" x14ac:dyDescent="0.25">
      <c r="A38" s="29" t="s">
        <v>441</v>
      </c>
      <c r="B38" s="2">
        <v>8</v>
      </c>
      <c r="N38" s="178" t="str">
        <f t="shared" si="0"/>
        <v/>
      </c>
      <c r="P38" s="52" t="s">
        <v>196</v>
      </c>
      <c r="Q38" s="178">
        <f t="shared" si="1"/>
        <v>0</v>
      </c>
      <c r="S38" s="178">
        <f t="shared" si="2"/>
        <v>0</v>
      </c>
    </row>
    <row r="39" spans="1:19" x14ac:dyDescent="0.25">
      <c r="A39" s="29" t="s">
        <v>510</v>
      </c>
      <c r="B39" s="2">
        <v>10</v>
      </c>
      <c r="N39" s="178" t="str">
        <f t="shared" si="0"/>
        <v/>
      </c>
      <c r="P39" s="52" t="s">
        <v>802</v>
      </c>
      <c r="Q39" s="178">
        <f t="shared" si="1"/>
        <v>0</v>
      </c>
      <c r="S39" s="178">
        <f t="shared" si="2"/>
        <v>0</v>
      </c>
    </row>
    <row r="40" spans="1:19" x14ac:dyDescent="0.25">
      <c r="A40" s="29" t="s">
        <v>547</v>
      </c>
      <c r="B40" s="2">
        <v>1</v>
      </c>
      <c r="N40" s="178" t="str">
        <f t="shared" si="0"/>
        <v/>
      </c>
      <c r="P40" s="52" t="s">
        <v>802</v>
      </c>
      <c r="Q40" s="178">
        <f t="shared" si="1"/>
        <v>0</v>
      </c>
      <c r="S40" s="178">
        <f t="shared" si="2"/>
        <v>0</v>
      </c>
    </row>
    <row r="41" spans="1:19" x14ac:dyDescent="0.25">
      <c r="A41" s="29" t="s">
        <v>218</v>
      </c>
      <c r="B41" s="2">
        <v>7</v>
      </c>
      <c r="N41" s="178" t="str">
        <f t="shared" si="0"/>
        <v/>
      </c>
      <c r="P41" s="52" t="s">
        <v>802</v>
      </c>
      <c r="Q41" s="178">
        <f t="shared" si="1"/>
        <v>0</v>
      </c>
      <c r="S41" s="178">
        <f t="shared" si="2"/>
        <v>0</v>
      </c>
    </row>
    <row r="42" spans="1:19" x14ac:dyDescent="0.25">
      <c r="A42" s="29" t="s">
        <v>1297</v>
      </c>
      <c r="B42" s="2">
        <v>1</v>
      </c>
      <c r="N42" s="178" t="str">
        <f t="shared" si="0"/>
        <v/>
      </c>
      <c r="P42" s="52" t="s">
        <v>802</v>
      </c>
      <c r="Q42" s="178">
        <f t="shared" si="1"/>
        <v>0</v>
      </c>
      <c r="S42" s="178">
        <f t="shared" si="2"/>
        <v>0</v>
      </c>
    </row>
    <row r="43" spans="1:19" x14ac:dyDescent="0.25">
      <c r="A43" s="29" t="s">
        <v>220</v>
      </c>
      <c r="B43" s="2">
        <v>5</v>
      </c>
      <c r="N43" s="178" t="str">
        <f t="shared" si="0"/>
        <v/>
      </c>
      <c r="P43" s="52" t="s">
        <v>802</v>
      </c>
      <c r="Q43" s="178">
        <f t="shared" si="1"/>
        <v>0</v>
      </c>
      <c r="S43" s="178">
        <f t="shared" si="2"/>
        <v>0</v>
      </c>
    </row>
    <row r="44" spans="1:19" x14ac:dyDescent="0.25">
      <c r="A44" s="29" t="s">
        <v>208</v>
      </c>
      <c r="B44" s="2">
        <v>7</v>
      </c>
      <c r="N44" s="178" t="str">
        <f t="shared" si="0"/>
        <v/>
      </c>
      <c r="P44" s="52" t="s">
        <v>802</v>
      </c>
      <c r="Q44" s="178">
        <f t="shared" si="1"/>
        <v>0</v>
      </c>
      <c r="S44" s="178">
        <f t="shared" si="2"/>
        <v>0</v>
      </c>
    </row>
    <row r="45" spans="1:19" x14ac:dyDescent="0.25">
      <c r="A45" s="29" t="s">
        <v>1158</v>
      </c>
      <c r="B45" s="2">
        <v>1</v>
      </c>
      <c r="N45" s="178" t="str">
        <f t="shared" si="0"/>
        <v/>
      </c>
      <c r="P45" s="52" t="s">
        <v>802</v>
      </c>
      <c r="Q45" s="178">
        <f t="shared" si="1"/>
        <v>0</v>
      </c>
      <c r="S45" s="178">
        <f t="shared" si="2"/>
        <v>0</v>
      </c>
    </row>
    <row r="46" spans="1:19" x14ac:dyDescent="0.25">
      <c r="A46" s="29" t="s">
        <v>1266</v>
      </c>
      <c r="B46" s="2">
        <v>8</v>
      </c>
      <c r="N46" s="178" t="str">
        <f t="shared" si="0"/>
        <v/>
      </c>
      <c r="P46" s="52" t="s">
        <v>802</v>
      </c>
      <c r="Q46" s="178">
        <f t="shared" si="1"/>
        <v>0</v>
      </c>
      <c r="S46" s="178">
        <f t="shared" si="2"/>
        <v>0</v>
      </c>
    </row>
    <row r="47" spans="1:19" x14ac:dyDescent="0.25">
      <c r="A47" s="29" t="s">
        <v>530</v>
      </c>
      <c r="B47" s="2">
        <v>6</v>
      </c>
      <c r="N47" s="178" t="str">
        <f t="shared" si="0"/>
        <v/>
      </c>
      <c r="P47" s="52" t="s">
        <v>802</v>
      </c>
      <c r="Q47" s="178">
        <f t="shared" si="1"/>
        <v>0</v>
      </c>
      <c r="S47" s="178">
        <f t="shared" si="2"/>
        <v>0</v>
      </c>
    </row>
    <row r="48" spans="1:19" x14ac:dyDescent="0.25">
      <c r="A48" s="29" t="s">
        <v>536</v>
      </c>
      <c r="B48" s="2">
        <v>8</v>
      </c>
      <c r="N48" s="178" t="str">
        <f t="shared" si="0"/>
        <v/>
      </c>
      <c r="P48" s="52" t="s">
        <v>378</v>
      </c>
      <c r="Q48" s="178">
        <f t="shared" si="1"/>
        <v>0</v>
      </c>
      <c r="S48" s="178">
        <f t="shared" si="2"/>
        <v>0</v>
      </c>
    </row>
    <row r="49" spans="1:19" x14ac:dyDescent="0.25">
      <c r="A49" s="29" t="s">
        <v>324</v>
      </c>
      <c r="B49" s="2">
        <v>11</v>
      </c>
      <c r="N49" s="178" t="str">
        <f t="shared" si="0"/>
        <v/>
      </c>
      <c r="P49" s="52" t="s">
        <v>378</v>
      </c>
      <c r="Q49" s="178">
        <f t="shared" si="1"/>
        <v>0</v>
      </c>
      <c r="S49" s="178">
        <f t="shared" si="2"/>
        <v>0</v>
      </c>
    </row>
    <row r="50" spans="1:19" x14ac:dyDescent="0.25">
      <c r="A50" s="29" t="s">
        <v>348</v>
      </c>
      <c r="B50" s="2">
        <v>13</v>
      </c>
      <c r="N50" s="178" t="str">
        <f t="shared" si="0"/>
        <v/>
      </c>
      <c r="P50" s="52" t="s">
        <v>378</v>
      </c>
      <c r="Q50" s="178">
        <f t="shared" si="1"/>
        <v>0</v>
      </c>
      <c r="S50" s="178">
        <f t="shared" si="2"/>
        <v>0</v>
      </c>
    </row>
    <row r="51" spans="1:19" x14ac:dyDescent="0.25">
      <c r="A51" s="29" t="s">
        <v>525</v>
      </c>
      <c r="B51" s="2">
        <v>8</v>
      </c>
      <c r="N51" s="178" t="str">
        <f t="shared" si="0"/>
        <v/>
      </c>
      <c r="P51" s="52" t="s">
        <v>378</v>
      </c>
      <c r="Q51" s="178">
        <f t="shared" si="1"/>
        <v>0</v>
      </c>
      <c r="S51" s="178">
        <f t="shared" si="2"/>
        <v>0</v>
      </c>
    </row>
    <row r="52" spans="1:19" x14ac:dyDescent="0.25">
      <c r="A52" s="29" t="s">
        <v>211</v>
      </c>
      <c r="B52" s="2">
        <v>13</v>
      </c>
      <c r="N52" s="178" t="str">
        <f t="shared" si="0"/>
        <v/>
      </c>
      <c r="P52" s="52" t="s">
        <v>378</v>
      </c>
      <c r="Q52" s="178">
        <f t="shared" si="1"/>
        <v>0</v>
      </c>
      <c r="S52" s="178">
        <f t="shared" si="2"/>
        <v>0</v>
      </c>
    </row>
    <row r="53" spans="1:19" x14ac:dyDescent="0.25">
      <c r="A53" s="29" t="s">
        <v>699</v>
      </c>
      <c r="B53" s="2">
        <v>1</v>
      </c>
      <c r="N53" s="178" t="str">
        <f t="shared" si="0"/>
        <v/>
      </c>
      <c r="P53" s="52" t="s">
        <v>378</v>
      </c>
      <c r="Q53" s="178">
        <f t="shared" si="1"/>
        <v>0</v>
      </c>
      <c r="S53" s="178">
        <f t="shared" si="2"/>
        <v>0</v>
      </c>
    </row>
    <row r="54" spans="1:19" x14ac:dyDescent="0.25">
      <c r="A54" s="29" t="s">
        <v>106</v>
      </c>
      <c r="B54" s="2">
        <v>10</v>
      </c>
      <c r="N54" s="178" t="str">
        <f t="shared" si="0"/>
        <v/>
      </c>
      <c r="P54" s="52" t="s">
        <v>378</v>
      </c>
      <c r="Q54" s="178">
        <f t="shared" si="1"/>
        <v>0</v>
      </c>
      <c r="S54" s="178">
        <f t="shared" si="2"/>
        <v>0</v>
      </c>
    </row>
    <row r="55" spans="1:19" x14ac:dyDescent="0.25">
      <c r="A55" s="29" t="s">
        <v>566</v>
      </c>
      <c r="B55" s="2">
        <v>1</v>
      </c>
      <c r="N55" s="178" t="str">
        <f t="shared" si="0"/>
        <v/>
      </c>
      <c r="P55" s="52" t="s">
        <v>378</v>
      </c>
      <c r="Q55" s="178">
        <f t="shared" si="1"/>
        <v>0</v>
      </c>
      <c r="S55" s="178">
        <f t="shared" si="2"/>
        <v>0</v>
      </c>
    </row>
    <row r="56" spans="1:19" x14ac:dyDescent="0.25">
      <c r="A56" s="29" t="s">
        <v>199</v>
      </c>
      <c r="B56" s="2">
        <v>10</v>
      </c>
      <c r="N56" s="178" t="str">
        <f t="shared" si="0"/>
        <v/>
      </c>
      <c r="P56" s="52" t="s">
        <v>378</v>
      </c>
      <c r="Q56" s="178">
        <f t="shared" si="1"/>
        <v>0</v>
      </c>
      <c r="S56" s="178">
        <f t="shared" si="2"/>
        <v>0</v>
      </c>
    </row>
    <row r="57" spans="1:19" x14ac:dyDescent="0.25">
      <c r="A57" s="29" t="s">
        <v>354</v>
      </c>
      <c r="B57" s="2">
        <v>21</v>
      </c>
      <c r="N57" s="178" t="str">
        <f t="shared" si="0"/>
        <v/>
      </c>
      <c r="P57" s="52" t="s">
        <v>378</v>
      </c>
      <c r="Q57" s="178">
        <f t="shared" si="1"/>
        <v>0</v>
      </c>
      <c r="S57" s="178">
        <f t="shared" si="2"/>
        <v>0</v>
      </c>
    </row>
    <row r="58" spans="1:19" x14ac:dyDescent="0.25">
      <c r="A58" s="29" t="s">
        <v>217</v>
      </c>
      <c r="B58" s="2">
        <v>26</v>
      </c>
      <c r="N58" s="178" t="str">
        <f t="shared" si="0"/>
        <v/>
      </c>
      <c r="P58" s="52" t="s">
        <v>378</v>
      </c>
      <c r="Q58" s="178">
        <f t="shared" si="1"/>
        <v>0</v>
      </c>
      <c r="S58" s="178">
        <f t="shared" si="2"/>
        <v>0</v>
      </c>
    </row>
    <row r="59" spans="1:19" x14ac:dyDescent="0.25">
      <c r="A59" s="29" t="s">
        <v>214</v>
      </c>
      <c r="B59" s="2">
        <v>17</v>
      </c>
      <c r="N59" s="178" t="str">
        <f t="shared" si="0"/>
        <v/>
      </c>
      <c r="P59" s="52" t="s">
        <v>378</v>
      </c>
      <c r="Q59" s="178">
        <f t="shared" si="1"/>
        <v>0</v>
      </c>
      <c r="S59" s="178">
        <f t="shared" si="2"/>
        <v>0</v>
      </c>
    </row>
    <row r="60" spans="1:19" x14ac:dyDescent="0.25">
      <c r="A60" s="29" t="s">
        <v>572</v>
      </c>
      <c r="B60" s="2">
        <v>12</v>
      </c>
      <c r="N60" s="178" t="str">
        <f t="shared" si="0"/>
        <v/>
      </c>
      <c r="P60" s="52" t="s">
        <v>378</v>
      </c>
      <c r="Q60" s="178">
        <f t="shared" si="1"/>
        <v>0</v>
      </c>
      <c r="S60" s="178">
        <f t="shared" si="2"/>
        <v>0</v>
      </c>
    </row>
    <row r="61" spans="1:19" x14ac:dyDescent="0.25">
      <c r="A61" s="29" t="s">
        <v>638</v>
      </c>
      <c r="B61" s="2">
        <v>1</v>
      </c>
      <c r="N61" s="178" t="str">
        <f t="shared" si="0"/>
        <v/>
      </c>
      <c r="P61" s="52" t="s">
        <v>378</v>
      </c>
      <c r="Q61" s="178">
        <f t="shared" si="1"/>
        <v>0</v>
      </c>
      <c r="S61" s="178">
        <f t="shared" si="2"/>
        <v>0</v>
      </c>
    </row>
    <row r="62" spans="1:19" x14ac:dyDescent="0.25">
      <c r="A62" s="29" t="s">
        <v>164</v>
      </c>
      <c r="B62" s="2">
        <v>16</v>
      </c>
      <c r="N62" s="178" t="str">
        <f t="shared" si="0"/>
        <v/>
      </c>
      <c r="P62" s="52" t="s">
        <v>378</v>
      </c>
      <c r="Q62" s="178">
        <f t="shared" si="1"/>
        <v>0</v>
      </c>
      <c r="S62" s="178">
        <f t="shared" si="2"/>
        <v>0</v>
      </c>
    </row>
    <row r="63" spans="1:19" x14ac:dyDescent="0.25">
      <c r="A63" s="29" t="s">
        <v>942</v>
      </c>
      <c r="B63" s="2">
        <v>2</v>
      </c>
      <c r="N63" s="178" t="str">
        <f t="shared" si="0"/>
        <v/>
      </c>
      <c r="P63" s="52" t="s">
        <v>378</v>
      </c>
      <c r="Q63" s="178">
        <f t="shared" si="1"/>
        <v>0</v>
      </c>
      <c r="S63" s="178">
        <f t="shared" si="2"/>
        <v>0</v>
      </c>
    </row>
    <row r="64" spans="1:19" x14ac:dyDescent="0.25">
      <c r="A64" s="29" t="s">
        <v>185</v>
      </c>
      <c r="B64" s="2">
        <v>21</v>
      </c>
      <c r="N64" s="178" t="str">
        <f t="shared" si="0"/>
        <v/>
      </c>
      <c r="P64" s="52" t="s">
        <v>378</v>
      </c>
      <c r="Q64" s="178">
        <f t="shared" si="1"/>
        <v>0</v>
      </c>
      <c r="S64" s="178">
        <f t="shared" si="2"/>
        <v>0</v>
      </c>
    </row>
    <row r="65" spans="1:19" x14ac:dyDescent="0.25">
      <c r="A65" s="29" t="s">
        <v>193</v>
      </c>
      <c r="B65" s="2">
        <v>1</v>
      </c>
      <c r="N65" s="178" t="str">
        <f t="shared" si="0"/>
        <v/>
      </c>
      <c r="P65" s="52" t="s">
        <v>378</v>
      </c>
      <c r="Q65" s="178">
        <f t="shared" si="1"/>
        <v>0</v>
      </c>
      <c r="S65" s="178">
        <f t="shared" si="2"/>
        <v>0</v>
      </c>
    </row>
    <row r="66" spans="1:19" x14ac:dyDescent="0.25">
      <c r="A66" s="29" t="s">
        <v>521</v>
      </c>
      <c r="B66" s="2">
        <v>2</v>
      </c>
      <c r="N66" s="178" t="str">
        <f t="shared" ref="N66:N129" si="3">IF(AND(ISNUMBER(VALUE(MID(M66,1,1))), ISNUMBER(VALUE(MID(M66,2,1))), ISNUMBER(VALUE(MID(M66,3,1))), ISNUMBER(VALUE(MID(M66,4,1)))), LEFT(M66,4), "")</f>
        <v/>
      </c>
      <c r="P66" s="52" t="s">
        <v>378</v>
      </c>
      <c r="Q66" s="178">
        <f t="shared" si="1"/>
        <v>0</v>
      </c>
      <c r="S66" s="178">
        <f t="shared" si="2"/>
        <v>0</v>
      </c>
    </row>
    <row r="67" spans="1:19" x14ac:dyDescent="0.25">
      <c r="A67" s="29" t="s">
        <v>169</v>
      </c>
      <c r="B67" s="2">
        <v>19</v>
      </c>
      <c r="N67" s="178" t="str">
        <f t="shared" si="3"/>
        <v/>
      </c>
      <c r="P67" s="52" t="s">
        <v>378</v>
      </c>
      <c r="Q67" s="178">
        <f t="shared" ref="Q67:Q130" si="4">FLOOR(O67,10)</f>
        <v>0</v>
      </c>
      <c r="S67" s="178">
        <f t="shared" ref="S67:S130" si="5">CEILING(O67,10)</f>
        <v>0</v>
      </c>
    </row>
    <row r="68" spans="1:19" x14ac:dyDescent="0.25">
      <c r="A68" s="29" t="s">
        <v>533</v>
      </c>
      <c r="B68" s="2">
        <v>1</v>
      </c>
      <c r="N68" s="178" t="str">
        <f t="shared" si="3"/>
        <v/>
      </c>
      <c r="P68" s="52" t="s">
        <v>378</v>
      </c>
      <c r="Q68" s="178">
        <f t="shared" si="4"/>
        <v>0</v>
      </c>
      <c r="S68" s="178">
        <f t="shared" si="5"/>
        <v>0</v>
      </c>
    </row>
    <row r="69" spans="1:19" x14ac:dyDescent="0.25">
      <c r="A69" s="29" t="s">
        <v>256</v>
      </c>
      <c r="B69" s="2">
        <v>23</v>
      </c>
      <c r="N69" s="178" t="str">
        <f t="shared" si="3"/>
        <v/>
      </c>
      <c r="P69" s="52" t="s">
        <v>378</v>
      </c>
      <c r="Q69" s="178">
        <f t="shared" si="4"/>
        <v>0</v>
      </c>
      <c r="S69" s="178">
        <f t="shared" si="5"/>
        <v>0</v>
      </c>
    </row>
    <row r="70" spans="1:19" x14ac:dyDescent="0.25">
      <c r="A70" s="29" t="s">
        <v>854</v>
      </c>
      <c r="B70" s="2">
        <v>9</v>
      </c>
      <c r="N70" s="178" t="str">
        <f t="shared" si="3"/>
        <v/>
      </c>
      <c r="P70" s="52" t="s">
        <v>378</v>
      </c>
      <c r="Q70" s="178">
        <f t="shared" si="4"/>
        <v>0</v>
      </c>
      <c r="S70" s="178">
        <f t="shared" si="5"/>
        <v>0</v>
      </c>
    </row>
    <row r="71" spans="1:19" x14ac:dyDescent="0.25">
      <c r="A71" s="29" t="s">
        <v>407</v>
      </c>
      <c r="B71" s="2">
        <v>19</v>
      </c>
      <c r="N71" s="178" t="str">
        <f t="shared" si="3"/>
        <v/>
      </c>
      <c r="P71" s="52" t="s">
        <v>378</v>
      </c>
      <c r="Q71" s="178">
        <f t="shared" si="4"/>
        <v>0</v>
      </c>
      <c r="S71" s="178">
        <f t="shared" si="5"/>
        <v>0</v>
      </c>
    </row>
    <row r="72" spans="1:19" x14ac:dyDescent="0.25">
      <c r="A72" s="29" t="s">
        <v>839</v>
      </c>
      <c r="B72" s="2">
        <v>15</v>
      </c>
      <c r="N72" s="178" t="str">
        <f t="shared" si="3"/>
        <v/>
      </c>
      <c r="P72" s="52" t="s">
        <v>378</v>
      </c>
      <c r="Q72" s="178">
        <f t="shared" si="4"/>
        <v>0</v>
      </c>
      <c r="S72" s="178">
        <f t="shared" si="5"/>
        <v>0</v>
      </c>
    </row>
    <row r="73" spans="1:19" x14ac:dyDescent="0.25">
      <c r="A73" s="29" t="s">
        <v>181</v>
      </c>
      <c r="B73" s="2">
        <v>18</v>
      </c>
      <c r="N73" s="178" t="str">
        <f t="shared" si="3"/>
        <v/>
      </c>
      <c r="P73" s="52" t="s">
        <v>378</v>
      </c>
      <c r="Q73" s="178">
        <f t="shared" si="4"/>
        <v>0</v>
      </c>
      <c r="S73" s="178">
        <f t="shared" si="5"/>
        <v>0</v>
      </c>
    </row>
    <row r="74" spans="1:19" x14ac:dyDescent="0.25">
      <c r="A74" s="29" t="s">
        <v>284</v>
      </c>
      <c r="B74" s="2">
        <v>17</v>
      </c>
      <c r="N74" s="178" t="str">
        <f t="shared" si="3"/>
        <v/>
      </c>
      <c r="P74" s="52" t="s">
        <v>378</v>
      </c>
      <c r="Q74" s="178">
        <f t="shared" si="4"/>
        <v>0</v>
      </c>
      <c r="S74" s="178">
        <f t="shared" si="5"/>
        <v>0</v>
      </c>
    </row>
    <row r="75" spans="1:19" x14ac:dyDescent="0.25">
      <c r="A75" s="29" t="s">
        <v>347</v>
      </c>
      <c r="B75" s="2">
        <v>5</v>
      </c>
      <c r="N75" s="178" t="str">
        <f t="shared" si="3"/>
        <v/>
      </c>
      <c r="P75" s="52" t="s">
        <v>378</v>
      </c>
      <c r="Q75" s="178">
        <f t="shared" si="4"/>
        <v>0</v>
      </c>
      <c r="S75" s="178">
        <f t="shared" si="5"/>
        <v>0</v>
      </c>
    </row>
    <row r="76" spans="1:19" x14ac:dyDescent="0.25">
      <c r="A76" s="29" t="s">
        <v>1285</v>
      </c>
      <c r="B76" s="2">
        <v>2</v>
      </c>
      <c r="N76" s="178" t="str">
        <f t="shared" si="3"/>
        <v/>
      </c>
      <c r="P76" s="52" t="s">
        <v>378</v>
      </c>
      <c r="Q76" s="178">
        <f t="shared" si="4"/>
        <v>0</v>
      </c>
      <c r="S76" s="178">
        <f t="shared" si="5"/>
        <v>0</v>
      </c>
    </row>
    <row r="77" spans="1:19" x14ac:dyDescent="0.25">
      <c r="A77" s="29" t="s">
        <v>174</v>
      </c>
      <c r="B77" s="2">
        <v>23</v>
      </c>
      <c r="N77" s="178" t="str">
        <f t="shared" si="3"/>
        <v/>
      </c>
      <c r="P77" s="52" t="s">
        <v>378</v>
      </c>
      <c r="Q77" s="178">
        <f t="shared" si="4"/>
        <v>0</v>
      </c>
      <c r="S77" s="178">
        <f t="shared" si="5"/>
        <v>0</v>
      </c>
    </row>
    <row r="78" spans="1:19" x14ac:dyDescent="0.25">
      <c r="A78" s="29" t="s">
        <v>138</v>
      </c>
      <c r="B78" s="2">
        <v>20</v>
      </c>
      <c r="N78" s="178" t="str">
        <f t="shared" si="3"/>
        <v/>
      </c>
      <c r="P78" s="52" t="s">
        <v>378</v>
      </c>
      <c r="Q78" s="178">
        <f t="shared" si="4"/>
        <v>0</v>
      </c>
      <c r="S78" s="178">
        <f t="shared" si="5"/>
        <v>0</v>
      </c>
    </row>
    <row r="79" spans="1:19" x14ac:dyDescent="0.25">
      <c r="A79" s="29" t="s">
        <v>107</v>
      </c>
      <c r="B79" s="2">
        <v>1</v>
      </c>
      <c r="N79" s="178" t="str">
        <f t="shared" si="3"/>
        <v/>
      </c>
      <c r="P79" s="52" t="s">
        <v>378</v>
      </c>
      <c r="Q79" s="178">
        <f t="shared" si="4"/>
        <v>0</v>
      </c>
      <c r="S79" s="178">
        <f t="shared" si="5"/>
        <v>0</v>
      </c>
    </row>
    <row r="80" spans="1:19" x14ac:dyDescent="0.25">
      <c r="A80" s="29" t="s">
        <v>311</v>
      </c>
      <c r="B80" s="2">
        <v>13</v>
      </c>
      <c r="N80" s="178" t="str">
        <f t="shared" si="3"/>
        <v/>
      </c>
      <c r="P80" s="52" t="s">
        <v>378</v>
      </c>
      <c r="Q80" s="178">
        <f t="shared" si="4"/>
        <v>0</v>
      </c>
      <c r="S80" s="178">
        <f t="shared" si="5"/>
        <v>0</v>
      </c>
    </row>
    <row r="81" spans="1:19" x14ac:dyDescent="0.25">
      <c r="A81" s="29" t="s">
        <v>131</v>
      </c>
      <c r="B81" s="2">
        <v>19</v>
      </c>
      <c r="N81" s="178" t="str">
        <f t="shared" si="3"/>
        <v/>
      </c>
      <c r="P81" s="52" t="s">
        <v>378</v>
      </c>
      <c r="Q81" s="178">
        <f t="shared" si="4"/>
        <v>0</v>
      </c>
      <c r="S81" s="178">
        <f t="shared" si="5"/>
        <v>0</v>
      </c>
    </row>
    <row r="82" spans="1:19" x14ac:dyDescent="0.25">
      <c r="A82" s="29" t="s">
        <v>573</v>
      </c>
      <c r="B82" s="2">
        <v>1</v>
      </c>
      <c r="N82" s="178" t="str">
        <f t="shared" si="3"/>
        <v/>
      </c>
      <c r="P82" s="52" t="s">
        <v>378</v>
      </c>
      <c r="Q82" s="178">
        <f t="shared" si="4"/>
        <v>0</v>
      </c>
      <c r="S82" s="178">
        <f t="shared" si="5"/>
        <v>0</v>
      </c>
    </row>
    <row r="83" spans="1:19" x14ac:dyDescent="0.25">
      <c r="A83" s="29" t="s">
        <v>122</v>
      </c>
      <c r="B83" s="2">
        <v>25</v>
      </c>
      <c r="N83" s="178" t="str">
        <f t="shared" si="3"/>
        <v/>
      </c>
      <c r="P83" s="52" t="s">
        <v>378</v>
      </c>
      <c r="Q83" s="178">
        <f t="shared" si="4"/>
        <v>0</v>
      </c>
      <c r="S83" s="178">
        <f t="shared" si="5"/>
        <v>0</v>
      </c>
    </row>
    <row r="84" spans="1:19" x14ac:dyDescent="0.25">
      <c r="A84" s="29" t="s">
        <v>176</v>
      </c>
      <c r="B84" s="2">
        <v>2</v>
      </c>
      <c r="N84" s="178" t="str">
        <f t="shared" si="3"/>
        <v/>
      </c>
      <c r="P84" s="52" t="s">
        <v>378</v>
      </c>
      <c r="Q84" s="178">
        <f t="shared" si="4"/>
        <v>0</v>
      </c>
      <c r="S84" s="178">
        <f t="shared" si="5"/>
        <v>0</v>
      </c>
    </row>
    <row r="85" spans="1:19" x14ac:dyDescent="0.25">
      <c r="A85" s="29" t="s">
        <v>1216</v>
      </c>
      <c r="B85" s="2">
        <v>1</v>
      </c>
      <c r="N85" s="178" t="str">
        <f t="shared" si="3"/>
        <v/>
      </c>
      <c r="P85" s="52" t="s">
        <v>378</v>
      </c>
      <c r="Q85" s="178">
        <f t="shared" si="4"/>
        <v>0</v>
      </c>
      <c r="S85" s="178">
        <f t="shared" si="5"/>
        <v>0</v>
      </c>
    </row>
    <row r="86" spans="1:19" x14ac:dyDescent="0.25">
      <c r="A86" s="29" t="s">
        <v>159</v>
      </c>
      <c r="B86" s="2">
        <v>21</v>
      </c>
      <c r="N86" s="178" t="str">
        <f t="shared" si="3"/>
        <v/>
      </c>
      <c r="P86" s="52" t="s">
        <v>588</v>
      </c>
      <c r="Q86" s="178">
        <f t="shared" si="4"/>
        <v>0</v>
      </c>
      <c r="S86" s="178">
        <f t="shared" si="5"/>
        <v>0</v>
      </c>
    </row>
    <row r="87" spans="1:19" x14ac:dyDescent="0.25">
      <c r="A87" s="29" t="s">
        <v>188</v>
      </c>
      <c r="B87" s="2">
        <v>3</v>
      </c>
      <c r="N87" s="178" t="str">
        <f t="shared" si="3"/>
        <v/>
      </c>
      <c r="P87" s="52" t="s">
        <v>588</v>
      </c>
      <c r="Q87" s="178">
        <f t="shared" si="4"/>
        <v>0</v>
      </c>
      <c r="S87" s="178">
        <f t="shared" si="5"/>
        <v>0</v>
      </c>
    </row>
    <row r="88" spans="1:19" x14ac:dyDescent="0.25">
      <c r="A88" s="29" t="s">
        <v>118</v>
      </c>
      <c r="B88" s="2">
        <v>1</v>
      </c>
      <c r="N88" s="178" t="str">
        <f t="shared" si="3"/>
        <v/>
      </c>
      <c r="P88" s="52" t="s">
        <v>588</v>
      </c>
      <c r="Q88" s="178">
        <f t="shared" si="4"/>
        <v>0</v>
      </c>
      <c r="S88" s="178">
        <f t="shared" si="5"/>
        <v>0</v>
      </c>
    </row>
    <row r="89" spans="1:19" x14ac:dyDescent="0.25">
      <c r="A89" s="29" t="s">
        <v>1252</v>
      </c>
      <c r="B89" s="2">
        <v>1</v>
      </c>
      <c r="N89" s="178" t="str">
        <f t="shared" si="3"/>
        <v/>
      </c>
      <c r="P89" s="52" t="s">
        <v>588</v>
      </c>
      <c r="Q89" s="178">
        <f t="shared" si="4"/>
        <v>0</v>
      </c>
      <c r="S89" s="178">
        <f t="shared" si="5"/>
        <v>0</v>
      </c>
    </row>
    <row r="90" spans="1:19" x14ac:dyDescent="0.25">
      <c r="A90" s="29" t="s">
        <v>128</v>
      </c>
      <c r="B90" s="2">
        <v>38</v>
      </c>
      <c r="N90" s="178" t="str">
        <f t="shared" si="3"/>
        <v/>
      </c>
      <c r="P90" s="52" t="s">
        <v>588</v>
      </c>
      <c r="Q90" s="178">
        <f t="shared" si="4"/>
        <v>0</v>
      </c>
      <c r="S90" s="178">
        <f t="shared" si="5"/>
        <v>0</v>
      </c>
    </row>
    <row r="91" spans="1:19" x14ac:dyDescent="0.25">
      <c r="A91" s="29" t="s">
        <v>1246</v>
      </c>
      <c r="B91" s="2">
        <v>2</v>
      </c>
      <c r="N91" s="178" t="str">
        <f t="shared" si="3"/>
        <v/>
      </c>
      <c r="P91" s="52" t="s">
        <v>588</v>
      </c>
      <c r="Q91" s="178">
        <f t="shared" si="4"/>
        <v>0</v>
      </c>
      <c r="S91" s="178">
        <f t="shared" si="5"/>
        <v>0</v>
      </c>
    </row>
    <row r="92" spans="1:19" x14ac:dyDescent="0.25">
      <c r="A92" s="29" t="s">
        <v>129</v>
      </c>
      <c r="B92" s="2">
        <v>37</v>
      </c>
      <c r="N92" s="178" t="str">
        <f t="shared" si="3"/>
        <v/>
      </c>
      <c r="P92" s="52" t="s">
        <v>588</v>
      </c>
      <c r="Q92" s="178">
        <f t="shared" si="4"/>
        <v>0</v>
      </c>
      <c r="S92" s="178">
        <f t="shared" si="5"/>
        <v>0</v>
      </c>
    </row>
    <row r="93" spans="1:19" x14ac:dyDescent="0.25">
      <c r="A93" s="29" t="s">
        <v>248</v>
      </c>
      <c r="B93" s="2">
        <v>1</v>
      </c>
      <c r="N93" s="178" t="str">
        <f t="shared" si="3"/>
        <v/>
      </c>
      <c r="P93" s="52" t="s">
        <v>588</v>
      </c>
      <c r="Q93" s="178">
        <f t="shared" si="4"/>
        <v>0</v>
      </c>
      <c r="S93" s="178">
        <f t="shared" si="5"/>
        <v>0</v>
      </c>
    </row>
    <row r="94" spans="1:19" x14ac:dyDescent="0.25">
      <c r="A94" s="29" t="s">
        <v>116</v>
      </c>
      <c r="B94" s="2">
        <v>69</v>
      </c>
      <c r="N94" s="178" t="str">
        <f t="shared" si="3"/>
        <v/>
      </c>
      <c r="P94" s="52" t="s">
        <v>588</v>
      </c>
      <c r="Q94" s="178">
        <f t="shared" si="4"/>
        <v>0</v>
      </c>
      <c r="S94" s="178">
        <f t="shared" si="5"/>
        <v>0</v>
      </c>
    </row>
    <row r="95" spans="1:19" x14ac:dyDescent="0.25">
      <c r="A95" s="29" t="s">
        <v>100</v>
      </c>
      <c r="B95" s="2">
        <v>41</v>
      </c>
      <c r="N95" s="178" t="str">
        <f t="shared" si="3"/>
        <v/>
      </c>
      <c r="P95" s="52" t="s">
        <v>557</v>
      </c>
      <c r="Q95" s="178">
        <f t="shared" si="4"/>
        <v>0</v>
      </c>
      <c r="S95" s="178">
        <f t="shared" si="5"/>
        <v>0</v>
      </c>
    </row>
    <row r="96" spans="1:19" x14ac:dyDescent="0.25">
      <c r="A96" s="29" t="s">
        <v>870</v>
      </c>
      <c r="B96" s="2">
        <v>1</v>
      </c>
      <c r="N96" s="178" t="str">
        <f t="shared" si="3"/>
        <v/>
      </c>
      <c r="P96" s="52" t="s">
        <v>557</v>
      </c>
      <c r="Q96" s="178">
        <f t="shared" si="4"/>
        <v>0</v>
      </c>
      <c r="S96" s="178">
        <f t="shared" si="5"/>
        <v>0</v>
      </c>
    </row>
    <row r="97" spans="1:19" x14ac:dyDescent="0.25">
      <c r="A97" s="29" t="s">
        <v>114</v>
      </c>
      <c r="B97" s="2">
        <v>24</v>
      </c>
      <c r="N97" s="178" t="str">
        <f t="shared" si="3"/>
        <v/>
      </c>
      <c r="P97" s="52" t="s">
        <v>557</v>
      </c>
      <c r="Q97" s="178">
        <f t="shared" si="4"/>
        <v>0</v>
      </c>
      <c r="S97" s="178">
        <f t="shared" si="5"/>
        <v>0</v>
      </c>
    </row>
    <row r="98" spans="1:19" x14ac:dyDescent="0.25">
      <c r="A98" s="29" t="s">
        <v>110</v>
      </c>
      <c r="B98" s="2">
        <v>14</v>
      </c>
      <c r="N98" s="178" t="str">
        <f t="shared" si="3"/>
        <v/>
      </c>
      <c r="P98" s="52" t="s">
        <v>557</v>
      </c>
      <c r="Q98" s="178">
        <f t="shared" si="4"/>
        <v>0</v>
      </c>
      <c r="S98" s="178">
        <f t="shared" si="5"/>
        <v>0</v>
      </c>
    </row>
    <row r="99" spans="1:19" x14ac:dyDescent="0.25">
      <c r="A99" s="29" t="s">
        <v>115</v>
      </c>
      <c r="B99" s="2">
        <v>23</v>
      </c>
      <c r="N99" s="178" t="str">
        <f t="shared" si="3"/>
        <v/>
      </c>
      <c r="P99" s="52" t="s">
        <v>557</v>
      </c>
      <c r="Q99" s="178">
        <f t="shared" si="4"/>
        <v>0</v>
      </c>
      <c r="S99" s="178">
        <f t="shared" si="5"/>
        <v>0</v>
      </c>
    </row>
    <row r="100" spans="1:19" x14ac:dyDescent="0.25">
      <c r="A100" s="29" t="s">
        <v>253</v>
      </c>
      <c r="B100" s="2">
        <v>22</v>
      </c>
      <c r="N100" s="178" t="str">
        <f t="shared" si="3"/>
        <v/>
      </c>
      <c r="P100" s="52" t="s">
        <v>557</v>
      </c>
      <c r="Q100" s="178">
        <f t="shared" si="4"/>
        <v>0</v>
      </c>
      <c r="S100" s="178">
        <f t="shared" si="5"/>
        <v>0</v>
      </c>
    </row>
    <row r="101" spans="1:19" x14ac:dyDescent="0.25">
      <c r="A101" s="29" t="s">
        <v>682</v>
      </c>
      <c r="B101" s="2">
        <v>1</v>
      </c>
      <c r="N101" s="178" t="str">
        <f t="shared" si="3"/>
        <v/>
      </c>
      <c r="P101" s="52" t="s">
        <v>557</v>
      </c>
      <c r="Q101" s="178">
        <f t="shared" si="4"/>
        <v>0</v>
      </c>
      <c r="S101" s="178">
        <f t="shared" si="5"/>
        <v>0</v>
      </c>
    </row>
    <row r="102" spans="1:19" x14ac:dyDescent="0.25">
      <c r="A102" s="29" t="s">
        <v>150</v>
      </c>
      <c r="B102" s="2">
        <v>22</v>
      </c>
      <c r="N102" s="178" t="str">
        <f t="shared" si="3"/>
        <v/>
      </c>
      <c r="P102" s="52" t="s">
        <v>557</v>
      </c>
      <c r="Q102" s="178">
        <f t="shared" si="4"/>
        <v>0</v>
      </c>
      <c r="S102" s="178">
        <f t="shared" si="5"/>
        <v>0</v>
      </c>
    </row>
    <row r="103" spans="1:19" x14ac:dyDescent="0.25">
      <c r="A103" s="29" t="s">
        <v>1302</v>
      </c>
      <c r="B103" s="2">
        <v>1</v>
      </c>
      <c r="N103" s="178" t="str">
        <f t="shared" si="3"/>
        <v/>
      </c>
      <c r="P103" s="52" t="s">
        <v>557</v>
      </c>
      <c r="Q103" s="178">
        <f t="shared" si="4"/>
        <v>0</v>
      </c>
      <c r="S103" s="178">
        <f t="shared" si="5"/>
        <v>0</v>
      </c>
    </row>
    <row r="104" spans="1:19" x14ac:dyDescent="0.25">
      <c r="A104" s="29" t="s">
        <v>132</v>
      </c>
      <c r="B104" s="2">
        <v>42</v>
      </c>
      <c r="N104" s="178" t="str">
        <f t="shared" si="3"/>
        <v/>
      </c>
      <c r="P104" s="52" t="s">
        <v>557</v>
      </c>
      <c r="Q104" s="178">
        <f t="shared" si="4"/>
        <v>0</v>
      </c>
      <c r="S104" s="178">
        <f t="shared" si="5"/>
        <v>0</v>
      </c>
    </row>
    <row r="105" spans="1:19" x14ac:dyDescent="0.25">
      <c r="A105" s="29" t="s">
        <v>578</v>
      </c>
      <c r="B105" s="2">
        <v>14</v>
      </c>
      <c r="N105" s="178" t="str">
        <f t="shared" si="3"/>
        <v/>
      </c>
      <c r="P105" s="52" t="s">
        <v>557</v>
      </c>
      <c r="Q105" s="178">
        <f t="shared" si="4"/>
        <v>0</v>
      </c>
      <c r="S105" s="178">
        <f t="shared" si="5"/>
        <v>0</v>
      </c>
    </row>
    <row r="106" spans="1:19" x14ac:dyDescent="0.25">
      <c r="A106" s="29" t="s">
        <v>112</v>
      </c>
      <c r="B106" s="2">
        <v>15</v>
      </c>
      <c r="N106" s="178" t="str">
        <f t="shared" si="3"/>
        <v/>
      </c>
      <c r="P106" s="52" t="s">
        <v>557</v>
      </c>
      <c r="Q106" s="178">
        <f t="shared" si="4"/>
        <v>0</v>
      </c>
      <c r="S106" s="178">
        <f t="shared" si="5"/>
        <v>0</v>
      </c>
    </row>
    <row r="107" spans="1:19" x14ac:dyDescent="0.25">
      <c r="A107" s="29" t="s">
        <v>319</v>
      </c>
      <c r="B107" s="2">
        <v>47</v>
      </c>
      <c r="N107" s="178" t="str">
        <f t="shared" si="3"/>
        <v/>
      </c>
      <c r="P107" s="52" t="s">
        <v>557</v>
      </c>
      <c r="Q107" s="178">
        <f t="shared" si="4"/>
        <v>0</v>
      </c>
      <c r="S107" s="178">
        <f t="shared" si="5"/>
        <v>0</v>
      </c>
    </row>
    <row r="108" spans="1:19" x14ac:dyDescent="0.25">
      <c r="A108" s="29" t="s">
        <v>581</v>
      </c>
      <c r="B108" s="2">
        <v>6</v>
      </c>
      <c r="N108" s="178" t="str">
        <f t="shared" si="3"/>
        <v/>
      </c>
      <c r="P108" s="52" t="s">
        <v>597</v>
      </c>
      <c r="Q108" s="178">
        <f t="shared" si="4"/>
        <v>0</v>
      </c>
      <c r="S108" s="178">
        <f t="shared" si="5"/>
        <v>0</v>
      </c>
    </row>
    <row r="109" spans="1:19" x14ac:dyDescent="0.25">
      <c r="A109" s="29" t="s">
        <v>135</v>
      </c>
      <c r="B109" s="2">
        <v>12</v>
      </c>
      <c r="N109" s="178" t="str">
        <f t="shared" si="3"/>
        <v/>
      </c>
      <c r="P109" s="52" t="s">
        <v>597</v>
      </c>
      <c r="Q109" s="178">
        <f t="shared" si="4"/>
        <v>0</v>
      </c>
      <c r="S109" s="178">
        <f t="shared" si="5"/>
        <v>0</v>
      </c>
    </row>
    <row r="110" spans="1:19" x14ac:dyDescent="0.25">
      <c r="A110" s="29" t="s">
        <v>205</v>
      </c>
      <c r="B110" s="2">
        <v>19</v>
      </c>
      <c r="N110" s="178" t="str">
        <f t="shared" si="3"/>
        <v/>
      </c>
      <c r="P110" s="52" t="s">
        <v>597</v>
      </c>
      <c r="Q110" s="178">
        <f t="shared" si="4"/>
        <v>0</v>
      </c>
      <c r="S110" s="178">
        <f t="shared" si="5"/>
        <v>0</v>
      </c>
    </row>
    <row r="111" spans="1:19" x14ac:dyDescent="0.25">
      <c r="A111" s="29" t="s">
        <v>96</v>
      </c>
      <c r="B111" s="2">
        <v>12</v>
      </c>
      <c r="N111" s="178" t="str">
        <f t="shared" si="3"/>
        <v/>
      </c>
      <c r="P111" s="52" t="s">
        <v>597</v>
      </c>
      <c r="Q111" s="178">
        <f t="shared" si="4"/>
        <v>0</v>
      </c>
      <c r="S111" s="178">
        <f t="shared" si="5"/>
        <v>0</v>
      </c>
    </row>
    <row r="112" spans="1:19" x14ac:dyDescent="0.25">
      <c r="A112" s="29" t="s">
        <v>1267</v>
      </c>
      <c r="B112" s="2">
        <v>2</v>
      </c>
      <c r="N112" s="178" t="str">
        <f t="shared" si="3"/>
        <v/>
      </c>
      <c r="P112" s="52" t="s">
        <v>597</v>
      </c>
      <c r="Q112" s="178">
        <f t="shared" si="4"/>
        <v>0</v>
      </c>
      <c r="S112" s="178">
        <f t="shared" si="5"/>
        <v>0</v>
      </c>
    </row>
    <row r="113" spans="1:19" x14ac:dyDescent="0.25">
      <c r="A113" s="29" t="s">
        <v>450</v>
      </c>
      <c r="B113" s="2">
        <v>13</v>
      </c>
      <c r="N113" s="178" t="str">
        <f t="shared" si="3"/>
        <v/>
      </c>
      <c r="P113" s="52" t="s">
        <v>597</v>
      </c>
      <c r="Q113" s="178">
        <f t="shared" si="4"/>
        <v>0</v>
      </c>
      <c r="S113" s="178">
        <f t="shared" si="5"/>
        <v>0</v>
      </c>
    </row>
    <row r="114" spans="1:19" x14ac:dyDescent="0.25">
      <c r="A114" s="29" t="s">
        <v>235</v>
      </c>
      <c r="B114" s="2">
        <v>17</v>
      </c>
      <c r="N114" s="178" t="str">
        <f t="shared" si="3"/>
        <v/>
      </c>
      <c r="P114" s="52" t="s">
        <v>597</v>
      </c>
      <c r="Q114" s="178">
        <f t="shared" si="4"/>
        <v>0</v>
      </c>
      <c r="S114" s="178">
        <f t="shared" si="5"/>
        <v>0</v>
      </c>
    </row>
    <row r="115" spans="1:19" x14ac:dyDescent="0.25">
      <c r="A115" s="29" t="s">
        <v>1231</v>
      </c>
      <c r="B115" s="2">
        <v>1</v>
      </c>
      <c r="N115" s="178" t="str">
        <f t="shared" si="3"/>
        <v/>
      </c>
      <c r="P115" s="52" t="s">
        <v>597</v>
      </c>
      <c r="Q115" s="178">
        <f t="shared" si="4"/>
        <v>0</v>
      </c>
      <c r="S115" s="178">
        <f t="shared" si="5"/>
        <v>0</v>
      </c>
    </row>
    <row r="116" spans="1:19" x14ac:dyDescent="0.25">
      <c r="A116" s="29" t="s">
        <v>238</v>
      </c>
      <c r="B116" s="2">
        <v>6</v>
      </c>
      <c r="N116" s="178" t="str">
        <f t="shared" si="3"/>
        <v/>
      </c>
      <c r="P116" s="52" t="s">
        <v>597</v>
      </c>
      <c r="Q116" s="178">
        <f t="shared" si="4"/>
        <v>0</v>
      </c>
      <c r="S116" s="178">
        <f t="shared" si="5"/>
        <v>0</v>
      </c>
    </row>
    <row r="117" spans="1:19" x14ac:dyDescent="0.25">
      <c r="A117" s="29" t="s">
        <v>329</v>
      </c>
      <c r="B117" s="2">
        <v>6</v>
      </c>
      <c r="N117" s="178" t="str">
        <f t="shared" si="3"/>
        <v/>
      </c>
      <c r="P117" s="52" t="s">
        <v>597</v>
      </c>
      <c r="Q117" s="178">
        <f t="shared" si="4"/>
        <v>0</v>
      </c>
      <c r="S117" s="178">
        <f t="shared" si="5"/>
        <v>0</v>
      </c>
    </row>
    <row r="118" spans="1:19" x14ac:dyDescent="0.25">
      <c r="A118" s="29" t="s">
        <v>264</v>
      </c>
      <c r="B118" s="2">
        <v>6</v>
      </c>
      <c r="N118" s="178" t="str">
        <f t="shared" si="3"/>
        <v/>
      </c>
      <c r="P118" s="52" t="s">
        <v>597</v>
      </c>
      <c r="Q118" s="178">
        <f t="shared" si="4"/>
        <v>0</v>
      </c>
      <c r="S118" s="178">
        <f t="shared" si="5"/>
        <v>0</v>
      </c>
    </row>
    <row r="119" spans="1:19" x14ac:dyDescent="0.25">
      <c r="A119" s="29" t="s">
        <v>433</v>
      </c>
      <c r="B119" s="2">
        <v>6</v>
      </c>
      <c r="N119" s="178" t="str">
        <f t="shared" si="3"/>
        <v/>
      </c>
      <c r="P119" s="52" t="s">
        <v>597</v>
      </c>
      <c r="Q119" s="178">
        <f t="shared" si="4"/>
        <v>0</v>
      </c>
      <c r="S119" s="178">
        <f t="shared" si="5"/>
        <v>0</v>
      </c>
    </row>
    <row r="120" spans="1:19" x14ac:dyDescent="0.25">
      <c r="A120" s="29" t="s">
        <v>272</v>
      </c>
      <c r="B120" s="2">
        <v>3</v>
      </c>
      <c r="N120" s="178" t="str">
        <f t="shared" si="3"/>
        <v/>
      </c>
      <c r="P120" s="52" t="s">
        <v>597</v>
      </c>
      <c r="Q120" s="178">
        <f t="shared" si="4"/>
        <v>0</v>
      </c>
      <c r="S120" s="178">
        <f t="shared" si="5"/>
        <v>0</v>
      </c>
    </row>
    <row r="121" spans="1:19" x14ac:dyDescent="0.25">
      <c r="A121" s="29" t="s">
        <v>598</v>
      </c>
      <c r="B121" s="2">
        <v>9</v>
      </c>
      <c r="N121" s="178" t="str">
        <f t="shared" si="3"/>
        <v/>
      </c>
      <c r="P121" s="52" t="s">
        <v>597</v>
      </c>
      <c r="Q121" s="178">
        <f t="shared" si="4"/>
        <v>0</v>
      </c>
      <c r="S121" s="178">
        <f t="shared" si="5"/>
        <v>0</v>
      </c>
    </row>
    <row r="122" spans="1:19" x14ac:dyDescent="0.25">
      <c r="A122" s="29" t="s">
        <v>646</v>
      </c>
      <c r="B122" s="2">
        <v>5</v>
      </c>
      <c r="N122" s="178" t="str">
        <f t="shared" si="3"/>
        <v/>
      </c>
      <c r="P122" s="52" t="s">
        <v>597</v>
      </c>
      <c r="Q122" s="178">
        <f t="shared" si="4"/>
        <v>0</v>
      </c>
      <c r="S122" s="178">
        <f t="shared" si="5"/>
        <v>0</v>
      </c>
    </row>
    <row r="123" spans="1:19" x14ac:dyDescent="0.25">
      <c r="A123" s="29" t="s">
        <v>1220</v>
      </c>
      <c r="B123" s="2">
        <v>1</v>
      </c>
      <c r="N123" s="178" t="str">
        <f t="shared" si="3"/>
        <v/>
      </c>
      <c r="P123" s="52" t="s">
        <v>597</v>
      </c>
      <c r="Q123" s="178">
        <f t="shared" si="4"/>
        <v>0</v>
      </c>
      <c r="S123" s="178">
        <f t="shared" si="5"/>
        <v>0</v>
      </c>
    </row>
    <row r="124" spans="1:19" x14ac:dyDescent="0.25">
      <c r="A124" s="29" t="s">
        <v>727</v>
      </c>
      <c r="B124" s="2">
        <v>7</v>
      </c>
      <c r="N124" s="178" t="str">
        <f t="shared" si="3"/>
        <v/>
      </c>
      <c r="P124" s="52" t="s">
        <v>597</v>
      </c>
      <c r="Q124" s="178">
        <f t="shared" si="4"/>
        <v>0</v>
      </c>
      <c r="S124" s="178">
        <f t="shared" si="5"/>
        <v>0</v>
      </c>
    </row>
    <row r="125" spans="1:19" x14ac:dyDescent="0.25">
      <c r="A125" s="29" t="s">
        <v>490</v>
      </c>
      <c r="B125" s="2">
        <v>4</v>
      </c>
      <c r="N125" s="178" t="str">
        <f t="shared" si="3"/>
        <v/>
      </c>
      <c r="P125" s="52" t="s">
        <v>591</v>
      </c>
      <c r="Q125" s="178">
        <f t="shared" si="4"/>
        <v>0</v>
      </c>
      <c r="S125" s="178">
        <f t="shared" si="5"/>
        <v>0</v>
      </c>
    </row>
    <row r="126" spans="1:19" x14ac:dyDescent="0.25">
      <c r="A126" s="29" t="s">
        <v>690</v>
      </c>
      <c r="B126" s="2">
        <v>3</v>
      </c>
      <c r="N126" s="178" t="str">
        <f t="shared" si="3"/>
        <v/>
      </c>
      <c r="P126" s="52" t="s">
        <v>591</v>
      </c>
      <c r="Q126" s="178">
        <f t="shared" si="4"/>
        <v>0</v>
      </c>
      <c r="S126" s="178">
        <f t="shared" si="5"/>
        <v>0</v>
      </c>
    </row>
    <row r="127" spans="1:19" x14ac:dyDescent="0.25">
      <c r="A127" s="29" t="s">
        <v>807</v>
      </c>
      <c r="B127" s="2">
        <v>1</v>
      </c>
      <c r="N127" s="178" t="str">
        <f t="shared" si="3"/>
        <v/>
      </c>
      <c r="P127" s="52" t="s">
        <v>591</v>
      </c>
      <c r="Q127" s="178">
        <f t="shared" si="4"/>
        <v>0</v>
      </c>
      <c r="S127" s="178">
        <f t="shared" si="5"/>
        <v>0</v>
      </c>
    </row>
    <row r="128" spans="1:19" x14ac:dyDescent="0.25">
      <c r="A128" s="29" t="s">
        <v>1029</v>
      </c>
      <c r="B128" s="2">
        <v>3</v>
      </c>
      <c r="N128" s="178" t="str">
        <f t="shared" si="3"/>
        <v/>
      </c>
      <c r="P128" s="52" t="s">
        <v>591</v>
      </c>
      <c r="Q128" s="178">
        <f t="shared" si="4"/>
        <v>0</v>
      </c>
      <c r="S128" s="178">
        <f t="shared" si="5"/>
        <v>0</v>
      </c>
    </row>
    <row r="129" spans="1:19" x14ac:dyDescent="0.25">
      <c r="A129" s="29" t="s">
        <v>966</v>
      </c>
      <c r="B129" s="2">
        <v>0</v>
      </c>
      <c r="N129" s="178" t="str">
        <f t="shared" si="3"/>
        <v/>
      </c>
      <c r="P129" s="52" t="s">
        <v>591</v>
      </c>
      <c r="Q129" s="178">
        <f t="shared" si="4"/>
        <v>0</v>
      </c>
      <c r="S129" s="178">
        <f t="shared" si="5"/>
        <v>0</v>
      </c>
    </row>
    <row r="130" spans="1:19" x14ac:dyDescent="0.25">
      <c r="A130"/>
      <c r="B130"/>
      <c r="N130" s="178" t="str">
        <f t="shared" ref="N130:N193" si="6">IF(AND(ISNUMBER(VALUE(MID(M130,1,1))), ISNUMBER(VALUE(MID(M130,2,1))), ISNUMBER(VALUE(MID(M130,3,1))), ISNUMBER(VALUE(MID(M130,4,1)))), LEFT(M130,4), "")</f>
        <v/>
      </c>
      <c r="P130" s="52" t="s">
        <v>591</v>
      </c>
      <c r="Q130" s="178">
        <f t="shared" si="4"/>
        <v>0</v>
      </c>
      <c r="S130" s="178">
        <f t="shared" si="5"/>
        <v>0</v>
      </c>
    </row>
    <row r="131" spans="1:19" x14ac:dyDescent="0.25">
      <c r="N131" s="178" t="str">
        <f t="shared" si="6"/>
        <v/>
      </c>
      <c r="P131" s="52" t="s">
        <v>591</v>
      </c>
      <c r="Q131" s="178">
        <f t="shared" ref="Q131:Q194" si="7">FLOOR(O131,10)</f>
        <v>0</v>
      </c>
      <c r="S131" s="178">
        <f t="shared" ref="S131:S194" si="8">CEILING(O131,10)</f>
        <v>0</v>
      </c>
    </row>
    <row r="132" spans="1:19" x14ac:dyDescent="0.25">
      <c r="N132" s="178" t="str">
        <f t="shared" si="6"/>
        <v/>
      </c>
      <c r="P132" s="52" t="s">
        <v>591</v>
      </c>
      <c r="Q132" s="178">
        <f t="shared" si="7"/>
        <v>0</v>
      </c>
      <c r="S132" s="178">
        <f t="shared" si="8"/>
        <v>0</v>
      </c>
    </row>
    <row r="133" spans="1:19" x14ac:dyDescent="0.25">
      <c r="N133" s="178" t="str">
        <f t="shared" si="6"/>
        <v/>
      </c>
      <c r="P133" s="52" t="s">
        <v>591</v>
      </c>
      <c r="Q133" s="178">
        <f t="shared" si="7"/>
        <v>0</v>
      </c>
      <c r="S133" s="178">
        <f t="shared" si="8"/>
        <v>0</v>
      </c>
    </row>
    <row r="134" spans="1:19" x14ac:dyDescent="0.25">
      <c r="N134" s="178" t="str">
        <f t="shared" si="6"/>
        <v/>
      </c>
      <c r="P134" s="52" t="s">
        <v>591</v>
      </c>
      <c r="Q134" s="178">
        <f t="shared" si="7"/>
        <v>0</v>
      </c>
      <c r="S134" s="178">
        <f t="shared" si="8"/>
        <v>0</v>
      </c>
    </row>
    <row r="135" spans="1:19" x14ac:dyDescent="0.25">
      <c r="N135" s="178" t="str">
        <f t="shared" si="6"/>
        <v/>
      </c>
      <c r="P135" s="52" t="s">
        <v>591</v>
      </c>
      <c r="Q135" s="178">
        <f t="shared" si="7"/>
        <v>0</v>
      </c>
      <c r="S135" s="178">
        <f t="shared" si="8"/>
        <v>0</v>
      </c>
    </row>
    <row r="136" spans="1:19" x14ac:dyDescent="0.25">
      <c r="N136" s="178" t="str">
        <f t="shared" si="6"/>
        <v/>
      </c>
      <c r="P136" s="52" t="s">
        <v>591</v>
      </c>
      <c r="Q136" s="178">
        <f t="shared" si="7"/>
        <v>0</v>
      </c>
      <c r="S136" s="178">
        <f t="shared" si="8"/>
        <v>0</v>
      </c>
    </row>
    <row r="137" spans="1:19" x14ac:dyDescent="0.25">
      <c r="N137" s="178" t="str">
        <f t="shared" si="6"/>
        <v/>
      </c>
      <c r="P137" s="52" t="s">
        <v>591</v>
      </c>
      <c r="Q137" s="178">
        <f t="shared" si="7"/>
        <v>0</v>
      </c>
      <c r="S137" s="178">
        <f t="shared" si="8"/>
        <v>0</v>
      </c>
    </row>
    <row r="138" spans="1:19" x14ac:dyDescent="0.25">
      <c r="N138" s="178" t="str">
        <f t="shared" si="6"/>
        <v/>
      </c>
      <c r="P138" s="52" t="s">
        <v>591</v>
      </c>
      <c r="Q138" s="178">
        <f t="shared" si="7"/>
        <v>0</v>
      </c>
      <c r="S138" s="178">
        <f t="shared" si="8"/>
        <v>0</v>
      </c>
    </row>
    <row r="139" spans="1:19" x14ac:dyDescent="0.25">
      <c r="N139" s="178" t="str">
        <f t="shared" si="6"/>
        <v/>
      </c>
      <c r="P139" s="52" t="s">
        <v>591</v>
      </c>
      <c r="Q139" s="178">
        <f t="shared" si="7"/>
        <v>0</v>
      </c>
      <c r="S139" s="178">
        <f t="shared" si="8"/>
        <v>0</v>
      </c>
    </row>
    <row r="140" spans="1:19" x14ac:dyDescent="0.25">
      <c r="N140" s="178" t="str">
        <f t="shared" si="6"/>
        <v/>
      </c>
      <c r="P140" s="52" t="s">
        <v>441</v>
      </c>
      <c r="Q140" s="178">
        <f t="shared" si="7"/>
        <v>0</v>
      </c>
      <c r="S140" s="178">
        <f t="shared" si="8"/>
        <v>0</v>
      </c>
    </row>
    <row r="141" spans="1:19" x14ac:dyDescent="0.25">
      <c r="N141" s="178" t="str">
        <f t="shared" si="6"/>
        <v/>
      </c>
      <c r="P141" s="52" t="s">
        <v>441</v>
      </c>
      <c r="Q141" s="178">
        <f t="shared" si="7"/>
        <v>0</v>
      </c>
      <c r="S141" s="178">
        <f t="shared" si="8"/>
        <v>0</v>
      </c>
    </row>
    <row r="142" spans="1:19" x14ac:dyDescent="0.25">
      <c r="N142" s="178" t="str">
        <f t="shared" si="6"/>
        <v/>
      </c>
      <c r="P142" s="52" t="s">
        <v>441</v>
      </c>
      <c r="Q142" s="178">
        <f t="shared" si="7"/>
        <v>0</v>
      </c>
      <c r="S142" s="178">
        <f t="shared" si="8"/>
        <v>0</v>
      </c>
    </row>
    <row r="143" spans="1:19" x14ac:dyDescent="0.25">
      <c r="N143" s="178" t="str">
        <f t="shared" si="6"/>
        <v/>
      </c>
      <c r="P143" s="52" t="s">
        <v>441</v>
      </c>
      <c r="Q143" s="178">
        <f t="shared" si="7"/>
        <v>0</v>
      </c>
      <c r="S143" s="178">
        <f t="shared" si="8"/>
        <v>0</v>
      </c>
    </row>
    <row r="144" spans="1:19" x14ac:dyDescent="0.25">
      <c r="N144" s="178" t="str">
        <f t="shared" si="6"/>
        <v/>
      </c>
      <c r="P144" s="52" t="s">
        <v>441</v>
      </c>
      <c r="Q144" s="178">
        <f t="shared" si="7"/>
        <v>0</v>
      </c>
      <c r="S144" s="178">
        <f t="shared" si="8"/>
        <v>0</v>
      </c>
    </row>
    <row r="145" spans="14:19" x14ac:dyDescent="0.25">
      <c r="N145" s="178" t="str">
        <f t="shared" si="6"/>
        <v/>
      </c>
      <c r="P145" s="52" t="s">
        <v>441</v>
      </c>
      <c r="Q145" s="178">
        <f t="shared" si="7"/>
        <v>0</v>
      </c>
      <c r="S145" s="178">
        <f t="shared" si="8"/>
        <v>0</v>
      </c>
    </row>
    <row r="146" spans="14:19" x14ac:dyDescent="0.25">
      <c r="N146" s="178" t="str">
        <f t="shared" si="6"/>
        <v/>
      </c>
      <c r="P146" s="52" t="s">
        <v>441</v>
      </c>
      <c r="Q146" s="178">
        <f t="shared" si="7"/>
        <v>0</v>
      </c>
      <c r="S146" s="178">
        <f t="shared" si="8"/>
        <v>0</v>
      </c>
    </row>
    <row r="147" spans="14:19" x14ac:dyDescent="0.25">
      <c r="N147" s="178" t="str">
        <f t="shared" si="6"/>
        <v/>
      </c>
      <c r="P147" s="52" t="s">
        <v>441</v>
      </c>
      <c r="Q147" s="178">
        <f t="shared" si="7"/>
        <v>0</v>
      </c>
      <c r="S147" s="178">
        <f t="shared" si="8"/>
        <v>0</v>
      </c>
    </row>
    <row r="148" spans="14:19" x14ac:dyDescent="0.25">
      <c r="N148" s="178" t="str">
        <f t="shared" si="6"/>
        <v/>
      </c>
      <c r="P148" s="52" t="s">
        <v>510</v>
      </c>
      <c r="Q148" s="178">
        <f t="shared" si="7"/>
        <v>0</v>
      </c>
      <c r="S148" s="178">
        <f t="shared" si="8"/>
        <v>0</v>
      </c>
    </row>
    <row r="149" spans="14:19" x14ac:dyDescent="0.25">
      <c r="N149" s="178" t="str">
        <f t="shared" si="6"/>
        <v/>
      </c>
      <c r="P149" s="52" t="s">
        <v>510</v>
      </c>
      <c r="Q149" s="178">
        <f t="shared" si="7"/>
        <v>0</v>
      </c>
      <c r="S149" s="178">
        <f t="shared" si="8"/>
        <v>0</v>
      </c>
    </row>
    <row r="150" spans="14:19" x14ac:dyDescent="0.25">
      <c r="N150" s="178" t="str">
        <f t="shared" si="6"/>
        <v/>
      </c>
      <c r="P150" s="52" t="s">
        <v>510</v>
      </c>
      <c r="Q150" s="178">
        <f t="shared" si="7"/>
        <v>0</v>
      </c>
      <c r="S150" s="178">
        <f t="shared" si="8"/>
        <v>0</v>
      </c>
    </row>
    <row r="151" spans="14:19" x14ac:dyDescent="0.25">
      <c r="N151" s="178" t="str">
        <f t="shared" si="6"/>
        <v/>
      </c>
      <c r="P151" s="52" t="s">
        <v>510</v>
      </c>
      <c r="Q151" s="178">
        <f t="shared" si="7"/>
        <v>0</v>
      </c>
      <c r="S151" s="178">
        <f t="shared" si="8"/>
        <v>0</v>
      </c>
    </row>
    <row r="152" spans="14:19" x14ac:dyDescent="0.25">
      <c r="N152" s="178" t="str">
        <f t="shared" si="6"/>
        <v/>
      </c>
      <c r="P152" s="52" t="s">
        <v>510</v>
      </c>
      <c r="Q152" s="178">
        <f t="shared" si="7"/>
        <v>0</v>
      </c>
      <c r="S152" s="178">
        <f t="shared" si="8"/>
        <v>0</v>
      </c>
    </row>
    <row r="153" spans="14:19" x14ac:dyDescent="0.25">
      <c r="N153" s="178" t="str">
        <f t="shared" si="6"/>
        <v/>
      </c>
      <c r="P153" s="52" t="s">
        <v>510</v>
      </c>
      <c r="Q153" s="178">
        <f t="shared" si="7"/>
        <v>0</v>
      </c>
      <c r="S153" s="178">
        <f t="shared" si="8"/>
        <v>0</v>
      </c>
    </row>
    <row r="154" spans="14:19" x14ac:dyDescent="0.25">
      <c r="N154" s="178" t="str">
        <f t="shared" si="6"/>
        <v/>
      </c>
      <c r="P154" s="52" t="s">
        <v>510</v>
      </c>
      <c r="Q154" s="178">
        <f t="shared" si="7"/>
        <v>0</v>
      </c>
      <c r="S154" s="178">
        <f t="shared" si="8"/>
        <v>0</v>
      </c>
    </row>
    <row r="155" spans="14:19" x14ac:dyDescent="0.25">
      <c r="N155" s="178" t="str">
        <f t="shared" si="6"/>
        <v/>
      </c>
      <c r="P155" s="52" t="s">
        <v>510</v>
      </c>
      <c r="Q155" s="178">
        <f t="shared" si="7"/>
        <v>0</v>
      </c>
      <c r="S155" s="178">
        <f t="shared" si="8"/>
        <v>0</v>
      </c>
    </row>
    <row r="156" spans="14:19" x14ac:dyDescent="0.25">
      <c r="N156" s="178" t="str">
        <f t="shared" si="6"/>
        <v/>
      </c>
      <c r="P156" s="52" t="s">
        <v>510</v>
      </c>
      <c r="Q156" s="178">
        <f t="shared" si="7"/>
        <v>0</v>
      </c>
      <c r="S156" s="178">
        <f t="shared" si="8"/>
        <v>0</v>
      </c>
    </row>
    <row r="157" spans="14:19" x14ac:dyDescent="0.25">
      <c r="N157" s="178" t="str">
        <f t="shared" si="6"/>
        <v/>
      </c>
      <c r="P157" s="52" t="s">
        <v>510</v>
      </c>
      <c r="Q157" s="178">
        <f t="shared" si="7"/>
        <v>0</v>
      </c>
      <c r="S157" s="178">
        <f t="shared" si="8"/>
        <v>0</v>
      </c>
    </row>
    <row r="158" spans="14:19" x14ac:dyDescent="0.25">
      <c r="N158" s="178" t="str">
        <f t="shared" si="6"/>
        <v/>
      </c>
      <c r="P158" s="52" t="s">
        <v>510</v>
      </c>
      <c r="Q158" s="178">
        <f t="shared" si="7"/>
        <v>0</v>
      </c>
      <c r="S158" s="178">
        <f t="shared" si="8"/>
        <v>0</v>
      </c>
    </row>
    <row r="159" spans="14:19" x14ac:dyDescent="0.25">
      <c r="N159" s="178" t="str">
        <f t="shared" si="6"/>
        <v/>
      </c>
      <c r="P159" s="52" t="s">
        <v>218</v>
      </c>
      <c r="Q159" s="178">
        <f t="shared" si="7"/>
        <v>0</v>
      </c>
      <c r="S159" s="178">
        <f t="shared" si="8"/>
        <v>0</v>
      </c>
    </row>
    <row r="160" spans="14:19" x14ac:dyDescent="0.25">
      <c r="N160" s="178" t="str">
        <f t="shared" si="6"/>
        <v/>
      </c>
      <c r="P160" s="52" t="s">
        <v>218</v>
      </c>
      <c r="Q160" s="178">
        <f t="shared" si="7"/>
        <v>0</v>
      </c>
      <c r="S160" s="178">
        <f t="shared" si="8"/>
        <v>0</v>
      </c>
    </row>
    <row r="161" spans="14:19" x14ac:dyDescent="0.25">
      <c r="N161" s="178" t="str">
        <f t="shared" si="6"/>
        <v/>
      </c>
      <c r="P161" s="52" t="s">
        <v>218</v>
      </c>
      <c r="Q161" s="178">
        <f t="shared" si="7"/>
        <v>0</v>
      </c>
      <c r="S161" s="178">
        <f t="shared" si="8"/>
        <v>0</v>
      </c>
    </row>
    <row r="162" spans="14:19" x14ac:dyDescent="0.25">
      <c r="N162" s="178" t="str">
        <f t="shared" si="6"/>
        <v/>
      </c>
      <c r="P162" s="52" t="s">
        <v>218</v>
      </c>
      <c r="Q162" s="178">
        <f t="shared" si="7"/>
        <v>0</v>
      </c>
      <c r="S162" s="178">
        <f t="shared" si="8"/>
        <v>0</v>
      </c>
    </row>
    <row r="163" spans="14:19" x14ac:dyDescent="0.25">
      <c r="N163" s="178" t="str">
        <f t="shared" si="6"/>
        <v/>
      </c>
      <c r="P163" s="52" t="s">
        <v>218</v>
      </c>
      <c r="Q163" s="178">
        <f t="shared" si="7"/>
        <v>0</v>
      </c>
      <c r="S163" s="178">
        <f t="shared" si="8"/>
        <v>0</v>
      </c>
    </row>
    <row r="164" spans="14:19" x14ac:dyDescent="0.25">
      <c r="N164" s="178" t="str">
        <f t="shared" si="6"/>
        <v/>
      </c>
      <c r="P164" s="52" t="s">
        <v>218</v>
      </c>
      <c r="Q164" s="178">
        <f t="shared" si="7"/>
        <v>0</v>
      </c>
      <c r="S164" s="178">
        <f t="shared" si="8"/>
        <v>0</v>
      </c>
    </row>
    <row r="165" spans="14:19" x14ac:dyDescent="0.25">
      <c r="N165" s="178" t="str">
        <f t="shared" si="6"/>
        <v/>
      </c>
      <c r="P165" s="52" t="s">
        <v>218</v>
      </c>
      <c r="Q165" s="178">
        <f t="shared" si="7"/>
        <v>0</v>
      </c>
      <c r="S165" s="178">
        <f t="shared" si="8"/>
        <v>0</v>
      </c>
    </row>
    <row r="166" spans="14:19" x14ac:dyDescent="0.25">
      <c r="N166" s="178" t="str">
        <f t="shared" si="6"/>
        <v/>
      </c>
      <c r="P166" s="52" t="s">
        <v>218</v>
      </c>
      <c r="Q166" s="178">
        <f t="shared" si="7"/>
        <v>0</v>
      </c>
      <c r="S166" s="178">
        <f t="shared" si="8"/>
        <v>0</v>
      </c>
    </row>
    <row r="167" spans="14:19" x14ac:dyDescent="0.25">
      <c r="N167" s="178" t="str">
        <f t="shared" si="6"/>
        <v/>
      </c>
      <c r="P167" s="52" t="s">
        <v>220</v>
      </c>
      <c r="Q167" s="178">
        <f t="shared" si="7"/>
        <v>0</v>
      </c>
      <c r="S167" s="178">
        <f t="shared" si="8"/>
        <v>0</v>
      </c>
    </row>
    <row r="168" spans="14:19" x14ac:dyDescent="0.25">
      <c r="N168" s="178" t="str">
        <f t="shared" si="6"/>
        <v/>
      </c>
      <c r="P168" s="52" t="s">
        <v>220</v>
      </c>
      <c r="Q168" s="178">
        <f t="shared" si="7"/>
        <v>0</v>
      </c>
      <c r="S168" s="178">
        <f t="shared" si="8"/>
        <v>0</v>
      </c>
    </row>
    <row r="169" spans="14:19" x14ac:dyDescent="0.25">
      <c r="N169" s="178" t="str">
        <f t="shared" si="6"/>
        <v/>
      </c>
      <c r="P169" s="52" t="s">
        <v>220</v>
      </c>
      <c r="Q169" s="178">
        <f t="shared" si="7"/>
        <v>0</v>
      </c>
      <c r="S169" s="178">
        <f t="shared" si="8"/>
        <v>0</v>
      </c>
    </row>
    <row r="170" spans="14:19" x14ac:dyDescent="0.25">
      <c r="N170" s="178" t="str">
        <f t="shared" si="6"/>
        <v/>
      </c>
      <c r="P170" s="52" t="s">
        <v>220</v>
      </c>
      <c r="Q170" s="178">
        <f t="shared" si="7"/>
        <v>0</v>
      </c>
      <c r="S170" s="178">
        <f t="shared" si="8"/>
        <v>0</v>
      </c>
    </row>
    <row r="171" spans="14:19" x14ac:dyDescent="0.25">
      <c r="N171" s="178" t="str">
        <f t="shared" si="6"/>
        <v/>
      </c>
      <c r="P171" s="52" t="s">
        <v>220</v>
      </c>
      <c r="Q171" s="178">
        <f t="shared" si="7"/>
        <v>0</v>
      </c>
      <c r="S171" s="178">
        <f t="shared" si="8"/>
        <v>0</v>
      </c>
    </row>
    <row r="172" spans="14:19" x14ac:dyDescent="0.25">
      <c r="N172" s="178" t="str">
        <f t="shared" si="6"/>
        <v/>
      </c>
      <c r="P172" s="52" t="s">
        <v>208</v>
      </c>
      <c r="Q172" s="178">
        <f t="shared" si="7"/>
        <v>0</v>
      </c>
      <c r="S172" s="178">
        <f t="shared" si="8"/>
        <v>0</v>
      </c>
    </row>
    <row r="173" spans="14:19" x14ac:dyDescent="0.25">
      <c r="N173" s="178" t="str">
        <f t="shared" si="6"/>
        <v/>
      </c>
      <c r="P173" s="52" t="s">
        <v>208</v>
      </c>
      <c r="Q173" s="178">
        <f t="shared" si="7"/>
        <v>0</v>
      </c>
      <c r="S173" s="178">
        <f t="shared" si="8"/>
        <v>0</v>
      </c>
    </row>
    <row r="174" spans="14:19" x14ac:dyDescent="0.25">
      <c r="N174" s="178" t="str">
        <f t="shared" si="6"/>
        <v/>
      </c>
      <c r="P174" s="52" t="s">
        <v>208</v>
      </c>
      <c r="Q174" s="178">
        <f t="shared" si="7"/>
        <v>0</v>
      </c>
      <c r="S174" s="178">
        <f t="shared" si="8"/>
        <v>0</v>
      </c>
    </row>
    <row r="175" spans="14:19" x14ac:dyDescent="0.25">
      <c r="N175" s="178" t="str">
        <f t="shared" si="6"/>
        <v/>
      </c>
      <c r="P175" s="52" t="s">
        <v>208</v>
      </c>
      <c r="Q175" s="178">
        <f t="shared" si="7"/>
        <v>0</v>
      </c>
      <c r="S175" s="178">
        <f t="shared" si="8"/>
        <v>0</v>
      </c>
    </row>
    <row r="176" spans="14:19" x14ac:dyDescent="0.25">
      <c r="N176" s="178" t="str">
        <f t="shared" si="6"/>
        <v/>
      </c>
      <c r="P176" s="52" t="s">
        <v>208</v>
      </c>
      <c r="Q176" s="178">
        <f t="shared" si="7"/>
        <v>0</v>
      </c>
      <c r="S176" s="178">
        <f t="shared" si="8"/>
        <v>0</v>
      </c>
    </row>
    <row r="177" spans="14:19" x14ac:dyDescent="0.25">
      <c r="N177" s="178" t="str">
        <f t="shared" si="6"/>
        <v/>
      </c>
      <c r="P177" s="52" t="s">
        <v>208</v>
      </c>
      <c r="Q177" s="178">
        <f t="shared" si="7"/>
        <v>0</v>
      </c>
      <c r="S177" s="178">
        <f t="shared" si="8"/>
        <v>0</v>
      </c>
    </row>
    <row r="178" spans="14:19" x14ac:dyDescent="0.25">
      <c r="N178" s="178" t="str">
        <f t="shared" si="6"/>
        <v/>
      </c>
      <c r="P178" s="52" t="s">
        <v>208</v>
      </c>
      <c r="Q178" s="178">
        <f t="shared" si="7"/>
        <v>0</v>
      </c>
      <c r="S178" s="178">
        <f t="shared" si="8"/>
        <v>0</v>
      </c>
    </row>
    <row r="179" spans="14:19" x14ac:dyDescent="0.25">
      <c r="N179" s="178" t="str">
        <f t="shared" si="6"/>
        <v/>
      </c>
      <c r="P179" s="52" t="s">
        <v>208</v>
      </c>
      <c r="Q179" s="178">
        <f t="shared" si="7"/>
        <v>0</v>
      </c>
      <c r="S179" s="178">
        <f t="shared" si="8"/>
        <v>0</v>
      </c>
    </row>
    <row r="180" spans="14:19" x14ac:dyDescent="0.25">
      <c r="N180" s="178" t="str">
        <f t="shared" si="6"/>
        <v/>
      </c>
      <c r="P180" s="52" t="s">
        <v>208</v>
      </c>
      <c r="Q180" s="178">
        <f t="shared" si="7"/>
        <v>0</v>
      </c>
      <c r="S180" s="178">
        <f t="shared" si="8"/>
        <v>0</v>
      </c>
    </row>
    <row r="181" spans="14:19" x14ac:dyDescent="0.25">
      <c r="N181" s="178" t="str">
        <f t="shared" si="6"/>
        <v/>
      </c>
      <c r="P181" s="52" t="s">
        <v>208</v>
      </c>
      <c r="Q181" s="178">
        <f t="shared" si="7"/>
        <v>0</v>
      </c>
      <c r="S181" s="178">
        <f t="shared" si="8"/>
        <v>0</v>
      </c>
    </row>
    <row r="182" spans="14:19" x14ac:dyDescent="0.25">
      <c r="N182" s="178" t="str">
        <f t="shared" si="6"/>
        <v/>
      </c>
      <c r="P182" s="52" t="s">
        <v>208</v>
      </c>
      <c r="Q182" s="178">
        <f t="shared" si="7"/>
        <v>0</v>
      </c>
      <c r="S182" s="178">
        <f t="shared" si="8"/>
        <v>0</v>
      </c>
    </row>
    <row r="183" spans="14:19" x14ac:dyDescent="0.25">
      <c r="N183" s="178" t="str">
        <f t="shared" si="6"/>
        <v/>
      </c>
      <c r="P183" s="52" t="s">
        <v>208</v>
      </c>
      <c r="Q183" s="178">
        <f t="shared" si="7"/>
        <v>0</v>
      </c>
      <c r="S183" s="178">
        <f t="shared" si="8"/>
        <v>0</v>
      </c>
    </row>
    <row r="184" spans="14:19" x14ac:dyDescent="0.25">
      <c r="N184" s="178" t="str">
        <f t="shared" si="6"/>
        <v/>
      </c>
      <c r="P184" s="52" t="s">
        <v>208</v>
      </c>
      <c r="Q184" s="178">
        <f t="shared" si="7"/>
        <v>0</v>
      </c>
      <c r="S184" s="178">
        <f t="shared" si="8"/>
        <v>0</v>
      </c>
    </row>
    <row r="185" spans="14:19" x14ac:dyDescent="0.25">
      <c r="N185" s="178" t="str">
        <f t="shared" si="6"/>
        <v/>
      </c>
      <c r="P185" s="52" t="s">
        <v>208</v>
      </c>
      <c r="Q185" s="178">
        <f t="shared" si="7"/>
        <v>0</v>
      </c>
      <c r="S185" s="178">
        <f t="shared" si="8"/>
        <v>0</v>
      </c>
    </row>
    <row r="186" spans="14:19" x14ac:dyDescent="0.25">
      <c r="N186" s="178" t="str">
        <f t="shared" si="6"/>
        <v/>
      </c>
      <c r="P186" s="52" t="s">
        <v>208</v>
      </c>
      <c r="Q186" s="178">
        <f t="shared" si="7"/>
        <v>0</v>
      </c>
      <c r="S186" s="178">
        <f t="shared" si="8"/>
        <v>0</v>
      </c>
    </row>
    <row r="187" spans="14:19" x14ac:dyDescent="0.25">
      <c r="N187" s="178" t="str">
        <f t="shared" si="6"/>
        <v/>
      </c>
      <c r="P187" s="52" t="s">
        <v>208</v>
      </c>
      <c r="Q187" s="178">
        <f t="shared" si="7"/>
        <v>0</v>
      </c>
      <c r="S187" s="178">
        <f t="shared" si="8"/>
        <v>0</v>
      </c>
    </row>
    <row r="188" spans="14:19" x14ac:dyDescent="0.25">
      <c r="N188" s="178" t="str">
        <f t="shared" si="6"/>
        <v/>
      </c>
      <c r="P188" s="52" t="s">
        <v>530</v>
      </c>
      <c r="Q188" s="178">
        <f t="shared" si="7"/>
        <v>0</v>
      </c>
      <c r="S188" s="178">
        <f t="shared" si="8"/>
        <v>0</v>
      </c>
    </row>
    <row r="189" spans="14:19" x14ac:dyDescent="0.25">
      <c r="N189" s="178" t="str">
        <f t="shared" si="6"/>
        <v/>
      </c>
      <c r="P189" s="52" t="s">
        <v>530</v>
      </c>
      <c r="Q189" s="178">
        <f t="shared" si="7"/>
        <v>0</v>
      </c>
      <c r="S189" s="178">
        <f t="shared" si="8"/>
        <v>0</v>
      </c>
    </row>
    <row r="190" spans="14:19" x14ac:dyDescent="0.25">
      <c r="N190" s="178" t="str">
        <f t="shared" si="6"/>
        <v/>
      </c>
      <c r="P190" s="52" t="s">
        <v>530</v>
      </c>
      <c r="Q190" s="178">
        <f t="shared" si="7"/>
        <v>0</v>
      </c>
      <c r="S190" s="178">
        <f t="shared" si="8"/>
        <v>0</v>
      </c>
    </row>
    <row r="191" spans="14:19" x14ac:dyDescent="0.25">
      <c r="N191" s="178" t="str">
        <f t="shared" si="6"/>
        <v/>
      </c>
      <c r="P191" s="52" t="s">
        <v>530</v>
      </c>
      <c r="Q191" s="178">
        <f t="shared" si="7"/>
        <v>0</v>
      </c>
      <c r="S191" s="178">
        <f t="shared" si="8"/>
        <v>0</v>
      </c>
    </row>
    <row r="192" spans="14:19" x14ac:dyDescent="0.25">
      <c r="N192" s="178" t="str">
        <f t="shared" si="6"/>
        <v/>
      </c>
      <c r="P192" s="52" t="s">
        <v>530</v>
      </c>
      <c r="Q192" s="178">
        <f t="shared" si="7"/>
        <v>0</v>
      </c>
      <c r="S192" s="178">
        <f t="shared" si="8"/>
        <v>0</v>
      </c>
    </row>
    <row r="193" spans="14:19" x14ac:dyDescent="0.25">
      <c r="N193" s="178" t="str">
        <f t="shared" si="6"/>
        <v/>
      </c>
      <c r="P193" s="52" t="s">
        <v>530</v>
      </c>
      <c r="Q193" s="178">
        <f t="shared" si="7"/>
        <v>0</v>
      </c>
      <c r="S193" s="178">
        <f t="shared" si="8"/>
        <v>0</v>
      </c>
    </row>
    <row r="194" spans="14:19" x14ac:dyDescent="0.25">
      <c r="N194" s="178" t="str">
        <f t="shared" ref="N194:N257" si="9">IF(AND(ISNUMBER(VALUE(MID(M194,1,1))), ISNUMBER(VALUE(MID(M194,2,1))), ISNUMBER(VALUE(MID(M194,3,1))), ISNUMBER(VALUE(MID(M194,4,1)))), LEFT(M194,4), "")</f>
        <v/>
      </c>
      <c r="P194" s="52" t="s">
        <v>536</v>
      </c>
      <c r="Q194" s="178">
        <f t="shared" si="7"/>
        <v>0</v>
      </c>
      <c r="S194" s="178">
        <f t="shared" si="8"/>
        <v>0</v>
      </c>
    </row>
    <row r="195" spans="14:19" x14ac:dyDescent="0.25">
      <c r="N195" s="178" t="str">
        <f t="shared" si="9"/>
        <v/>
      </c>
      <c r="P195" s="52" t="s">
        <v>536</v>
      </c>
      <c r="Q195" s="178">
        <f t="shared" ref="Q195:Q258" si="10">FLOOR(O195,10)</f>
        <v>0</v>
      </c>
      <c r="S195" s="178">
        <f t="shared" ref="S195:S258" si="11">CEILING(O195,10)</f>
        <v>0</v>
      </c>
    </row>
    <row r="196" spans="14:19" x14ac:dyDescent="0.25">
      <c r="N196" s="178" t="str">
        <f t="shared" si="9"/>
        <v/>
      </c>
      <c r="P196" s="52" t="s">
        <v>536</v>
      </c>
      <c r="Q196" s="178">
        <f t="shared" si="10"/>
        <v>0</v>
      </c>
      <c r="S196" s="178">
        <f t="shared" si="11"/>
        <v>0</v>
      </c>
    </row>
    <row r="197" spans="14:19" x14ac:dyDescent="0.25">
      <c r="N197" s="178" t="str">
        <f t="shared" si="9"/>
        <v/>
      </c>
      <c r="P197" s="52" t="s">
        <v>536</v>
      </c>
      <c r="Q197" s="178">
        <f t="shared" si="10"/>
        <v>0</v>
      </c>
      <c r="S197" s="178">
        <f t="shared" si="11"/>
        <v>0</v>
      </c>
    </row>
    <row r="198" spans="14:19" x14ac:dyDescent="0.25">
      <c r="N198" s="178" t="str">
        <f t="shared" si="9"/>
        <v/>
      </c>
      <c r="P198" s="52" t="s">
        <v>536</v>
      </c>
      <c r="Q198" s="178">
        <f t="shared" si="10"/>
        <v>0</v>
      </c>
      <c r="S198" s="178">
        <f t="shared" si="11"/>
        <v>0</v>
      </c>
    </row>
    <row r="199" spans="14:19" x14ac:dyDescent="0.25">
      <c r="N199" s="178" t="str">
        <f t="shared" si="9"/>
        <v/>
      </c>
      <c r="P199" s="52" t="s">
        <v>536</v>
      </c>
      <c r="Q199" s="178">
        <f t="shared" si="10"/>
        <v>0</v>
      </c>
      <c r="S199" s="178">
        <f t="shared" si="11"/>
        <v>0</v>
      </c>
    </row>
    <row r="200" spans="14:19" x14ac:dyDescent="0.25">
      <c r="N200" s="178" t="str">
        <f t="shared" si="9"/>
        <v/>
      </c>
      <c r="P200" s="52" t="s">
        <v>536</v>
      </c>
      <c r="Q200" s="178">
        <f t="shared" si="10"/>
        <v>0</v>
      </c>
      <c r="S200" s="178">
        <f t="shared" si="11"/>
        <v>0</v>
      </c>
    </row>
    <row r="201" spans="14:19" x14ac:dyDescent="0.25">
      <c r="N201" s="178" t="str">
        <f t="shared" si="9"/>
        <v/>
      </c>
      <c r="P201" s="52" t="s">
        <v>536</v>
      </c>
      <c r="Q201" s="178">
        <f t="shared" si="10"/>
        <v>0</v>
      </c>
      <c r="S201" s="178">
        <f t="shared" si="11"/>
        <v>0</v>
      </c>
    </row>
    <row r="202" spans="14:19" x14ac:dyDescent="0.25">
      <c r="N202" s="178" t="str">
        <f t="shared" si="9"/>
        <v/>
      </c>
      <c r="P202" s="52" t="s">
        <v>324</v>
      </c>
      <c r="Q202" s="178">
        <f t="shared" si="10"/>
        <v>0</v>
      </c>
      <c r="S202" s="178">
        <f t="shared" si="11"/>
        <v>0</v>
      </c>
    </row>
    <row r="203" spans="14:19" x14ac:dyDescent="0.25">
      <c r="N203" s="178" t="str">
        <f t="shared" si="9"/>
        <v/>
      </c>
      <c r="P203" s="52" t="s">
        <v>324</v>
      </c>
      <c r="Q203" s="178">
        <f t="shared" si="10"/>
        <v>0</v>
      </c>
      <c r="S203" s="178">
        <f t="shared" si="11"/>
        <v>0</v>
      </c>
    </row>
    <row r="204" spans="14:19" x14ac:dyDescent="0.25">
      <c r="N204" s="178" t="str">
        <f t="shared" si="9"/>
        <v/>
      </c>
      <c r="P204" s="52" t="s">
        <v>324</v>
      </c>
      <c r="Q204" s="178">
        <f t="shared" si="10"/>
        <v>0</v>
      </c>
      <c r="S204" s="178">
        <f t="shared" si="11"/>
        <v>0</v>
      </c>
    </row>
    <row r="205" spans="14:19" x14ac:dyDescent="0.25">
      <c r="N205" s="178" t="str">
        <f t="shared" si="9"/>
        <v/>
      </c>
      <c r="P205" s="52" t="s">
        <v>324</v>
      </c>
      <c r="Q205" s="178">
        <f t="shared" si="10"/>
        <v>0</v>
      </c>
      <c r="S205" s="178">
        <f t="shared" si="11"/>
        <v>0</v>
      </c>
    </row>
    <row r="206" spans="14:19" x14ac:dyDescent="0.25">
      <c r="N206" s="178" t="str">
        <f t="shared" si="9"/>
        <v/>
      </c>
      <c r="P206" s="52" t="s">
        <v>324</v>
      </c>
      <c r="Q206" s="178">
        <f t="shared" si="10"/>
        <v>0</v>
      </c>
      <c r="S206" s="178">
        <f t="shared" si="11"/>
        <v>0</v>
      </c>
    </row>
    <row r="207" spans="14:19" x14ac:dyDescent="0.25">
      <c r="N207" s="178" t="str">
        <f t="shared" si="9"/>
        <v/>
      </c>
      <c r="P207" s="52" t="s">
        <v>324</v>
      </c>
      <c r="Q207" s="178">
        <f t="shared" si="10"/>
        <v>0</v>
      </c>
      <c r="S207" s="178">
        <f t="shared" si="11"/>
        <v>0</v>
      </c>
    </row>
    <row r="208" spans="14:19" x14ac:dyDescent="0.25">
      <c r="N208" s="178" t="str">
        <f t="shared" si="9"/>
        <v/>
      </c>
      <c r="P208" s="52" t="s">
        <v>324</v>
      </c>
      <c r="Q208" s="178">
        <f t="shared" si="10"/>
        <v>0</v>
      </c>
      <c r="S208" s="178">
        <f t="shared" si="11"/>
        <v>0</v>
      </c>
    </row>
    <row r="209" spans="14:19" x14ac:dyDescent="0.25">
      <c r="N209" s="178" t="str">
        <f t="shared" si="9"/>
        <v/>
      </c>
      <c r="P209" s="52" t="s">
        <v>324</v>
      </c>
      <c r="Q209" s="178">
        <f t="shared" si="10"/>
        <v>0</v>
      </c>
      <c r="S209" s="178">
        <f t="shared" si="11"/>
        <v>0</v>
      </c>
    </row>
    <row r="210" spans="14:19" x14ac:dyDescent="0.25">
      <c r="N210" s="178" t="str">
        <f t="shared" si="9"/>
        <v/>
      </c>
      <c r="P210" s="52" t="s">
        <v>324</v>
      </c>
      <c r="Q210" s="178">
        <f t="shared" si="10"/>
        <v>0</v>
      </c>
      <c r="S210" s="178">
        <f t="shared" si="11"/>
        <v>0</v>
      </c>
    </row>
    <row r="211" spans="14:19" x14ac:dyDescent="0.25">
      <c r="N211" s="178" t="str">
        <f t="shared" si="9"/>
        <v/>
      </c>
      <c r="P211" s="52" t="s">
        <v>324</v>
      </c>
      <c r="Q211" s="178">
        <f t="shared" si="10"/>
        <v>0</v>
      </c>
      <c r="S211" s="178">
        <f t="shared" si="11"/>
        <v>0</v>
      </c>
    </row>
    <row r="212" spans="14:19" x14ac:dyDescent="0.25">
      <c r="N212" s="178" t="str">
        <f t="shared" si="9"/>
        <v/>
      </c>
      <c r="P212" s="52" t="s">
        <v>324</v>
      </c>
      <c r="Q212" s="178">
        <f t="shared" si="10"/>
        <v>0</v>
      </c>
      <c r="S212" s="178">
        <f t="shared" si="11"/>
        <v>0</v>
      </c>
    </row>
    <row r="213" spans="14:19" x14ac:dyDescent="0.25">
      <c r="N213" s="178" t="str">
        <f t="shared" si="9"/>
        <v/>
      </c>
      <c r="P213" s="52" t="s">
        <v>348</v>
      </c>
      <c r="Q213" s="178">
        <f t="shared" si="10"/>
        <v>0</v>
      </c>
      <c r="S213" s="178">
        <f t="shared" si="11"/>
        <v>0</v>
      </c>
    </row>
    <row r="214" spans="14:19" x14ac:dyDescent="0.25">
      <c r="N214" s="178" t="str">
        <f t="shared" si="9"/>
        <v/>
      </c>
      <c r="P214" s="52" t="s">
        <v>348</v>
      </c>
      <c r="Q214" s="178">
        <f t="shared" si="10"/>
        <v>0</v>
      </c>
      <c r="S214" s="178">
        <f t="shared" si="11"/>
        <v>0</v>
      </c>
    </row>
    <row r="215" spans="14:19" x14ac:dyDescent="0.25">
      <c r="N215" s="178" t="str">
        <f t="shared" si="9"/>
        <v/>
      </c>
      <c r="P215" s="52" t="s">
        <v>348</v>
      </c>
      <c r="Q215" s="178">
        <f t="shared" si="10"/>
        <v>0</v>
      </c>
      <c r="S215" s="178">
        <f t="shared" si="11"/>
        <v>0</v>
      </c>
    </row>
    <row r="216" spans="14:19" x14ac:dyDescent="0.25">
      <c r="N216" s="178" t="str">
        <f t="shared" si="9"/>
        <v/>
      </c>
      <c r="P216" s="52" t="s">
        <v>348</v>
      </c>
      <c r="Q216" s="178">
        <f t="shared" si="10"/>
        <v>0</v>
      </c>
      <c r="S216" s="178">
        <f t="shared" si="11"/>
        <v>0</v>
      </c>
    </row>
    <row r="217" spans="14:19" x14ac:dyDescent="0.25">
      <c r="N217" s="178" t="str">
        <f t="shared" si="9"/>
        <v/>
      </c>
      <c r="P217" s="52" t="s">
        <v>348</v>
      </c>
      <c r="Q217" s="178">
        <f t="shared" si="10"/>
        <v>0</v>
      </c>
      <c r="S217" s="178">
        <f t="shared" si="11"/>
        <v>0</v>
      </c>
    </row>
    <row r="218" spans="14:19" x14ac:dyDescent="0.25">
      <c r="N218" s="178" t="str">
        <f t="shared" si="9"/>
        <v/>
      </c>
      <c r="P218" s="52" t="s">
        <v>348</v>
      </c>
      <c r="Q218" s="178">
        <f t="shared" si="10"/>
        <v>0</v>
      </c>
      <c r="S218" s="178">
        <f t="shared" si="11"/>
        <v>0</v>
      </c>
    </row>
    <row r="219" spans="14:19" x14ac:dyDescent="0.25">
      <c r="N219" s="178" t="str">
        <f t="shared" si="9"/>
        <v/>
      </c>
      <c r="P219" s="52" t="s">
        <v>348</v>
      </c>
      <c r="Q219" s="178">
        <f t="shared" si="10"/>
        <v>0</v>
      </c>
      <c r="S219" s="178">
        <f t="shared" si="11"/>
        <v>0</v>
      </c>
    </row>
    <row r="220" spans="14:19" x14ac:dyDescent="0.25">
      <c r="N220" s="178" t="str">
        <f t="shared" si="9"/>
        <v/>
      </c>
      <c r="P220" s="52" t="s">
        <v>348</v>
      </c>
      <c r="Q220" s="178">
        <f t="shared" si="10"/>
        <v>0</v>
      </c>
      <c r="S220" s="178">
        <f t="shared" si="11"/>
        <v>0</v>
      </c>
    </row>
    <row r="221" spans="14:19" x14ac:dyDescent="0.25">
      <c r="N221" s="178" t="str">
        <f t="shared" si="9"/>
        <v/>
      </c>
      <c r="P221" s="52" t="s">
        <v>348</v>
      </c>
      <c r="Q221" s="178">
        <f t="shared" si="10"/>
        <v>0</v>
      </c>
      <c r="S221" s="178">
        <f t="shared" si="11"/>
        <v>0</v>
      </c>
    </row>
    <row r="222" spans="14:19" x14ac:dyDescent="0.25">
      <c r="N222" s="178" t="str">
        <f t="shared" si="9"/>
        <v/>
      </c>
      <c r="P222" s="52" t="s">
        <v>348</v>
      </c>
      <c r="Q222" s="178">
        <f t="shared" si="10"/>
        <v>0</v>
      </c>
      <c r="S222" s="178">
        <f t="shared" si="11"/>
        <v>0</v>
      </c>
    </row>
    <row r="223" spans="14:19" x14ac:dyDescent="0.25">
      <c r="N223" s="178" t="str">
        <f t="shared" si="9"/>
        <v/>
      </c>
      <c r="P223" s="52" t="s">
        <v>348</v>
      </c>
      <c r="Q223" s="178">
        <f t="shared" si="10"/>
        <v>0</v>
      </c>
      <c r="S223" s="178">
        <f t="shared" si="11"/>
        <v>0</v>
      </c>
    </row>
    <row r="224" spans="14:19" x14ac:dyDescent="0.25">
      <c r="N224" s="178" t="str">
        <f t="shared" si="9"/>
        <v/>
      </c>
      <c r="P224" s="52" t="s">
        <v>348</v>
      </c>
      <c r="Q224" s="178">
        <f t="shared" si="10"/>
        <v>0</v>
      </c>
      <c r="S224" s="178">
        <f t="shared" si="11"/>
        <v>0</v>
      </c>
    </row>
    <row r="225" spans="14:19" x14ac:dyDescent="0.25">
      <c r="N225" s="178" t="str">
        <f t="shared" si="9"/>
        <v/>
      </c>
      <c r="P225" s="52" t="s">
        <v>348</v>
      </c>
      <c r="Q225" s="178">
        <f t="shared" si="10"/>
        <v>0</v>
      </c>
      <c r="S225" s="178">
        <f t="shared" si="11"/>
        <v>0</v>
      </c>
    </row>
    <row r="226" spans="14:19" x14ac:dyDescent="0.25">
      <c r="N226" s="178" t="str">
        <f t="shared" si="9"/>
        <v/>
      </c>
      <c r="P226" s="52" t="s">
        <v>348</v>
      </c>
      <c r="Q226" s="178">
        <f t="shared" si="10"/>
        <v>0</v>
      </c>
      <c r="S226" s="178">
        <f t="shared" si="11"/>
        <v>0</v>
      </c>
    </row>
    <row r="227" spans="14:19" x14ac:dyDescent="0.25">
      <c r="N227" s="178" t="str">
        <f t="shared" si="9"/>
        <v/>
      </c>
      <c r="P227" s="52" t="s">
        <v>348</v>
      </c>
      <c r="Q227" s="178">
        <f t="shared" si="10"/>
        <v>0</v>
      </c>
      <c r="S227" s="178">
        <f t="shared" si="11"/>
        <v>0</v>
      </c>
    </row>
    <row r="228" spans="14:19" x14ac:dyDescent="0.25">
      <c r="N228" s="178" t="str">
        <f t="shared" si="9"/>
        <v/>
      </c>
      <c r="P228" s="52" t="s">
        <v>348</v>
      </c>
      <c r="Q228" s="178">
        <f t="shared" si="10"/>
        <v>0</v>
      </c>
      <c r="S228" s="178">
        <f t="shared" si="11"/>
        <v>0</v>
      </c>
    </row>
    <row r="229" spans="14:19" x14ac:dyDescent="0.25">
      <c r="N229" s="178" t="str">
        <f t="shared" si="9"/>
        <v/>
      </c>
      <c r="P229" s="52" t="s">
        <v>348</v>
      </c>
      <c r="Q229" s="178">
        <f t="shared" si="10"/>
        <v>0</v>
      </c>
      <c r="S229" s="178">
        <f t="shared" si="11"/>
        <v>0</v>
      </c>
    </row>
    <row r="230" spans="14:19" x14ac:dyDescent="0.25">
      <c r="N230" s="178" t="str">
        <f t="shared" si="9"/>
        <v/>
      </c>
      <c r="P230" s="52" t="s">
        <v>348</v>
      </c>
      <c r="Q230" s="178">
        <f t="shared" si="10"/>
        <v>0</v>
      </c>
      <c r="S230" s="178">
        <f t="shared" si="11"/>
        <v>0</v>
      </c>
    </row>
    <row r="231" spans="14:19" x14ac:dyDescent="0.25">
      <c r="N231" s="178" t="str">
        <f t="shared" si="9"/>
        <v/>
      </c>
      <c r="P231" s="52" t="s">
        <v>348</v>
      </c>
      <c r="Q231" s="178">
        <f t="shared" si="10"/>
        <v>0</v>
      </c>
      <c r="S231" s="178">
        <f t="shared" si="11"/>
        <v>0</v>
      </c>
    </row>
    <row r="232" spans="14:19" x14ac:dyDescent="0.25">
      <c r="N232" s="178" t="str">
        <f t="shared" si="9"/>
        <v/>
      </c>
      <c r="P232" s="52" t="s">
        <v>348</v>
      </c>
      <c r="Q232" s="178">
        <f t="shared" si="10"/>
        <v>0</v>
      </c>
      <c r="S232" s="178">
        <f t="shared" si="11"/>
        <v>0</v>
      </c>
    </row>
    <row r="233" spans="14:19" x14ac:dyDescent="0.25">
      <c r="N233" s="178" t="str">
        <f t="shared" si="9"/>
        <v/>
      </c>
      <c r="P233" s="52" t="s">
        <v>348</v>
      </c>
      <c r="Q233" s="178">
        <f t="shared" si="10"/>
        <v>0</v>
      </c>
      <c r="S233" s="178">
        <f t="shared" si="11"/>
        <v>0</v>
      </c>
    </row>
    <row r="234" spans="14:19" x14ac:dyDescent="0.25">
      <c r="N234" s="178" t="str">
        <f t="shared" si="9"/>
        <v/>
      </c>
      <c r="P234" s="52" t="s">
        <v>211</v>
      </c>
      <c r="Q234" s="178">
        <f t="shared" si="10"/>
        <v>0</v>
      </c>
      <c r="S234" s="178">
        <f t="shared" si="11"/>
        <v>0</v>
      </c>
    </row>
    <row r="235" spans="14:19" x14ac:dyDescent="0.25">
      <c r="N235" s="178" t="str">
        <f t="shared" si="9"/>
        <v/>
      </c>
      <c r="P235" s="52" t="s">
        <v>211</v>
      </c>
      <c r="Q235" s="178">
        <f t="shared" si="10"/>
        <v>0</v>
      </c>
      <c r="S235" s="178">
        <f t="shared" si="11"/>
        <v>0</v>
      </c>
    </row>
    <row r="236" spans="14:19" x14ac:dyDescent="0.25">
      <c r="N236" s="178" t="str">
        <f t="shared" si="9"/>
        <v/>
      </c>
      <c r="P236" s="52" t="s">
        <v>211</v>
      </c>
      <c r="Q236" s="178">
        <f t="shared" si="10"/>
        <v>0</v>
      </c>
      <c r="S236" s="178">
        <f t="shared" si="11"/>
        <v>0</v>
      </c>
    </row>
    <row r="237" spans="14:19" x14ac:dyDescent="0.25">
      <c r="N237" s="178" t="str">
        <f t="shared" si="9"/>
        <v/>
      </c>
      <c r="P237" s="52" t="s">
        <v>211</v>
      </c>
      <c r="Q237" s="178">
        <f t="shared" si="10"/>
        <v>0</v>
      </c>
      <c r="S237" s="178">
        <f t="shared" si="11"/>
        <v>0</v>
      </c>
    </row>
    <row r="238" spans="14:19" x14ac:dyDescent="0.25">
      <c r="N238" s="178" t="str">
        <f t="shared" si="9"/>
        <v/>
      </c>
      <c r="P238" s="52" t="s">
        <v>211</v>
      </c>
      <c r="Q238" s="178">
        <f t="shared" si="10"/>
        <v>0</v>
      </c>
      <c r="S238" s="178">
        <f t="shared" si="11"/>
        <v>0</v>
      </c>
    </row>
    <row r="239" spans="14:19" x14ac:dyDescent="0.25">
      <c r="N239" s="178" t="str">
        <f t="shared" si="9"/>
        <v/>
      </c>
      <c r="P239" s="52" t="s">
        <v>211</v>
      </c>
      <c r="Q239" s="178">
        <f t="shared" si="10"/>
        <v>0</v>
      </c>
      <c r="S239" s="178">
        <f t="shared" si="11"/>
        <v>0</v>
      </c>
    </row>
    <row r="240" spans="14:19" x14ac:dyDescent="0.25">
      <c r="N240" s="178" t="str">
        <f t="shared" si="9"/>
        <v/>
      </c>
      <c r="P240" s="52" t="s">
        <v>211</v>
      </c>
      <c r="Q240" s="178">
        <f t="shared" si="10"/>
        <v>0</v>
      </c>
      <c r="S240" s="178">
        <f t="shared" si="11"/>
        <v>0</v>
      </c>
    </row>
    <row r="241" spans="14:19" x14ac:dyDescent="0.25">
      <c r="N241" s="178" t="str">
        <f t="shared" si="9"/>
        <v/>
      </c>
      <c r="P241" s="52" t="s">
        <v>211</v>
      </c>
      <c r="Q241" s="178">
        <f t="shared" si="10"/>
        <v>0</v>
      </c>
      <c r="S241" s="178">
        <f t="shared" si="11"/>
        <v>0</v>
      </c>
    </row>
    <row r="242" spans="14:19" x14ac:dyDescent="0.25">
      <c r="N242" s="178" t="str">
        <f t="shared" si="9"/>
        <v/>
      </c>
      <c r="P242" s="52" t="s">
        <v>211</v>
      </c>
      <c r="Q242" s="178">
        <f t="shared" si="10"/>
        <v>0</v>
      </c>
      <c r="S242" s="178">
        <f t="shared" si="11"/>
        <v>0</v>
      </c>
    </row>
    <row r="243" spans="14:19" x14ac:dyDescent="0.25">
      <c r="N243" s="178" t="str">
        <f t="shared" si="9"/>
        <v/>
      </c>
      <c r="P243" s="52" t="s">
        <v>211</v>
      </c>
      <c r="Q243" s="178">
        <f t="shared" si="10"/>
        <v>0</v>
      </c>
      <c r="S243" s="178">
        <f t="shared" si="11"/>
        <v>0</v>
      </c>
    </row>
    <row r="244" spans="14:19" x14ac:dyDescent="0.25">
      <c r="N244" s="178" t="str">
        <f t="shared" si="9"/>
        <v/>
      </c>
      <c r="P244" s="52" t="s">
        <v>211</v>
      </c>
      <c r="Q244" s="178">
        <f t="shared" si="10"/>
        <v>0</v>
      </c>
      <c r="S244" s="178">
        <f t="shared" si="11"/>
        <v>0</v>
      </c>
    </row>
    <row r="245" spans="14:19" x14ac:dyDescent="0.25">
      <c r="N245" s="178" t="str">
        <f t="shared" si="9"/>
        <v/>
      </c>
      <c r="P245" s="52" t="s">
        <v>211</v>
      </c>
      <c r="Q245" s="178">
        <f t="shared" si="10"/>
        <v>0</v>
      </c>
      <c r="S245" s="178">
        <f t="shared" si="11"/>
        <v>0</v>
      </c>
    </row>
    <row r="246" spans="14:19" x14ac:dyDescent="0.25">
      <c r="N246" s="178" t="str">
        <f t="shared" si="9"/>
        <v/>
      </c>
      <c r="P246" s="52" t="s">
        <v>211</v>
      </c>
      <c r="Q246" s="178">
        <f t="shared" si="10"/>
        <v>0</v>
      </c>
      <c r="S246" s="178">
        <f t="shared" si="11"/>
        <v>0</v>
      </c>
    </row>
    <row r="247" spans="14:19" x14ac:dyDescent="0.25">
      <c r="N247" s="178" t="str">
        <f t="shared" si="9"/>
        <v/>
      </c>
      <c r="P247" s="52" t="s">
        <v>211</v>
      </c>
      <c r="Q247" s="178">
        <f t="shared" si="10"/>
        <v>0</v>
      </c>
      <c r="S247" s="178">
        <f t="shared" si="11"/>
        <v>0</v>
      </c>
    </row>
    <row r="248" spans="14:19" x14ac:dyDescent="0.25">
      <c r="N248" s="178" t="str">
        <f t="shared" si="9"/>
        <v/>
      </c>
      <c r="P248" s="52" t="s">
        <v>106</v>
      </c>
      <c r="Q248" s="178">
        <f t="shared" si="10"/>
        <v>0</v>
      </c>
      <c r="S248" s="178">
        <f t="shared" si="11"/>
        <v>0</v>
      </c>
    </row>
    <row r="249" spans="14:19" x14ac:dyDescent="0.25">
      <c r="N249" s="178" t="str">
        <f t="shared" si="9"/>
        <v/>
      </c>
      <c r="P249" s="52" t="s">
        <v>106</v>
      </c>
      <c r="Q249" s="178">
        <f t="shared" si="10"/>
        <v>0</v>
      </c>
      <c r="S249" s="178">
        <f t="shared" si="11"/>
        <v>0</v>
      </c>
    </row>
    <row r="250" spans="14:19" x14ac:dyDescent="0.25">
      <c r="N250" s="178" t="str">
        <f t="shared" si="9"/>
        <v/>
      </c>
      <c r="P250" s="52" t="s">
        <v>106</v>
      </c>
      <c r="Q250" s="178">
        <f t="shared" si="10"/>
        <v>0</v>
      </c>
      <c r="S250" s="178">
        <f t="shared" si="11"/>
        <v>0</v>
      </c>
    </row>
    <row r="251" spans="14:19" x14ac:dyDescent="0.25">
      <c r="N251" s="178" t="str">
        <f t="shared" si="9"/>
        <v/>
      </c>
      <c r="P251" s="52" t="s">
        <v>106</v>
      </c>
      <c r="Q251" s="178">
        <f t="shared" si="10"/>
        <v>0</v>
      </c>
      <c r="S251" s="178">
        <f t="shared" si="11"/>
        <v>0</v>
      </c>
    </row>
    <row r="252" spans="14:19" x14ac:dyDescent="0.25">
      <c r="N252" s="178" t="str">
        <f t="shared" si="9"/>
        <v/>
      </c>
      <c r="P252" s="52" t="s">
        <v>106</v>
      </c>
      <c r="Q252" s="178">
        <f t="shared" si="10"/>
        <v>0</v>
      </c>
      <c r="S252" s="178">
        <f t="shared" si="11"/>
        <v>0</v>
      </c>
    </row>
    <row r="253" spans="14:19" x14ac:dyDescent="0.25">
      <c r="N253" s="178" t="str">
        <f t="shared" si="9"/>
        <v/>
      </c>
      <c r="P253" s="52" t="s">
        <v>106</v>
      </c>
      <c r="Q253" s="178">
        <f t="shared" si="10"/>
        <v>0</v>
      </c>
      <c r="S253" s="178">
        <f t="shared" si="11"/>
        <v>0</v>
      </c>
    </row>
    <row r="254" spans="14:19" x14ac:dyDescent="0.25">
      <c r="N254" s="178" t="str">
        <f t="shared" si="9"/>
        <v/>
      </c>
      <c r="P254" s="52" t="s">
        <v>106</v>
      </c>
      <c r="Q254" s="178">
        <f t="shared" si="10"/>
        <v>0</v>
      </c>
      <c r="S254" s="178">
        <f t="shared" si="11"/>
        <v>0</v>
      </c>
    </row>
    <row r="255" spans="14:19" x14ac:dyDescent="0.25">
      <c r="N255" s="178" t="str">
        <f t="shared" si="9"/>
        <v/>
      </c>
      <c r="P255" s="52" t="s">
        <v>106</v>
      </c>
      <c r="Q255" s="178">
        <f t="shared" si="10"/>
        <v>0</v>
      </c>
      <c r="S255" s="178">
        <f t="shared" si="11"/>
        <v>0</v>
      </c>
    </row>
    <row r="256" spans="14:19" x14ac:dyDescent="0.25">
      <c r="N256" s="178" t="str">
        <f t="shared" si="9"/>
        <v/>
      </c>
      <c r="P256" s="52" t="s">
        <v>106</v>
      </c>
      <c r="Q256" s="178">
        <f t="shared" si="10"/>
        <v>0</v>
      </c>
      <c r="S256" s="178">
        <f t="shared" si="11"/>
        <v>0</v>
      </c>
    </row>
    <row r="257" spans="14:19" x14ac:dyDescent="0.25">
      <c r="N257" s="178" t="str">
        <f t="shared" si="9"/>
        <v/>
      </c>
      <c r="P257" s="52" t="s">
        <v>106</v>
      </c>
      <c r="Q257" s="178">
        <f t="shared" si="10"/>
        <v>0</v>
      </c>
      <c r="S257" s="178">
        <f t="shared" si="11"/>
        <v>0</v>
      </c>
    </row>
    <row r="258" spans="14:19" x14ac:dyDescent="0.25">
      <c r="N258" s="178" t="str">
        <f t="shared" ref="N258:N321" si="12">IF(AND(ISNUMBER(VALUE(MID(M258,1,1))), ISNUMBER(VALUE(MID(M258,2,1))), ISNUMBER(VALUE(MID(M258,3,1))), ISNUMBER(VALUE(MID(M258,4,1)))), LEFT(M258,4), "")</f>
        <v/>
      </c>
      <c r="P258" s="52" t="s">
        <v>106</v>
      </c>
      <c r="Q258" s="178">
        <f t="shared" si="10"/>
        <v>0</v>
      </c>
      <c r="S258" s="178">
        <f t="shared" si="11"/>
        <v>0</v>
      </c>
    </row>
    <row r="259" spans="14:19" x14ac:dyDescent="0.25">
      <c r="N259" s="178" t="str">
        <f t="shared" si="12"/>
        <v/>
      </c>
      <c r="P259" s="52" t="s">
        <v>199</v>
      </c>
      <c r="Q259" s="178">
        <f t="shared" ref="Q259:Q322" si="13">FLOOR(O259,10)</f>
        <v>0</v>
      </c>
      <c r="S259" s="178">
        <f t="shared" ref="S259:S322" si="14">CEILING(O259,10)</f>
        <v>0</v>
      </c>
    </row>
    <row r="260" spans="14:19" x14ac:dyDescent="0.25">
      <c r="N260" s="178" t="str">
        <f t="shared" si="12"/>
        <v/>
      </c>
      <c r="P260" s="52" t="s">
        <v>199</v>
      </c>
      <c r="Q260" s="178">
        <f t="shared" si="13"/>
        <v>0</v>
      </c>
      <c r="S260" s="178">
        <f t="shared" si="14"/>
        <v>0</v>
      </c>
    </row>
    <row r="261" spans="14:19" x14ac:dyDescent="0.25">
      <c r="N261" s="178" t="str">
        <f t="shared" si="12"/>
        <v/>
      </c>
      <c r="P261" s="52" t="s">
        <v>199</v>
      </c>
      <c r="Q261" s="178">
        <f t="shared" si="13"/>
        <v>0</v>
      </c>
      <c r="S261" s="178">
        <f t="shared" si="14"/>
        <v>0</v>
      </c>
    </row>
    <row r="262" spans="14:19" x14ac:dyDescent="0.25">
      <c r="N262" s="178" t="str">
        <f t="shared" si="12"/>
        <v/>
      </c>
      <c r="P262" s="52" t="s">
        <v>199</v>
      </c>
      <c r="Q262" s="178">
        <f t="shared" si="13"/>
        <v>0</v>
      </c>
      <c r="S262" s="178">
        <f t="shared" si="14"/>
        <v>0</v>
      </c>
    </row>
    <row r="263" spans="14:19" x14ac:dyDescent="0.25">
      <c r="N263" s="178" t="str">
        <f t="shared" si="12"/>
        <v/>
      </c>
      <c r="P263" s="52" t="s">
        <v>199</v>
      </c>
      <c r="Q263" s="178">
        <f t="shared" si="13"/>
        <v>0</v>
      </c>
      <c r="S263" s="178">
        <f t="shared" si="14"/>
        <v>0</v>
      </c>
    </row>
    <row r="264" spans="14:19" x14ac:dyDescent="0.25">
      <c r="N264" s="178" t="str">
        <f t="shared" si="12"/>
        <v/>
      </c>
      <c r="P264" s="52" t="s">
        <v>199</v>
      </c>
      <c r="Q264" s="178">
        <f t="shared" si="13"/>
        <v>0</v>
      </c>
      <c r="S264" s="178">
        <f t="shared" si="14"/>
        <v>0</v>
      </c>
    </row>
    <row r="265" spans="14:19" x14ac:dyDescent="0.25">
      <c r="N265" s="178" t="str">
        <f t="shared" si="12"/>
        <v/>
      </c>
      <c r="P265" s="52" t="s">
        <v>199</v>
      </c>
      <c r="Q265" s="178">
        <f t="shared" si="13"/>
        <v>0</v>
      </c>
      <c r="S265" s="178">
        <f t="shared" si="14"/>
        <v>0</v>
      </c>
    </row>
    <row r="266" spans="14:19" x14ac:dyDescent="0.25">
      <c r="N266" s="178" t="str">
        <f t="shared" si="12"/>
        <v/>
      </c>
      <c r="P266" s="52" t="s">
        <v>199</v>
      </c>
      <c r="Q266" s="178">
        <f t="shared" si="13"/>
        <v>0</v>
      </c>
      <c r="S266" s="178">
        <f t="shared" si="14"/>
        <v>0</v>
      </c>
    </row>
    <row r="267" spans="14:19" x14ac:dyDescent="0.25">
      <c r="N267" s="178" t="str">
        <f t="shared" si="12"/>
        <v/>
      </c>
      <c r="P267" s="52" t="s">
        <v>199</v>
      </c>
      <c r="Q267" s="178">
        <f t="shared" si="13"/>
        <v>0</v>
      </c>
      <c r="S267" s="178">
        <f t="shared" si="14"/>
        <v>0</v>
      </c>
    </row>
    <row r="268" spans="14:19" x14ac:dyDescent="0.25">
      <c r="N268" s="178" t="str">
        <f t="shared" si="12"/>
        <v/>
      </c>
      <c r="P268" s="52" t="s">
        <v>199</v>
      </c>
      <c r="Q268" s="178">
        <f t="shared" si="13"/>
        <v>0</v>
      </c>
      <c r="S268" s="178">
        <f t="shared" si="14"/>
        <v>0</v>
      </c>
    </row>
    <row r="269" spans="14:19" x14ac:dyDescent="0.25">
      <c r="N269" s="178" t="str">
        <f t="shared" si="12"/>
        <v/>
      </c>
      <c r="P269" s="52" t="s">
        <v>354</v>
      </c>
      <c r="Q269" s="178">
        <f t="shared" si="13"/>
        <v>0</v>
      </c>
      <c r="S269" s="178">
        <f t="shared" si="14"/>
        <v>0</v>
      </c>
    </row>
    <row r="270" spans="14:19" x14ac:dyDescent="0.25">
      <c r="N270" s="178" t="str">
        <f t="shared" si="12"/>
        <v/>
      </c>
      <c r="P270" s="52" t="s">
        <v>354</v>
      </c>
      <c r="Q270" s="178">
        <f t="shared" si="13"/>
        <v>0</v>
      </c>
      <c r="S270" s="178">
        <f t="shared" si="14"/>
        <v>0</v>
      </c>
    </row>
    <row r="271" spans="14:19" x14ac:dyDescent="0.25">
      <c r="N271" s="178" t="str">
        <f t="shared" si="12"/>
        <v/>
      </c>
      <c r="P271" s="52" t="s">
        <v>354</v>
      </c>
      <c r="Q271" s="178">
        <f t="shared" si="13"/>
        <v>0</v>
      </c>
      <c r="S271" s="178">
        <f t="shared" si="14"/>
        <v>0</v>
      </c>
    </row>
    <row r="272" spans="14:19" x14ac:dyDescent="0.25">
      <c r="N272" s="178" t="str">
        <f t="shared" si="12"/>
        <v/>
      </c>
      <c r="P272" s="52" t="s">
        <v>354</v>
      </c>
      <c r="Q272" s="178">
        <f t="shared" si="13"/>
        <v>0</v>
      </c>
      <c r="S272" s="178">
        <f t="shared" si="14"/>
        <v>0</v>
      </c>
    </row>
    <row r="273" spans="14:19" x14ac:dyDescent="0.25">
      <c r="N273" s="178" t="str">
        <f t="shared" si="12"/>
        <v/>
      </c>
      <c r="P273" s="52" t="s">
        <v>354</v>
      </c>
      <c r="Q273" s="178">
        <f t="shared" si="13"/>
        <v>0</v>
      </c>
      <c r="S273" s="178">
        <f t="shared" si="14"/>
        <v>0</v>
      </c>
    </row>
    <row r="274" spans="14:19" x14ac:dyDescent="0.25">
      <c r="N274" s="178" t="str">
        <f t="shared" si="12"/>
        <v/>
      </c>
      <c r="P274" s="52" t="s">
        <v>354</v>
      </c>
      <c r="Q274" s="178">
        <f t="shared" si="13"/>
        <v>0</v>
      </c>
      <c r="S274" s="178">
        <f t="shared" si="14"/>
        <v>0</v>
      </c>
    </row>
    <row r="275" spans="14:19" x14ac:dyDescent="0.25">
      <c r="N275" s="178" t="str">
        <f t="shared" si="12"/>
        <v/>
      </c>
      <c r="P275" s="52" t="s">
        <v>354</v>
      </c>
      <c r="Q275" s="178">
        <f t="shared" si="13"/>
        <v>0</v>
      </c>
      <c r="S275" s="178">
        <f t="shared" si="14"/>
        <v>0</v>
      </c>
    </row>
    <row r="276" spans="14:19" x14ac:dyDescent="0.25">
      <c r="N276" s="178" t="str">
        <f t="shared" si="12"/>
        <v/>
      </c>
      <c r="P276" s="52" t="s">
        <v>354</v>
      </c>
      <c r="Q276" s="178">
        <f t="shared" si="13"/>
        <v>0</v>
      </c>
      <c r="S276" s="178">
        <f t="shared" si="14"/>
        <v>0</v>
      </c>
    </row>
    <row r="277" spans="14:19" x14ac:dyDescent="0.25">
      <c r="N277" s="178" t="str">
        <f t="shared" si="12"/>
        <v/>
      </c>
      <c r="P277" s="52" t="s">
        <v>354</v>
      </c>
      <c r="Q277" s="178">
        <f t="shared" si="13"/>
        <v>0</v>
      </c>
      <c r="S277" s="178">
        <f t="shared" si="14"/>
        <v>0</v>
      </c>
    </row>
    <row r="278" spans="14:19" x14ac:dyDescent="0.25">
      <c r="N278" s="178" t="str">
        <f t="shared" si="12"/>
        <v/>
      </c>
      <c r="P278" s="52" t="s">
        <v>354</v>
      </c>
      <c r="Q278" s="178">
        <f t="shared" si="13"/>
        <v>0</v>
      </c>
      <c r="S278" s="178">
        <f t="shared" si="14"/>
        <v>0</v>
      </c>
    </row>
    <row r="279" spans="14:19" x14ac:dyDescent="0.25">
      <c r="N279" s="178" t="str">
        <f t="shared" si="12"/>
        <v/>
      </c>
      <c r="P279" s="52" t="s">
        <v>354</v>
      </c>
      <c r="Q279" s="178">
        <f t="shared" si="13"/>
        <v>0</v>
      </c>
      <c r="S279" s="178">
        <f t="shared" si="14"/>
        <v>0</v>
      </c>
    </row>
    <row r="280" spans="14:19" x14ac:dyDescent="0.25">
      <c r="N280" s="178" t="str">
        <f t="shared" si="12"/>
        <v/>
      </c>
      <c r="P280" s="52" t="s">
        <v>354</v>
      </c>
      <c r="Q280" s="178">
        <f t="shared" si="13"/>
        <v>0</v>
      </c>
      <c r="S280" s="178">
        <f t="shared" si="14"/>
        <v>0</v>
      </c>
    </row>
    <row r="281" spans="14:19" x14ac:dyDescent="0.25">
      <c r="N281" s="178" t="str">
        <f t="shared" si="12"/>
        <v/>
      </c>
      <c r="P281" s="52" t="s">
        <v>354</v>
      </c>
      <c r="Q281" s="178">
        <f t="shared" si="13"/>
        <v>0</v>
      </c>
      <c r="S281" s="178">
        <f t="shared" si="14"/>
        <v>0</v>
      </c>
    </row>
    <row r="282" spans="14:19" x14ac:dyDescent="0.25">
      <c r="N282" s="178" t="str">
        <f t="shared" si="12"/>
        <v/>
      </c>
      <c r="P282" s="52" t="s">
        <v>354</v>
      </c>
      <c r="Q282" s="178">
        <f t="shared" si="13"/>
        <v>0</v>
      </c>
      <c r="S282" s="178">
        <f t="shared" si="14"/>
        <v>0</v>
      </c>
    </row>
    <row r="283" spans="14:19" x14ac:dyDescent="0.25">
      <c r="N283" s="178" t="str">
        <f t="shared" si="12"/>
        <v/>
      </c>
      <c r="P283" s="52" t="s">
        <v>354</v>
      </c>
      <c r="Q283" s="178">
        <f t="shared" si="13"/>
        <v>0</v>
      </c>
      <c r="S283" s="178">
        <f t="shared" si="14"/>
        <v>0</v>
      </c>
    </row>
    <row r="284" spans="14:19" x14ac:dyDescent="0.25">
      <c r="N284" s="178" t="str">
        <f t="shared" si="12"/>
        <v/>
      </c>
      <c r="P284" s="52" t="s">
        <v>354</v>
      </c>
      <c r="Q284" s="178">
        <f t="shared" si="13"/>
        <v>0</v>
      </c>
      <c r="S284" s="178">
        <f t="shared" si="14"/>
        <v>0</v>
      </c>
    </row>
    <row r="285" spans="14:19" x14ac:dyDescent="0.25">
      <c r="N285" s="178" t="str">
        <f t="shared" si="12"/>
        <v/>
      </c>
      <c r="P285" s="52" t="s">
        <v>354</v>
      </c>
      <c r="Q285" s="178">
        <f t="shared" si="13"/>
        <v>0</v>
      </c>
      <c r="S285" s="178">
        <f t="shared" si="14"/>
        <v>0</v>
      </c>
    </row>
    <row r="286" spans="14:19" x14ac:dyDescent="0.25">
      <c r="N286" s="178" t="str">
        <f t="shared" si="12"/>
        <v/>
      </c>
      <c r="P286" s="52" t="s">
        <v>354</v>
      </c>
      <c r="Q286" s="178">
        <f t="shared" si="13"/>
        <v>0</v>
      </c>
      <c r="S286" s="178">
        <f t="shared" si="14"/>
        <v>0</v>
      </c>
    </row>
    <row r="287" spans="14:19" x14ac:dyDescent="0.25">
      <c r="N287" s="178" t="str">
        <f t="shared" si="12"/>
        <v/>
      </c>
      <c r="P287" s="52" t="s">
        <v>354</v>
      </c>
      <c r="Q287" s="178">
        <f t="shared" si="13"/>
        <v>0</v>
      </c>
      <c r="S287" s="178">
        <f t="shared" si="14"/>
        <v>0</v>
      </c>
    </row>
    <row r="288" spans="14:19" x14ac:dyDescent="0.25">
      <c r="N288" s="178" t="str">
        <f t="shared" si="12"/>
        <v/>
      </c>
      <c r="P288" s="52" t="s">
        <v>354</v>
      </c>
      <c r="Q288" s="178">
        <f t="shared" si="13"/>
        <v>0</v>
      </c>
      <c r="S288" s="178">
        <f t="shared" si="14"/>
        <v>0</v>
      </c>
    </row>
    <row r="289" spans="14:19" x14ac:dyDescent="0.25">
      <c r="N289" s="178" t="str">
        <f t="shared" si="12"/>
        <v/>
      </c>
      <c r="P289" s="52" t="s">
        <v>354</v>
      </c>
      <c r="Q289" s="178">
        <f t="shared" si="13"/>
        <v>0</v>
      </c>
      <c r="S289" s="178">
        <f t="shared" si="14"/>
        <v>0</v>
      </c>
    </row>
    <row r="290" spans="14:19" x14ac:dyDescent="0.25">
      <c r="N290" s="178" t="str">
        <f t="shared" si="12"/>
        <v/>
      </c>
      <c r="P290" s="52" t="s">
        <v>217</v>
      </c>
      <c r="Q290" s="178">
        <f t="shared" si="13"/>
        <v>0</v>
      </c>
      <c r="S290" s="178">
        <f t="shared" si="14"/>
        <v>0</v>
      </c>
    </row>
    <row r="291" spans="14:19" x14ac:dyDescent="0.25">
      <c r="N291" s="178" t="str">
        <f t="shared" si="12"/>
        <v/>
      </c>
      <c r="P291" s="52" t="s">
        <v>217</v>
      </c>
      <c r="Q291" s="178">
        <f t="shared" si="13"/>
        <v>0</v>
      </c>
      <c r="S291" s="178">
        <f t="shared" si="14"/>
        <v>0</v>
      </c>
    </row>
    <row r="292" spans="14:19" x14ac:dyDescent="0.25">
      <c r="N292" s="178" t="str">
        <f t="shared" si="12"/>
        <v/>
      </c>
      <c r="P292" s="52" t="s">
        <v>217</v>
      </c>
      <c r="Q292" s="178">
        <f t="shared" si="13"/>
        <v>0</v>
      </c>
      <c r="S292" s="178">
        <f t="shared" si="14"/>
        <v>0</v>
      </c>
    </row>
    <row r="293" spans="14:19" x14ac:dyDescent="0.25">
      <c r="N293" s="178" t="str">
        <f t="shared" si="12"/>
        <v/>
      </c>
      <c r="P293" s="52" t="s">
        <v>217</v>
      </c>
      <c r="Q293" s="178">
        <f t="shared" si="13"/>
        <v>0</v>
      </c>
      <c r="S293" s="178">
        <f t="shared" si="14"/>
        <v>0</v>
      </c>
    </row>
    <row r="294" spans="14:19" x14ac:dyDescent="0.25">
      <c r="N294" s="178" t="str">
        <f t="shared" si="12"/>
        <v/>
      </c>
      <c r="P294" s="52" t="s">
        <v>217</v>
      </c>
      <c r="Q294" s="178">
        <f t="shared" si="13"/>
        <v>0</v>
      </c>
      <c r="S294" s="178">
        <f t="shared" si="14"/>
        <v>0</v>
      </c>
    </row>
    <row r="295" spans="14:19" x14ac:dyDescent="0.25">
      <c r="N295" s="178" t="str">
        <f t="shared" si="12"/>
        <v/>
      </c>
      <c r="P295" s="52" t="s">
        <v>217</v>
      </c>
      <c r="Q295" s="178">
        <f t="shared" si="13"/>
        <v>0</v>
      </c>
      <c r="S295" s="178">
        <f t="shared" si="14"/>
        <v>0</v>
      </c>
    </row>
    <row r="296" spans="14:19" x14ac:dyDescent="0.25">
      <c r="N296" s="178" t="str">
        <f t="shared" si="12"/>
        <v/>
      </c>
      <c r="P296" s="52" t="s">
        <v>217</v>
      </c>
      <c r="Q296" s="178">
        <f t="shared" si="13"/>
        <v>0</v>
      </c>
      <c r="S296" s="178">
        <f t="shared" si="14"/>
        <v>0</v>
      </c>
    </row>
    <row r="297" spans="14:19" x14ac:dyDescent="0.25">
      <c r="N297" s="178" t="str">
        <f t="shared" si="12"/>
        <v/>
      </c>
      <c r="P297" s="52" t="s">
        <v>217</v>
      </c>
      <c r="Q297" s="178">
        <f t="shared" si="13"/>
        <v>0</v>
      </c>
      <c r="S297" s="178">
        <f t="shared" si="14"/>
        <v>0</v>
      </c>
    </row>
    <row r="298" spans="14:19" x14ac:dyDescent="0.25">
      <c r="N298" s="178" t="str">
        <f t="shared" si="12"/>
        <v/>
      </c>
      <c r="P298" s="52" t="s">
        <v>217</v>
      </c>
      <c r="Q298" s="178">
        <f t="shared" si="13"/>
        <v>0</v>
      </c>
      <c r="S298" s="178">
        <f t="shared" si="14"/>
        <v>0</v>
      </c>
    </row>
    <row r="299" spans="14:19" x14ac:dyDescent="0.25">
      <c r="N299" s="178" t="str">
        <f t="shared" si="12"/>
        <v/>
      </c>
      <c r="P299" s="52" t="s">
        <v>217</v>
      </c>
      <c r="Q299" s="178">
        <f t="shared" si="13"/>
        <v>0</v>
      </c>
      <c r="S299" s="178">
        <f t="shared" si="14"/>
        <v>0</v>
      </c>
    </row>
    <row r="300" spans="14:19" x14ac:dyDescent="0.25">
      <c r="N300" s="178" t="str">
        <f t="shared" si="12"/>
        <v/>
      </c>
      <c r="P300" s="52" t="s">
        <v>217</v>
      </c>
      <c r="Q300" s="178">
        <f t="shared" si="13"/>
        <v>0</v>
      </c>
      <c r="S300" s="178">
        <f t="shared" si="14"/>
        <v>0</v>
      </c>
    </row>
    <row r="301" spans="14:19" x14ac:dyDescent="0.25">
      <c r="N301" s="178" t="str">
        <f t="shared" si="12"/>
        <v/>
      </c>
      <c r="P301" s="52" t="s">
        <v>217</v>
      </c>
      <c r="Q301" s="178">
        <f t="shared" si="13"/>
        <v>0</v>
      </c>
      <c r="S301" s="178">
        <f t="shared" si="14"/>
        <v>0</v>
      </c>
    </row>
    <row r="302" spans="14:19" x14ac:dyDescent="0.25">
      <c r="N302" s="178" t="str">
        <f t="shared" si="12"/>
        <v/>
      </c>
      <c r="P302" s="52" t="s">
        <v>217</v>
      </c>
      <c r="Q302" s="178">
        <f t="shared" si="13"/>
        <v>0</v>
      </c>
      <c r="S302" s="178">
        <f t="shared" si="14"/>
        <v>0</v>
      </c>
    </row>
    <row r="303" spans="14:19" x14ac:dyDescent="0.25">
      <c r="N303" s="178" t="str">
        <f t="shared" si="12"/>
        <v/>
      </c>
      <c r="P303" s="52" t="s">
        <v>217</v>
      </c>
      <c r="Q303" s="178">
        <f t="shared" si="13"/>
        <v>0</v>
      </c>
      <c r="S303" s="178">
        <f t="shared" si="14"/>
        <v>0</v>
      </c>
    </row>
    <row r="304" spans="14:19" x14ac:dyDescent="0.25">
      <c r="N304" s="178" t="str">
        <f t="shared" si="12"/>
        <v/>
      </c>
      <c r="P304" s="52" t="s">
        <v>217</v>
      </c>
      <c r="Q304" s="178">
        <f t="shared" si="13"/>
        <v>0</v>
      </c>
      <c r="S304" s="178">
        <f t="shared" si="14"/>
        <v>0</v>
      </c>
    </row>
    <row r="305" spans="14:19" x14ac:dyDescent="0.25">
      <c r="N305" s="178" t="str">
        <f t="shared" si="12"/>
        <v/>
      </c>
      <c r="P305" s="52" t="s">
        <v>217</v>
      </c>
      <c r="Q305" s="178">
        <f t="shared" si="13"/>
        <v>0</v>
      </c>
      <c r="S305" s="178">
        <f t="shared" si="14"/>
        <v>0</v>
      </c>
    </row>
    <row r="306" spans="14:19" x14ac:dyDescent="0.25">
      <c r="N306" s="178" t="str">
        <f t="shared" si="12"/>
        <v/>
      </c>
      <c r="P306" s="52" t="s">
        <v>217</v>
      </c>
      <c r="Q306" s="178">
        <f t="shared" si="13"/>
        <v>0</v>
      </c>
      <c r="S306" s="178">
        <f t="shared" si="14"/>
        <v>0</v>
      </c>
    </row>
    <row r="307" spans="14:19" x14ac:dyDescent="0.25">
      <c r="N307" s="178" t="str">
        <f t="shared" si="12"/>
        <v/>
      </c>
      <c r="P307" s="52" t="s">
        <v>217</v>
      </c>
      <c r="Q307" s="178">
        <f t="shared" si="13"/>
        <v>0</v>
      </c>
      <c r="S307" s="178">
        <f t="shared" si="14"/>
        <v>0</v>
      </c>
    </row>
    <row r="308" spans="14:19" x14ac:dyDescent="0.25">
      <c r="N308" s="178" t="str">
        <f t="shared" si="12"/>
        <v/>
      </c>
      <c r="P308" s="52" t="s">
        <v>217</v>
      </c>
      <c r="Q308" s="178">
        <f t="shared" si="13"/>
        <v>0</v>
      </c>
      <c r="S308" s="178">
        <f t="shared" si="14"/>
        <v>0</v>
      </c>
    </row>
    <row r="309" spans="14:19" x14ac:dyDescent="0.25">
      <c r="N309" s="178" t="str">
        <f t="shared" si="12"/>
        <v/>
      </c>
      <c r="P309" s="52" t="s">
        <v>217</v>
      </c>
      <c r="Q309" s="178">
        <f t="shared" si="13"/>
        <v>0</v>
      </c>
      <c r="S309" s="178">
        <f t="shared" si="14"/>
        <v>0</v>
      </c>
    </row>
    <row r="310" spans="14:19" x14ac:dyDescent="0.25">
      <c r="N310" s="178" t="str">
        <f t="shared" si="12"/>
        <v/>
      </c>
      <c r="P310" s="52" t="s">
        <v>217</v>
      </c>
      <c r="Q310" s="178">
        <f t="shared" si="13"/>
        <v>0</v>
      </c>
      <c r="S310" s="178">
        <f t="shared" si="14"/>
        <v>0</v>
      </c>
    </row>
    <row r="311" spans="14:19" x14ac:dyDescent="0.25">
      <c r="N311" s="178" t="str">
        <f t="shared" si="12"/>
        <v/>
      </c>
      <c r="P311" s="52" t="s">
        <v>217</v>
      </c>
      <c r="Q311" s="178">
        <f t="shared" si="13"/>
        <v>0</v>
      </c>
      <c r="S311" s="178">
        <f t="shared" si="14"/>
        <v>0</v>
      </c>
    </row>
    <row r="312" spans="14:19" x14ac:dyDescent="0.25">
      <c r="N312" s="178" t="str">
        <f t="shared" si="12"/>
        <v/>
      </c>
      <c r="P312" s="52" t="s">
        <v>217</v>
      </c>
      <c r="Q312" s="178">
        <f t="shared" si="13"/>
        <v>0</v>
      </c>
      <c r="S312" s="178">
        <f t="shared" si="14"/>
        <v>0</v>
      </c>
    </row>
    <row r="313" spans="14:19" x14ac:dyDescent="0.25">
      <c r="N313" s="178" t="str">
        <f t="shared" si="12"/>
        <v/>
      </c>
      <c r="P313" s="52" t="s">
        <v>217</v>
      </c>
      <c r="Q313" s="178">
        <f t="shared" si="13"/>
        <v>0</v>
      </c>
      <c r="S313" s="178">
        <f t="shared" si="14"/>
        <v>0</v>
      </c>
    </row>
    <row r="314" spans="14:19" x14ac:dyDescent="0.25">
      <c r="N314" s="178" t="str">
        <f t="shared" si="12"/>
        <v/>
      </c>
      <c r="P314" s="52" t="s">
        <v>217</v>
      </c>
      <c r="Q314" s="178">
        <f t="shared" si="13"/>
        <v>0</v>
      </c>
      <c r="S314" s="178">
        <f t="shared" si="14"/>
        <v>0</v>
      </c>
    </row>
    <row r="315" spans="14:19" x14ac:dyDescent="0.25">
      <c r="N315" s="178" t="str">
        <f t="shared" si="12"/>
        <v/>
      </c>
      <c r="P315" s="52" t="s">
        <v>217</v>
      </c>
      <c r="Q315" s="178">
        <f t="shared" si="13"/>
        <v>0</v>
      </c>
      <c r="S315" s="178">
        <f t="shared" si="14"/>
        <v>0</v>
      </c>
    </row>
    <row r="316" spans="14:19" x14ac:dyDescent="0.25">
      <c r="N316" s="178" t="str">
        <f t="shared" si="12"/>
        <v/>
      </c>
      <c r="P316" s="52" t="s">
        <v>214</v>
      </c>
      <c r="Q316" s="178">
        <f t="shared" si="13"/>
        <v>0</v>
      </c>
      <c r="S316" s="178">
        <f t="shared" si="14"/>
        <v>0</v>
      </c>
    </row>
    <row r="317" spans="14:19" x14ac:dyDescent="0.25">
      <c r="N317" s="178" t="str">
        <f t="shared" si="12"/>
        <v/>
      </c>
      <c r="P317" s="52" t="s">
        <v>214</v>
      </c>
      <c r="Q317" s="178">
        <f t="shared" si="13"/>
        <v>0</v>
      </c>
      <c r="S317" s="178">
        <f t="shared" si="14"/>
        <v>0</v>
      </c>
    </row>
    <row r="318" spans="14:19" x14ac:dyDescent="0.25">
      <c r="N318" s="178" t="str">
        <f t="shared" si="12"/>
        <v/>
      </c>
      <c r="P318" s="52" t="s">
        <v>214</v>
      </c>
      <c r="Q318" s="178">
        <f t="shared" si="13"/>
        <v>0</v>
      </c>
      <c r="S318" s="178">
        <f t="shared" si="14"/>
        <v>0</v>
      </c>
    </row>
    <row r="319" spans="14:19" x14ac:dyDescent="0.25">
      <c r="N319" s="178" t="str">
        <f t="shared" si="12"/>
        <v/>
      </c>
      <c r="P319" s="52" t="s">
        <v>214</v>
      </c>
      <c r="Q319" s="178">
        <f t="shared" si="13"/>
        <v>0</v>
      </c>
      <c r="S319" s="178">
        <f t="shared" si="14"/>
        <v>0</v>
      </c>
    </row>
    <row r="320" spans="14:19" x14ac:dyDescent="0.25">
      <c r="N320" s="178" t="str">
        <f t="shared" si="12"/>
        <v/>
      </c>
      <c r="P320" s="52" t="s">
        <v>214</v>
      </c>
      <c r="Q320" s="178">
        <f t="shared" si="13"/>
        <v>0</v>
      </c>
      <c r="S320" s="178">
        <f t="shared" si="14"/>
        <v>0</v>
      </c>
    </row>
    <row r="321" spans="14:19" x14ac:dyDescent="0.25">
      <c r="N321" s="178" t="str">
        <f t="shared" si="12"/>
        <v/>
      </c>
      <c r="P321" s="52" t="s">
        <v>214</v>
      </c>
      <c r="Q321" s="178">
        <f t="shared" si="13"/>
        <v>0</v>
      </c>
      <c r="S321" s="178">
        <f t="shared" si="14"/>
        <v>0</v>
      </c>
    </row>
    <row r="322" spans="14:19" x14ac:dyDescent="0.25">
      <c r="N322" s="178" t="str">
        <f t="shared" ref="N322:N385" si="15">IF(AND(ISNUMBER(VALUE(MID(M322,1,1))), ISNUMBER(VALUE(MID(M322,2,1))), ISNUMBER(VALUE(MID(M322,3,1))), ISNUMBER(VALUE(MID(M322,4,1)))), LEFT(M322,4), "")</f>
        <v/>
      </c>
      <c r="P322" s="52" t="s">
        <v>214</v>
      </c>
      <c r="Q322" s="178">
        <f t="shared" si="13"/>
        <v>0</v>
      </c>
      <c r="S322" s="178">
        <f t="shared" si="14"/>
        <v>0</v>
      </c>
    </row>
    <row r="323" spans="14:19" x14ac:dyDescent="0.25">
      <c r="N323" s="178" t="str">
        <f t="shared" si="15"/>
        <v/>
      </c>
      <c r="P323" s="52" t="s">
        <v>214</v>
      </c>
      <c r="Q323" s="178">
        <f t="shared" ref="Q323:Q386" si="16">FLOOR(O323,10)</f>
        <v>0</v>
      </c>
      <c r="S323" s="178">
        <f t="shared" ref="S323:S386" si="17">CEILING(O323,10)</f>
        <v>0</v>
      </c>
    </row>
    <row r="324" spans="14:19" x14ac:dyDescent="0.25">
      <c r="N324" s="178" t="str">
        <f t="shared" si="15"/>
        <v/>
      </c>
      <c r="P324" s="52" t="s">
        <v>214</v>
      </c>
      <c r="Q324" s="178">
        <f t="shared" si="16"/>
        <v>0</v>
      </c>
      <c r="S324" s="178">
        <f t="shared" si="17"/>
        <v>0</v>
      </c>
    </row>
    <row r="325" spans="14:19" x14ac:dyDescent="0.25">
      <c r="N325" s="178" t="str">
        <f t="shared" si="15"/>
        <v/>
      </c>
      <c r="P325" s="52" t="s">
        <v>214</v>
      </c>
      <c r="Q325" s="178">
        <f t="shared" si="16"/>
        <v>0</v>
      </c>
      <c r="S325" s="178">
        <f t="shared" si="17"/>
        <v>0</v>
      </c>
    </row>
    <row r="326" spans="14:19" x14ac:dyDescent="0.25">
      <c r="N326" s="178" t="str">
        <f t="shared" si="15"/>
        <v/>
      </c>
      <c r="P326" s="52" t="s">
        <v>214</v>
      </c>
      <c r="Q326" s="178">
        <f t="shared" si="16"/>
        <v>0</v>
      </c>
      <c r="S326" s="178">
        <f t="shared" si="17"/>
        <v>0</v>
      </c>
    </row>
    <row r="327" spans="14:19" x14ac:dyDescent="0.25">
      <c r="N327" s="178" t="str">
        <f t="shared" si="15"/>
        <v/>
      </c>
      <c r="P327" s="52" t="s">
        <v>214</v>
      </c>
      <c r="Q327" s="178">
        <f t="shared" si="16"/>
        <v>0</v>
      </c>
      <c r="S327" s="178">
        <f t="shared" si="17"/>
        <v>0</v>
      </c>
    </row>
    <row r="328" spans="14:19" x14ac:dyDescent="0.25">
      <c r="N328" s="178" t="str">
        <f t="shared" si="15"/>
        <v/>
      </c>
      <c r="P328" s="52" t="s">
        <v>214</v>
      </c>
      <c r="Q328" s="178">
        <f t="shared" si="16"/>
        <v>0</v>
      </c>
      <c r="S328" s="178">
        <f t="shared" si="17"/>
        <v>0</v>
      </c>
    </row>
    <row r="329" spans="14:19" x14ac:dyDescent="0.25">
      <c r="N329" s="178" t="str">
        <f t="shared" si="15"/>
        <v/>
      </c>
      <c r="P329" s="52" t="s">
        <v>214</v>
      </c>
      <c r="Q329" s="178">
        <f t="shared" si="16"/>
        <v>0</v>
      </c>
      <c r="S329" s="178">
        <f t="shared" si="17"/>
        <v>0</v>
      </c>
    </row>
    <row r="330" spans="14:19" x14ac:dyDescent="0.25">
      <c r="N330" s="178" t="str">
        <f t="shared" si="15"/>
        <v/>
      </c>
      <c r="P330" s="52" t="s">
        <v>214</v>
      </c>
      <c r="Q330" s="178">
        <f t="shared" si="16"/>
        <v>0</v>
      </c>
      <c r="S330" s="178">
        <f t="shared" si="17"/>
        <v>0</v>
      </c>
    </row>
    <row r="331" spans="14:19" x14ac:dyDescent="0.25">
      <c r="N331" s="178" t="str">
        <f t="shared" si="15"/>
        <v/>
      </c>
      <c r="P331" s="52" t="s">
        <v>214</v>
      </c>
      <c r="Q331" s="178">
        <f t="shared" si="16"/>
        <v>0</v>
      </c>
      <c r="S331" s="178">
        <f t="shared" si="17"/>
        <v>0</v>
      </c>
    </row>
    <row r="332" spans="14:19" x14ac:dyDescent="0.25">
      <c r="N332" s="178" t="str">
        <f t="shared" si="15"/>
        <v/>
      </c>
      <c r="P332" s="52" t="s">
        <v>214</v>
      </c>
      <c r="Q332" s="178">
        <f t="shared" si="16"/>
        <v>0</v>
      </c>
      <c r="S332" s="178">
        <f t="shared" si="17"/>
        <v>0</v>
      </c>
    </row>
    <row r="333" spans="14:19" x14ac:dyDescent="0.25">
      <c r="N333" s="178" t="str">
        <f t="shared" si="15"/>
        <v/>
      </c>
      <c r="P333" s="52" t="s">
        <v>214</v>
      </c>
      <c r="Q333" s="178">
        <f t="shared" si="16"/>
        <v>0</v>
      </c>
      <c r="S333" s="178">
        <f t="shared" si="17"/>
        <v>0</v>
      </c>
    </row>
    <row r="334" spans="14:19" x14ac:dyDescent="0.25">
      <c r="N334" s="178" t="str">
        <f t="shared" si="15"/>
        <v/>
      </c>
      <c r="P334" s="52" t="s">
        <v>214</v>
      </c>
      <c r="Q334" s="178">
        <f t="shared" si="16"/>
        <v>0</v>
      </c>
      <c r="S334" s="178">
        <f t="shared" si="17"/>
        <v>0</v>
      </c>
    </row>
    <row r="335" spans="14:19" x14ac:dyDescent="0.25">
      <c r="N335" s="178" t="str">
        <f t="shared" si="15"/>
        <v/>
      </c>
      <c r="P335" s="52" t="s">
        <v>214</v>
      </c>
      <c r="Q335" s="178">
        <f t="shared" si="16"/>
        <v>0</v>
      </c>
      <c r="S335" s="178">
        <f t="shared" si="17"/>
        <v>0</v>
      </c>
    </row>
    <row r="336" spans="14:19" x14ac:dyDescent="0.25">
      <c r="N336" s="178" t="str">
        <f t="shared" si="15"/>
        <v/>
      </c>
      <c r="P336" s="52" t="s">
        <v>214</v>
      </c>
      <c r="Q336" s="178">
        <f t="shared" si="16"/>
        <v>0</v>
      </c>
      <c r="S336" s="178">
        <f t="shared" si="17"/>
        <v>0</v>
      </c>
    </row>
    <row r="337" spans="14:19" x14ac:dyDescent="0.25">
      <c r="N337" s="178" t="str">
        <f t="shared" si="15"/>
        <v/>
      </c>
      <c r="P337" s="52" t="s">
        <v>214</v>
      </c>
      <c r="Q337" s="178">
        <f t="shared" si="16"/>
        <v>0</v>
      </c>
      <c r="S337" s="178">
        <f t="shared" si="17"/>
        <v>0</v>
      </c>
    </row>
    <row r="338" spans="14:19" x14ac:dyDescent="0.25">
      <c r="N338" s="178" t="str">
        <f t="shared" si="15"/>
        <v/>
      </c>
      <c r="P338" s="52" t="s">
        <v>214</v>
      </c>
      <c r="Q338" s="178">
        <f t="shared" si="16"/>
        <v>0</v>
      </c>
      <c r="S338" s="178">
        <f t="shared" si="17"/>
        <v>0</v>
      </c>
    </row>
    <row r="339" spans="14:19" x14ac:dyDescent="0.25">
      <c r="N339" s="178" t="str">
        <f t="shared" si="15"/>
        <v/>
      </c>
      <c r="P339" s="52" t="s">
        <v>214</v>
      </c>
      <c r="Q339" s="178">
        <f t="shared" si="16"/>
        <v>0</v>
      </c>
      <c r="S339" s="178">
        <f t="shared" si="17"/>
        <v>0</v>
      </c>
    </row>
    <row r="340" spans="14:19" x14ac:dyDescent="0.25">
      <c r="N340" s="178" t="str">
        <f t="shared" si="15"/>
        <v/>
      </c>
      <c r="P340" s="52" t="s">
        <v>214</v>
      </c>
      <c r="Q340" s="178">
        <f t="shared" si="16"/>
        <v>0</v>
      </c>
      <c r="S340" s="178">
        <f t="shared" si="17"/>
        <v>0</v>
      </c>
    </row>
    <row r="341" spans="14:19" x14ac:dyDescent="0.25">
      <c r="N341" s="178" t="str">
        <f t="shared" si="15"/>
        <v/>
      </c>
      <c r="P341" s="52" t="s">
        <v>214</v>
      </c>
      <c r="Q341" s="178">
        <f t="shared" si="16"/>
        <v>0</v>
      </c>
      <c r="S341" s="178">
        <f t="shared" si="17"/>
        <v>0</v>
      </c>
    </row>
    <row r="342" spans="14:19" x14ac:dyDescent="0.25">
      <c r="N342" s="178" t="str">
        <f t="shared" si="15"/>
        <v/>
      </c>
      <c r="P342" s="52" t="s">
        <v>214</v>
      </c>
      <c r="Q342" s="178">
        <f t="shared" si="16"/>
        <v>0</v>
      </c>
      <c r="S342" s="178">
        <f t="shared" si="17"/>
        <v>0</v>
      </c>
    </row>
    <row r="343" spans="14:19" x14ac:dyDescent="0.25">
      <c r="N343" s="178" t="str">
        <f t="shared" si="15"/>
        <v/>
      </c>
      <c r="P343" s="52" t="s">
        <v>214</v>
      </c>
      <c r="Q343" s="178">
        <f t="shared" si="16"/>
        <v>0</v>
      </c>
      <c r="S343" s="178">
        <f t="shared" si="17"/>
        <v>0</v>
      </c>
    </row>
    <row r="344" spans="14:19" x14ac:dyDescent="0.25">
      <c r="N344" s="178" t="str">
        <f t="shared" si="15"/>
        <v/>
      </c>
      <c r="P344" s="52" t="s">
        <v>214</v>
      </c>
      <c r="Q344" s="178">
        <f t="shared" si="16"/>
        <v>0</v>
      </c>
      <c r="S344" s="178">
        <f t="shared" si="17"/>
        <v>0</v>
      </c>
    </row>
    <row r="345" spans="14:19" x14ac:dyDescent="0.25">
      <c r="N345" s="178" t="str">
        <f t="shared" si="15"/>
        <v/>
      </c>
      <c r="P345" s="52" t="s">
        <v>214</v>
      </c>
      <c r="Q345" s="178">
        <f t="shared" si="16"/>
        <v>0</v>
      </c>
      <c r="S345" s="178">
        <f t="shared" si="17"/>
        <v>0</v>
      </c>
    </row>
    <row r="346" spans="14:19" x14ac:dyDescent="0.25">
      <c r="N346" s="178" t="str">
        <f t="shared" si="15"/>
        <v/>
      </c>
      <c r="P346" s="52" t="s">
        <v>164</v>
      </c>
      <c r="Q346" s="178">
        <f t="shared" si="16"/>
        <v>0</v>
      </c>
      <c r="S346" s="178">
        <f t="shared" si="17"/>
        <v>0</v>
      </c>
    </row>
    <row r="347" spans="14:19" x14ac:dyDescent="0.25">
      <c r="N347" s="178" t="str">
        <f t="shared" si="15"/>
        <v/>
      </c>
      <c r="P347" s="52" t="s">
        <v>164</v>
      </c>
      <c r="Q347" s="178">
        <f t="shared" si="16"/>
        <v>0</v>
      </c>
      <c r="S347" s="178">
        <f t="shared" si="17"/>
        <v>0</v>
      </c>
    </row>
    <row r="348" spans="14:19" x14ac:dyDescent="0.25">
      <c r="N348" s="178" t="str">
        <f t="shared" si="15"/>
        <v/>
      </c>
      <c r="P348" s="52" t="s">
        <v>164</v>
      </c>
      <c r="Q348" s="178">
        <f t="shared" si="16"/>
        <v>0</v>
      </c>
      <c r="S348" s="178">
        <f t="shared" si="17"/>
        <v>0</v>
      </c>
    </row>
    <row r="349" spans="14:19" x14ac:dyDescent="0.25">
      <c r="N349" s="178" t="str">
        <f t="shared" si="15"/>
        <v/>
      </c>
      <c r="P349" s="52" t="s">
        <v>164</v>
      </c>
      <c r="Q349" s="178">
        <f t="shared" si="16"/>
        <v>0</v>
      </c>
      <c r="S349" s="178">
        <f t="shared" si="17"/>
        <v>0</v>
      </c>
    </row>
    <row r="350" spans="14:19" x14ac:dyDescent="0.25">
      <c r="N350" s="178" t="str">
        <f t="shared" si="15"/>
        <v/>
      </c>
      <c r="P350" s="52" t="s">
        <v>164</v>
      </c>
      <c r="Q350" s="178">
        <f t="shared" si="16"/>
        <v>0</v>
      </c>
      <c r="S350" s="178">
        <f t="shared" si="17"/>
        <v>0</v>
      </c>
    </row>
    <row r="351" spans="14:19" x14ac:dyDescent="0.25">
      <c r="N351" s="178" t="str">
        <f t="shared" si="15"/>
        <v/>
      </c>
      <c r="P351" s="52" t="s">
        <v>164</v>
      </c>
      <c r="Q351" s="178">
        <f t="shared" si="16"/>
        <v>0</v>
      </c>
      <c r="S351" s="178">
        <f t="shared" si="17"/>
        <v>0</v>
      </c>
    </row>
    <row r="352" spans="14:19" x14ac:dyDescent="0.25">
      <c r="N352" s="178" t="str">
        <f t="shared" si="15"/>
        <v/>
      </c>
      <c r="P352" s="52" t="s">
        <v>164</v>
      </c>
      <c r="Q352" s="178">
        <f t="shared" si="16"/>
        <v>0</v>
      </c>
      <c r="S352" s="178">
        <f t="shared" si="17"/>
        <v>0</v>
      </c>
    </row>
    <row r="353" spans="14:19" x14ac:dyDescent="0.25">
      <c r="N353" s="178" t="str">
        <f t="shared" si="15"/>
        <v/>
      </c>
      <c r="P353" s="52" t="s">
        <v>164</v>
      </c>
      <c r="Q353" s="178">
        <f t="shared" si="16"/>
        <v>0</v>
      </c>
      <c r="S353" s="178">
        <f t="shared" si="17"/>
        <v>0</v>
      </c>
    </row>
    <row r="354" spans="14:19" x14ac:dyDescent="0.25">
      <c r="N354" s="178" t="str">
        <f t="shared" si="15"/>
        <v/>
      </c>
      <c r="P354" s="52" t="s">
        <v>164</v>
      </c>
      <c r="Q354" s="178">
        <f t="shared" si="16"/>
        <v>0</v>
      </c>
      <c r="S354" s="178">
        <f t="shared" si="17"/>
        <v>0</v>
      </c>
    </row>
    <row r="355" spans="14:19" x14ac:dyDescent="0.25">
      <c r="N355" s="178" t="str">
        <f t="shared" si="15"/>
        <v/>
      </c>
      <c r="P355" s="52" t="s">
        <v>164</v>
      </c>
      <c r="Q355" s="178">
        <f t="shared" si="16"/>
        <v>0</v>
      </c>
      <c r="S355" s="178">
        <f t="shared" si="17"/>
        <v>0</v>
      </c>
    </row>
    <row r="356" spans="14:19" x14ac:dyDescent="0.25">
      <c r="N356" s="178" t="str">
        <f t="shared" si="15"/>
        <v/>
      </c>
      <c r="P356" s="52" t="s">
        <v>164</v>
      </c>
      <c r="Q356" s="178">
        <f t="shared" si="16"/>
        <v>0</v>
      </c>
      <c r="S356" s="178">
        <f t="shared" si="17"/>
        <v>0</v>
      </c>
    </row>
    <row r="357" spans="14:19" x14ac:dyDescent="0.25">
      <c r="N357" s="178" t="str">
        <f t="shared" si="15"/>
        <v/>
      </c>
      <c r="P357" s="52" t="s">
        <v>164</v>
      </c>
      <c r="Q357" s="178">
        <f t="shared" si="16"/>
        <v>0</v>
      </c>
      <c r="S357" s="178">
        <f t="shared" si="17"/>
        <v>0</v>
      </c>
    </row>
    <row r="358" spans="14:19" x14ac:dyDescent="0.25">
      <c r="N358" s="178" t="str">
        <f t="shared" si="15"/>
        <v/>
      </c>
      <c r="P358" s="52" t="s">
        <v>164</v>
      </c>
      <c r="Q358" s="178">
        <f t="shared" si="16"/>
        <v>0</v>
      </c>
      <c r="S358" s="178">
        <f t="shared" si="17"/>
        <v>0</v>
      </c>
    </row>
    <row r="359" spans="14:19" x14ac:dyDescent="0.25">
      <c r="N359" s="178" t="str">
        <f t="shared" si="15"/>
        <v/>
      </c>
      <c r="P359" s="52" t="s">
        <v>164</v>
      </c>
      <c r="Q359" s="178">
        <f t="shared" si="16"/>
        <v>0</v>
      </c>
      <c r="S359" s="178">
        <f t="shared" si="17"/>
        <v>0</v>
      </c>
    </row>
    <row r="360" spans="14:19" x14ac:dyDescent="0.25">
      <c r="N360" s="178" t="str">
        <f t="shared" si="15"/>
        <v/>
      </c>
      <c r="P360" s="52" t="s">
        <v>164</v>
      </c>
      <c r="Q360" s="178">
        <f t="shared" si="16"/>
        <v>0</v>
      </c>
      <c r="S360" s="178">
        <f t="shared" si="17"/>
        <v>0</v>
      </c>
    </row>
    <row r="361" spans="14:19" x14ac:dyDescent="0.25">
      <c r="N361" s="178" t="str">
        <f t="shared" si="15"/>
        <v/>
      </c>
      <c r="P361" s="52" t="s">
        <v>164</v>
      </c>
      <c r="Q361" s="178">
        <f t="shared" si="16"/>
        <v>0</v>
      </c>
      <c r="S361" s="178">
        <f t="shared" si="17"/>
        <v>0</v>
      </c>
    </row>
    <row r="362" spans="14:19" x14ac:dyDescent="0.25">
      <c r="N362" s="178" t="str">
        <f t="shared" si="15"/>
        <v/>
      </c>
      <c r="P362" s="52" t="s">
        <v>164</v>
      </c>
      <c r="Q362" s="178">
        <f t="shared" si="16"/>
        <v>0</v>
      </c>
      <c r="S362" s="178">
        <f t="shared" si="17"/>
        <v>0</v>
      </c>
    </row>
    <row r="363" spans="14:19" x14ac:dyDescent="0.25">
      <c r="N363" s="178" t="str">
        <f t="shared" si="15"/>
        <v/>
      </c>
      <c r="P363" s="52" t="s">
        <v>164</v>
      </c>
      <c r="Q363" s="178">
        <f t="shared" si="16"/>
        <v>0</v>
      </c>
      <c r="S363" s="178">
        <f t="shared" si="17"/>
        <v>0</v>
      </c>
    </row>
    <row r="364" spans="14:19" x14ac:dyDescent="0.25">
      <c r="N364" s="178" t="str">
        <f t="shared" si="15"/>
        <v/>
      </c>
      <c r="P364" s="52" t="s">
        <v>185</v>
      </c>
      <c r="Q364" s="178">
        <f t="shared" si="16"/>
        <v>0</v>
      </c>
      <c r="S364" s="178">
        <f t="shared" si="17"/>
        <v>0</v>
      </c>
    </row>
    <row r="365" spans="14:19" x14ac:dyDescent="0.25">
      <c r="N365" s="178" t="str">
        <f t="shared" si="15"/>
        <v/>
      </c>
      <c r="P365" s="52" t="s">
        <v>185</v>
      </c>
      <c r="Q365" s="178">
        <f t="shared" si="16"/>
        <v>0</v>
      </c>
      <c r="S365" s="178">
        <f t="shared" si="17"/>
        <v>0</v>
      </c>
    </row>
    <row r="366" spans="14:19" x14ac:dyDescent="0.25">
      <c r="N366" s="178" t="str">
        <f t="shared" si="15"/>
        <v/>
      </c>
      <c r="P366" s="52" t="s">
        <v>185</v>
      </c>
      <c r="Q366" s="178">
        <f t="shared" si="16"/>
        <v>0</v>
      </c>
      <c r="S366" s="178">
        <f t="shared" si="17"/>
        <v>0</v>
      </c>
    </row>
    <row r="367" spans="14:19" x14ac:dyDescent="0.25">
      <c r="N367" s="178" t="str">
        <f t="shared" si="15"/>
        <v/>
      </c>
      <c r="P367" s="52" t="s">
        <v>185</v>
      </c>
      <c r="Q367" s="178">
        <f t="shared" si="16"/>
        <v>0</v>
      </c>
      <c r="S367" s="178">
        <f t="shared" si="17"/>
        <v>0</v>
      </c>
    </row>
    <row r="368" spans="14:19" x14ac:dyDescent="0.25">
      <c r="N368" s="178" t="str">
        <f t="shared" si="15"/>
        <v/>
      </c>
      <c r="P368" s="52" t="s">
        <v>185</v>
      </c>
      <c r="Q368" s="178">
        <f t="shared" si="16"/>
        <v>0</v>
      </c>
      <c r="S368" s="178">
        <f t="shared" si="17"/>
        <v>0</v>
      </c>
    </row>
    <row r="369" spans="14:19" x14ac:dyDescent="0.25">
      <c r="N369" s="178" t="str">
        <f t="shared" si="15"/>
        <v/>
      </c>
      <c r="P369" s="52" t="s">
        <v>185</v>
      </c>
      <c r="Q369" s="178">
        <f t="shared" si="16"/>
        <v>0</v>
      </c>
      <c r="S369" s="178">
        <f t="shared" si="17"/>
        <v>0</v>
      </c>
    </row>
    <row r="370" spans="14:19" x14ac:dyDescent="0.25">
      <c r="N370" s="178" t="str">
        <f t="shared" si="15"/>
        <v/>
      </c>
      <c r="P370" s="52" t="s">
        <v>185</v>
      </c>
      <c r="Q370" s="178">
        <f t="shared" si="16"/>
        <v>0</v>
      </c>
      <c r="S370" s="178">
        <f t="shared" si="17"/>
        <v>0</v>
      </c>
    </row>
    <row r="371" spans="14:19" x14ac:dyDescent="0.25">
      <c r="N371" s="178" t="str">
        <f t="shared" si="15"/>
        <v/>
      </c>
      <c r="P371" s="52" t="s">
        <v>185</v>
      </c>
      <c r="Q371" s="178">
        <f t="shared" si="16"/>
        <v>0</v>
      </c>
      <c r="S371" s="178">
        <f t="shared" si="17"/>
        <v>0</v>
      </c>
    </row>
    <row r="372" spans="14:19" x14ac:dyDescent="0.25">
      <c r="N372" s="178" t="str">
        <f t="shared" si="15"/>
        <v/>
      </c>
      <c r="P372" s="52" t="s">
        <v>185</v>
      </c>
      <c r="Q372" s="178">
        <f t="shared" si="16"/>
        <v>0</v>
      </c>
      <c r="S372" s="178">
        <f t="shared" si="17"/>
        <v>0</v>
      </c>
    </row>
    <row r="373" spans="14:19" x14ac:dyDescent="0.25">
      <c r="N373" s="178" t="str">
        <f t="shared" si="15"/>
        <v/>
      </c>
      <c r="P373" s="52" t="s">
        <v>185</v>
      </c>
      <c r="Q373" s="178">
        <f t="shared" si="16"/>
        <v>0</v>
      </c>
      <c r="S373" s="178">
        <f t="shared" si="17"/>
        <v>0</v>
      </c>
    </row>
    <row r="374" spans="14:19" x14ac:dyDescent="0.25">
      <c r="N374" s="178" t="str">
        <f t="shared" si="15"/>
        <v/>
      </c>
      <c r="P374" s="52" t="s">
        <v>185</v>
      </c>
      <c r="Q374" s="178">
        <f t="shared" si="16"/>
        <v>0</v>
      </c>
      <c r="S374" s="178">
        <f t="shared" si="17"/>
        <v>0</v>
      </c>
    </row>
    <row r="375" spans="14:19" x14ac:dyDescent="0.25">
      <c r="N375" s="178" t="str">
        <f t="shared" si="15"/>
        <v/>
      </c>
      <c r="P375" s="52" t="s">
        <v>185</v>
      </c>
      <c r="Q375" s="178">
        <f t="shared" si="16"/>
        <v>0</v>
      </c>
      <c r="S375" s="178">
        <f t="shared" si="17"/>
        <v>0</v>
      </c>
    </row>
    <row r="376" spans="14:19" x14ac:dyDescent="0.25">
      <c r="N376" s="178" t="str">
        <f t="shared" si="15"/>
        <v/>
      </c>
      <c r="P376" s="52" t="s">
        <v>185</v>
      </c>
      <c r="Q376" s="178">
        <f t="shared" si="16"/>
        <v>0</v>
      </c>
      <c r="S376" s="178">
        <f t="shared" si="17"/>
        <v>0</v>
      </c>
    </row>
    <row r="377" spans="14:19" x14ac:dyDescent="0.25">
      <c r="N377" s="178" t="str">
        <f t="shared" si="15"/>
        <v/>
      </c>
      <c r="P377" s="52" t="s">
        <v>185</v>
      </c>
      <c r="Q377" s="178">
        <f t="shared" si="16"/>
        <v>0</v>
      </c>
      <c r="S377" s="178">
        <f t="shared" si="17"/>
        <v>0</v>
      </c>
    </row>
    <row r="378" spans="14:19" x14ac:dyDescent="0.25">
      <c r="N378" s="178" t="str">
        <f t="shared" si="15"/>
        <v/>
      </c>
      <c r="P378" s="52" t="s">
        <v>185</v>
      </c>
      <c r="Q378" s="178">
        <f t="shared" si="16"/>
        <v>0</v>
      </c>
      <c r="S378" s="178">
        <f t="shared" si="17"/>
        <v>0</v>
      </c>
    </row>
    <row r="379" spans="14:19" x14ac:dyDescent="0.25">
      <c r="N379" s="178" t="str">
        <f t="shared" si="15"/>
        <v/>
      </c>
      <c r="P379" s="52" t="s">
        <v>185</v>
      </c>
      <c r="Q379" s="178">
        <f t="shared" si="16"/>
        <v>0</v>
      </c>
      <c r="S379" s="178">
        <f t="shared" si="17"/>
        <v>0</v>
      </c>
    </row>
    <row r="380" spans="14:19" x14ac:dyDescent="0.25">
      <c r="N380" s="178" t="str">
        <f t="shared" si="15"/>
        <v/>
      </c>
      <c r="P380" s="52" t="s">
        <v>185</v>
      </c>
      <c r="Q380" s="178">
        <f t="shared" si="16"/>
        <v>0</v>
      </c>
      <c r="S380" s="178">
        <f t="shared" si="17"/>
        <v>0</v>
      </c>
    </row>
    <row r="381" spans="14:19" x14ac:dyDescent="0.25">
      <c r="N381" s="178" t="str">
        <f t="shared" si="15"/>
        <v/>
      </c>
      <c r="P381" s="52" t="s">
        <v>185</v>
      </c>
      <c r="Q381" s="178">
        <f t="shared" si="16"/>
        <v>0</v>
      </c>
      <c r="S381" s="178">
        <f t="shared" si="17"/>
        <v>0</v>
      </c>
    </row>
    <row r="382" spans="14:19" x14ac:dyDescent="0.25">
      <c r="N382" s="178" t="str">
        <f t="shared" si="15"/>
        <v/>
      </c>
      <c r="P382" s="52" t="s">
        <v>185</v>
      </c>
      <c r="Q382" s="178">
        <f t="shared" si="16"/>
        <v>0</v>
      </c>
      <c r="S382" s="178">
        <f t="shared" si="17"/>
        <v>0</v>
      </c>
    </row>
    <row r="383" spans="14:19" x14ac:dyDescent="0.25">
      <c r="N383" s="178" t="str">
        <f t="shared" si="15"/>
        <v/>
      </c>
      <c r="P383" s="52" t="s">
        <v>185</v>
      </c>
      <c r="Q383" s="178">
        <f t="shared" si="16"/>
        <v>0</v>
      </c>
      <c r="S383" s="178">
        <f t="shared" si="17"/>
        <v>0</v>
      </c>
    </row>
    <row r="384" spans="14:19" x14ac:dyDescent="0.25">
      <c r="N384" s="178" t="str">
        <f t="shared" si="15"/>
        <v/>
      </c>
      <c r="P384" s="52" t="s">
        <v>185</v>
      </c>
      <c r="Q384" s="178">
        <f t="shared" si="16"/>
        <v>0</v>
      </c>
      <c r="S384" s="178">
        <f t="shared" si="17"/>
        <v>0</v>
      </c>
    </row>
    <row r="385" spans="14:19" x14ac:dyDescent="0.25">
      <c r="N385" s="178" t="str">
        <f t="shared" si="15"/>
        <v/>
      </c>
      <c r="P385" s="52" t="s">
        <v>185</v>
      </c>
      <c r="Q385" s="178">
        <f t="shared" si="16"/>
        <v>0</v>
      </c>
      <c r="S385" s="178">
        <f t="shared" si="17"/>
        <v>0</v>
      </c>
    </row>
    <row r="386" spans="14:19" x14ac:dyDescent="0.25">
      <c r="N386" s="178" t="str">
        <f t="shared" ref="N386:N449" si="18">IF(AND(ISNUMBER(VALUE(MID(M386,1,1))), ISNUMBER(VALUE(MID(M386,2,1))), ISNUMBER(VALUE(MID(M386,3,1))), ISNUMBER(VALUE(MID(M386,4,1)))), LEFT(M386,4), "")</f>
        <v/>
      </c>
      <c r="P386" s="52" t="s">
        <v>185</v>
      </c>
      <c r="Q386" s="178">
        <f t="shared" si="16"/>
        <v>0</v>
      </c>
      <c r="S386" s="178">
        <f t="shared" si="17"/>
        <v>0</v>
      </c>
    </row>
    <row r="387" spans="14:19" x14ac:dyDescent="0.25">
      <c r="N387" s="178" t="str">
        <f t="shared" si="18"/>
        <v/>
      </c>
      <c r="P387" s="52" t="s">
        <v>185</v>
      </c>
      <c r="Q387" s="178">
        <f t="shared" ref="Q387:Q450" si="19">FLOOR(O387,10)</f>
        <v>0</v>
      </c>
      <c r="S387" s="178">
        <f t="shared" ref="S387:S450" si="20">CEILING(O387,10)</f>
        <v>0</v>
      </c>
    </row>
    <row r="388" spans="14:19" x14ac:dyDescent="0.25">
      <c r="N388" s="178" t="str">
        <f t="shared" si="18"/>
        <v/>
      </c>
      <c r="P388" s="52" t="s">
        <v>169</v>
      </c>
      <c r="Q388" s="178">
        <f t="shared" si="19"/>
        <v>0</v>
      </c>
      <c r="S388" s="178">
        <f t="shared" si="20"/>
        <v>0</v>
      </c>
    </row>
    <row r="389" spans="14:19" x14ac:dyDescent="0.25">
      <c r="N389" s="178" t="str">
        <f t="shared" si="18"/>
        <v/>
      </c>
      <c r="P389" s="52" t="s">
        <v>169</v>
      </c>
      <c r="Q389" s="178">
        <f t="shared" si="19"/>
        <v>0</v>
      </c>
      <c r="S389" s="178">
        <f t="shared" si="20"/>
        <v>0</v>
      </c>
    </row>
    <row r="390" spans="14:19" x14ac:dyDescent="0.25">
      <c r="N390" s="178" t="str">
        <f t="shared" si="18"/>
        <v/>
      </c>
      <c r="P390" s="52" t="s">
        <v>169</v>
      </c>
      <c r="Q390" s="178">
        <f t="shared" si="19"/>
        <v>0</v>
      </c>
      <c r="S390" s="178">
        <f t="shared" si="20"/>
        <v>0</v>
      </c>
    </row>
    <row r="391" spans="14:19" x14ac:dyDescent="0.25">
      <c r="N391" s="178" t="str">
        <f t="shared" si="18"/>
        <v/>
      </c>
      <c r="P391" s="52" t="s">
        <v>169</v>
      </c>
      <c r="Q391" s="178">
        <f t="shared" si="19"/>
        <v>0</v>
      </c>
      <c r="S391" s="178">
        <f t="shared" si="20"/>
        <v>0</v>
      </c>
    </row>
    <row r="392" spans="14:19" x14ac:dyDescent="0.25">
      <c r="N392" s="178" t="str">
        <f t="shared" si="18"/>
        <v/>
      </c>
      <c r="P392" s="52" t="s">
        <v>169</v>
      </c>
      <c r="Q392" s="178">
        <f t="shared" si="19"/>
        <v>0</v>
      </c>
      <c r="S392" s="178">
        <f t="shared" si="20"/>
        <v>0</v>
      </c>
    </row>
    <row r="393" spans="14:19" x14ac:dyDescent="0.25">
      <c r="N393" s="178" t="str">
        <f t="shared" si="18"/>
        <v/>
      </c>
      <c r="P393" s="52" t="s">
        <v>169</v>
      </c>
      <c r="Q393" s="178">
        <f t="shared" si="19"/>
        <v>0</v>
      </c>
      <c r="S393" s="178">
        <f t="shared" si="20"/>
        <v>0</v>
      </c>
    </row>
    <row r="394" spans="14:19" x14ac:dyDescent="0.25">
      <c r="N394" s="178" t="str">
        <f t="shared" si="18"/>
        <v/>
      </c>
      <c r="P394" s="52" t="s">
        <v>169</v>
      </c>
      <c r="Q394" s="178">
        <f t="shared" si="19"/>
        <v>0</v>
      </c>
      <c r="S394" s="178">
        <f t="shared" si="20"/>
        <v>0</v>
      </c>
    </row>
    <row r="395" spans="14:19" x14ac:dyDescent="0.25">
      <c r="N395" s="178" t="str">
        <f t="shared" si="18"/>
        <v/>
      </c>
      <c r="P395" s="52" t="s">
        <v>169</v>
      </c>
      <c r="Q395" s="178">
        <f t="shared" si="19"/>
        <v>0</v>
      </c>
      <c r="S395" s="178">
        <f t="shared" si="20"/>
        <v>0</v>
      </c>
    </row>
    <row r="396" spans="14:19" x14ac:dyDescent="0.25">
      <c r="N396" s="178" t="str">
        <f t="shared" si="18"/>
        <v/>
      </c>
      <c r="P396" s="52" t="s">
        <v>169</v>
      </c>
      <c r="Q396" s="178">
        <f t="shared" si="19"/>
        <v>0</v>
      </c>
      <c r="S396" s="178">
        <f t="shared" si="20"/>
        <v>0</v>
      </c>
    </row>
    <row r="397" spans="14:19" x14ac:dyDescent="0.25">
      <c r="N397" s="178" t="str">
        <f t="shared" si="18"/>
        <v/>
      </c>
      <c r="P397" s="52" t="s">
        <v>169</v>
      </c>
      <c r="Q397" s="178">
        <f t="shared" si="19"/>
        <v>0</v>
      </c>
      <c r="S397" s="178">
        <f t="shared" si="20"/>
        <v>0</v>
      </c>
    </row>
    <row r="398" spans="14:19" x14ac:dyDescent="0.25">
      <c r="N398" s="178" t="str">
        <f t="shared" si="18"/>
        <v/>
      </c>
      <c r="P398" s="52" t="s">
        <v>169</v>
      </c>
      <c r="Q398" s="178">
        <f t="shared" si="19"/>
        <v>0</v>
      </c>
      <c r="S398" s="178">
        <f t="shared" si="20"/>
        <v>0</v>
      </c>
    </row>
    <row r="399" spans="14:19" x14ac:dyDescent="0.25">
      <c r="N399" s="178" t="str">
        <f t="shared" si="18"/>
        <v/>
      </c>
      <c r="P399" s="52" t="s">
        <v>169</v>
      </c>
      <c r="Q399" s="178">
        <f t="shared" si="19"/>
        <v>0</v>
      </c>
      <c r="S399" s="178">
        <f t="shared" si="20"/>
        <v>0</v>
      </c>
    </row>
    <row r="400" spans="14:19" x14ac:dyDescent="0.25">
      <c r="N400" s="178" t="str">
        <f t="shared" si="18"/>
        <v/>
      </c>
      <c r="P400" s="52" t="s">
        <v>169</v>
      </c>
      <c r="Q400" s="178">
        <f t="shared" si="19"/>
        <v>0</v>
      </c>
      <c r="S400" s="178">
        <f t="shared" si="20"/>
        <v>0</v>
      </c>
    </row>
    <row r="401" spans="14:19" x14ac:dyDescent="0.25">
      <c r="N401" s="178" t="str">
        <f t="shared" si="18"/>
        <v/>
      </c>
      <c r="P401" s="52" t="s">
        <v>169</v>
      </c>
      <c r="Q401" s="178">
        <f t="shared" si="19"/>
        <v>0</v>
      </c>
      <c r="S401" s="178">
        <f t="shared" si="20"/>
        <v>0</v>
      </c>
    </row>
    <row r="402" spans="14:19" x14ac:dyDescent="0.25">
      <c r="N402" s="178" t="str">
        <f t="shared" si="18"/>
        <v/>
      </c>
      <c r="P402" s="52" t="s">
        <v>169</v>
      </c>
      <c r="Q402" s="178">
        <f t="shared" si="19"/>
        <v>0</v>
      </c>
      <c r="S402" s="178">
        <f t="shared" si="20"/>
        <v>0</v>
      </c>
    </row>
    <row r="403" spans="14:19" x14ac:dyDescent="0.25">
      <c r="N403" s="178" t="str">
        <f t="shared" si="18"/>
        <v/>
      </c>
      <c r="P403" s="52" t="s">
        <v>169</v>
      </c>
      <c r="Q403" s="178">
        <f t="shared" si="19"/>
        <v>0</v>
      </c>
      <c r="S403" s="178">
        <f t="shared" si="20"/>
        <v>0</v>
      </c>
    </row>
    <row r="404" spans="14:19" x14ac:dyDescent="0.25">
      <c r="N404" s="178" t="str">
        <f t="shared" si="18"/>
        <v/>
      </c>
      <c r="P404" s="52" t="s">
        <v>169</v>
      </c>
      <c r="Q404" s="178">
        <f t="shared" si="19"/>
        <v>0</v>
      </c>
      <c r="S404" s="178">
        <f t="shared" si="20"/>
        <v>0</v>
      </c>
    </row>
    <row r="405" spans="14:19" x14ac:dyDescent="0.25">
      <c r="N405" s="178" t="str">
        <f t="shared" si="18"/>
        <v/>
      </c>
      <c r="P405" s="52" t="s">
        <v>169</v>
      </c>
      <c r="Q405" s="178">
        <f t="shared" si="19"/>
        <v>0</v>
      </c>
      <c r="S405" s="178">
        <f t="shared" si="20"/>
        <v>0</v>
      </c>
    </row>
    <row r="406" spans="14:19" x14ac:dyDescent="0.25">
      <c r="N406" s="178" t="str">
        <f t="shared" si="18"/>
        <v/>
      </c>
      <c r="P406" s="52" t="s">
        <v>169</v>
      </c>
      <c r="Q406" s="178">
        <f t="shared" si="19"/>
        <v>0</v>
      </c>
      <c r="S406" s="178">
        <f t="shared" si="20"/>
        <v>0</v>
      </c>
    </row>
    <row r="407" spans="14:19" x14ac:dyDescent="0.25">
      <c r="N407" s="178" t="str">
        <f t="shared" si="18"/>
        <v/>
      </c>
      <c r="P407" s="52" t="s">
        <v>169</v>
      </c>
      <c r="Q407" s="178">
        <f t="shared" si="19"/>
        <v>0</v>
      </c>
      <c r="S407" s="178">
        <f t="shared" si="20"/>
        <v>0</v>
      </c>
    </row>
    <row r="408" spans="14:19" x14ac:dyDescent="0.25">
      <c r="N408" s="178" t="str">
        <f t="shared" si="18"/>
        <v/>
      </c>
      <c r="P408" s="52" t="s">
        <v>256</v>
      </c>
      <c r="Q408" s="178">
        <f t="shared" si="19"/>
        <v>0</v>
      </c>
      <c r="S408" s="178">
        <f t="shared" si="20"/>
        <v>0</v>
      </c>
    </row>
    <row r="409" spans="14:19" x14ac:dyDescent="0.25">
      <c r="N409" s="178" t="str">
        <f t="shared" si="18"/>
        <v/>
      </c>
      <c r="P409" s="52" t="s">
        <v>256</v>
      </c>
      <c r="Q409" s="178">
        <f t="shared" si="19"/>
        <v>0</v>
      </c>
      <c r="S409" s="178">
        <f t="shared" si="20"/>
        <v>0</v>
      </c>
    </row>
    <row r="410" spans="14:19" x14ac:dyDescent="0.25">
      <c r="N410" s="178" t="str">
        <f t="shared" si="18"/>
        <v/>
      </c>
      <c r="P410" s="52" t="s">
        <v>256</v>
      </c>
      <c r="Q410" s="178">
        <f t="shared" si="19"/>
        <v>0</v>
      </c>
      <c r="S410" s="178">
        <f t="shared" si="20"/>
        <v>0</v>
      </c>
    </row>
    <row r="411" spans="14:19" x14ac:dyDescent="0.25">
      <c r="N411" s="178" t="str">
        <f t="shared" si="18"/>
        <v/>
      </c>
      <c r="P411" s="52" t="s">
        <v>256</v>
      </c>
      <c r="Q411" s="178">
        <f t="shared" si="19"/>
        <v>0</v>
      </c>
      <c r="S411" s="178">
        <f t="shared" si="20"/>
        <v>0</v>
      </c>
    </row>
    <row r="412" spans="14:19" x14ac:dyDescent="0.25">
      <c r="N412" s="178" t="str">
        <f t="shared" si="18"/>
        <v/>
      </c>
      <c r="P412" s="52" t="s">
        <v>256</v>
      </c>
      <c r="Q412" s="178">
        <f t="shared" si="19"/>
        <v>0</v>
      </c>
      <c r="S412" s="178">
        <f t="shared" si="20"/>
        <v>0</v>
      </c>
    </row>
    <row r="413" spans="14:19" x14ac:dyDescent="0.25">
      <c r="N413" s="178" t="str">
        <f t="shared" si="18"/>
        <v/>
      </c>
      <c r="P413" s="52" t="s">
        <v>256</v>
      </c>
      <c r="Q413" s="178">
        <f t="shared" si="19"/>
        <v>0</v>
      </c>
      <c r="S413" s="178">
        <f t="shared" si="20"/>
        <v>0</v>
      </c>
    </row>
    <row r="414" spans="14:19" x14ac:dyDescent="0.25">
      <c r="N414" s="178" t="str">
        <f t="shared" si="18"/>
        <v/>
      </c>
      <c r="P414" s="52" t="s">
        <v>256</v>
      </c>
      <c r="Q414" s="178">
        <f t="shared" si="19"/>
        <v>0</v>
      </c>
      <c r="S414" s="178">
        <f t="shared" si="20"/>
        <v>0</v>
      </c>
    </row>
    <row r="415" spans="14:19" x14ac:dyDescent="0.25">
      <c r="N415" s="178" t="str">
        <f t="shared" si="18"/>
        <v/>
      </c>
      <c r="P415" s="52" t="s">
        <v>256</v>
      </c>
      <c r="Q415" s="178">
        <f t="shared" si="19"/>
        <v>0</v>
      </c>
      <c r="S415" s="178">
        <f t="shared" si="20"/>
        <v>0</v>
      </c>
    </row>
    <row r="416" spans="14:19" x14ac:dyDescent="0.25">
      <c r="N416" s="178" t="str">
        <f t="shared" si="18"/>
        <v/>
      </c>
      <c r="P416" s="52" t="s">
        <v>256</v>
      </c>
      <c r="Q416" s="178">
        <f t="shared" si="19"/>
        <v>0</v>
      </c>
      <c r="S416" s="178">
        <f t="shared" si="20"/>
        <v>0</v>
      </c>
    </row>
    <row r="417" spans="14:19" x14ac:dyDescent="0.25">
      <c r="N417" s="178" t="str">
        <f t="shared" si="18"/>
        <v/>
      </c>
      <c r="P417" s="52" t="s">
        <v>256</v>
      </c>
      <c r="Q417" s="178">
        <f t="shared" si="19"/>
        <v>0</v>
      </c>
      <c r="S417" s="178">
        <f t="shared" si="20"/>
        <v>0</v>
      </c>
    </row>
    <row r="418" spans="14:19" x14ac:dyDescent="0.25">
      <c r="N418" s="178" t="str">
        <f t="shared" si="18"/>
        <v/>
      </c>
      <c r="P418" s="52" t="s">
        <v>256</v>
      </c>
      <c r="Q418" s="178">
        <f t="shared" si="19"/>
        <v>0</v>
      </c>
      <c r="S418" s="178">
        <f t="shared" si="20"/>
        <v>0</v>
      </c>
    </row>
    <row r="419" spans="14:19" x14ac:dyDescent="0.25">
      <c r="N419" s="178" t="str">
        <f t="shared" si="18"/>
        <v/>
      </c>
      <c r="P419" s="52" t="s">
        <v>256</v>
      </c>
      <c r="Q419" s="178">
        <f t="shared" si="19"/>
        <v>0</v>
      </c>
      <c r="S419" s="178">
        <f t="shared" si="20"/>
        <v>0</v>
      </c>
    </row>
    <row r="420" spans="14:19" x14ac:dyDescent="0.25">
      <c r="N420" s="178" t="str">
        <f t="shared" si="18"/>
        <v/>
      </c>
      <c r="P420" s="52" t="s">
        <v>256</v>
      </c>
      <c r="Q420" s="178">
        <f t="shared" si="19"/>
        <v>0</v>
      </c>
      <c r="S420" s="178">
        <f t="shared" si="20"/>
        <v>0</v>
      </c>
    </row>
    <row r="421" spans="14:19" x14ac:dyDescent="0.25">
      <c r="N421" s="178" t="str">
        <f t="shared" si="18"/>
        <v/>
      </c>
      <c r="P421" s="52" t="s">
        <v>256</v>
      </c>
      <c r="Q421" s="178">
        <f t="shared" si="19"/>
        <v>0</v>
      </c>
      <c r="S421" s="178">
        <f t="shared" si="20"/>
        <v>0</v>
      </c>
    </row>
    <row r="422" spans="14:19" x14ac:dyDescent="0.25">
      <c r="N422" s="178" t="str">
        <f t="shared" si="18"/>
        <v/>
      </c>
      <c r="P422" s="52" t="s">
        <v>256</v>
      </c>
      <c r="Q422" s="178">
        <f t="shared" si="19"/>
        <v>0</v>
      </c>
      <c r="S422" s="178">
        <f t="shared" si="20"/>
        <v>0</v>
      </c>
    </row>
    <row r="423" spans="14:19" x14ac:dyDescent="0.25">
      <c r="N423" s="178" t="str">
        <f t="shared" si="18"/>
        <v/>
      </c>
      <c r="P423" s="52" t="s">
        <v>256</v>
      </c>
      <c r="Q423" s="178">
        <f t="shared" si="19"/>
        <v>0</v>
      </c>
      <c r="S423" s="178">
        <f t="shared" si="20"/>
        <v>0</v>
      </c>
    </row>
    <row r="424" spans="14:19" x14ac:dyDescent="0.25">
      <c r="N424" s="178" t="str">
        <f t="shared" si="18"/>
        <v/>
      </c>
      <c r="P424" s="52" t="s">
        <v>256</v>
      </c>
      <c r="Q424" s="178">
        <f t="shared" si="19"/>
        <v>0</v>
      </c>
      <c r="S424" s="178">
        <f t="shared" si="20"/>
        <v>0</v>
      </c>
    </row>
    <row r="425" spans="14:19" x14ac:dyDescent="0.25">
      <c r="N425" s="178" t="str">
        <f t="shared" si="18"/>
        <v/>
      </c>
      <c r="P425" s="52" t="s">
        <v>256</v>
      </c>
      <c r="Q425" s="178">
        <f t="shared" si="19"/>
        <v>0</v>
      </c>
      <c r="S425" s="178">
        <f t="shared" si="20"/>
        <v>0</v>
      </c>
    </row>
    <row r="426" spans="14:19" x14ac:dyDescent="0.25">
      <c r="N426" s="178" t="str">
        <f t="shared" si="18"/>
        <v/>
      </c>
      <c r="P426" s="52" t="s">
        <v>256</v>
      </c>
      <c r="Q426" s="178">
        <f t="shared" si="19"/>
        <v>0</v>
      </c>
      <c r="S426" s="178">
        <f t="shared" si="20"/>
        <v>0</v>
      </c>
    </row>
    <row r="427" spans="14:19" x14ac:dyDescent="0.25">
      <c r="N427" s="178" t="str">
        <f t="shared" si="18"/>
        <v/>
      </c>
      <c r="P427" s="52" t="s">
        <v>256</v>
      </c>
      <c r="Q427" s="178">
        <f t="shared" si="19"/>
        <v>0</v>
      </c>
      <c r="S427" s="178">
        <f t="shared" si="20"/>
        <v>0</v>
      </c>
    </row>
    <row r="428" spans="14:19" x14ac:dyDescent="0.25">
      <c r="N428" s="178" t="str">
        <f t="shared" si="18"/>
        <v/>
      </c>
      <c r="P428" s="52" t="s">
        <v>256</v>
      </c>
      <c r="Q428" s="178">
        <f t="shared" si="19"/>
        <v>0</v>
      </c>
      <c r="S428" s="178">
        <f t="shared" si="20"/>
        <v>0</v>
      </c>
    </row>
    <row r="429" spans="14:19" x14ac:dyDescent="0.25">
      <c r="N429" s="178" t="str">
        <f t="shared" si="18"/>
        <v/>
      </c>
      <c r="P429" s="52" t="s">
        <v>256</v>
      </c>
      <c r="Q429" s="178">
        <f t="shared" si="19"/>
        <v>0</v>
      </c>
      <c r="S429" s="178">
        <f t="shared" si="20"/>
        <v>0</v>
      </c>
    </row>
    <row r="430" spans="14:19" x14ac:dyDescent="0.25">
      <c r="N430" s="178" t="str">
        <f t="shared" si="18"/>
        <v/>
      </c>
      <c r="P430" s="52" t="s">
        <v>256</v>
      </c>
      <c r="Q430" s="178">
        <f t="shared" si="19"/>
        <v>0</v>
      </c>
      <c r="S430" s="178">
        <f t="shared" si="20"/>
        <v>0</v>
      </c>
    </row>
    <row r="431" spans="14:19" x14ac:dyDescent="0.25">
      <c r="N431" s="178" t="str">
        <f t="shared" si="18"/>
        <v/>
      </c>
      <c r="P431" s="52" t="s">
        <v>256</v>
      </c>
      <c r="Q431" s="178">
        <f t="shared" si="19"/>
        <v>0</v>
      </c>
      <c r="S431" s="178">
        <f t="shared" si="20"/>
        <v>0</v>
      </c>
    </row>
    <row r="432" spans="14:19" x14ac:dyDescent="0.25">
      <c r="N432" s="178" t="str">
        <f t="shared" si="18"/>
        <v/>
      </c>
      <c r="P432" s="52" t="s">
        <v>256</v>
      </c>
      <c r="Q432" s="178">
        <f t="shared" si="19"/>
        <v>0</v>
      </c>
      <c r="S432" s="178">
        <f t="shared" si="20"/>
        <v>0</v>
      </c>
    </row>
    <row r="433" spans="14:19" x14ac:dyDescent="0.25">
      <c r="N433" s="178" t="str">
        <f t="shared" si="18"/>
        <v/>
      </c>
      <c r="P433" s="52" t="s">
        <v>256</v>
      </c>
      <c r="Q433" s="178">
        <f t="shared" si="19"/>
        <v>0</v>
      </c>
      <c r="S433" s="178">
        <f t="shared" si="20"/>
        <v>0</v>
      </c>
    </row>
    <row r="434" spans="14:19" x14ac:dyDescent="0.25">
      <c r="N434" s="178" t="str">
        <f t="shared" si="18"/>
        <v/>
      </c>
      <c r="P434" s="52" t="s">
        <v>256</v>
      </c>
      <c r="Q434" s="178">
        <f t="shared" si="19"/>
        <v>0</v>
      </c>
      <c r="S434" s="178">
        <f t="shared" si="20"/>
        <v>0</v>
      </c>
    </row>
    <row r="435" spans="14:19" x14ac:dyDescent="0.25">
      <c r="N435" s="178" t="str">
        <f t="shared" si="18"/>
        <v/>
      </c>
      <c r="P435" s="52" t="s">
        <v>256</v>
      </c>
      <c r="Q435" s="178">
        <f t="shared" si="19"/>
        <v>0</v>
      </c>
      <c r="S435" s="178">
        <f t="shared" si="20"/>
        <v>0</v>
      </c>
    </row>
    <row r="436" spans="14:19" x14ac:dyDescent="0.25">
      <c r="N436" s="178" t="str">
        <f t="shared" si="18"/>
        <v/>
      </c>
      <c r="P436" s="52" t="s">
        <v>256</v>
      </c>
      <c r="Q436" s="178">
        <f t="shared" si="19"/>
        <v>0</v>
      </c>
      <c r="S436" s="178">
        <f t="shared" si="20"/>
        <v>0</v>
      </c>
    </row>
    <row r="437" spans="14:19" x14ac:dyDescent="0.25">
      <c r="N437" s="178" t="str">
        <f t="shared" si="18"/>
        <v/>
      </c>
      <c r="P437" s="52" t="s">
        <v>256</v>
      </c>
      <c r="Q437" s="178">
        <f t="shared" si="19"/>
        <v>0</v>
      </c>
      <c r="S437" s="178">
        <f t="shared" si="20"/>
        <v>0</v>
      </c>
    </row>
    <row r="438" spans="14:19" x14ac:dyDescent="0.25">
      <c r="N438" s="178" t="str">
        <f t="shared" si="18"/>
        <v/>
      </c>
      <c r="P438" s="52" t="s">
        <v>256</v>
      </c>
      <c r="Q438" s="178">
        <f t="shared" si="19"/>
        <v>0</v>
      </c>
      <c r="S438" s="178">
        <f t="shared" si="20"/>
        <v>0</v>
      </c>
    </row>
    <row r="439" spans="14:19" x14ac:dyDescent="0.25">
      <c r="N439" s="178" t="str">
        <f t="shared" si="18"/>
        <v/>
      </c>
      <c r="P439" s="52" t="s">
        <v>256</v>
      </c>
      <c r="Q439" s="178">
        <f t="shared" si="19"/>
        <v>0</v>
      </c>
      <c r="S439" s="178">
        <f t="shared" si="20"/>
        <v>0</v>
      </c>
    </row>
    <row r="440" spans="14:19" x14ac:dyDescent="0.25">
      <c r="N440" s="178" t="str">
        <f t="shared" si="18"/>
        <v/>
      </c>
      <c r="P440" s="52" t="s">
        <v>407</v>
      </c>
      <c r="Q440" s="178">
        <f t="shared" si="19"/>
        <v>0</v>
      </c>
      <c r="S440" s="178">
        <f t="shared" si="20"/>
        <v>0</v>
      </c>
    </row>
    <row r="441" spans="14:19" x14ac:dyDescent="0.25">
      <c r="N441" s="178" t="str">
        <f t="shared" si="18"/>
        <v/>
      </c>
      <c r="P441" s="52" t="s">
        <v>407</v>
      </c>
      <c r="Q441" s="178">
        <f t="shared" si="19"/>
        <v>0</v>
      </c>
      <c r="S441" s="178">
        <f t="shared" si="20"/>
        <v>0</v>
      </c>
    </row>
    <row r="442" spans="14:19" x14ac:dyDescent="0.25">
      <c r="N442" s="178" t="str">
        <f t="shared" si="18"/>
        <v/>
      </c>
      <c r="P442" s="52" t="s">
        <v>407</v>
      </c>
      <c r="Q442" s="178">
        <f t="shared" si="19"/>
        <v>0</v>
      </c>
      <c r="S442" s="178">
        <f t="shared" si="20"/>
        <v>0</v>
      </c>
    </row>
    <row r="443" spans="14:19" x14ac:dyDescent="0.25">
      <c r="N443" s="178" t="str">
        <f t="shared" si="18"/>
        <v/>
      </c>
      <c r="P443" s="52" t="s">
        <v>407</v>
      </c>
      <c r="Q443" s="178">
        <f t="shared" si="19"/>
        <v>0</v>
      </c>
      <c r="S443" s="178">
        <f t="shared" si="20"/>
        <v>0</v>
      </c>
    </row>
    <row r="444" spans="14:19" x14ac:dyDescent="0.25">
      <c r="N444" s="178" t="str">
        <f t="shared" si="18"/>
        <v/>
      </c>
      <c r="P444" s="52" t="s">
        <v>407</v>
      </c>
      <c r="Q444" s="178">
        <f t="shared" si="19"/>
        <v>0</v>
      </c>
      <c r="S444" s="178">
        <f t="shared" si="20"/>
        <v>0</v>
      </c>
    </row>
    <row r="445" spans="14:19" x14ac:dyDescent="0.25">
      <c r="N445" s="178" t="str">
        <f t="shared" si="18"/>
        <v/>
      </c>
      <c r="P445" s="52" t="s">
        <v>407</v>
      </c>
      <c r="Q445" s="178">
        <f t="shared" si="19"/>
        <v>0</v>
      </c>
      <c r="S445" s="178">
        <f t="shared" si="20"/>
        <v>0</v>
      </c>
    </row>
    <row r="446" spans="14:19" x14ac:dyDescent="0.25">
      <c r="N446" s="178" t="str">
        <f t="shared" si="18"/>
        <v/>
      </c>
      <c r="P446" s="52" t="s">
        <v>407</v>
      </c>
      <c r="Q446" s="178">
        <f t="shared" si="19"/>
        <v>0</v>
      </c>
      <c r="S446" s="178">
        <f t="shared" si="20"/>
        <v>0</v>
      </c>
    </row>
    <row r="447" spans="14:19" x14ac:dyDescent="0.25">
      <c r="N447" s="178" t="str">
        <f t="shared" si="18"/>
        <v/>
      </c>
      <c r="P447" s="52" t="s">
        <v>407</v>
      </c>
      <c r="Q447" s="178">
        <f t="shared" si="19"/>
        <v>0</v>
      </c>
      <c r="S447" s="178">
        <f t="shared" si="20"/>
        <v>0</v>
      </c>
    </row>
    <row r="448" spans="14:19" x14ac:dyDescent="0.25">
      <c r="N448" s="178" t="str">
        <f t="shared" si="18"/>
        <v/>
      </c>
      <c r="P448" s="52" t="s">
        <v>407</v>
      </c>
      <c r="Q448" s="178">
        <f t="shared" si="19"/>
        <v>0</v>
      </c>
      <c r="S448" s="178">
        <f t="shared" si="20"/>
        <v>0</v>
      </c>
    </row>
    <row r="449" spans="14:19" x14ac:dyDescent="0.25">
      <c r="N449" s="178" t="str">
        <f t="shared" si="18"/>
        <v/>
      </c>
      <c r="P449" s="52" t="s">
        <v>407</v>
      </c>
      <c r="Q449" s="178">
        <f t="shared" si="19"/>
        <v>0</v>
      </c>
      <c r="S449" s="178">
        <f t="shared" si="20"/>
        <v>0</v>
      </c>
    </row>
    <row r="450" spans="14:19" x14ac:dyDescent="0.25">
      <c r="N450" s="178" t="str">
        <f t="shared" ref="N450:N513" si="21">IF(AND(ISNUMBER(VALUE(MID(M450,1,1))), ISNUMBER(VALUE(MID(M450,2,1))), ISNUMBER(VALUE(MID(M450,3,1))), ISNUMBER(VALUE(MID(M450,4,1)))), LEFT(M450,4), "")</f>
        <v/>
      </c>
      <c r="P450" s="52" t="s">
        <v>407</v>
      </c>
      <c r="Q450" s="178">
        <f t="shared" si="19"/>
        <v>0</v>
      </c>
      <c r="S450" s="178">
        <f t="shared" si="20"/>
        <v>0</v>
      </c>
    </row>
    <row r="451" spans="14:19" x14ac:dyDescent="0.25">
      <c r="N451" s="178" t="str">
        <f t="shared" si="21"/>
        <v/>
      </c>
      <c r="P451" s="52" t="s">
        <v>407</v>
      </c>
      <c r="Q451" s="178">
        <f t="shared" ref="Q451:Q514" si="22">FLOOR(O451,10)</f>
        <v>0</v>
      </c>
      <c r="S451" s="178">
        <f t="shared" ref="S451:S514" si="23">CEILING(O451,10)</f>
        <v>0</v>
      </c>
    </row>
    <row r="452" spans="14:19" x14ac:dyDescent="0.25">
      <c r="N452" s="178" t="str">
        <f t="shared" si="21"/>
        <v/>
      </c>
      <c r="P452" s="52" t="s">
        <v>407</v>
      </c>
      <c r="Q452" s="178">
        <f t="shared" si="22"/>
        <v>0</v>
      </c>
      <c r="S452" s="178">
        <f t="shared" si="23"/>
        <v>0</v>
      </c>
    </row>
    <row r="453" spans="14:19" x14ac:dyDescent="0.25">
      <c r="N453" s="178" t="str">
        <f t="shared" si="21"/>
        <v/>
      </c>
      <c r="P453" s="52" t="s">
        <v>407</v>
      </c>
      <c r="Q453" s="178">
        <f t="shared" si="22"/>
        <v>0</v>
      </c>
      <c r="S453" s="178">
        <f t="shared" si="23"/>
        <v>0</v>
      </c>
    </row>
    <row r="454" spans="14:19" x14ac:dyDescent="0.25">
      <c r="N454" s="178" t="str">
        <f t="shared" si="21"/>
        <v/>
      </c>
      <c r="P454" s="52" t="s">
        <v>407</v>
      </c>
      <c r="Q454" s="178">
        <f t="shared" si="22"/>
        <v>0</v>
      </c>
      <c r="S454" s="178">
        <f t="shared" si="23"/>
        <v>0</v>
      </c>
    </row>
    <row r="455" spans="14:19" x14ac:dyDescent="0.25">
      <c r="N455" s="178" t="str">
        <f t="shared" si="21"/>
        <v/>
      </c>
      <c r="P455" s="52" t="s">
        <v>407</v>
      </c>
      <c r="Q455" s="178">
        <f t="shared" si="22"/>
        <v>0</v>
      </c>
      <c r="S455" s="178">
        <f t="shared" si="23"/>
        <v>0</v>
      </c>
    </row>
    <row r="456" spans="14:19" x14ac:dyDescent="0.25">
      <c r="N456" s="178" t="str">
        <f t="shared" si="21"/>
        <v/>
      </c>
      <c r="P456" s="52" t="s">
        <v>407</v>
      </c>
      <c r="Q456" s="178">
        <f t="shared" si="22"/>
        <v>0</v>
      </c>
      <c r="S456" s="178">
        <f t="shared" si="23"/>
        <v>0</v>
      </c>
    </row>
    <row r="457" spans="14:19" x14ac:dyDescent="0.25">
      <c r="N457" s="178" t="str">
        <f t="shared" si="21"/>
        <v/>
      </c>
      <c r="P457" s="52" t="s">
        <v>407</v>
      </c>
      <c r="Q457" s="178">
        <f t="shared" si="22"/>
        <v>0</v>
      </c>
      <c r="S457" s="178">
        <f t="shared" si="23"/>
        <v>0</v>
      </c>
    </row>
    <row r="458" spans="14:19" x14ac:dyDescent="0.25">
      <c r="N458" s="178" t="str">
        <f t="shared" si="21"/>
        <v/>
      </c>
      <c r="P458" s="52" t="s">
        <v>407</v>
      </c>
      <c r="Q458" s="178">
        <f t="shared" si="22"/>
        <v>0</v>
      </c>
      <c r="S458" s="178">
        <f t="shared" si="23"/>
        <v>0</v>
      </c>
    </row>
    <row r="459" spans="14:19" x14ac:dyDescent="0.25">
      <c r="N459" s="178" t="str">
        <f t="shared" si="21"/>
        <v/>
      </c>
      <c r="P459" s="52" t="s">
        <v>407</v>
      </c>
      <c r="Q459" s="178">
        <f t="shared" si="22"/>
        <v>0</v>
      </c>
      <c r="S459" s="178">
        <f t="shared" si="23"/>
        <v>0</v>
      </c>
    </row>
    <row r="460" spans="14:19" x14ac:dyDescent="0.25">
      <c r="N460" s="178" t="str">
        <f t="shared" si="21"/>
        <v/>
      </c>
      <c r="P460" s="52" t="s">
        <v>407</v>
      </c>
      <c r="Q460" s="178">
        <f t="shared" si="22"/>
        <v>0</v>
      </c>
      <c r="S460" s="178">
        <f t="shared" si="23"/>
        <v>0</v>
      </c>
    </row>
    <row r="461" spans="14:19" x14ac:dyDescent="0.25">
      <c r="N461" s="178" t="str">
        <f t="shared" si="21"/>
        <v/>
      </c>
      <c r="P461" s="52" t="s">
        <v>407</v>
      </c>
      <c r="Q461" s="178">
        <f t="shared" si="22"/>
        <v>0</v>
      </c>
      <c r="S461" s="178">
        <f t="shared" si="23"/>
        <v>0</v>
      </c>
    </row>
    <row r="462" spans="14:19" x14ac:dyDescent="0.25">
      <c r="N462" s="178" t="str">
        <f t="shared" si="21"/>
        <v/>
      </c>
      <c r="P462" s="52" t="s">
        <v>407</v>
      </c>
      <c r="Q462" s="178">
        <f t="shared" si="22"/>
        <v>0</v>
      </c>
      <c r="S462" s="178">
        <f t="shared" si="23"/>
        <v>0</v>
      </c>
    </row>
    <row r="463" spans="14:19" x14ac:dyDescent="0.25">
      <c r="N463" s="178" t="str">
        <f t="shared" si="21"/>
        <v/>
      </c>
      <c r="P463" s="52" t="s">
        <v>407</v>
      </c>
      <c r="Q463" s="178">
        <f t="shared" si="22"/>
        <v>0</v>
      </c>
      <c r="S463" s="178">
        <f t="shared" si="23"/>
        <v>0</v>
      </c>
    </row>
    <row r="464" spans="14:19" x14ac:dyDescent="0.25">
      <c r="N464" s="178" t="str">
        <f t="shared" si="21"/>
        <v/>
      </c>
      <c r="P464" s="52" t="s">
        <v>407</v>
      </c>
      <c r="Q464" s="178">
        <f t="shared" si="22"/>
        <v>0</v>
      </c>
      <c r="S464" s="178">
        <f t="shared" si="23"/>
        <v>0</v>
      </c>
    </row>
    <row r="465" spans="14:19" x14ac:dyDescent="0.25">
      <c r="N465" s="178" t="str">
        <f t="shared" si="21"/>
        <v/>
      </c>
      <c r="P465" s="52" t="s">
        <v>407</v>
      </c>
      <c r="Q465" s="178">
        <f t="shared" si="22"/>
        <v>0</v>
      </c>
      <c r="S465" s="178">
        <f t="shared" si="23"/>
        <v>0</v>
      </c>
    </row>
    <row r="466" spans="14:19" x14ac:dyDescent="0.25">
      <c r="N466" s="178" t="str">
        <f t="shared" si="21"/>
        <v/>
      </c>
      <c r="P466" s="52" t="s">
        <v>407</v>
      </c>
      <c r="Q466" s="178">
        <f t="shared" si="22"/>
        <v>0</v>
      </c>
      <c r="S466" s="178">
        <f t="shared" si="23"/>
        <v>0</v>
      </c>
    </row>
    <row r="467" spans="14:19" x14ac:dyDescent="0.25">
      <c r="N467" s="178" t="str">
        <f t="shared" si="21"/>
        <v/>
      </c>
      <c r="P467" s="52" t="s">
        <v>407</v>
      </c>
      <c r="Q467" s="178">
        <f t="shared" si="22"/>
        <v>0</v>
      </c>
      <c r="S467" s="178">
        <f t="shared" si="23"/>
        <v>0</v>
      </c>
    </row>
    <row r="468" spans="14:19" x14ac:dyDescent="0.25">
      <c r="N468" s="178" t="str">
        <f t="shared" si="21"/>
        <v/>
      </c>
      <c r="P468" s="52" t="s">
        <v>407</v>
      </c>
      <c r="Q468" s="178">
        <f t="shared" si="22"/>
        <v>0</v>
      </c>
      <c r="S468" s="178">
        <f t="shared" si="23"/>
        <v>0</v>
      </c>
    </row>
    <row r="469" spans="14:19" x14ac:dyDescent="0.25">
      <c r="N469" s="178" t="str">
        <f t="shared" si="21"/>
        <v/>
      </c>
      <c r="P469" s="52" t="s">
        <v>407</v>
      </c>
      <c r="Q469" s="178">
        <f t="shared" si="22"/>
        <v>0</v>
      </c>
      <c r="S469" s="178">
        <f t="shared" si="23"/>
        <v>0</v>
      </c>
    </row>
    <row r="470" spans="14:19" x14ac:dyDescent="0.25">
      <c r="N470" s="178" t="str">
        <f t="shared" si="21"/>
        <v/>
      </c>
      <c r="P470" s="52" t="s">
        <v>407</v>
      </c>
      <c r="Q470" s="178">
        <f t="shared" si="22"/>
        <v>0</v>
      </c>
      <c r="S470" s="178">
        <f t="shared" si="23"/>
        <v>0</v>
      </c>
    </row>
    <row r="471" spans="14:19" x14ac:dyDescent="0.25">
      <c r="N471" s="178" t="str">
        <f t="shared" si="21"/>
        <v/>
      </c>
      <c r="P471" s="52" t="s">
        <v>407</v>
      </c>
      <c r="Q471" s="178">
        <f t="shared" si="22"/>
        <v>0</v>
      </c>
      <c r="S471" s="178">
        <f t="shared" si="23"/>
        <v>0</v>
      </c>
    </row>
    <row r="472" spans="14:19" x14ac:dyDescent="0.25">
      <c r="N472" s="178" t="str">
        <f t="shared" si="21"/>
        <v/>
      </c>
      <c r="P472" s="52" t="s">
        <v>407</v>
      </c>
      <c r="Q472" s="178">
        <f t="shared" si="22"/>
        <v>0</v>
      </c>
      <c r="S472" s="178">
        <f t="shared" si="23"/>
        <v>0</v>
      </c>
    </row>
    <row r="473" spans="14:19" x14ac:dyDescent="0.25">
      <c r="N473" s="178" t="str">
        <f t="shared" si="21"/>
        <v/>
      </c>
      <c r="P473" s="52" t="s">
        <v>407</v>
      </c>
      <c r="Q473" s="178">
        <f t="shared" si="22"/>
        <v>0</v>
      </c>
      <c r="S473" s="178">
        <f t="shared" si="23"/>
        <v>0</v>
      </c>
    </row>
    <row r="474" spans="14:19" x14ac:dyDescent="0.25">
      <c r="N474" s="178" t="str">
        <f t="shared" si="21"/>
        <v/>
      </c>
      <c r="P474" s="52" t="s">
        <v>181</v>
      </c>
      <c r="Q474" s="178">
        <f t="shared" si="22"/>
        <v>0</v>
      </c>
      <c r="S474" s="178">
        <f t="shared" si="23"/>
        <v>0</v>
      </c>
    </row>
    <row r="475" spans="14:19" x14ac:dyDescent="0.25">
      <c r="N475" s="178" t="str">
        <f t="shared" si="21"/>
        <v/>
      </c>
      <c r="P475" s="52" t="s">
        <v>181</v>
      </c>
      <c r="Q475" s="178">
        <f t="shared" si="22"/>
        <v>0</v>
      </c>
      <c r="S475" s="178">
        <f t="shared" si="23"/>
        <v>0</v>
      </c>
    </row>
    <row r="476" spans="14:19" x14ac:dyDescent="0.25">
      <c r="N476" s="178" t="str">
        <f t="shared" si="21"/>
        <v/>
      </c>
      <c r="P476" s="52" t="s">
        <v>181</v>
      </c>
      <c r="Q476" s="178">
        <f t="shared" si="22"/>
        <v>0</v>
      </c>
      <c r="S476" s="178">
        <f t="shared" si="23"/>
        <v>0</v>
      </c>
    </row>
    <row r="477" spans="14:19" x14ac:dyDescent="0.25">
      <c r="N477" s="178" t="str">
        <f t="shared" si="21"/>
        <v/>
      </c>
      <c r="P477" s="52" t="s">
        <v>181</v>
      </c>
      <c r="Q477" s="178">
        <f t="shared" si="22"/>
        <v>0</v>
      </c>
      <c r="S477" s="178">
        <f t="shared" si="23"/>
        <v>0</v>
      </c>
    </row>
    <row r="478" spans="14:19" x14ac:dyDescent="0.25">
      <c r="N478" s="178" t="str">
        <f t="shared" si="21"/>
        <v/>
      </c>
      <c r="P478" s="52" t="s">
        <v>181</v>
      </c>
      <c r="Q478" s="178">
        <f t="shared" si="22"/>
        <v>0</v>
      </c>
      <c r="S478" s="178">
        <f t="shared" si="23"/>
        <v>0</v>
      </c>
    </row>
    <row r="479" spans="14:19" x14ac:dyDescent="0.25">
      <c r="N479" s="178" t="str">
        <f t="shared" si="21"/>
        <v/>
      </c>
      <c r="P479" s="52" t="s">
        <v>181</v>
      </c>
      <c r="Q479" s="178">
        <f t="shared" si="22"/>
        <v>0</v>
      </c>
      <c r="S479" s="178">
        <f t="shared" si="23"/>
        <v>0</v>
      </c>
    </row>
    <row r="480" spans="14:19" x14ac:dyDescent="0.25">
      <c r="N480" s="178" t="str">
        <f t="shared" si="21"/>
        <v/>
      </c>
      <c r="P480" s="52" t="s">
        <v>181</v>
      </c>
      <c r="Q480" s="178">
        <f t="shared" si="22"/>
        <v>0</v>
      </c>
      <c r="S480" s="178">
        <f t="shared" si="23"/>
        <v>0</v>
      </c>
    </row>
    <row r="481" spans="14:19" x14ac:dyDescent="0.25">
      <c r="N481" s="178" t="str">
        <f t="shared" si="21"/>
        <v/>
      </c>
      <c r="P481" s="52" t="s">
        <v>181</v>
      </c>
      <c r="Q481" s="178">
        <f t="shared" si="22"/>
        <v>0</v>
      </c>
      <c r="S481" s="178">
        <f t="shared" si="23"/>
        <v>0</v>
      </c>
    </row>
    <row r="482" spans="14:19" x14ac:dyDescent="0.25">
      <c r="N482" s="178" t="str">
        <f t="shared" si="21"/>
        <v/>
      </c>
      <c r="P482" s="52" t="s">
        <v>181</v>
      </c>
      <c r="Q482" s="178">
        <f t="shared" si="22"/>
        <v>0</v>
      </c>
      <c r="S482" s="178">
        <f t="shared" si="23"/>
        <v>0</v>
      </c>
    </row>
    <row r="483" spans="14:19" x14ac:dyDescent="0.25">
      <c r="N483" s="178" t="str">
        <f t="shared" si="21"/>
        <v/>
      </c>
      <c r="P483" s="52" t="s">
        <v>181</v>
      </c>
      <c r="Q483" s="178">
        <f t="shared" si="22"/>
        <v>0</v>
      </c>
      <c r="S483" s="178">
        <f t="shared" si="23"/>
        <v>0</v>
      </c>
    </row>
    <row r="484" spans="14:19" x14ac:dyDescent="0.25">
      <c r="N484" s="178" t="str">
        <f t="shared" si="21"/>
        <v/>
      </c>
      <c r="P484" s="52" t="s">
        <v>181</v>
      </c>
      <c r="Q484" s="178">
        <f t="shared" si="22"/>
        <v>0</v>
      </c>
      <c r="S484" s="178">
        <f t="shared" si="23"/>
        <v>0</v>
      </c>
    </row>
    <row r="485" spans="14:19" x14ac:dyDescent="0.25">
      <c r="N485" s="178" t="str">
        <f t="shared" si="21"/>
        <v/>
      </c>
      <c r="P485" s="52" t="s">
        <v>181</v>
      </c>
      <c r="Q485" s="178">
        <f t="shared" si="22"/>
        <v>0</v>
      </c>
      <c r="S485" s="178">
        <f t="shared" si="23"/>
        <v>0</v>
      </c>
    </row>
    <row r="486" spans="14:19" x14ac:dyDescent="0.25">
      <c r="N486" s="178" t="str">
        <f t="shared" si="21"/>
        <v/>
      </c>
      <c r="P486" s="52" t="s">
        <v>181</v>
      </c>
      <c r="Q486" s="178">
        <f t="shared" si="22"/>
        <v>0</v>
      </c>
      <c r="S486" s="178">
        <f t="shared" si="23"/>
        <v>0</v>
      </c>
    </row>
    <row r="487" spans="14:19" x14ac:dyDescent="0.25">
      <c r="N487" s="178" t="str">
        <f t="shared" si="21"/>
        <v/>
      </c>
      <c r="P487" s="52" t="s">
        <v>181</v>
      </c>
      <c r="Q487" s="178">
        <f t="shared" si="22"/>
        <v>0</v>
      </c>
      <c r="S487" s="178">
        <f t="shared" si="23"/>
        <v>0</v>
      </c>
    </row>
    <row r="488" spans="14:19" x14ac:dyDescent="0.25">
      <c r="N488" s="178" t="str">
        <f t="shared" si="21"/>
        <v/>
      </c>
      <c r="P488" s="52" t="s">
        <v>181</v>
      </c>
      <c r="Q488" s="178">
        <f t="shared" si="22"/>
        <v>0</v>
      </c>
      <c r="S488" s="178">
        <f t="shared" si="23"/>
        <v>0</v>
      </c>
    </row>
    <row r="489" spans="14:19" x14ac:dyDescent="0.25">
      <c r="N489" s="178" t="str">
        <f t="shared" si="21"/>
        <v/>
      </c>
      <c r="P489" s="52" t="s">
        <v>181</v>
      </c>
      <c r="Q489" s="178">
        <f t="shared" si="22"/>
        <v>0</v>
      </c>
      <c r="S489" s="178">
        <f t="shared" si="23"/>
        <v>0</v>
      </c>
    </row>
    <row r="490" spans="14:19" x14ac:dyDescent="0.25">
      <c r="N490" s="178" t="str">
        <f t="shared" si="21"/>
        <v/>
      </c>
      <c r="P490" s="52" t="s">
        <v>181</v>
      </c>
      <c r="Q490" s="178">
        <f t="shared" si="22"/>
        <v>0</v>
      </c>
      <c r="S490" s="178">
        <f t="shared" si="23"/>
        <v>0</v>
      </c>
    </row>
    <row r="491" spans="14:19" x14ac:dyDescent="0.25">
      <c r="N491" s="178" t="str">
        <f t="shared" si="21"/>
        <v/>
      </c>
      <c r="P491" s="52" t="s">
        <v>181</v>
      </c>
      <c r="Q491" s="178">
        <f t="shared" si="22"/>
        <v>0</v>
      </c>
      <c r="S491" s="178">
        <f t="shared" si="23"/>
        <v>0</v>
      </c>
    </row>
    <row r="492" spans="14:19" x14ac:dyDescent="0.25">
      <c r="N492" s="178" t="str">
        <f t="shared" si="21"/>
        <v/>
      </c>
      <c r="P492" s="52" t="s">
        <v>284</v>
      </c>
      <c r="Q492" s="178">
        <f t="shared" si="22"/>
        <v>0</v>
      </c>
      <c r="S492" s="178">
        <f t="shared" si="23"/>
        <v>0</v>
      </c>
    </row>
    <row r="493" spans="14:19" x14ac:dyDescent="0.25">
      <c r="N493" s="178" t="str">
        <f t="shared" si="21"/>
        <v/>
      </c>
      <c r="P493" s="52" t="s">
        <v>284</v>
      </c>
      <c r="Q493" s="178">
        <f t="shared" si="22"/>
        <v>0</v>
      </c>
      <c r="S493" s="178">
        <f t="shared" si="23"/>
        <v>0</v>
      </c>
    </row>
    <row r="494" spans="14:19" x14ac:dyDescent="0.25">
      <c r="N494" s="178" t="str">
        <f t="shared" si="21"/>
        <v/>
      </c>
      <c r="P494" s="52" t="s">
        <v>284</v>
      </c>
      <c r="Q494" s="178">
        <f t="shared" si="22"/>
        <v>0</v>
      </c>
      <c r="S494" s="178">
        <f t="shared" si="23"/>
        <v>0</v>
      </c>
    </row>
    <row r="495" spans="14:19" x14ac:dyDescent="0.25">
      <c r="N495" s="178" t="str">
        <f t="shared" si="21"/>
        <v/>
      </c>
      <c r="P495" s="52" t="s">
        <v>284</v>
      </c>
      <c r="Q495" s="178">
        <f t="shared" si="22"/>
        <v>0</v>
      </c>
      <c r="S495" s="178">
        <f t="shared" si="23"/>
        <v>0</v>
      </c>
    </row>
    <row r="496" spans="14:19" x14ac:dyDescent="0.25">
      <c r="N496" s="178" t="str">
        <f t="shared" si="21"/>
        <v/>
      </c>
      <c r="P496" s="52" t="s">
        <v>284</v>
      </c>
      <c r="Q496" s="178">
        <f t="shared" si="22"/>
        <v>0</v>
      </c>
      <c r="S496" s="178">
        <f t="shared" si="23"/>
        <v>0</v>
      </c>
    </row>
    <row r="497" spans="14:19" x14ac:dyDescent="0.25">
      <c r="N497" s="178" t="str">
        <f t="shared" si="21"/>
        <v/>
      </c>
      <c r="P497" s="52" t="s">
        <v>284</v>
      </c>
      <c r="Q497" s="178">
        <f t="shared" si="22"/>
        <v>0</v>
      </c>
      <c r="S497" s="178">
        <f t="shared" si="23"/>
        <v>0</v>
      </c>
    </row>
    <row r="498" spans="14:19" x14ac:dyDescent="0.25">
      <c r="N498" s="178" t="str">
        <f t="shared" si="21"/>
        <v/>
      </c>
      <c r="P498" s="52" t="s">
        <v>284</v>
      </c>
      <c r="Q498" s="178">
        <f t="shared" si="22"/>
        <v>0</v>
      </c>
      <c r="S498" s="178">
        <f t="shared" si="23"/>
        <v>0</v>
      </c>
    </row>
    <row r="499" spans="14:19" x14ac:dyDescent="0.25">
      <c r="N499" s="178" t="str">
        <f t="shared" si="21"/>
        <v/>
      </c>
      <c r="P499" s="52" t="s">
        <v>284</v>
      </c>
      <c r="Q499" s="178">
        <f t="shared" si="22"/>
        <v>0</v>
      </c>
      <c r="S499" s="178">
        <f t="shared" si="23"/>
        <v>0</v>
      </c>
    </row>
    <row r="500" spans="14:19" x14ac:dyDescent="0.25">
      <c r="N500" s="178" t="str">
        <f t="shared" si="21"/>
        <v/>
      </c>
      <c r="P500" s="52" t="s">
        <v>284</v>
      </c>
      <c r="Q500" s="178">
        <f t="shared" si="22"/>
        <v>0</v>
      </c>
      <c r="S500" s="178">
        <f t="shared" si="23"/>
        <v>0</v>
      </c>
    </row>
    <row r="501" spans="14:19" x14ac:dyDescent="0.25">
      <c r="N501" s="178" t="str">
        <f t="shared" si="21"/>
        <v/>
      </c>
      <c r="P501" s="52" t="s">
        <v>284</v>
      </c>
      <c r="Q501" s="178">
        <f t="shared" si="22"/>
        <v>0</v>
      </c>
      <c r="S501" s="178">
        <f t="shared" si="23"/>
        <v>0</v>
      </c>
    </row>
    <row r="502" spans="14:19" x14ac:dyDescent="0.25">
      <c r="N502" s="178" t="str">
        <f t="shared" si="21"/>
        <v/>
      </c>
      <c r="P502" s="52" t="s">
        <v>284</v>
      </c>
      <c r="Q502" s="178">
        <f t="shared" si="22"/>
        <v>0</v>
      </c>
      <c r="S502" s="178">
        <f t="shared" si="23"/>
        <v>0</v>
      </c>
    </row>
    <row r="503" spans="14:19" x14ac:dyDescent="0.25">
      <c r="N503" s="178" t="str">
        <f t="shared" si="21"/>
        <v/>
      </c>
      <c r="P503" s="52" t="s">
        <v>284</v>
      </c>
      <c r="Q503" s="178">
        <f t="shared" si="22"/>
        <v>0</v>
      </c>
      <c r="S503" s="178">
        <f t="shared" si="23"/>
        <v>0</v>
      </c>
    </row>
    <row r="504" spans="14:19" x14ac:dyDescent="0.25">
      <c r="N504" s="178" t="str">
        <f t="shared" si="21"/>
        <v/>
      </c>
      <c r="P504" s="52" t="s">
        <v>284</v>
      </c>
      <c r="Q504" s="178">
        <f t="shared" si="22"/>
        <v>0</v>
      </c>
      <c r="S504" s="178">
        <f t="shared" si="23"/>
        <v>0</v>
      </c>
    </row>
    <row r="505" spans="14:19" x14ac:dyDescent="0.25">
      <c r="N505" s="178" t="str">
        <f t="shared" si="21"/>
        <v/>
      </c>
      <c r="P505" s="52" t="s">
        <v>284</v>
      </c>
      <c r="Q505" s="178">
        <f t="shared" si="22"/>
        <v>0</v>
      </c>
      <c r="S505" s="178">
        <f t="shared" si="23"/>
        <v>0</v>
      </c>
    </row>
    <row r="506" spans="14:19" x14ac:dyDescent="0.25">
      <c r="N506" s="178" t="str">
        <f t="shared" si="21"/>
        <v/>
      </c>
      <c r="P506" s="52" t="s">
        <v>284</v>
      </c>
      <c r="Q506" s="178">
        <f t="shared" si="22"/>
        <v>0</v>
      </c>
      <c r="S506" s="178">
        <f t="shared" si="23"/>
        <v>0</v>
      </c>
    </row>
    <row r="507" spans="14:19" x14ac:dyDescent="0.25">
      <c r="N507" s="178" t="str">
        <f t="shared" si="21"/>
        <v/>
      </c>
      <c r="P507" s="52" t="s">
        <v>284</v>
      </c>
      <c r="Q507" s="178">
        <f t="shared" si="22"/>
        <v>0</v>
      </c>
      <c r="S507" s="178">
        <f t="shared" si="23"/>
        <v>0</v>
      </c>
    </row>
    <row r="508" spans="14:19" x14ac:dyDescent="0.25">
      <c r="N508" s="178" t="str">
        <f t="shared" si="21"/>
        <v/>
      </c>
      <c r="P508" s="52" t="s">
        <v>284</v>
      </c>
      <c r="Q508" s="178">
        <f t="shared" si="22"/>
        <v>0</v>
      </c>
      <c r="S508" s="178">
        <f t="shared" si="23"/>
        <v>0</v>
      </c>
    </row>
    <row r="509" spans="14:19" x14ac:dyDescent="0.25">
      <c r="N509" s="178" t="str">
        <f t="shared" si="21"/>
        <v/>
      </c>
      <c r="P509" s="52" t="s">
        <v>284</v>
      </c>
      <c r="Q509" s="178">
        <f t="shared" si="22"/>
        <v>0</v>
      </c>
      <c r="S509" s="178">
        <f t="shared" si="23"/>
        <v>0</v>
      </c>
    </row>
    <row r="510" spans="14:19" x14ac:dyDescent="0.25">
      <c r="N510" s="178" t="str">
        <f t="shared" si="21"/>
        <v/>
      </c>
      <c r="P510" s="52" t="s">
        <v>284</v>
      </c>
      <c r="Q510" s="178">
        <f t="shared" si="22"/>
        <v>0</v>
      </c>
      <c r="S510" s="178">
        <f t="shared" si="23"/>
        <v>0</v>
      </c>
    </row>
    <row r="511" spans="14:19" x14ac:dyDescent="0.25">
      <c r="N511" s="178" t="str">
        <f t="shared" si="21"/>
        <v/>
      </c>
      <c r="P511" s="52" t="s">
        <v>284</v>
      </c>
      <c r="Q511" s="178">
        <f t="shared" si="22"/>
        <v>0</v>
      </c>
      <c r="S511" s="178">
        <f t="shared" si="23"/>
        <v>0</v>
      </c>
    </row>
    <row r="512" spans="14:19" x14ac:dyDescent="0.25">
      <c r="N512" s="178" t="str">
        <f t="shared" si="21"/>
        <v/>
      </c>
      <c r="P512" s="52" t="s">
        <v>284</v>
      </c>
      <c r="Q512" s="178">
        <f t="shared" si="22"/>
        <v>0</v>
      </c>
      <c r="S512" s="178">
        <f t="shared" si="23"/>
        <v>0</v>
      </c>
    </row>
    <row r="513" spans="14:19" x14ac:dyDescent="0.25">
      <c r="N513" s="178" t="str">
        <f t="shared" si="21"/>
        <v/>
      </c>
      <c r="P513" s="52" t="s">
        <v>284</v>
      </c>
      <c r="Q513" s="178">
        <f t="shared" si="22"/>
        <v>0</v>
      </c>
      <c r="S513" s="178">
        <f t="shared" si="23"/>
        <v>0</v>
      </c>
    </row>
    <row r="514" spans="14:19" x14ac:dyDescent="0.25">
      <c r="N514" s="178" t="str">
        <f t="shared" ref="N514:N577" si="24">IF(AND(ISNUMBER(VALUE(MID(M514,1,1))), ISNUMBER(VALUE(MID(M514,2,1))), ISNUMBER(VALUE(MID(M514,3,1))), ISNUMBER(VALUE(MID(M514,4,1)))), LEFT(M514,4), "")</f>
        <v/>
      </c>
      <c r="P514" s="52" t="s">
        <v>284</v>
      </c>
      <c r="Q514" s="178">
        <f t="shared" si="22"/>
        <v>0</v>
      </c>
      <c r="S514" s="178">
        <f t="shared" si="23"/>
        <v>0</v>
      </c>
    </row>
    <row r="515" spans="14:19" x14ac:dyDescent="0.25">
      <c r="N515" s="178" t="str">
        <f t="shared" si="24"/>
        <v/>
      </c>
      <c r="P515" s="52" t="s">
        <v>284</v>
      </c>
      <c r="Q515" s="178">
        <f t="shared" ref="Q515:Q578" si="25">FLOOR(O515,10)</f>
        <v>0</v>
      </c>
      <c r="S515" s="178">
        <f t="shared" ref="S515:S578" si="26">CEILING(O515,10)</f>
        <v>0</v>
      </c>
    </row>
    <row r="516" spans="14:19" x14ac:dyDescent="0.25">
      <c r="N516" s="178" t="str">
        <f t="shared" si="24"/>
        <v/>
      </c>
      <c r="P516" s="52" t="s">
        <v>174</v>
      </c>
      <c r="Q516" s="178">
        <f t="shared" si="25"/>
        <v>0</v>
      </c>
      <c r="S516" s="178">
        <f t="shared" si="26"/>
        <v>0</v>
      </c>
    </row>
    <row r="517" spans="14:19" x14ac:dyDescent="0.25">
      <c r="N517" s="178" t="str">
        <f t="shared" si="24"/>
        <v/>
      </c>
      <c r="P517" s="52" t="s">
        <v>174</v>
      </c>
      <c r="Q517" s="178">
        <f t="shared" si="25"/>
        <v>0</v>
      </c>
      <c r="S517" s="178">
        <f t="shared" si="26"/>
        <v>0</v>
      </c>
    </row>
    <row r="518" spans="14:19" x14ac:dyDescent="0.25">
      <c r="N518" s="178" t="str">
        <f t="shared" si="24"/>
        <v/>
      </c>
      <c r="P518" s="52" t="s">
        <v>174</v>
      </c>
      <c r="Q518" s="178">
        <f t="shared" si="25"/>
        <v>0</v>
      </c>
      <c r="S518" s="178">
        <f t="shared" si="26"/>
        <v>0</v>
      </c>
    </row>
    <row r="519" spans="14:19" x14ac:dyDescent="0.25">
      <c r="N519" s="178" t="str">
        <f t="shared" si="24"/>
        <v/>
      </c>
      <c r="P519" s="52" t="s">
        <v>174</v>
      </c>
      <c r="Q519" s="178">
        <f t="shared" si="25"/>
        <v>0</v>
      </c>
      <c r="S519" s="178">
        <f t="shared" si="26"/>
        <v>0</v>
      </c>
    </row>
    <row r="520" spans="14:19" x14ac:dyDescent="0.25">
      <c r="N520" s="178" t="str">
        <f t="shared" si="24"/>
        <v/>
      </c>
      <c r="P520" s="52" t="s">
        <v>174</v>
      </c>
      <c r="Q520" s="178">
        <f t="shared" si="25"/>
        <v>0</v>
      </c>
      <c r="S520" s="178">
        <f t="shared" si="26"/>
        <v>0</v>
      </c>
    </row>
    <row r="521" spans="14:19" x14ac:dyDescent="0.25">
      <c r="N521" s="178" t="str">
        <f t="shared" si="24"/>
        <v/>
      </c>
      <c r="P521" s="52" t="s">
        <v>174</v>
      </c>
      <c r="Q521" s="178">
        <f t="shared" si="25"/>
        <v>0</v>
      </c>
      <c r="S521" s="178">
        <f t="shared" si="26"/>
        <v>0</v>
      </c>
    </row>
    <row r="522" spans="14:19" x14ac:dyDescent="0.25">
      <c r="N522" s="178" t="str">
        <f t="shared" si="24"/>
        <v/>
      </c>
      <c r="P522" s="52" t="s">
        <v>174</v>
      </c>
      <c r="Q522" s="178">
        <f t="shared" si="25"/>
        <v>0</v>
      </c>
      <c r="S522" s="178">
        <f t="shared" si="26"/>
        <v>0</v>
      </c>
    </row>
    <row r="523" spans="14:19" x14ac:dyDescent="0.25">
      <c r="N523" s="178" t="str">
        <f t="shared" si="24"/>
        <v/>
      </c>
      <c r="P523" s="52" t="s">
        <v>174</v>
      </c>
      <c r="Q523" s="178">
        <f t="shared" si="25"/>
        <v>0</v>
      </c>
      <c r="S523" s="178">
        <f t="shared" si="26"/>
        <v>0</v>
      </c>
    </row>
    <row r="524" spans="14:19" x14ac:dyDescent="0.25">
      <c r="N524" s="178" t="str">
        <f t="shared" si="24"/>
        <v/>
      </c>
      <c r="P524" s="52" t="s">
        <v>174</v>
      </c>
      <c r="Q524" s="178">
        <f t="shared" si="25"/>
        <v>0</v>
      </c>
      <c r="S524" s="178">
        <f t="shared" si="26"/>
        <v>0</v>
      </c>
    </row>
    <row r="525" spans="14:19" x14ac:dyDescent="0.25">
      <c r="N525" s="178" t="str">
        <f t="shared" si="24"/>
        <v/>
      </c>
      <c r="P525" s="52" t="s">
        <v>174</v>
      </c>
      <c r="Q525" s="178">
        <f t="shared" si="25"/>
        <v>0</v>
      </c>
      <c r="S525" s="178">
        <f t="shared" si="26"/>
        <v>0</v>
      </c>
    </row>
    <row r="526" spans="14:19" x14ac:dyDescent="0.25">
      <c r="N526" s="178" t="str">
        <f t="shared" si="24"/>
        <v/>
      </c>
      <c r="P526" s="52" t="s">
        <v>174</v>
      </c>
      <c r="Q526" s="178">
        <f t="shared" si="25"/>
        <v>0</v>
      </c>
      <c r="S526" s="178">
        <f t="shared" si="26"/>
        <v>0</v>
      </c>
    </row>
    <row r="527" spans="14:19" x14ac:dyDescent="0.25">
      <c r="N527" s="178" t="str">
        <f t="shared" si="24"/>
        <v/>
      </c>
      <c r="P527" s="52" t="s">
        <v>174</v>
      </c>
      <c r="Q527" s="178">
        <f t="shared" si="25"/>
        <v>0</v>
      </c>
      <c r="S527" s="178">
        <f t="shared" si="26"/>
        <v>0</v>
      </c>
    </row>
    <row r="528" spans="14:19" x14ac:dyDescent="0.25">
      <c r="N528" s="178" t="str">
        <f t="shared" si="24"/>
        <v/>
      </c>
      <c r="P528" s="52" t="s">
        <v>174</v>
      </c>
      <c r="Q528" s="178">
        <f t="shared" si="25"/>
        <v>0</v>
      </c>
      <c r="S528" s="178">
        <f t="shared" si="26"/>
        <v>0</v>
      </c>
    </row>
    <row r="529" spans="14:19" x14ac:dyDescent="0.25">
      <c r="N529" s="178" t="str">
        <f t="shared" si="24"/>
        <v/>
      </c>
      <c r="P529" s="52" t="s">
        <v>174</v>
      </c>
      <c r="Q529" s="178">
        <f t="shared" si="25"/>
        <v>0</v>
      </c>
      <c r="S529" s="178">
        <f t="shared" si="26"/>
        <v>0</v>
      </c>
    </row>
    <row r="530" spans="14:19" x14ac:dyDescent="0.25">
      <c r="N530" s="178" t="str">
        <f t="shared" si="24"/>
        <v/>
      </c>
      <c r="P530" s="52" t="s">
        <v>174</v>
      </c>
      <c r="Q530" s="178">
        <f t="shared" si="25"/>
        <v>0</v>
      </c>
      <c r="S530" s="178">
        <f t="shared" si="26"/>
        <v>0</v>
      </c>
    </row>
    <row r="531" spans="14:19" x14ac:dyDescent="0.25">
      <c r="N531" s="178" t="str">
        <f t="shared" si="24"/>
        <v/>
      </c>
      <c r="P531" s="52" t="s">
        <v>174</v>
      </c>
      <c r="Q531" s="178">
        <f t="shared" si="25"/>
        <v>0</v>
      </c>
      <c r="S531" s="178">
        <f t="shared" si="26"/>
        <v>0</v>
      </c>
    </row>
    <row r="532" spans="14:19" x14ac:dyDescent="0.25">
      <c r="N532" s="178" t="str">
        <f t="shared" si="24"/>
        <v/>
      </c>
      <c r="P532" s="52" t="s">
        <v>174</v>
      </c>
      <c r="Q532" s="178">
        <f t="shared" si="25"/>
        <v>0</v>
      </c>
      <c r="S532" s="178">
        <f t="shared" si="26"/>
        <v>0</v>
      </c>
    </row>
    <row r="533" spans="14:19" x14ac:dyDescent="0.25">
      <c r="N533" s="178" t="str">
        <f t="shared" si="24"/>
        <v/>
      </c>
      <c r="P533" s="52" t="s">
        <v>174</v>
      </c>
      <c r="Q533" s="178">
        <f t="shared" si="25"/>
        <v>0</v>
      </c>
      <c r="S533" s="178">
        <f t="shared" si="26"/>
        <v>0</v>
      </c>
    </row>
    <row r="534" spans="14:19" x14ac:dyDescent="0.25">
      <c r="N534" s="178" t="str">
        <f t="shared" si="24"/>
        <v/>
      </c>
      <c r="P534" s="52" t="s">
        <v>174</v>
      </c>
      <c r="Q534" s="178">
        <f t="shared" si="25"/>
        <v>0</v>
      </c>
      <c r="S534" s="178">
        <f t="shared" si="26"/>
        <v>0</v>
      </c>
    </row>
    <row r="535" spans="14:19" x14ac:dyDescent="0.25">
      <c r="N535" s="178" t="str">
        <f t="shared" si="24"/>
        <v/>
      </c>
      <c r="P535" s="52" t="s">
        <v>174</v>
      </c>
      <c r="Q535" s="178">
        <f t="shared" si="25"/>
        <v>0</v>
      </c>
      <c r="S535" s="178">
        <f t="shared" si="26"/>
        <v>0</v>
      </c>
    </row>
    <row r="536" spans="14:19" x14ac:dyDescent="0.25">
      <c r="N536" s="178" t="str">
        <f t="shared" si="24"/>
        <v/>
      </c>
      <c r="P536" s="52" t="s">
        <v>174</v>
      </c>
      <c r="Q536" s="178">
        <f t="shared" si="25"/>
        <v>0</v>
      </c>
      <c r="S536" s="178">
        <f t="shared" si="26"/>
        <v>0</v>
      </c>
    </row>
    <row r="537" spans="14:19" x14ac:dyDescent="0.25">
      <c r="N537" s="178" t="str">
        <f t="shared" si="24"/>
        <v/>
      </c>
      <c r="P537" s="52" t="s">
        <v>174</v>
      </c>
      <c r="Q537" s="178">
        <f t="shared" si="25"/>
        <v>0</v>
      </c>
      <c r="S537" s="178">
        <f t="shared" si="26"/>
        <v>0</v>
      </c>
    </row>
    <row r="538" spans="14:19" x14ac:dyDescent="0.25">
      <c r="N538" s="178" t="str">
        <f t="shared" si="24"/>
        <v/>
      </c>
      <c r="P538" s="52" t="s">
        <v>174</v>
      </c>
      <c r="Q538" s="178">
        <f t="shared" si="25"/>
        <v>0</v>
      </c>
      <c r="S538" s="178">
        <f t="shared" si="26"/>
        <v>0</v>
      </c>
    </row>
    <row r="539" spans="14:19" x14ac:dyDescent="0.25">
      <c r="N539" s="178" t="str">
        <f t="shared" si="24"/>
        <v/>
      </c>
      <c r="P539" s="52" t="s">
        <v>138</v>
      </c>
      <c r="Q539" s="178">
        <f t="shared" si="25"/>
        <v>0</v>
      </c>
      <c r="S539" s="178">
        <f t="shared" si="26"/>
        <v>0</v>
      </c>
    </row>
    <row r="540" spans="14:19" x14ac:dyDescent="0.25">
      <c r="N540" s="178" t="str">
        <f t="shared" si="24"/>
        <v/>
      </c>
      <c r="P540" s="52" t="s">
        <v>138</v>
      </c>
      <c r="Q540" s="178">
        <f t="shared" si="25"/>
        <v>0</v>
      </c>
      <c r="S540" s="178">
        <f t="shared" si="26"/>
        <v>0</v>
      </c>
    </row>
    <row r="541" spans="14:19" x14ac:dyDescent="0.25">
      <c r="N541" s="178" t="str">
        <f t="shared" si="24"/>
        <v/>
      </c>
      <c r="P541" s="52" t="s">
        <v>138</v>
      </c>
      <c r="Q541" s="178">
        <f t="shared" si="25"/>
        <v>0</v>
      </c>
      <c r="S541" s="178">
        <f t="shared" si="26"/>
        <v>0</v>
      </c>
    </row>
    <row r="542" spans="14:19" x14ac:dyDescent="0.25">
      <c r="N542" s="178" t="str">
        <f t="shared" si="24"/>
        <v/>
      </c>
      <c r="P542" s="52" t="s">
        <v>138</v>
      </c>
      <c r="Q542" s="178">
        <f t="shared" si="25"/>
        <v>0</v>
      </c>
      <c r="S542" s="178">
        <f t="shared" si="26"/>
        <v>0</v>
      </c>
    </row>
    <row r="543" spans="14:19" x14ac:dyDescent="0.25">
      <c r="N543" s="178" t="str">
        <f t="shared" si="24"/>
        <v/>
      </c>
      <c r="P543" s="52" t="s">
        <v>138</v>
      </c>
      <c r="Q543" s="178">
        <f t="shared" si="25"/>
        <v>0</v>
      </c>
      <c r="S543" s="178">
        <f t="shared" si="26"/>
        <v>0</v>
      </c>
    </row>
    <row r="544" spans="14:19" x14ac:dyDescent="0.25">
      <c r="N544" s="178" t="str">
        <f t="shared" si="24"/>
        <v/>
      </c>
      <c r="P544" s="52" t="s">
        <v>138</v>
      </c>
      <c r="Q544" s="178">
        <f t="shared" si="25"/>
        <v>0</v>
      </c>
      <c r="S544" s="178">
        <f t="shared" si="26"/>
        <v>0</v>
      </c>
    </row>
    <row r="545" spans="14:19" x14ac:dyDescent="0.25">
      <c r="N545" s="178" t="str">
        <f t="shared" si="24"/>
        <v/>
      </c>
      <c r="P545" s="52" t="s">
        <v>138</v>
      </c>
      <c r="Q545" s="178">
        <f t="shared" si="25"/>
        <v>0</v>
      </c>
      <c r="S545" s="178">
        <f t="shared" si="26"/>
        <v>0</v>
      </c>
    </row>
    <row r="546" spans="14:19" x14ac:dyDescent="0.25">
      <c r="N546" s="178" t="str">
        <f t="shared" si="24"/>
        <v/>
      </c>
      <c r="P546" s="52" t="s">
        <v>138</v>
      </c>
      <c r="Q546" s="178">
        <f t="shared" si="25"/>
        <v>0</v>
      </c>
      <c r="S546" s="178">
        <f t="shared" si="26"/>
        <v>0</v>
      </c>
    </row>
    <row r="547" spans="14:19" x14ac:dyDescent="0.25">
      <c r="N547" s="178" t="str">
        <f t="shared" si="24"/>
        <v/>
      </c>
      <c r="P547" s="52" t="s">
        <v>138</v>
      </c>
      <c r="Q547" s="178">
        <f t="shared" si="25"/>
        <v>0</v>
      </c>
      <c r="S547" s="178">
        <f t="shared" si="26"/>
        <v>0</v>
      </c>
    </row>
    <row r="548" spans="14:19" x14ac:dyDescent="0.25">
      <c r="N548" s="178" t="str">
        <f t="shared" si="24"/>
        <v/>
      </c>
      <c r="P548" s="52" t="s">
        <v>138</v>
      </c>
      <c r="Q548" s="178">
        <f t="shared" si="25"/>
        <v>0</v>
      </c>
      <c r="S548" s="178">
        <f t="shared" si="26"/>
        <v>0</v>
      </c>
    </row>
    <row r="549" spans="14:19" x14ac:dyDescent="0.25">
      <c r="N549" s="178" t="str">
        <f t="shared" si="24"/>
        <v/>
      </c>
      <c r="P549" s="52" t="s">
        <v>138</v>
      </c>
      <c r="Q549" s="178">
        <f t="shared" si="25"/>
        <v>0</v>
      </c>
      <c r="S549" s="178">
        <f t="shared" si="26"/>
        <v>0</v>
      </c>
    </row>
    <row r="550" spans="14:19" x14ac:dyDescent="0.25">
      <c r="N550" s="178" t="str">
        <f t="shared" si="24"/>
        <v/>
      </c>
      <c r="P550" s="52" t="s">
        <v>138</v>
      </c>
      <c r="Q550" s="178">
        <f t="shared" si="25"/>
        <v>0</v>
      </c>
      <c r="S550" s="178">
        <f t="shared" si="26"/>
        <v>0</v>
      </c>
    </row>
    <row r="551" spans="14:19" x14ac:dyDescent="0.25">
      <c r="N551" s="178" t="str">
        <f t="shared" si="24"/>
        <v/>
      </c>
      <c r="P551" s="52" t="s">
        <v>138</v>
      </c>
      <c r="Q551" s="178">
        <f t="shared" si="25"/>
        <v>0</v>
      </c>
      <c r="S551" s="178">
        <f t="shared" si="26"/>
        <v>0</v>
      </c>
    </row>
    <row r="552" spans="14:19" x14ac:dyDescent="0.25">
      <c r="N552" s="178" t="str">
        <f t="shared" si="24"/>
        <v/>
      </c>
      <c r="P552" s="52" t="s">
        <v>138</v>
      </c>
      <c r="Q552" s="178">
        <f t="shared" si="25"/>
        <v>0</v>
      </c>
      <c r="S552" s="178">
        <f t="shared" si="26"/>
        <v>0</v>
      </c>
    </row>
    <row r="553" spans="14:19" x14ac:dyDescent="0.25">
      <c r="N553" s="178" t="str">
        <f t="shared" si="24"/>
        <v/>
      </c>
      <c r="P553" s="52" t="s">
        <v>138</v>
      </c>
      <c r="Q553" s="178">
        <f t="shared" si="25"/>
        <v>0</v>
      </c>
      <c r="S553" s="178">
        <f t="shared" si="26"/>
        <v>0</v>
      </c>
    </row>
    <row r="554" spans="14:19" x14ac:dyDescent="0.25">
      <c r="N554" s="178" t="str">
        <f t="shared" si="24"/>
        <v/>
      </c>
      <c r="P554" s="52" t="s">
        <v>138</v>
      </c>
      <c r="Q554" s="178">
        <f t="shared" si="25"/>
        <v>0</v>
      </c>
      <c r="S554" s="178">
        <f t="shared" si="26"/>
        <v>0</v>
      </c>
    </row>
    <row r="555" spans="14:19" x14ac:dyDescent="0.25">
      <c r="N555" s="178" t="str">
        <f t="shared" si="24"/>
        <v/>
      </c>
      <c r="P555" s="52" t="s">
        <v>138</v>
      </c>
      <c r="Q555" s="178">
        <f t="shared" si="25"/>
        <v>0</v>
      </c>
      <c r="S555" s="178">
        <f t="shared" si="26"/>
        <v>0</v>
      </c>
    </row>
    <row r="556" spans="14:19" x14ac:dyDescent="0.25">
      <c r="N556" s="178" t="str">
        <f t="shared" si="24"/>
        <v/>
      </c>
      <c r="P556" s="52" t="s">
        <v>138</v>
      </c>
      <c r="Q556" s="178">
        <f t="shared" si="25"/>
        <v>0</v>
      </c>
      <c r="S556" s="178">
        <f t="shared" si="26"/>
        <v>0</v>
      </c>
    </row>
    <row r="557" spans="14:19" x14ac:dyDescent="0.25">
      <c r="N557" s="178" t="str">
        <f t="shared" si="24"/>
        <v/>
      </c>
      <c r="P557" s="52" t="s">
        <v>138</v>
      </c>
      <c r="Q557" s="178">
        <f t="shared" si="25"/>
        <v>0</v>
      </c>
      <c r="S557" s="178">
        <f t="shared" si="26"/>
        <v>0</v>
      </c>
    </row>
    <row r="558" spans="14:19" x14ac:dyDescent="0.25">
      <c r="N558" s="178" t="str">
        <f t="shared" si="24"/>
        <v/>
      </c>
      <c r="P558" s="52" t="s">
        <v>138</v>
      </c>
      <c r="Q558" s="178">
        <f t="shared" si="25"/>
        <v>0</v>
      </c>
      <c r="S558" s="178">
        <f t="shared" si="26"/>
        <v>0</v>
      </c>
    </row>
    <row r="559" spans="14:19" x14ac:dyDescent="0.25">
      <c r="N559" s="178" t="str">
        <f t="shared" si="24"/>
        <v/>
      </c>
      <c r="P559" s="52" t="s">
        <v>138</v>
      </c>
      <c r="Q559" s="178">
        <f t="shared" si="25"/>
        <v>0</v>
      </c>
      <c r="S559" s="178">
        <f t="shared" si="26"/>
        <v>0</v>
      </c>
    </row>
    <row r="560" spans="14:19" x14ac:dyDescent="0.25">
      <c r="N560" s="178" t="str">
        <f t="shared" si="24"/>
        <v/>
      </c>
      <c r="P560" s="52" t="s">
        <v>311</v>
      </c>
      <c r="Q560" s="178">
        <f t="shared" si="25"/>
        <v>0</v>
      </c>
      <c r="S560" s="178">
        <f t="shared" si="26"/>
        <v>0</v>
      </c>
    </row>
    <row r="561" spans="14:19" x14ac:dyDescent="0.25">
      <c r="N561" s="178" t="str">
        <f t="shared" si="24"/>
        <v/>
      </c>
      <c r="P561" s="52" t="s">
        <v>311</v>
      </c>
      <c r="Q561" s="178">
        <f t="shared" si="25"/>
        <v>0</v>
      </c>
      <c r="S561" s="178">
        <f t="shared" si="26"/>
        <v>0</v>
      </c>
    </row>
    <row r="562" spans="14:19" x14ac:dyDescent="0.25">
      <c r="N562" s="178" t="str">
        <f t="shared" si="24"/>
        <v/>
      </c>
      <c r="P562" s="52" t="s">
        <v>311</v>
      </c>
      <c r="Q562" s="178">
        <f t="shared" si="25"/>
        <v>0</v>
      </c>
      <c r="S562" s="178">
        <f t="shared" si="26"/>
        <v>0</v>
      </c>
    </row>
    <row r="563" spans="14:19" x14ac:dyDescent="0.25">
      <c r="N563" s="178" t="str">
        <f t="shared" si="24"/>
        <v/>
      </c>
      <c r="P563" s="52" t="s">
        <v>311</v>
      </c>
      <c r="Q563" s="178">
        <f t="shared" si="25"/>
        <v>0</v>
      </c>
      <c r="S563" s="178">
        <f t="shared" si="26"/>
        <v>0</v>
      </c>
    </row>
    <row r="564" spans="14:19" x14ac:dyDescent="0.25">
      <c r="N564" s="178" t="str">
        <f t="shared" si="24"/>
        <v/>
      </c>
      <c r="P564" s="52" t="s">
        <v>311</v>
      </c>
      <c r="Q564" s="178">
        <f t="shared" si="25"/>
        <v>0</v>
      </c>
      <c r="S564" s="178">
        <f t="shared" si="26"/>
        <v>0</v>
      </c>
    </row>
    <row r="565" spans="14:19" x14ac:dyDescent="0.25">
      <c r="N565" s="178" t="str">
        <f t="shared" si="24"/>
        <v/>
      </c>
      <c r="P565" s="52" t="s">
        <v>311</v>
      </c>
      <c r="Q565" s="178">
        <f t="shared" si="25"/>
        <v>0</v>
      </c>
      <c r="S565" s="178">
        <f t="shared" si="26"/>
        <v>0</v>
      </c>
    </row>
    <row r="566" spans="14:19" x14ac:dyDescent="0.25">
      <c r="N566" s="178" t="str">
        <f t="shared" si="24"/>
        <v/>
      </c>
      <c r="P566" s="52" t="s">
        <v>311</v>
      </c>
      <c r="Q566" s="178">
        <f t="shared" si="25"/>
        <v>0</v>
      </c>
      <c r="S566" s="178">
        <f t="shared" si="26"/>
        <v>0</v>
      </c>
    </row>
    <row r="567" spans="14:19" x14ac:dyDescent="0.25">
      <c r="N567" s="178" t="str">
        <f t="shared" si="24"/>
        <v/>
      </c>
      <c r="P567" s="52" t="s">
        <v>311</v>
      </c>
      <c r="Q567" s="178">
        <f t="shared" si="25"/>
        <v>0</v>
      </c>
      <c r="S567" s="178">
        <f t="shared" si="26"/>
        <v>0</v>
      </c>
    </row>
    <row r="568" spans="14:19" x14ac:dyDescent="0.25">
      <c r="N568" s="178" t="str">
        <f t="shared" si="24"/>
        <v/>
      </c>
      <c r="P568" s="52" t="s">
        <v>311</v>
      </c>
      <c r="Q568" s="178">
        <f t="shared" si="25"/>
        <v>0</v>
      </c>
      <c r="S568" s="178">
        <f t="shared" si="26"/>
        <v>0</v>
      </c>
    </row>
    <row r="569" spans="14:19" x14ac:dyDescent="0.25">
      <c r="N569" s="178" t="str">
        <f t="shared" si="24"/>
        <v/>
      </c>
      <c r="P569" s="52" t="s">
        <v>311</v>
      </c>
      <c r="Q569" s="178">
        <f t="shared" si="25"/>
        <v>0</v>
      </c>
      <c r="S569" s="178">
        <f t="shared" si="26"/>
        <v>0</v>
      </c>
    </row>
    <row r="570" spans="14:19" x14ac:dyDescent="0.25">
      <c r="N570" s="178" t="str">
        <f t="shared" si="24"/>
        <v/>
      </c>
      <c r="P570" s="52" t="s">
        <v>311</v>
      </c>
      <c r="Q570" s="178">
        <f t="shared" si="25"/>
        <v>0</v>
      </c>
      <c r="S570" s="178">
        <f t="shared" si="26"/>
        <v>0</v>
      </c>
    </row>
    <row r="571" spans="14:19" x14ac:dyDescent="0.25">
      <c r="N571" s="178" t="str">
        <f t="shared" si="24"/>
        <v/>
      </c>
      <c r="P571" s="52" t="s">
        <v>311</v>
      </c>
      <c r="Q571" s="178">
        <f t="shared" si="25"/>
        <v>0</v>
      </c>
      <c r="S571" s="178">
        <f t="shared" si="26"/>
        <v>0</v>
      </c>
    </row>
    <row r="572" spans="14:19" x14ac:dyDescent="0.25">
      <c r="N572" s="178" t="str">
        <f t="shared" si="24"/>
        <v/>
      </c>
      <c r="P572" s="52" t="s">
        <v>311</v>
      </c>
      <c r="Q572" s="178">
        <f t="shared" si="25"/>
        <v>0</v>
      </c>
      <c r="S572" s="178">
        <f t="shared" si="26"/>
        <v>0</v>
      </c>
    </row>
    <row r="573" spans="14:19" x14ac:dyDescent="0.25">
      <c r="N573" s="178" t="str">
        <f t="shared" si="24"/>
        <v/>
      </c>
      <c r="P573" s="52" t="s">
        <v>131</v>
      </c>
      <c r="Q573" s="178">
        <f t="shared" si="25"/>
        <v>0</v>
      </c>
      <c r="S573" s="178">
        <f t="shared" si="26"/>
        <v>0</v>
      </c>
    </row>
    <row r="574" spans="14:19" x14ac:dyDescent="0.25">
      <c r="N574" s="178" t="str">
        <f t="shared" si="24"/>
        <v/>
      </c>
      <c r="P574" s="52" t="s">
        <v>131</v>
      </c>
      <c r="Q574" s="178">
        <f t="shared" si="25"/>
        <v>0</v>
      </c>
      <c r="S574" s="178">
        <f t="shared" si="26"/>
        <v>0</v>
      </c>
    </row>
    <row r="575" spans="14:19" x14ac:dyDescent="0.25">
      <c r="N575" s="178" t="str">
        <f t="shared" si="24"/>
        <v/>
      </c>
      <c r="P575" s="52" t="s">
        <v>131</v>
      </c>
      <c r="Q575" s="178">
        <f t="shared" si="25"/>
        <v>0</v>
      </c>
      <c r="S575" s="178">
        <f t="shared" si="26"/>
        <v>0</v>
      </c>
    </row>
    <row r="576" spans="14:19" x14ac:dyDescent="0.25">
      <c r="N576" s="178" t="str">
        <f t="shared" si="24"/>
        <v/>
      </c>
      <c r="P576" s="52" t="s">
        <v>131</v>
      </c>
      <c r="Q576" s="178">
        <f t="shared" si="25"/>
        <v>0</v>
      </c>
      <c r="S576" s="178">
        <f t="shared" si="26"/>
        <v>0</v>
      </c>
    </row>
    <row r="577" spans="14:19" x14ac:dyDescent="0.25">
      <c r="N577" s="178" t="str">
        <f t="shared" si="24"/>
        <v/>
      </c>
      <c r="P577" s="52" t="s">
        <v>131</v>
      </c>
      <c r="Q577" s="178">
        <f t="shared" si="25"/>
        <v>0</v>
      </c>
      <c r="S577" s="178">
        <f t="shared" si="26"/>
        <v>0</v>
      </c>
    </row>
    <row r="578" spans="14:19" x14ac:dyDescent="0.25">
      <c r="N578" s="178" t="str">
        <f t="shared" ref="N578:N641" si="27">IF(AND(ISNUMBER(VALUE(MID(M578,1,1))), ISNUMBER(VALUE(MID(M578,2,1))), ISNUMBER(VALUE(MID(M578,3,1))), ISNUMBER(VALUE(MID(M578,4,1)))), LEFT(M578,4), "")</f>
        <v/>
      </c>
      <c r="P578" s="52" t="s">
        <v>131</v>
      </c>
      <c r="Q578" s="178">
        <f t="shared" si="25"/>
        <v>0</v>
      </c>
      <c r="S578" s="178">
        <f t="shared" si="26"/>
        <v>0</v>
      </c>
    </row>
    <row r="579" spans="14:19" x14ac:dyDescent="0.25">
      <c r="N579" s="178" t="str">
        <f t="shared" si="27"/>
        <v/>
      </c>
      <c r="P579" s="52" t="s">
        <v>131</v>
      </c>
      <c r="Q579" s="178">
        <f t="shared" ref="Q579:Q642" si="28">FLOOR(O579,10)</f>
        <v>0</v>
      </c>
      <c r="S579" s="178">
        <f t="shared" ref="S579:S642" si="29">CEILING(O579,10)</f>
        <v>0</v>
      </c>
    </row>
    <row r="580" spans="14:19" x14ac:dyDescent="0.25">
      <c r="N580" s="178" t="str">
        <f t="shared" si="27"/>
        <v/>
      </c>
      <c r="P580" s="52" t="s">
        <v>131</v>
      </c>
      <c r="Q580" s="178">
        <f t="shared" si="28"/>
        <v>0</v>
      </c>
      <c r="S580" s="178">
        <f t="shared" si="29"/>
        <v>0</v>
      </c>
    </row>
    <row r="581" spans="14:19" x14ac:dyDescent="0.25">
      <c r="N581" s="178" t="str">
        <f t="shared" si="27"/>
        <v/>
      </c>
      <c r="P581" s="52" t="s">
        <v>131</v>
      </c>
      <c r="Q581" s="178">
        <f t="shared" si="28"/>
        <v>0</v>
      </c>
      <c r="S581" s="178">
        <f t="shared" si="29"/>
        <v>0</v>
      </c>
    </row>
    <row r="582" spans="14:19" x14ac:dyDescent="0.25">
      <c r="N582" s="178" t="str">
        <f t="shared" si="27"/>
        <v/>
      </c>
      <c r="P582" s="52" t="s">
        <v>131</v>
      </c>
      <c r="Q582" s="178">
        <f t="shared" si="28"/>
        <v>0</v>
      </c>
      <c r="S582" s="178">
        <f t="shared" si="29"/>
        <v>0</v>
      </c>
    </row>
    <row r="583" spans="14:19" x14ac:dyDescent="0.25">
      <c r="N583" s="178" t="str">
        <f t="shared" si="27"/>
        <v/>
      </c>
      <c r="P583" s="52" t="s">
        <v>131</v>
      </c>
      <c r="Q583" s="178">
        <f t="shared" si="28"/>
        <v>0</v>
      </c>
      <c r="S583" s="178">
        <f t="shared" si="29"/>
        <v>0</v>
      </c>
    </row>
    <row r="584" spans="14:19" x14ac:dyDescent="0.25">
      <c r="N584" s="178" t="str">
        <f t="shared" si="27"/>
        <v/>
      </c>
      <c r="P584" s="52" t="s">
        <v>131</v>
      </c>
      <c r="Q584" s="178">
        <f t="shared" si="28"/>
        <v>0</v>
      </c>
      <c r="S584" s="178">
        <f t="shared" si="29"/>
        <v>0</v>
      </c>
    </row>
    <row r="585" spans="14:19" x14ac:dyDescent="0.25">
      <c r="N585" s="178" t="str">
        <f t="shared" si="27"/>
        <v/>
      </c>
      <c r="P585" s="52" t="s">
        <v>131</v>
      </c>
      <c r="Q585" s="178">
        <f t="shared" si="28"/>
        <v>0</v>
      </c>
      <c r="S585" s="178">
        <f t="shared" si="29"/>
        <v>0</v>
      </c>
    </row>
    <row r="586" spans="14:19" x14ac:dyDescent="0.25">
      <c r="N586" s="178" t="str">
        <f t="shared" si="27"/>
        <v/>
      </c>
      <c r="P586" s="52" t="s">
        <v>131</v>
      </c>
      <c r="Q586" s="178">
        <f t="shared" si="28"/>
        <v>0</v>
      </c>
      <c r="S586" s="178">
        <f t="shared" si="29"/>
        <v>0</v>
      </c>
    </row>
    <row r="587" spans="14:19" x14ac:dyDescent="0.25">
      <c r="N587" s="178" t="str">
        <f t="shared" si="27"/>
        <v/>
      </c>
      <c r="P587" s="52" t="s">
        <v>131</v>
      </c>
      <c r="Q587" s="178">
        <f t="shared" si="28"/>
        <v>0</v>
      </c>
      <c r="S587" s="178">
        <f t="shared" si="29"/>
        <v>0</v>
      </c>
    </row>
    <row r="588" spans="14:19" x14ac:dyDescent="0.25">
      <c r="N588" s="178" t="str">
        <f t="shared" si="27"/>
        <v/>
      </c>
      <c r="P588" s="52" t="s">
        <v>131</v>
      </c>
      <c r="Q588" s="178">
        <f t="shared" si="28"/>
        <v>0</v>
      </c>
      <c r="S588" s="178">
        <f t="shared" si="29"/>
        <v>0</v>
      </c>
    </row>
    <row r="589" spans="14:19" x14ac:dyDescent="0.25">
      <c r="N589" s="178" t="str">
        <f t="shared" si="27"/>
        <v/>
      </c>
      <c r="P589" s="52" t="s">
        <v>131</v>
      </c>
      <c r="Q589" s="178">
        <f t="shared" si="28"/>
        <v>0</v>
      </c>
      <c r="S589" s="178">
        <f t="shared" si="29"/>
        <v>0</v>
      </c>
    </row>
    <row r="590" spans="14:19" x14ac:dyDescent="0.25">
      <c r="N590" s="178" t="str">
        <f t="shared" si="27"/>
        <v/>
      </c>
      <c r="P590" s="52" t="s">
        <v>131</v>
      </c>
      <c r="Q590" s="178">
        <f t="shared" si="28"/>
        <v>0</v>
      </c>
      <c r="S590" s="178">
        <f t="shared" si="29"/>
        <v>0</v>
      </c>
    </row>
    <row r="591" spans="14:19" x14ac:dyDescent="0.25">
      <c r="N591" s="178" t="str">
        <f t="shared" si="27"/>
        <v/>
      </c>
      <c r="P591" s="52" t="s">
        <v>131</v>
      </c>
      <c r="Q591" s="178">
        <f t="shared" si="28"/>
        <v>0</v>
      </c>
      <c r="S591" s="178">
        <f t="shared" si="29"/>
        <v>0</v>
      </c>
    </row>
    <row r="592" spans="14:19" x14ac:dyDescent="0.25">
      <c r="N592" s="178" t="str">
        <f t="shared" si="27"/>
        <v/>
      </c>
      <c r="P592" s="52" t="s">
        <v>131</v>
      </c>
      <c r="Q592" s="178">
        <f t="shared" si="28"/>
        <v>0</v>
      </c>
      <c r="S592" s="178">
        <f t="shared" si="29"/>
        <v>0</v>
      </c>
    </row>
    <row r="593" spans="14:19" x14ac:dyDescent="0.25">
      <c r="N593" s="178" t="str">
        <f t="shared" si="27"/>
        <v/>
      </c>
      <c r="P593" s="52" t="s">
        <v>122</v>
      </c>
      <c r="Q593" s="178">
        <f t="shared" si="28"/>
        <v>0</v>
      </c>
      <c r="S593" s="178">
        <f t="shared" si="29"/>
        <v>0</v>
      </c>
    </row>
    <row r="594" spans="14:19" x14ac:dyDescent="0.25">
      <c r="N594" s="178" t="str">
        <f t="shared" si="27"/>
        <v/>
      </c>
      <c r="P594" s="52" t="s">
        <v>122</v>
      </c>
      <c r="Q594" s="178">
        <f t="shared" si="28"/>
        <v>0</v>
      </c>
      <c r="S594" s="178">
        <f t="shared" si="29"/>
        <v>0</v>
      </c>
    </row>
    <row r="595" spans="14:19" x14ac:dyDescent="0.25">
      <c r="N595" s="178" t="str">
        <f t="shared" si="27"/>
        <v/>
      </c>
      <c r="P595" s="52" t="s">
        <v>122</v>
      </c>
      <c r="Q595" s="178">
        <f t="shared" si="28"/>
        <v>0</v>
      </c>
      <c r="S595" s="178">
        <f t="shared" si="29"/>
        <v>0</v>
      </c>
    </row>
    <row r="596" spans="14:19" x14ac:dyDescent="0.25">
      <c r="N596" s="178" t="str">
        <f t="shared" si="27"/>
        <v/>
      </c>
      <c r="P596" s="52" t="s">
        <v>122</v>
      </c>
      <c r="Q596" s="178">
        <f t="shared" si="28"/>
        <v>0</v>
      </c>
      <c r="S596" s="178">
        <f t="shared" si="29"/>
        <v>0</v>
      </c>
    </row>
    <row r="597" spans="14:19" x14ac:dyDescent="0.25">
      <c r="N597" s="178" t="str">
        <f t="shared" si="27"/>
        <v/>
      </c>
      <c r="P597" s="52" t="s">
        <v>122</v>
      </c>
      <c r="Q597" s="178">
        <f t="shared" si="28"/>
        <v>0</v>
      </c>
      <c r="S597" s="178">
        <f t="shared" si="29"/>
        <v>0</v>
      </c>
    </row>
    <row r="598" spans="14:19" x14ac:dyDescent="0.25">
      <c r="N598" s="178" t="str">
        <f t="shared" si="27"/>
        <v/>
      </c>
      <c r="P598" s="52" t="s">
        <v>122</v>
      </c>
      <c r="Q598" s="178">
        <f t="shared" si="28"/>
        <v>0</v>
      </c>
      <c r="S598" s="178">
        <f t="shared" si="29"/>
        <v>0</v>
      </c>
    </row>
    <row r="599" spans="14:19" x14ac:dyDescent="0.25">
      <c r="N599" s="178" t="str">
        <f t="shared" si="27"/>
        <v/>
      </c>
      <c r="P599" s="52" t="s">
        <v>122</v>
      </c>
      <c r="Q599" s="178">
        <f t="shared" si="28"/>
        <v>0</v>
      </c>
      <c r="S599" s="178">
        <f t="shared" si="29"/>
        <v>0</v>
      </c>
    </row>
    <row r="600" spans="14:19" x14ac:dyDescent="0.25">
      <c r="N600" s="178" t="str">
        <f t="shared" si="27"/>
        <v/>
      </c>
      <c r="P600" s="52" t="s">
        <v>122</v>
      </c>
      <c r="Q600" s="178">
        <f t="shared" si="28"/>
        <v>0</v>
      </c>
      <c r="S600" s="178">
        <f t="shared" si="29"/>
        <v>0</v>
      </c>
    </row>
    <row r="601" spans="14:19" x14ac:dyDescent="0.25">
      <c r="N601" s="178" t="str">
        <f t="shared" si="27"/>
        <v/>
      </c>
      <c r="P601" s="52" t="s">
        <v>122</v>
      </c>
      <c r="Q601" s="178">
        <f t="shared" si="28"/>
        <v>0</v>
      </c>
      <c r="S601" s="178">
        <f t="shared" si="29"/>
        <v>0</v>
      </c>
    </row>
    <row r="602" spans="14:19" x14ac:dyDescent="0.25">
      <c r="N602" s="178" t="str">
        <f t="shared" si="27"/>
        <v/>
      </c>
      <c r="P602" s="52" t="s">
        <v>122</v>
      </c>
      <c r="Q602" s="178">
        <f t="shared" si="28"/>
        <v>0</v>
      </c>
      <c r="S602" s="178">
        <f t="shared" si="29"/>
        <v>0</v>
      </c>
    </row>
    <row r="603" spans="14:19" x14ac:dyDescent="0.25">
      <c r="N603" s="178" t="str">
        <f t="shared" si="27"/>
        <v/>
      </c>
      <c r="P603" s="52" t="s">
        <v>122</v>
      </c>
      <c r="Q603" s="178">
        <f t="shared" si="28"/>
        <v>0</v>
      </c>
      <c r="S603" s="178">
        <f t="shared" si="29"/>
        <v>0</v>
      </c>
    </row>
    <row r="604" spans="14:19" x14ac:dyDescent="0.25">
      <c r="N604" s="178" t="str">
        <f t="shared" si="27"/>
        <v/>
      </c>
      <c r="P604" s="52" t="s">
        <v>122</v>
      </c>
      <c r="Q604" s="178">
        <f t="shared" si="28"/>
        <v>0</v>
      </c>
      <c r="S604" s="178">
        <f t="shared" si="29"/>
        <v>0</v>
      </c>
    </row>
    <row r="605" spans="14:19" x14ac:dyDescent="0.25">
      <c r="N605" s="178" t="str">
        <f t="shared" si="27"/>
        <v/>
      </c>
      <c r="P605" s="52" t="s">
        <v>122</v>
      </c>
      <c r="Q605" s="178">
        <f t="shared" si="28"/>
        <v>0</v>
      </c>
      <c r="S605" s="178">
        <f t="shared" si="29"/>
        <v>0</v>
      </c>
    </row>
    <row r="606" spans="14:19" x14ac:dyDescent="0.25">
      <c r="N606" s="178" t="str">
        <f t="shared" si="27"/>
        <v/>
      </c>
      <c r="P606" s="52" t="s">
        <v>122</v>
      </c>
      <c r="Q606" s="178">
        <f t="shared" si="28"/>
        <v>0</v>
      </c>
      <c r="S606" s="178">
        <f t="shared" si="29"/>
        <v>0</v>
      </c>
    </row>
    <row r="607" spans="14:19" x14ac:dyDescent="0.25">
      <c r="N607" s="178" t="str">
        <f t="shared" si="27"/>
        <v/>
      </c>
      <c r="P607" s="52" t="s">
        <v>122</v>
      </c>
      <c r="Q607" s="178">
        <f t="shared" si="28"/>
        <v>0</v>
      </c>
      <c r="S607" s="178">
        <f t="shared" si="29"/>
        <v>0</v>
      </c>
    </row>
    <row r="608" spans="14:19" x14ac:dyDescent="0.25">
      <c r="N608" s="178" t="str">
        <f t="shared" si="27"/>
        <v/>
      </c>
      <c r="P608" s="52" t="s">
        <v>122</v>
      </c>
      <c r="Q608" s="178">
        <f t="shared" si="28"/>
        <v>0</v>
      </c>
      <c r="S608" s="178">
        <f t="shared" si="29"/>
        <v>0</v>
      </c>
    </row>
    <row r="609" spans="14:19" x14ac:dyDescent="0.25">
      <c r="N609" s="178" t="str">
        <f t="shared" si="27"/>
        <v/>
      </c>
      <c r="P609" s="52" t="s">
        <v>122</v>
      </c>
      <c r="Q609" s="178">
        <f t="shared" si="28"/>
        <v>0</v>
      </c>
      <c r="S609" s="178">
        <f t="shared" si="29"/>
        <v>0</v>
      </c>
    </row>
    <row r="610" spans="14:19" x14ac:dyDescent="0.25">
      <c r="N610" s="178" t="str">
        <f t="shared" si="27"/>
        <v/>
      </c>
      <c r="P610" s="52" t="s">
        <v>122</v>
      </c>
      <c r="Q610" s="178">
        <f t="shared" si="28"/>
        <v>0</v>
      </c>
      <c r="S610" s="178">
        <f t="shared" si="29"/>
        <v>0</v>
      </c>
    </row>
    <row r="611" spans="14:19" x14ac:dyDescent="0.25">
      <c r="N611" s="178" t="str">
        <f t="shared" si="27"/>
        <v/>
      </c>
      <c r="P611" s="52" t="s">
        <v>122</v>
      </c>
      <c r="Q611" s="178">
        <f t="shared" si="28"/>
        <v>0</v>
      </c>
      <c r="S611" s="178">
        <f t="shared" si="29"/>
        <v>0</v>
      </c>
    </row>
    <row r="612" spans="14:19" x14ac:dyDescent="0.25">
      <c r="N612" s="178" t="str">
        <f t="shared" si="27"/>
        <v/>
      </c>
      <c r="P612" s="52" t="s">
        <v>122</v>
      </c>
      <c r="Q612" s="178">
        <f t="shared" si="28"/>
        <v>0</v>
      </c>
      <c r="S612" s="178">
        <f t="shared" si="29"/>
        <v>0</v>
      </c>
    </row>
    <row r="613" spans="14:19" x14ac:dyDescent="0.25">
      <c r="N613" s="178" t="str">
        <f t="shared" si="27"/>
        <v/>
      </c>
      <c r="P613" s="52" t="s">
        <v>122</v>
      </c>
      <c r="Q613" s="178">
        <f t="shared" si="28"/>
        <v>0</v>
      </c>
      <c r="S613" s="178">
        <f t="shared" si="29"/>
        <v>0</v>
      </c>
    </row>
    <row r="614" spans="14:19" x14ac:dyDescent="0.25">
      <c r="N614" s="178" t="str">
        <f t="shared" si="27"/>
        <v/>
      </c>
      <c r="P614" s="52" t="s">
        <v>122</v>
      </c>
      <c r="Q614" s="178">
        <f t="shared" si="28"/>
        <v>0</v>
      </c>
      <c r="S614" s="178">
        <f t="shared" si="29"/>
        <v>0</v>
      </c>
    </row>
    <row r="615" spans="14:19" x14ac:dyDescent="0.25">
      <c r="N615" s="178" t="str">
        <f t="shared" si="27"/>
        <v/>
      </c>
      <c r="P615" s="52" t="s">
        <v>122</v>
      </c>
      <c r="Q615" s="178">
        <f t="shared" si="28"/>
        <v>0</v>
      </c>
      <c r="S615" s="178">
        <f t="shared" si="29"/>
        <v>0</v>
      </c>
    </row>
    <row r="616" spans="14:19" x14ac:dyDescent="0.25">
      <c r="N616" s="178" t="str">
        <f t="shared" si="27"/>
        <v/>
      </c>
      <c r="P616" s="52" t="s">
        <v>122</v>
      </c>
      <c r="Q616" s="178">
        <f t="shared" si="28"/>
        <v>0</v>
      </c>
      <c r="S616" s="178">
        <f t="shared" si="29"/>
        <v>0</v>
      </c>
    </row>
    <row r="617" spans="14:19" x14ac:dyDescent="0.25">
      <c r="N617" s="178" t="str">
        <f t="shared" si="27"/>
        <v/>
      </c>
      <c r="P617" s="52" t="s">
        <v>122</v>
      </c>
      <c r="Q617" s="178">
        <f t="shared" si="28"/>
        <v>0</v>
      </c>
      <c r="S617" s="178">
        <f t="shared" si="29"/>
        <v>0</v>
      </c>
    </row>
    <row r="618" spans="14:19" x14ac:dyDescent="0.25">
      <c r="N618" s="178" t="str">
        <f t="shared" si="27"/>
        <v/>
      </c>
      <c r="P618" s="52" t="s">
        <v>122</v>
      </c>
      <c r="Q618" s="178">
        <f t="shared" si="28"/>
        <v>0</v>
      </c>
      <c r="S618" s="178">
        <f t="shared" si="29"/>
        <v>0</v>
      </c>
    </row>
    <row r="619" spans="14:19" x14ac:dyDescent="0.25">
      <c r="N619" s="178" t="str">
        <f t="shared" si="27"/>
        <v/>
      </c>
      <c r="P619" s="52" t="s">
        <v>122</v>
      </c>
      <c r="Q619" s="178">
        <f t="shared" si="28"/>
        <v>0</v>
      </c>
      <c r="S619" s="178">
        <f t="shared" si="29"/>
        <v>0</v>
      </c>
    </row>
    <row r="620" spans="14:19" x14ac:dyDescent="0.25">
      <c r="N620" s="178" t="str">
        <f t="shared" si="27"/>
        <v/>
      </c>
      <c r="P620" s="52" t="s">
        <v>122</v>
      </c>
      <c r="Q620" s="178">
        <f t="shared" si="28"/>
        <v>0</v>
      </c>
      <c r="S620" s="178">
        <f t="shared" si="29"/>
        <v>0</v>
      </c>
    </row>
    <row r="621" spans="14:19" x14ac:dyDescent="0.25">
      <c r="N621" s="178" t="str">
        <f t="shared" si="27"/>
        <v/>
      </c>
      <c r="P621" s="52" t="s">
        <v>159</v>
      </c>
      <c r="Q621" s="178">
        <f t="shared" si="28"/>
        <v>0</v>
      </c>
      <c r="S621" s="178">
        <f t="shared" si="29"/>
        <v>0</v>
      </c>
    </row>
    <row r="622" spans="14:19" x14ac:dyDescent="0.25">
      <c r="N622" s="178" t="str">
        <f t="shared" si="27"/>
        <v/>
      </c>
      <c r="P622" s="52" t="s">
        <v>159</v>
      </c>
      <c r="Q622" s="178">
        <f t="shared" si="28"/>
        <v>0</v>
      </c>
      <c r="S622" s="178">
        <f t="shared" si="29"/>
        <v>0</v>
      </c>
    </row>
    <row r="623" spans="14:19" x14ac:dyDescent="0.25">
      <c r="N623" s="178" t="str">
        <f t="shared" si="27"/>
        <v/>
      </c>
      <c r="P623" s="52" t="s">
        <v>159</v>
      </c>
      <c r="Q623" s="178">
        <f t="shared" si="28"/>
        <v>0</v>
      </c>
      <c r="S623" s="178">
        <f t="shared" si="29"/>
        <v>0</v>
      </c>
    </row>
    <row r="624" spans="14:19" x14ac:dyDescent="0.25">
      <c r="N624" s="178" t="str">
        <f t="shared" si="27"/>
        <v/>
      </c>
      <c r="P624" s="52" t="s">
        <v>159</v>
      </c>
      <c r="Q624" s="178">
        <f t="shared" si="28"/>
        <v>0</v>
      </c>
      <c r="S624" s="178">
        <f t="shared" si="29"/>
        <v>0</v>
      </c>
    </row>
    <row r="625" spans="14:19" x14ac:dyDescent="0.25">
      <c r="N625" s="178" t="str">
        <f t="shared" si="27"/>
        <v/>
      </c>
      <c r="P625" s="52" t="s">
        <v>159</v>
      </c>
      <c r="Q625" s="178">
        <f t="shared" si="28"/>
        <v>0</v>
      </c>
      <c r="S625" s="178">
        <f t="shared" si="29"/>
        <v>0</v>
      </c>
    </row>
    <row r="626" spans="14:19" x14ac:dyDescent="0.25">
      <c r="N626" s="178" t="str">
        <f t="shared" si="27"/>
        <v/>
      </c>
      <c r="P626" s="52" t="s">
        <v>159</v>
      </c>
      <c r="Q626" s="178">
        <f t="shared" si="28"/>
        <v>0</v>
      </c>
      <c r="S626" s="178">
        <f t="shared" si="29"/>
        <v>0</v>
      </c>
    </row>
    <row r="627" spans="14:19" x14ac:dyDescent="0.25">
      <c r="N627" s="178" t="str">
        <f t="shared" si="27"/>
        <v/>
      </c>
      <c r="P627" s="52" t="s">
        <v>159</v>
      </c>
      <c r="Q627" s="178">
        <f t="shared" si="28"/>
        <v>0</v>
      </c>
      <c r="S627" s="178">
        <f t="shared" si="29"/>
        <v>0</v>
      </c>
    </row>
    <row r="628" spans="14:19" x14ac:dyDescent="0.25">
      <c r="N628" s="178" t="str">
        <f t="shared" si="27"/>
        <v/>
      </c>
      <c r="P628" s="52" t="s">
        <v>159</v>
      </c>
      <c r="Q628" s="178">
        <f t="shared" si="28"/>
        <v>0</v>
      </c>
      <c r="S628" s="178">
        <f t="shared" si="29"/>
        <v>0</v>
      </c>
    </row>
    <row r="629" spans="14:19" x14ac:dyDescent="0.25">
      <c r="N629" s="178" t="str">
        <f t="shared" si="27"/>
        <v/>
      </c>
      <c r="P629" s="52" t="s">
        <v>159</v>
      </c>
      <c r="Q629" s="178">
        <f t="shared" si="28"/>
        <v>0</v>
      </c>
      <c r="S629" s="178">
        <f t="shared" si="29"/>
        <v>0</v>
      </c>
    </row>
    <row r="630" spans="14:19" x14ac:dyDescent="0.25">
      <c r="N630" s="178" t="str">
        <f t="shared" si="27"/>
        <v/>
      </c>
      <c r="P630" s="52" t="s">
        <v>159</v>
      </c>
      <c r="Q630" s="178">
        <f t="shared" si="28"/>
        <v>0</v>
      </c>
      <c r="S630" s="178">
        <f t="shared" si="29"/>
        <v>0</v>
      </c>
    </row>
    <row r="631" spans="14:19" x14ac:dyDescent="0.25">
      <c r="N631" s="178" t="str">
        <f t="shared" si="27"/>
        <v/>
      </c>
      <c r="P631" s="52" t="s">
        <v>159</v>
      </c>
      <c r="Q631" s="178">
        <f t="shared" si="28"/>
        <v>0</v>
      </c>
      <c r="S631" s="178">
        <f t="shared" si="29"/>
        <v>0</v>
      </c>
    </row>
    <row r="632" spans="14:19" x14ac:dyDescent="0.25">
      <c r="N632" s="178" t="str">
        <f t="shared" si="27"/>
        <v/>
      </c>
      <c r="P632" s="52" t="s">
        <v>159</v>
      </c>
      <c r="Q632" s="178">
        <f t="shared" si="28"/>
        <v>0</v>
      </c>
      <c r="S632" s="178">
        <f t="shared" si="29"/>
        <v>0</v>
      </c>
    </row>
    <row r="633" spans="14:19" x14ac:dyDescent="0.25">
      <c r="N633" s="178" t="str">
        <f t="shared" si="27"/>
        <v/>
      </c>
      <c r="P633" s="52" t="s">
        <v>159</v>
      </c>
      <c r="Q633" s="178">
        <f t="shared" si="28"/>
        <v>0</v>
      </c>
      <c r="S633" s="178">
        <f t="shared" si="29"/>
        <v>0</v>
      </c>
    </row>
    <row r="634" spans="14:19" x14ac:dyDescent="0.25">
      <c r="N634" s="178" t="str">
        <f t="shared" si="27"/>
        <v/>
      </c>
      <c r="P634" s="52" t="s">
        <v>159</v>
      </c>
      <c r="Q634" s="178">
        <f t="shared" si="28"/>
        <v>0</v>
      </c>
      <c r="S634" s="178">
        <f t="shared" si="29"/>
        <v>0</v>
      </c>
    </row>
    <row r="635" spans="14:19" x14ac:dyDescent="0.25">
      <c r="N635" s="178" t="str">
        <f t="shared" si="27"/>
        <v/>
      </c>
      <c r="P635" s="52" t="s">
        <v>159</v>
      </c>
      <c r="Q635" s="178">
        <f t="shared" si="28"/>
        <v>0</v>
      </c>
      <c r="S635" s="178">
        <f t="shared" si="29"/>
        <v>0</v>
      </c>
    </row>
    <row r="636" spans="14:19" x14ac:dyDescent="0.25">
      <c r="N636" s="178" t="str">
        <f t="shared" si="27"/>
        <v/>
      </c>
      <c r="P636" s="52" t="s">
        <v>159</v>
      </c>
      <c r="Q636" s="178">
        <f t="shared" si="28"/>
        <v>0</v>
      </c>
      <c r="S636" s="178">
        <f t="shared" si="29"/>
        <v>0</v>
      </c>
    </row>
    <row r="637" spans="14:19" x14ac:dyDescent="0.25">
      <c r="N637" s="178" t="str">
        <f t="shared" si="27"/>
        <v/>
      </c>
      <c r="P637" s="52" t="s">
        <v>159</v>
      </c>
      <c r="Q637" s="178">
        <f t="shared" si="28"/>
        <v>0</v>
      </c>
      <c r="S637" s="178">
        <f t="shared" si="29"/>
        <v>0</v>
      </c>
    </row>
    <row r="638" spans="14:19" x14ac:dyDescent="0.25">
      <c r="N638" s="178" t="str">
        <f t="shared" si="27"/>
        <v/>
      </c>
      <c r="P638" s="52" t="s">
        <v>159</v>
      </c>
      <c r="Q638" s="178">
        <f t="shared" si="28"/>
        <v>0</v>
      </c>
      <c r="S638" s="178">
        <f t="shared" si="29"/>
        <v>0</v>
      </c>
    </row>
    <row r="639" spans="14:19" x14ac:dyDescent="0.25">
      <c r="N639" s="178" t="str">
        <f t="shared" si="27"/>
        <v/>
      </c>
      <c r="P639" s="52" t="s">
        <v>159</v>
      </c>
      <c r="Q639" s="178">
        <f t="shared" si="28"/>
        <v>0</v>
      </c>
      <c r="S639" s="178">
        <f t="shared" si="29"/>
        <v>0</v>
      </c>
    </row>
    <row r="640" spans="14:19" x14ac:dyDescent="0.25">
      <c r="N640" s="178" t="str">
        <f t="shared" si="27"/>
        <v/>
      </c>
      <c r="P640" s="52" t="s">
        <v>159</v>
      </c>
      <c r="Q640" s="178">
        <f t="shared" si="28"/>
        <v>0</v>
      </c>
      <c r="S640" s="178">
        <f t="shared" si="29"/>
        <v>0</v>
      </c>
    </row>
    <row r="641" spans="14:19" x14ac:dyDescent="0.25">
      <c r="N641" s="178" t="str">
        <f t="shared" si="27"/>
        <v/>
      </c>
      <c r="P641" s="52" t="s">
        <v>159</v>
      </c>
      <c r="Q641" s="178">
        <f t="shared" si="28"/>
        <v>0</v>
      </c>
      <c r="S641" s="178">
        <f t="shared" si="29"/>
        <v>0</v>
      </c>
    </row>
    <row r="642" spans="14:19" x14ac:dyDescent="0.25">
      <c r="N642" s="178" t="str">
        <f t="shared" ref="N642:N705" si="30">IF(AND(ISNUMBER(VALUE(MID(M642,1,1))), ISNUMBER(VALUE(MID(M642,2,1))), ISNUMBER(VALUE(MID(M642,3,1))), ISNUMBER(VALUE(MID(M642,4,1)))), LEFT(M642,4), "")</f>
        <v/>
      </c>
      <c r="P642" s="52" t="s">
        <v>159</v>
      </c>
      <c r="Q642" s="178">
        <f t="shared" si="28"/>
        <v>0</v>
      </c>
      <c r="S642" s="178">
        <f t="shared" si="29"/>
        <v>0</v>
      </c>
    </row>
    <row r="643" spans="14:19" x14ac:dyDescent="0.25">
      <c r="N643" s="178" t="str">
        <f t="shared" si="30"/>
        <v/>
      </c>
      <c r="P643" s="52" t="s">
        <v>159</v>
      </c>
      <c r="Q643" s="178">
        <f t="shared" ref="Q643:Q706" si="31">FLOOR(O643,10)</f>
        <v>0</v>
      </c>
      <c r="S643" s="178">
        <f t="shared" ref="S643:S706" si="32">CEILING(O643,10)</f>
        <v>0</v>
      </c>
    </row>
    <row r="644" spans="14:19" x14ac:dyDescent="0.25">
      <c r="N644" s="178" t="str">
        <f t="shared" si="30"/>
        <v/>
      </c>
      <c r="P644" s="52" t="s">
        <v>159</v>
      </c>
      <c r="Q644" s="178">
        <f t="shared" si="31"/>
        <v>0</v>
      </c>
      <c r="S644" s="178">
        <f t="shared" si="32"/>
        <v>0</v>
      </c>
    </row>
    <row r="645" spans="14:19" x14ac:dyDescent="0.25">
      <c r="N645" s="178" t="str">
        <f t="shared" si="30"/>
        <v/>
      </c>
      <c r="P645" s="52" t="s">
        <v>159</v>
      </c>
      <c r="Q645" s="178">
        <f t="shared" si="31"/>
        <v>0</v>
      </c>
      <c r="S645" s="178">
        <f t="shared" si="32"/>
        <v>0</v>
      </c>
    </row>
    <row r="646" spans="14:19" x14ac:dyDescent="0.25">
      <c r="N646" s="178" t="str">
        <f t="shared" si="30"/>
        <v/>
      </c>
      <c r="P646" s="52" t="s">
        <v>159</v>
      </c>
      <c r="Q646" s="178">
        <f t="shared" si="31"/>
        <v>0</v>
      </c>
      <c r="S646" s="178">
        <f t="shared" si="32"/>
        <v>0</v>
      </c>
    </row>
    <row r="647" spans="14:19" x14ac:dyDescent="0.25">
      <c r="N647" s="178" t="str">
        <f t="shared" si="30"/>
        <v/>
      </c>
      <c r="P647" s="52" t="s">
        <v>128</v>
      </c>
      <c r="Q647" s="178">
        <f t="shared" si="31"/>
        <v>0</v>
      </c>
      <c r="S647" s="178">
        <f t="shared" si="32"/>
        <v>0</v>
      </c>
    </row>
    <row r="648" spans="14:19" x14ac:dyDescent="0.25">
      <c r="N648" s="178" t="str">
        <f t="shared" si="30"/>
        <v/>
      </c>
      <c r="P648" s="52" t="s">
        <v>128</v>
      </c>
      <c r="Q648" s="178">
        <f t="shared" si="31"/>
        <v>0</v>
      </c>
      <c r="S648" s="178">
        <f t="shared" si="32"/>
        <v>0</v>
      </c>
    </row>
    <row r="649" spans="14:19" x14ac:dyDescent="0.25">
      <c r="N649" s="178" t="str">
        <f t="shared" si="30"/>
        <v/>
      </c>
      <c r="P649" s="52" t="s">
        <v>128</v>
      </c>
      <c r="Q649" s="178">
        <f t="shared" si="31"/>
        <v>0</v>
      </c>
      <c r="S649" s="178">
        <f t="shared" si="32"/>
        <v>0</v>
      </c>
    </row>
    <row r="650" spans="14:19" x14ac:dyDescent="0.25">
      <c r="N650" s="178" t="str">
        <f t="shared" si="30"/>
        <v/>
      </c>
      <c r="P650" s="52" t="s">
        <v>128</v>
      </c>
      <c r="Q650" s="178">
        <f t="shared" si="31"/>
        <v>0</v>
      </c>
      <c r="S650" s="178">
        <f t="shared" si="32"/>
        <v>0</v>
      </c>
    </row>
    <row r="651" spans="14:19" x14ac:dyDescent="0.25">
      <c r="N651" s="178" t="str">
        <f t="shared" si="30"/>
        <v/>
      </c>
      <c r="P651" s="52" t="s">
        <v>128</v>
      </c>
      <c r="Q651" s="178">
        <f t="shared" si="31"/>
        <v>0</v>
      </c>
      <c r="S651" s="178">
        <f t="shared" si="32"/>
        <v>0</v>
      </c>
    </row>
    <row r="652" spans="14:19" x14ac:dyDescent="0.25">
      <c r="N652" s="178" t="str">
        <f t="shared" si="30"/>
        <v/>
      </c>
      <c r="P652" s="52" t="s">
        <v>128</v>
      </c>
      <c r="Q652" s="178">
        <f t="shared" si="31"/>
        <v>0</v>
      </c>
      <c r="S652" s="178">
        <f t="shared" si="32"/>
        <v>0</v>
      </c>
    </row>
    <row r="653" spans="14:19" x14ac:dyDescent="0.25">
      <c r="N653" s="178" t="str">
        <f t="shared" si="30"/>
        <v/>
      </c>
      <c r="P653" s="52" t="s">
        <v>128</v>
      </c>
      <c r="Q653" s="178">
        <f t="shared" si="31"/>
        <v>0</v>
      </c>
      <c r="S653" s="178">
        <f t="shared" si="32"/>
        <v>0</v>
      </c>
    </row>
    <row r="654" spans="14:19" x14ac:dyDescent="0.25">
      <c r="N654" s="178" t="str">
        <f t="shared" si="30"/>
        <v/>
      </c>
      <c r="P654" s="52" t="s">
        <v>128</v>
      </c>
      <c r="Q654" s="178">
        <f t="shared" si="31"/>
        <v>0</v>
      </c>
      <c r="S654" s="178">
        <f t="shared" si="32"/>
        <v>0</v>
      </c>
    </row>
    <row r="655" spans="14:19" x14ac:dyDescent="0.25">
      <c r="N655" s="178" t="str">
        <f t="shared" si="30"/>
        <v/>
      </c>
      <c r="P655" s="52" t="s">
        <v>128</v>
      </c>
      <c r="Q655" s="178">
        <f t="shared" si="31"/>
        <v>0</v>
      </c>
      <c r="S655" s="178">
        <f t="shared" si="32"/>
        <v>0</v>
      </c>
    </row>
    <row r="656" spans="14:19" x14ac:dyDescent="0.25">
      <c r="N656" s="178" t="str">
        <f t="shared" si="30"/>
        <v/>
      </c>
      <c r="P656" s="52" t="s">
        <v>128</v>
      </c>
      <c r="Q656" s="178">
        <f t="shared" si="31"/>
        <v>0</v>
      </c>
      <c r="S656" s="178">
        <f t="shared" si="32"/>
        <v>0</v>
      </c>
    </row>
    <row r="657" spans="14:19" x14ac:dyDescent="0.25">
      <c r="N657" s="178" t="str">
        <f t="shared" si="30"/>
        <v/>
      </c>
      <c r="P657" s="52" t="s">
        <v>128</v>
      </c>
      <c r="Q657" s="178">
        <f t="shared" si="31"/>
        <v>0</v>
      </c>
      <c r="S657" s="178">
        <f t="shared" si="32"/>
        <v>0</v>
      </c>
    </row>
    <row r="658" spans="14:19" x14ac:dyDescent="0.25">
      <c r="N658" s="178" t="str">
        <f t="shared" si="30"/>
        <v/>
      </c>
      <c r="P658" s="52" t="s">
        <v>128</v>
      </c>
      <c r="Q658" s="178">
        <f t="shared" si="31"/>
        <v>0</v>
      </c>
      <c r="S658" s="178">
        <f t="shared" si="32"/>
        <v>0</v>
      </c>
    </row>
    <row r="659" spans="14:19" x14ac:dyDescent="0.25">
      <c r="N659" s="178" t="str">
        <f t="shared" si="30"/>
        <v/>
      </c>
      <c r="P659" s="52" t="s">
        <v>128</v>
      </c>
      <c r="Q659" s="178">
        <f t="shared" si="31"/>
        <v>0</v>
      </c>
      <c r="S659" s="178">
        <f t="shared" si="32"/>
        <v>0</v>
      </c>
    </row>
    <row r="660" spans="14:19" x14ac:dyDescent="0.25">
      <c r="N660" s="178" t="str">
        <f t="shared" si="30"/>
        <v/>
      </c>
      <c r="P660" s="52" t="s">
        <v>128</v>
      </c>
      <c r="Q660" s="178">
        <f t="shared" si="31"/>
        <v>0</v>
      </c>
      <c r="S660" s="178">
        <f t="shared" si="32"/>
        <v>0</v>
      </c>
    </row>
    <row r="661" spans="14:19" x14ac:dyDescent="0.25">
      <c r="N661" s="178" t="str">
        <f t="shared" si="30"/>
        <v/>
      </c>
      <c r="P661" s="52" t="s">
        <v>128</v>
      </c>
      <c r="Q661" s="178">
        <f t="shared" si="31"/>
        <v>0</v>
      </c>
      <c r="S661" s="178">
        <f t="shared" si="32"/>
        <v>0</v>
      </c>
    </row>
    <row r="662" spans="14:19" x14ac:dyDescent="0.25">
      <c r="N662" s="178" t="str">
        <f t="shared" si="30"/>
        <v/>
      </c>
      <c r="P662" s="52" t="s">
        <v>128</v>
      </c>
      <c r="Q662" s="178">
        <f t="shared" si="31"/>
        <v>0</v>
      </c>
      <c r="S662" s="178">
        <f t="shared" si="32"/>
        <v>0</v>
      </c>
    </row>
    <row r="663" spans="14:19" x14ac:dyDescent="0.25">
      <c r="N663" s="178" t="str">
        <f t="shared" si="30"/>
        <v/>
      </c>
      <c r="P663" s="52" t="s">
        <v>128</v>
      </c>
      <c r="Q663" s="178">
        <f t="shared" si="31"/>
        <v>0</v>
      </c>
      <c r="S663" s="178">
        <f t="shared" si="32"/>
        <v>0</v>
      </c>
    </row>
    <row r="664" spans="14:19" x14ac:dyDescent="0.25">
      <c r="N664" s="178" t="str">
        <f t="shared" si="30"/>
        <v/>
      </c>
      <c r="P664" s="52" t="s">
        <v>128</v>
      </c>
      <c r="Q664" s="178">
        <f t="shared" si="31"/>
        <v>0</v>
      </c>
      <c r="S664" s="178">
        <f t="shared" si="32"/>
        <v>0</v>
      </c>
    </row>
    <row r="665" spans="14:19" x14ac:dyDescent="0.25">
      <c r="N665" s="178" t="str">
        <f t="shared" si="30"/>
        <v/>
      </c>
      <c r="P665" s="52" t="s">
        <v>128</v>
      </c>
      <c r="Q665" s="178">
        <f t="shared" si="31"/>
        <v>0</v>
      </c>
      <c r="S665" s="178">
        <f t="shared" si="32"/>
        <v>0</v>
      </c>
    </row>
    <row r="666" spans="14:19" x14ac:dyDescent="0.25">
      <c r="N666" s="178" t="str">
        <f t="shared" si="30"/>
        <v/>
      </c>
      <c r="P666" s="52" t="s">
        <v>128</v>
      </c>
      <c r="Q666" s="178">
        <f t="shared" si="31"/>
        <v>0</v>
      </c>
      <c r="S666" s="178">
        <f t="shared" si="32"/>
        <v>0</v>
      </c>
    </row>
    <row r="667" spans="14:19" x14ac:dyDescent="0.25">
      <c r="N667" s="178" t="str">
        <f t="shared" si="30"/>
        <v/>
      </c>
      <c r="P667" s="52" t="s">
        <v>128</v>
      </c>
      <c r="Q667" s="178">
        <f t="shared" si="31"/>
        <v>0</v>
      </c>
      <c r="S667" s="178">
        <f t="shared" si="32"/>
        <v>0</v>
      </c>
    </row>
    <row r="668" spans="14:19" x14ac:dyDescent="0.25">
      <c r="N668" s="178" t="str">
        <f t="shared" si="30"/>
        <v/>
      </c>
      <c r="P668" s="52" t="s">
        <v>128</v>
      </c>
      <c r="Q668" s="178">
        <f t="shared" si="31"/>
        <v>0</v>
      </c>
      <c r="S668" s="178">
        <f t="shared" si="32"/>
        <v>0</v>
      </c>
    </row>
    <row r="669" spans="14:19" x14ac:dyDescent="0.25">
      <c r="N669" s="178" t="str">
        <f t="shared" si="30"/>
        <v/>
      </c>
      <c r="P669" s="52" t="s">
        <v>128</v>
      </c>
      <c r="Q669" s="178">
        <f t="shared" si="31"/>
        <v>0</v>
      </c>
      <c r="S669" s="178">
        <f t="shared" si="32"/>
        <v>0</v>
      </c>
    </row>
    <row r="670" spans="14:19" x14ac:dyDescent="0.25">
      <c r="N670" s="178" t="str">
        <f t="shared" si="30"/>
        <v/>
      </c>
      <c r="P670" s="52" t="s">
        <v>128</v>
      </c>
      <c r="Q670" s="178">
        <f t="shared" si="31"/>
        <v>0</v>
      </c>
      <c r="S670" s="178">
        <f t="shared" si="32"/>
        <v>0</v>
      </c>
    </row>
    <row r="671" spans="14:19" x14ac:dyDescent="0.25">
      <c r="N671" s="178" t="str">
        <f t="shared" si="30"/>
        <v/>
      </c>
      <c r="P671" s="52" t="s">
        <v>128</v>
      </c>
      <c r="Q671" s="178">
        <f t="shared" si="31"/>
        <v>0</v>
      </c>
      <c r="S671" s="178">
        <f t="shared" si="32"/>
        <v>0</v>
      </c>
    </row>
    <row r="672" spans="14:19" x14ac:dyDescent="0.25">
      <c r="N672" s="178" t="str">
        <f t="shared" si="30"/>
        <v/>
      </c>
      <c r="P672" s="52" t="s">
        <v>128</v>
      </c>
      <c r="Q672" s="178">
        <f t="shared" si="31"/>
        <v>0</v>
      </c>
      <c r="S672" s="178">
        <f t="shared" si="32"/>
        <v>0</v>
      </c>
    </row>
    <row r="673" spans="14:19" x14ac:dyDescent="0.25">
      <c r="N673" s="178" t="str">
        <f t="shared" si="30"/>
        <v/>
      </c>
      <c r="P673" s="52" t="s">
        <v>128</v>
      </c>
      <c r="Q673" s="178">
        <f t="shared" si="31"/>
        <v>0</v>
      </c>
      <c r="S673" s="178">
        <f t="shared" si="32"/>
        <v>0</v>
      </c>
    </row>
    <row r="674" spans="14:19" x14ac:dyDescent="0.25">
      <c r="N674" s="178" t="str">
        <f t="shared" si="30"/>
        <v/>
      </c>
      <c r="P674" s="52" t="s">
        <v>128</v>
      </c>
      <c r="Q674" s="178">
        <f t="shared" si="31"/>
        <v>0</v>
      </c>
      <c r="S674" s="178">
        <f t="shared" si="32"/>
        <v>0</v>
      </c>
    </row>
    <row r="675" spans="14:19" x14ac:dyDescent="0.25">
      <c r="N675" s="178" t="str">
        <f t="shared" si="30"/>
        <v/>
      </c>
      <c r="P675" s="52" t="s">
        <v>128</v>
      </c>
      <c r="Q675" s="178">
        <f t="shared" si="31"/>
        <v>0</v>
      </c>
      <c r="S675" s="178">
        <f t="shared" si="32"/>
        <v>0</v>
      </c>
    </row>
    <row r="676" spans="14:19" x14ac:dyDescent="0.25">
      <c r="N676" s="178" t="str">
        <f t="shared" si="30"/>
        <v/>
      </c>
      <c r="P676" s="52" t="s">
        <v>128</v>
      </c>
      <c r="Q676" s="178">
        <f t="shared" si="31"/>
        <v>0</v>
      </c>
      <c r="S676" s="178">
        <f t="shared" si="32"/>
        <v>0</v>
      </c>
    </row>
    <row r="677" spans="14:19" x14ac:dyDescent="0.25">
      <c r="N677" s="178" t="str">
        <f t="shared" si="30"/>
        <v/>
      </c>
      <c r="P677" s="52" t="s">
        <v>128</v>
      </c>
      <c r="Q677" s="178">
        <f t="shared" si="31"/>
        <v>0</v>
      </c>
      <c r="S677" s="178">
        <f t="shared" si="32"/>
        <v>0</v>
      </c>
    </row>
    <row r="678" spans="14:19" x14ac:dyDescent="0.25">
      <c r="N678" s="178" t="str">
        <f t="shared" si="30"/>
        <v/>
      </c>
      <c r="P678" s="52" t="s">
        <v>128</v>
      </c>
      <c r="Q678" s="178">
        <f t="shared" si="31"/>
        <v>0</v>
      </c>
      <c r="S678" s="178">
        <f t="shared" si="32"/>
        <v>0</v>
      </c>
    </row>
    <row r="679" spans="14:19" x14ac:dyDescent="0.25">
      <c r="N679" s="178" t="str">
        <f t="shared" si="30"/>
        <v/>
      </c>
      <c r="P679" s="52" t="s">
        <v>128</v>
      </c>
      <c r="Q679" s="178">
        <f t="shared" si="31"/>
        <v>0</v>
      </c>
      <c r="S679" s="178">
        <f t="shared" si="32"/>
        <v>0</v>
      </c>
    </row>
    <row r="680" spans="14:19" x14ac:dyDescent="0.25">
      <c r="N680" s="178" t="str">
        <f t="shared" si="30"/>
        <v/>
      </c>
      <c r="P680" s="52" t="s">
        <v>128</v>
      </c>
      <c r="Q680" s="178">
        <f t="shared" si="31"/>
        <v>0</v>
      </c>
      <c r="S680" s="178">
        <f t="shared" si="32"/>
        <v>0</v>
      </c>
    </row>
    <row r="681" spans="14:19" x14ac:dyDescent="0.25">
      <c r="N681" s="178" t="str">
        <f t="shared" si="30"/>
        <v/>
      </c>
      <c r="P681" s="52" t="s">
        <v>128</v>
      </c>
      <c r="Q681" s="178">
        <f t="shared" si="31"/>
        <v>0</v>
      </c>
      <c r="S681" s="178">
        <f t="shared" si="32"/>
        <v>0</v>
      </c>
    </row>
    <row r="682" spans="14:19" x14ac:dyDescent="0.25">
      <c r="N682" s="178" t="str">
        <f t="shared" si="30"/>
        <v/>
      </c>
      <c r="P682" s="52" t="s">
        <v>128</v>
      </c>
      <c r="Q682" s="178">
        <f t="shared" si="31"/>
        <v>0</v>
      </c>
      <c r="S682" s="178">
        <f t="shared" si="32"/>
        <v>0</v>
      </c>
    </row>
    <row r="683" spans="14:19" x14ac:dyDescent="0.25">
      <c r="N683" s="178" t="str">
        <f t="shared" si="30"/>
        <v/>
      </c>
      <c r="P683" s="52" t="s">
        <v>128</v>
      </c>
      <c r="Q683" s="178">
        <f t="shared" si="31"/>
        <v>0</v>
      </c>
      <c r="S683" s="178">
        <f t="shared" si="32"/>
        <v>0</v>
      </c>
    </row>
    <row r="684" spans="14:19" x14ac:dyDescent="0.25">
      <c r="N684" s="178" t="str">
        <f t="shared" si="30"/>
        <v/>
      </c>
      <c r="P684" s="52" t="s">
        <v>128</v>
      </c>
      <c r="Q684" s="178">
        <f t="shared" si="31"/>
        <v>0</v>
      </c>
      <c r="S684" s="178">
        <f t="shared" si="32"/>
        <v>0</v>
      </c>
    </row>
    <row r="685" spans="14:19" x14ac:dyDescent="0.25">
      <c r="N685" s="178" t="str">
        <f t="shared" si="30"/>
        <v/>
      </c>
      <c r="P685" s="52" t="s">
        <v>128</v>
      </c>
      <c r="Q685" s="178">
        <f t="shared" si="31"/>
        <v>0</v>
      </c>
      <c r="S685" s="178">
        <f t="shared" si="32"/>
        <v>0</v>
      </c>
    </row>
    <row r="686" spans="14:19" x14ac:dyDescent="0.25">
      <c r="N686" s="178" t="str">
        <f t="shared" si="30"/>
        <v/>
      </c>
      <c r="P686" s="52" t="s">
        <v>128</v>
      </c>
      <c r="Q686" s="178">
        <f t="shared" si="31"/>
        <v>0</v>
      </c>
      <c r="S686" s="178">
        <f t="shared" si="32"/>
        <v>0</v>
      </c>
    </row>
    <row r="687" spans="14:19" x14ac:dyDescent="0.25">
      <c r="N687" s="178" t="str">
        <f t="shared" si="30"/>
        <v/>
      </c>
      <c r="P687" s="52" t="s">
        <v>129</v>
      </c>
      <c r="Q687" s="178">
        <f t="shared" si="31"/>
        <v>0</v>
      </c>
      <c r="S687" s="178">
        <f t="shared" si="32"/>
        <v>0</v>
      </c>
    </row>
    <row r="688" spans="14:19" x14ac:dyDescent="0.25">
      <c r="N688" s="178" t="str">
        <f t="shared" si="30"/>
        <v/>
      </c>
      <c r="P688" s="52" t="s">
        <v>129</v>
      </c>
      <c r="Q688" s="178">
        <f t="shared" si="31"/>
        <v>0</v>
      </c>
      <c r="S688" s="178">
        <f t="shared" si="32"/>
        <v>0</v>
      </c>
    </row>
    <row r="689" spans="14:19" x14ac:dyDescent="0.25">
      <c r="N689" s="178" t="str">
        <f t="shared" si="30"/>
        <v/>
      </c>
      <c r="P689" s="52" t="s">
        <v>129</v>
      </c>
      <c r="Q689" s="178">
        <f t="shared" si="31"/>
        <v>0</v>
      </c>
      <c r="S689" s="178">
        <f t="shared" si="32"/>
        <v>0</v>
      </c>
    </row>
    <row r="690" spans="14:19" x14ac:dyDescent="0.25">
      <c r="N690" s="178" t="str">
        <f t="shared" si="30"/>
        <v/>
      </c>
      <c r="P690" s="52" t="s">
        <v>129</v>
      </c>
      <c r="Q690" s="178">
        <f t="shared" si="31"/>
        <v>0</v>
      </c>
      <c r="S690" s="178">
        <f t="shared" si="32"/>
        <v>0</v>
      </c>
    </row>
    <row r="691" spans="14:19" x14ac:dyDescent="0.25">
      <c r="N691" s="178" t="str">
        <f t="shared" si="30"/>
        <v/>
      </c>
      <c r="P691" s="52" t="s">
        <v>129</v>
      </c>
      <c r="Q691" s="178">
        <f t="shared" si="31"/>
        <v>0</v>
      </c>
      <c r="S691" s="178">
        <f t="shared" si="32"/>
        <v>0</v>
      </c>
    </row>
    <row r="692" spans="14:19" x14ac:dyDescent="0.25">
      <c r="N692" s="178" t="str">
        <f t="shared" si="30"/>
        <v/>
      </c>
      <c r="P692" s="52" t="s">
        <v>129</v>
      </c>
      <c r="Q692" s="178">
        <f t="shared" si="31"/>
        <v>0</v>
      </c>
      <c r="S692" s="178">
        <f t="shared" si="32"/>
        <v>0</v>
      </c>
    </row>
    <row r="693" spans="14:19" x14ac:dyDescent="0.25">
      <c r="N693" s="178" t="str">
        <f t="shared" si="30"/>
        <v/>
      </c>
      <c r="P693" s="52" t="s">
        <v>129</v>
      </c>
      <c r="Q693" s="178">
        <f t="shared" si="31"/>
        <v>0</v>
      </c>
      <c r="S693" s="178">
        <f t="shared" si="32"/>
        <v>0</v>
      </c>
    </row>
    <row r="694" spans="14:19" x14ac:dyDescent="0.25">
      <c r="N694" s="178" t="str">
        <f t="shared" si="30"/>
        <v/>
      </c>
      <c r="P694" s="52" t="s">
        <v>129</v>
      </c>
      <c r="Q694" s="178">
        <f t="shared" si="31"/>
        <v>0</v>
      </c>
      <c r="S694" s="178">
        <f t="shared" si="32"/>
        <v>0</v>
      </c>
    </row>
    <row r="695" spans="14:19" x14ac:dyDescent="0.25">
      <c r="N695" s="178" t="str">
        <f t="shared" si="30"/>
        <v/>
      </c>
      <c r="P695" s="52" t="s">
        <v>129</v>
      </c>
      <c r="Q695" s="178">
        <f t="shared" si="31"/>
        <v>0</v>
      </c>
      <c r="S695" s="178">
        <f t="shared" si="32"/>
        <v>0</v>
      </c>
    </row>
    <row r="696" spans="14:19" x14ac:dyDescent="0.25">
      <c r="N696" s="178" t="str">
        <f t="shared" si="30"/>
        <v/>
      </c>
      <c r="P696" s="52" t="s">
        <v>129</v>
      </c>
      <c r="Q696" s="178">
        <f t="shared" si="31"/>
        <v>0</v>
      </c>
      <c r="S696" s="178">
        <f t="shared" si="32"/>
        <v>0</v>
      </c>
    </row>
    <row r="697" spans="14:19" x14ac:dyDescent="0.25">
      <c r="N697" s="178" t="str">
        <f t="shared" si="30"/>
        <v/>
      </c>
      <c r="P697" s="52" t="s">
        <v>129</v>
      </c>
      <c r="Q697" s="178">
        <f t="shared" si="31"/>
        <v>0</v>
      </c>
      <c r="S697" s="178">
        <f t="shared" si="32"/>
        <v>0</v>
      </c>
    </row>
    <row r="698" spans="14:19" x14ac:dyDescent="0.25">
      <c r="N698" s="178" t="str">
        <f t="shared" si="30"/>
        <v/>
      </c>
      <c r="P698" s="52" t="s">
        <v>129</v>
      </c>
      <c r="Q698" s="178">
        <f t="shared" si="31"/>
        <v>0</v>
      </c>
      <c r="S698" s="178">
        <f t="shared" si="32"/>
        <v>0</v>
      </c>
    </row>
    <row r="699" spans="14:19" x14ac:dyDescent="0.25">
      <c r="N699" s="178" t="str">
        <f t="shared" si="30"/>
        <v/>
      </c>
      <c r="P699" s="52" t="s">
        <v>129</v>
      </c>
      <c r="Q699" s="178">
        <f t="shared" si="31"/>
        <v>0</v>
      </c>
      <c r="S699" s="178">
        <f t="shared" si="32"/>
        <v>0</v>
      </c>
    </row>
    <row r="700" spans="14:19" x14ac:dyDescent="0.25">
      <c r="N700" s="178" t="str">
        <f t="shared" si="30"/>
        <v/>
      </c>
      <c r="P700" s="52" t="s">
        <v>129</v>
      </c>
      <c r="Q700" s="178">
        <f t="shared" si="31"/>
        <v>0</v>
      </c>
      <c r="S700" s="178">
        <f t="shared" si="32"/>
        <v>0</v>
      </c>
    </row>
    <row r="701" spans="14:19" x14ac:dyDescent="0.25">
      <c r="N701" s="178" t="str">
        <f t="shared" si="30"/>
        <v/>
      </c>
      <c r="P701" s="52" t="s">
        <v>129</v>
      </c>
      <c r="Q701" s="178">
        <f t="shared" si="31"/>
        <v>0</v>
      </c>
      <c r="S701" s="178">
        <f t="shared" si="32"/>
        <v>0</v>
      </c>
    </row>
    <row r="702" spans="14:19" x14ac:dyDescent="0.25">
      <c r="N702" s="178" t="str">
        <f t="shared" si="30"/>
        <v/>
      </c>
      <c r="P702" s="52" t="s">
        <v>129</v>
      </c>
      <c r="Q702" s="178">
        <f t="shared" si="31"/>
        <v>0</v>
      </c>
      <c r="S702" s="178">
        <f t="shared" si="32"/>
        <v>0</v>
      </c>
    </row>
    <row r="703" spans="14:19" x14ac:dyDescent="0.25">
      <c r="N703" s="178" t="str">
        <f t="shared" si="30"/>
        <v/>
      </c>
      <c r="P703" s="52" t="s">
        <v>129</v>
      </c>
      <c r="Q703" s="178">
        <f t="shared" si="31"/>
        <v>0</v>
      </c>
      <c r="S703" s="178">
        <f t="shared" si="32"/>
        <v>0</v>
      </c>
    </row>
    <row r="704" spans="14:19" x14ac:dyDescent="0.25">
      <c r="N704" s="178" t="str">
        <f t="shared" si="30"/>
        <v/>
      </c>
      <c r="P704" s="52" t="s">
        <v>129</v>
      </c>
      <c r="Q704" s="178">
        <f t="shared" si="31"/>
        <v>0</v>
      </c>
      <c r="S704" s="178">
        <f t="shared" si="32"/>
        <v>0</v>
      </c>
    </row>
    <row r="705" spans="14:19" x14ac:dyDescent="0.25">
      <c r="N705" s="178" t="str">
        <f t="shared" si="30"/>
        <v/>
      </c>
      <c r="P705" s="52" t="s">
        <v>129</v>
      </c>
      <c r="Q705" s="178">
        <f t="shared" si="31"/>
        <v>0</v>
      </c>
      <c r="S705" s="178">
        <f t="shared" si="32"/>
        <v>0</v>
      </c>
    </row>
    <row r="706" spans="14:19" x14ac:dyDescent="0.25">
      <c r="N706" s="178" t="str">
        <f t="shared" ref="N706:N769" si="33">IF(AND(ISNUMBER(VALUE(MID(M706,1,1))), ISNUMBER(VALUE(MID(M706,2,1))), ISNUMBER(VALUE(MID(M706,3,1))), ISNUMBER(VALUE(MID(M706,4,1)))), LEFT(M706,4), "")</f>
        <v/>
      </c>
      <c r="P706" s="52" t="s">
        <v>129</v>
      </c>
      <c r="Q706" s="178">
        <f t="shared" si="31"/>
        <v>0</v>
      </c>
      <c r="S706" s="178">
        <f t="shared" si="32"/>
        <v>0</v>
      </c>
    </row>
    <row r="707" spans="14:19" x14ac:dyDescent="0.25">
      <c r="N707" s="178" t="str">
        <f t="shared" si="33"/>
        <v/>
      </c>
      <c r="P707" s="52" t="s">
        <v>129</v>
      </c>
      <c r="Q707" s="178">
        <f t="shared" ref="Q707:Q770" si="34">FLOOR(O707,10)</f>
        <v>0</v>
      </c>
      <c r="S707" s="178">
        <f t="shared" ref="S707:S770" si="35">CEILING(O707,10)</f>
        <v>0</v>
      </c>
    </row>
    <row r="708" spans="14:19" x14ac:dyDescent="0.25">
      <c r="N708" s="178" t="str">
        <f t="shared" si="33"/>
        <v/>
      </c>
      <c r="P708" s="52" t="s">
        <v>129</v>
      </c>
      <c r="Q708" s="178">
        <f t="shared" si="34"/>
        <v>0</v>
      </c>
      <c r="S708" s="178">
        <f t="shared" si="35"/>
        <v>0</v>
      </c>
    </row>
    <row r="709" spans="14:19" x14ac:dyDescent="0.25">
      <c r="N709" s="178" t="str">
        <f t="shared" si="33"/>
        <v/>
      </c>
      <c r="P709" s="52" t="s">
        <v>129</v>
      </c>
      <c r="Q709" s="178">
        <f t="shared" si="34"/>
        <v>0</v>
      </c>
      <c r="S709" s="178">
        <f t="shared" si="35"/>
        <v>0</v>
      </c>
    </row>
    <row r="710" spans="14:19" x14ac:dyDescent="0.25">
      <c r="N710" s="178" t="str">
        <f t="shared" si="33"/>
        <v/>
      </c>
      <c r="P710" s="52" t="s">
        <v>129</v>
      </c>
      <c r="Q710" s="178">
        <f t="shared" si="34"/>
        <v>0</v>
      </c>
      <c r="S710" s="178">
        <f t="shared" si="35"/>
        <v>0</v>
      </c>
    </row>
    <row r="711" spans="14:19" x14ac:dyDescent="0.25">
      <c r="N711" s="178" t="str">
        <f t="shared" si="33"/>
        <v/>
      </c>
      <c r="P711" s="52" t="s">
        <v>129</v>
      </c>
      <c r="Q711" s="178">
        <f t="shared" si="34"/>
        <v>0</v>
      </c>
      <c r="S711" s="178">
        <f t="shared" si="35"/>
        <v>0</v>
      </c>
    </row>
    <row r="712" spans="14:19" x14ac:dyDescent="0.25">
      <c r="N712" s="178" t="str">
        <f t="shared" si="33"/>
        <v/>
      </c>
      <c r="P712" s="52" t="s">
        <v>129</v>
      </c>
      <c r="Q712" s="178">
        <f t="shared" si="34"/>
        <v>0</v>
      </c>
      <c r="S712" s="178">
        <f t="shared" si="35"/>
        <v>0</v>
      </c>
    </row>
    <row r="713" spans="14:19" x14ac:dyDescent="0.25">
      <c r="N713" s="178" t="str">
        <f t="shared" si="33"/>
        <v/>
      </c>
      <c r="P713" s="52" t="s">
        <v>129</v>
      </c>
      <c r="Q713" s="178">
        <f t="shared" si="34"/>
        <v>0</v>
      </c>
      <c r="S713" s="178">
        <f t="shared" si="35"/>
        <v>0</v>
      </c>
    </row>
    <row r="714" spans="14:19" x14ac:dyDescent="0.25">
      <c r="N714" s="178" t="str">
        <f t="shared" si="33"/>
        <v/>
      </c>
      <c r="P714" s="52" t="s">
        <v>129</v>
      </c>
      <c r="Q714" s="178">
        <f t="shared" si="34"/>
        <v>0</v>
      </c>
      <c r="S714" s="178">
        <f t="shared" si="35"/>
        <v>0</v>
      </c>
    </row>
    <row r="715" spans="14:19" x14ac:dyDescent="0.25">
      <c r="N715" s="178" t="str">
        <f t="shared" si="33"/>
        <v/>
      </c>
      <c r="P715" s="52" t="s">
        <v>129</v>
      </c>
      <c r="Q715" s="178">
        <f t="shared" si="34"/>
        <v>0</v>
      </c>
      <c r="S715" s="178">
        <f t="shared" si="35"/>
        <v>0</v>
      </c>
    </row>
    <row r="716" spans="14:19" x14ac:dyDescent="0.25">
      <c r="N716" s="178" t="str">
        <f t="shared" si="33"/>
        <v/>
      </c>
      <c r="P716" s="52" t="s">
        <v>129</v>
      </c>
      <c r="Q716" s="178">
        <f t="shared" si="34"/>
        <v>0</v>
      </c>
      <c r="S716" s="178">
        <f t="shared" si="35"/>
        <v>0</v>
      </c>
    </row>
    <row r="717" spans="14:19" x14ac:dyDescent="0.25">
      <c r="N717" s="178" t="str">
        <f t="shared" si="33"/>
        <v/>
      </c>
      <c r="P717" s="52" t="s">
        <v>129</v>
      </c>
      <c r="Q717" s="178">
        <f t="shared" si="34"/>
        <v>0</v>
      </c>
      <c r="S717" s="178">
        <f t="shared" si="35"/>
        <v>0</v>
      </c>
    </row>
    <row r="718" spans="14:19" x14ac:dyDescent="0.25">
      <c r="N718" s="178" t="str">
        <f t="shared" si="33"/>
        <v/>
      </c>
      <c r="P718" s="52" t="s">
        <v>129</v>
      </c>
      <c r="Q718" s="178">
        <f t="shared" si="34"/>
        <v>0</v>
      </c>
      <c r="S718" s="178">
        <f t="shared" si="35"/>
        <v>0</v>
      </c>
    </row>
    <row r="719" spans="14:19" x14ac:dyDescent="0.25">
      <c r="N719" s="178" t="str">
        <f t="shared" si="33"/>
        <v/>
      </c>
      <c r="P719" s="52" t="s">
        <v>129</v>
      </c>
      <c r="Q719" s="178">
        <f t="shared" si="34"/>
        <v>0</v>
      </c>
      <c r="S719" s="178">
        <f t="shared" si="35"/>
        <v>0</v>
      </c>
    </row>
    <row r="720" spans="14:19" x14ac:dyDescent="0.25">
      <c r="N720" s="178" t="str">
        <f t="shared" si="33"/>
        <v/>
      </c>
      <c r="P720" s="52" t="s">
        <v>129</v>
      </c>
      <c r="Q720" s="178">
        <f t="shared" si="34"/>
        <v>0</v>
      </c>
      <c r="S720" s="178">
        <f t="shared" si="35"/>
        <v>0</v>
      </c>
    </row>
    <row r="721" spans="14:19" x14ac:dyDescent="0.25">
      <c r="N721" s="178" t="str">
        <f t="shared" si="33"/>
        <v/>
      </c>
      <c r="P721" s="52" t="s">
        <v>129</v>
      </c>
      <c r="Q721" s="178">
        <f t="shared" si="34"/>
        <v>0</v>
      </c>
      <c r="S721" s="178">
        <f t="shared" si="35"/>
        <v>0</v>
      </c>
    </row>
    <row r="722" spans="14:19" x14ac:dyDescent="0.25">
      <c r="N722" s="178" t="str">
        <f t="shared" si="33"/>
        <v/>
      </c>
      <c r="P722" s="52" t="s">
        <v>129</v>
      </c>
      <c r="Q722" s="178">
        <f t="shared" si="34"/>
        <v>0</v>
      </c>
      <c r="S722" s="178">
        <f t="shared" si="35"/>
        <v>0</v>
      </c>
    </row>
    <row r="723" spans="14:19" x14ac:dyDescent="0.25">
      <c r="N723" s="178" t="str">
        <f t="shared" si="33"/>
        <v/>
      </c>
      <c r="P723" s="52" t="s">
        <v>129</v>
      </c>
      <c r="Q723" s="178">
        <f t="shared" si="34"/>
        <v>0</v>
      </c>
      <c r="S723" s="178">
        <f t="shared" si="35"/>
        <v>0</v>
      </c>
    </row>
    <row r="724" spans="14:19" x14ac:dyDescent="0.25">
      <c r="N724" s="178" t="str">
        <f t="shared" si="33"/>
        <v/>
      </c>
      <c r="P724" s="52" t="s">
        <v>129</v>
      </c>
      <c r="Q724" s="178">
        <f t="shared" si="34"/>
        <v>0</v>
      </c>
      <c r="S724" s="178">
        <f t="shared" si="35"/>
        <v>0</v>
      </c>
    </row>
    <row r="725" spans="14:19" x14ac:dyDescent="0.25">
      <c r="N725" s="178" t="str">
        <f t="shared" si="33"/>
        <v/>
      </c>
      <c r="P725" s="52" t="s">
        <v>116</v>
      </c>
      <c r="Q725" s="178">
        <f t="shared" si="34"/>
        <v>0</v>
      </c>
      <c r="S725" s="178">
        <f t="shared" si="35"/>
        <v>0</v>
      </c>
    </row>
    <row r="726" spans="14:19" x14ac:dyDescent="0.25">
      <c r="N726" s="178" t="str">
        <f t="shared" si="33"/>
        <v/>
      </c>
      <c r="P726" s="52" t="s">
        <v>116</v>
      </c>
      <c r="Q726" s="178">
        <f t="shared" si="34"/>
        <v>0</v>
      </c>
      <c r="S726" s="178">
        <f t="shared" si="35"/>
        <v>0</v>
      </c>
    </row>
    <row r="727" spans="14:19" x14ac:dyDescent="0.25">
      <c r="N727" s="178" t="str">
        <f t="shared" si="33"/>
        <v/>
      </c>
      <c r="P727" s="52" t="s">
        <v>116</v>
      </c>
      <c r="Q727" s="178">
        <f t="shared" si="34"/>
        <v>0</v>
      </c>
      <c r="S727" s="178">
        <f t="shared" si="35"/>
        <v>0</v>
      </c>
    </row>
    <row r="728" spans="14:19" x14ac:dyDescent="0.25">
      <c r="N728" s="178" t="str">
        <f t="shared" si="33"/>
        <v/>
      </c>
      <c r="P728" s="52" t="s">
        <v>116</v>
      </c>
      <c r="Q728" s="178">
        <f t="shared" si="34"/>
        <v>0</v>
      </c>
      <c r="S728" s="178">
        <f t="shared" si="35"/>
        <v>0</v>
      </c>
    </row>
    <row r="729" spans="14:19" x14ac:dyDescent="0.25">
      <c r="N729" s="178" t="str">
        <f t="shared" si="33"/>
        <v/>
      </c>
      <c r="P729" s="52" t="s">
        <v>116</v>
      </c>
      <c r="Q729" s="178">
        <f t="shared" si="34"/>
        <v>0</v>
      </c>
      <c r="S729" s="178">
        <f t="shared" si="35"/>
        <v>0</v>
      </c>
    </row>
    <row r="730" spans="14:19" x14ac:dyDescent="0.25">
      <c r="N730" s="178" t="str">
        <f t="shared" si="33"/>
        <v/>
      </c>
      <c r="P730" s="52" t="s">
        <v>116</v>
      </c>
      <c r="Q730" s="178">
        <f t="shared" si="34"/>
        <v>0</v>
      </c>
      <c r="S730" s="178">
        <f t="shared" si="35"/>
        <v>0</v>
      </c>
    </row>
    <row r="731" spans="14:19" x14ac:dyDescent="0.25">
      <c r="N731" s="178" t="str">
        <f t="shared" si="33"/>
        <v/>
      </c>
      <c r="P731" s="52" t="s">
        <v>116</v>
      </c>
      <c r="Q731" s="178">
        <f t="shared" si="34"/>
        <v>0</v>
      </c>
      <c r="S731" s="178">
        <f t="shared" si="35"/>
        <v>0</v>
      </c>
    </row>
    <row r="732" spans="14:19" x14ac:dyDescent="0.25">
      <c r="N732" s="178" t="str">
        <f t="shared" si="33"/>
        <v/>
      </c>
      <c r="P732" s="52" t="s">
        <v>116</v>
      </c>
      <c r="Q732" s="178">
        <f t="shared" si="34"/>
        <v>0</v>
      </c>
      <c r="S732" s="178">
        <f t="shared" si="35"/>
        <v>0</v>
      </c>
    </row>
    <row r="733" spans="14:19" x14ac:dyDescent="0.25">
      <c r="N733" s="178" t="str">
        <f t="shared" si="33"/>
        <v/>
      </c>
      <c r="P733" s="52" t="s">
        <v>116</v>
      </c>
      <c r="Q733" s="178">
        <f t="shared" si="34"/>
        <v>0</v>
      </c>
      <c r="S733" s="178">
        <f t="shared" si="35"/>
        <v>0</v>
      </c>
    </row>
    <row r="734" spans="14:19" x14ac:dyDescent="0.25">
      <c r="N734" s="178" t="str">
        <f t="shared" si="33"/>
        <v/>
      </c>
      <c r="P734" s="52" t="s">
        <v>116</v>
      </c>
      <c r="Q734" s="178">
        <f t="shared" si="34"/>
        <v>0</v>
      </c>
      <c r="S734" s="178">
        <f t="shared" si="35"/>
        <v>0</v>
      </c>
    </row>
    <row r="735" spans="14:19" x14ac:dyDescent="0.25">
      <c r="N735" s="178" t="str">
        <f t="shared" si="33"/>
        <v/>
      </c>
      <c r="P735" s="52" t="s">
        <v>116</v>
      </c>
      <c r="Q735" s="178">
        <f t="shared" si="34"/>
        <v>0</v>
      </c>
      <c r="S735" s="178">
        <f t="shared" si="35"/>
        <v>0</v>
      </c>
    </row>
    <row r="736" spans="14:19" x14ac:dyDescent="0.25">
      <c r="N736" s="178" t="str">
        <f t="shared" si="33"/>
        <v/>
      </c>
      <c r="P736" s="52" t="s">
        <v>116</v>
      </c>
      <c r="Q736" s="178">
        <f t="shared" si="34"/>
        <v>0</v>
      </c>
      <c r="S736" s="178">
        <f t="shared" si="35"/>
        <v>0</v>
      </c>
    </row>
    <row r="737" spans="14:19" x14ac:dyDescent="0.25">
      <c r="N737" s="178" t="str">
        <f t="shared" si="33"/>
        <v/>
      </c>
      <c r="P737" s="52" t="s">
        <v>116</v>
      </c>
      <c r="Q737" s="178">
        <f t="shared" si="34"/>
        <v>0</v>
      </c>
      <c r="S737" s="178">
        <f t="shared" si="35"/>
        <v>0</v>
      </c>
    </row>
    <row r="738" spans="14:19" x14ac:dyDescent="0.25">
      <c r="N738" s="178" t="str">
        <f t="shared" si="33"/>
        <v/>
      </c>
      <c r="P738" s="52" t="s">
        <v>116</v>
      </c>
      <c r="Q738" s="178">
        <f t="shared" si="34"/>
        <v>0</v>
      </c>
      <c r="S738" s="178">
        <f t="shared" si="35"/>
        <v>0</v>
      </c>
    </row>
    <row r="739" spans="14:19" x14ac:dyDescent="0.25">
      <c r="N739" s="178" t="str">
        <f t="shared" si="33"/>
        <v/>
      </c>
      <c r="P739" s="52" t="s">
        <v>116</v>
      </c>
      <c r="Q739" s="178">
        <f t="shared" si="34"/>
        <v>0</v>
      </c>
      <c r="S739" s="178">
        <f t="shared" si="35"/>
        <v>0</v>
      </c>
    </row>
    <row r="740" spans="14:19" x14ac:dyDescent="0.25">
      <c r="N740" s="178" t="str">
        <f t="shared" si="33"/>
        <v/>
      </c>
      <c r="P740" s="52" t="s">
        <v>116</v>
      </c>
      <c r="Q740" s="178">
        <f t="shared" si="34"/>
        <v>0</v>
      </c>
      <c r="S740" s="178">
        <f t="shared" si="35"/>
        <v>0</v>
      </c>
    </row>
    <row r="741" spans="14:19" x14ac:dyDescent="0.25">
      <c r="N741" s="178" t="str">
        <f t="shared" si="33"/>
        <v/>
      </c>
      <c r="P741" s="52" t="s">
        <v>116</v>
      </c>
      <c r="Q741" s="178">
        <f t="shared" si="34"/>
        <v>0</v>
      </c>
      <c r="S741" s="178">
        <f t="shared" si="35"/>
        <v>0</v>
      </c>
    </row>
    <row r="742" spans="14:19" x14ac:dyDescent="0.25">
      <c r="N742" s="178" t="str">
        <f t="shared" si="33"/>
        <v/>
      </c>
      <c r="P742" s="52" t="s">
        <v>116</v>
      </c>
      <c r="Q742" s="178">
        <f t="shared" si="34"/>
        <v>0</v>
      </c>
      <c r="S742" s="178">
        <f t="shared" si="35"/>
        <v>0</v>
      </c>
    </row>
    <row r="743" spans="14:19" x14ac:dyDescent="0.25">
      <c r="N743" s="178" t="str">
        <f t="shared" si="33"/>
        <v/>
      </c>
      <c r="P743" s="52" t="s">
        <v>116</v>
      </c>
      <c r="Q743" s="178">
        <f t="shared" si="34"/>
        <v>0</v>
      </c>
      <c r="S743" s="178">
        <f t="shared" si="35"/>
        <v>0</v>
      </c>
    </row>
    <row r="744" spans="14:19" x14ac:dyDescent="0.25">
      <c r="N744" s="178" t="str">
        <f t="shared" si="33"/>
        <v/>
      </c>
      <c r="P744" s="52" t="s">
        <v>116</v>
      </c>
      <c r="Q744" s="178">
        <f t="shared" si="34"/>
        <v>0</v>
      </c>
      <c r="S744" s="178">
        <f t="shared" si="35"/>
        <v>0</v>
      </c>
    </row>
    <row r="745" spans="14:19" x14ac:dyDescent="0.25">
      <c r="N745" s="178" t="str">
        <f t="shared" si="33"/>
        <v/>
      </c>
      <c r="P745" s="52" t="s">
        <v>116</v>
      </c>
      <c r="Q745" s="178">
        <f t="shared" si="34"/>
        <v>0</v>
      </c>
      <c r="S745" s="178">
        <f t="shared" si="35"/>
        <v>0</v>
      </c>
    </row>
    <row r="746" spans="14:19" x14ac:dyDescent="0.25">
      <c r="N746" s="178" t="str">
        <f t="shared" si="33"/>
        <v/>
      </c>
      <c r="P746" s="52" t="s">
        <v>116</v>
      </c>
      <c r="Q746" s="178">
        <f t="shared" si="34"/>
        <v>0</v>
      </c>
      <c r="S746" s="178">
        <f t="shared" si="35"/>
        <v>0</v>
      </c>
    </row>
    <row r="747" spans="14:19" x14ac:dyDescent="0.25">
      <c r="N747" s="178" t="str">
        <f t="shared" si="33"/>
        <v/>
      </c>
      <c r="P747" s="52" t="s">
        <v>116</v>
      </c>
      <c r="Q747" s="178">
        <f t="shared" si="34"/>
        <v>0</v>
      </c>
      <c r="S747" s="178">
        <f t="shared" si="35"/>
        <v>0</v>
      </c>
    </row>
    <row r="748" spans="14:19" x14ac:dyDescent="0.25">
      <c r="N748" s="178" t="str">
        <f t="shared" si="33"/>
        <v/>
      </c>
      <c r="P748" s="52" t="s">
        <v>116</v>
      </c>
      <c r="Q748" s="178">
        <f t="shared" si="34"/>
        <v>0</v>
      </c>
      <c r="S748" s="178">
        <f t="shared" si="35"/>
        <v>0</v>
      </c>
    </row>
    <row r="749" spans="14:19" x14ac:dyDescent="0.25">
      <c r="N749" s="178" t="str">
        <f t="shared" si="33"/>
        <v/>
      </c>
      <c r="P749" s="52" t="s">
        <v>116</v>
      </c>
      <c r="Q749" s="178">
        <f t="shared" si="34"/>
        <v>0</v>
      </c>
      <c r="S749" s="178">
        <f t="shared" si="35"/>
        <v>0</v>
      </c>
    </row>
    <row r="750" spans="14:19" x14ac:dyDescent="0.25">
      <c r="N750" s="178" t="str">
        <f t="shared" si="33"/>
        <v/>
      </c>
      <c r="P750" s="52" t="s">
        <v>116</v>
      </c>
      <c r="Q750" s="178">
        <f t="shared" si="34"/>
        <v>0</v>
      </c>
      <c r="S750" s="178">
        <f t="shared" si="35"/>
        <v>0</v>
      </c>
    </row>
    <row r="751" spans="14:19" x14ac:dyDescent="0.25">
      <c r="N751" s="178" t="str">
        <f t="shared" si="33"/>
        <v/>
      </c>
      <c r="P751" s="52" t="s">
        <v>116</v>
      </c>
      <c r="Q751" s="178">
        <f t="shared" si="34"/>
        <v>0</v>
      </c>
      <c r="S751" s="178">
        <f t="shared" si="35"/>
        <v>0</v>
      </c>
    </row>
    <row r="752" spans="14:19" x14ac:dyDescent="0.25">
      <c r="N752" s="178" t="str">
        <f t="shared" si="33"/>
        <v/>
      </c>
      <c r="P752" s="52" t="s">
        <v>116</v>
      </c>
      <c r="Q752" s="178">
        <f t="shared" si="34"/>
        <v>0</v>
      </c>
      <c r="S752" s="178">
        <f t="shared" si="35"/>
        <v>0</v>
      </c>
    </row>
    <row r="753" spans="14:19" x14ac:dyDescent="0.25">
      <c r="N753" s="178" t="str">
        <f t="shared" si="33"/>
        <v/>
      </c>
      <c r="P753" s="52" t="s">
        <v>116</v>
      </c>
      <c r="Q753" s="178">
        <f t="shared" si="34"/>
        <v>0</v>
      </c>
      <c r="S753" s="178">
        <f t="shared" si="35"/>
        <v>0</v>
      </c>
    </row>
    <row r="754" spans="14:19" x14ac:dyDescent="0.25">
      <c r="N754" s="178" t="str">
        <f t="shared" si="33"/>
        <v/>
      </c>
      <c r="P754" s="52" t="s">
        <v>116</v>
      </c>
      <c r="Q754" s="178">
        <f t="shared" si="34"/>
        <v>0</v>
      </c>
      <c r="S754" s="178">
        <f t="shared" si="35"/>
        <v>0</v>
      </c>
    </row>
    <row r="755" spans="14:19" x14ac:dyDescent="0.25">
      <c r="N755" s="178" t="str">
        <f t="shared" si="33"/>
        <v/>
      </c>
      <c r="P755" s="52" t="s">
        <v>116</v>
      </c>
      <c r="Q755" s="178">
        <f t="shared" si="34"/>
        <v>0</v>
      </c>
      <c r="S755" s="178">
        <f t="shared" si="35"/>
        <v>0</v>
      </c>
    </row>
    <row r="756" spans="14:19" x14ac:dyDescent="0.25">
      <c r="N756" s="178" t="str">
        <f t="shared" si="33"/>
        <v/>
      </c>
      <c r="P756" s="52" t="s">
        <v>116</v>
      </c>
      <c r="Q756" s="178">
        <f t="shared" si="34"/>
        <v>0</v>
      </c>
      <c r="S756" s="178">
        <f t="shared" si="35"/>
        <v>0</v>
      </c>
    </row>
    <row r="757" spans="14:19" x14ac:dyDescent="0.25">
      <c r="N757" s="178" t="str">
        <f t="shared" si="33"/>
        <v/>
      </c>
      <c r="P757" s="52" t="s">
        <v>116</v>
      </c>
      <c r="Q757" s="178">
        <f t="shared" si="34"/>
        <v>0</v>
      </c>
      <c r="S757" s="178">
        <f t="shared" si="35"/>
        <v>0</v>
      </c>
    </row>
    <row r="758" spans="14:19" x14ac:dyDescent="0.25">
      <c r="N758" s="178" t="str">
        <f t="shared" si="33"/>
        <v/>
      </c>
      <c r="P758" s="52" t="s">
        <v>116</v>
      </c>
      <c r="Q758" s="178">
        <f t="shared" si="34"/>
        <v>0</v>
      </c>
      <c r="S758" s="178">
        <f t="shared" si="35"/>
        <v>0</v>
      </c>
    </row>
    <row r="759" spans="14:19" x14ac:dyDescent="0.25">
      <c r="N759" s="178" t="str">
        <f t="shared" si="33"/>
        <v/>
      </c>
      <c r="P759" s="52" t="s">
        <v>116</v>
      </c>
      <c r="Q759" s="178">
        <f t="shared" si="34"/>
        <v>0</v>
      </c>
      <c r="S759" s="178">
        <f t="shared" si="35"/>
        <v>0</v>
      </c>
    </row>
    <row r="760" spans="14:19" x14ac:dyDescent="0.25">
      <c r="N760" s="178" t="str">
        <f t="shared" si="33"/>
        <v/>
      </c>
      <c r="P760" s="52" t="s">
        <v>116</v>
      </c>
      <c r="Q760" s="178">
        <f t="shared" si="34"/>
        <v>0</v>
      </c>
      <c r="S760" s="178">
        <f t="shared" si="35"/>
        <v>0</v>
      </c>
    </row>
    <row r="761" spans="14:19" x14ac:dyDescent="0.25">
      <c r="N761" s="178" t="str">
        <f t="shared" si="33"/>
        <v/>
      </c>
      <c r="P761" s="52" t="s">
        <v>116</v>
      </c>
      <c r="Q761" s="178">
        <f t="shared" si="34"/>
        <v>0</v>
      </c>
      <c r="S761" s="178">
        <f t="shared" si="35"/>
        <v>0</v>
      </c>
    </row>
    <row r="762" spans="14:19" x14ac:dyDescent="0.25">
      <c r="N762" s="178" t="str">
        <f t="shared" si="33"/>
        <v/>
      </c>
      <c r="P762" s="52" t="s">
        <v>116</v>
      </c>
      <c r="Q762" s="178">
        <f t="shared" si="34"/>
        <v>0</v>
      </c>
      <c r="S762" s="178">
        <f t="shared" si="35"/>
        <v>0</v>
      </c>
    </row>
    <row r="763" spans="14:19" x14ac:dyDescent="0.25">
      <c r="N763" s="178" t="str">
        <f t="shared" si="33"/>
        <v/>
      </c>
      <c r="P763" s="52" t="s">
        <v>116</v>
      </c>
      <c r="Q763" s="178">
        <f t="shared" si="34"/>
        <v>0</v>
      </c>
      <c r="S763" s="178">
        <f t="shared" si="35"/>
        <v>0</v>
      </c>
    </row>
    <row r="764" spans="14:19" x14ac:dyDescent="0.25">
      <c r="N764" s="178" t="str">
        <f t="shared" si="33"/>
        <v/>
      </c>
      <c r="P764" s="52" t="s">
        <v>116</v>
      </c>
      <c r="Q764" s="178">
        <f t="shared" si="34"/>
        <v>0</v>
      </c>
      <c r="S764" s="178">
        <f t="shared" si="35"/>
        <v>0</v>
      </c>
    </row>
    <row r="765" spans="14:19" x14ac:dyDescent="0.25">
      <c r="N765" s="178" t="str">
        <f t="shared" si="33"/>
        <v/>
      </c>
      <c r="P765" s="52" t="s">
        <v>116</v>
      </c>
      <c r="Q765" s="178">
        <f t="shared" si="34"/>
        <v>0</v>
      </c>
      <c r="S765" s="178">
        <f t="shared" si="35"/>
        <v>0</v>
      </c>
    </row>
    <row r="766" spans="14:19" x14ac:dyDescent="0.25">
      <c r="N766" s="178" t="str">
        <f t="shared" si="33"/>
        <v/>
      </c>
      <c r="P766" s="52" t="s">
        <v>116</v>
      </c>
      <c r="Q766" s="178">
        <f t="shared" si="34"/>
        <v>0</v>
      </c>
      <c r="S766" s="178">
        <f t="shared" si="35"/>
        <v>0</v>
      </c>
    </row>
    <row r="767" spans="14:19" x14ac:dyDescent="0.25">
      <c r="N767" s="178" t="str">
        <f t="shared" si="33"/>
        <v/>
      </c>
      <c r="P767" s="52" t="s">
        <v>116</v>
      </c>
      <c r="Q767" s="178">
        <f t="shared" si="34"/>
        <v>0</v>
      </c>
      <c r="S767" s="178">
        <f t="shared" si="35"/>
        <v>0</v>
      </c>
    </row>
    <row r="768" spans="14:19" x14ac:dyDescent="0.25">
      <c r="N768" s="178" t="str">
        <f t="shared" si="33"/>
        <v/>
      </c>
      <c r="P768" s="52" t="s">
        <v>116</v>
      </c>
      <c r="Q768" s="178">
        <f t="shared" si="34"/>
        <v>0</v>
      </c>
      <c r="S768" s="178">
        <f t="shared" si="35"/>
        <v>0</v>
      </c>
    </row>
    <row r="769" spans="14:19" x14ac:dyDescent="0.25">
      <c r="N769" s="178" t="str">
        <f t="shared" si="33"/>
        <v/>
      </c>
      <c r="P769" s="52" t="s">
        <v>116</v>
      </c>
      <c r="Q769" s="178">
        <f t="shared" si="34"/>
        <v>0</v>
      </c>
      <c r="S769" s="178">
        <f t="shared" si="35"/>
        <v>0</v>
      </c>
    </row>
    <row r="770" spans="14:19" x14ac:dyDescent="0.25">
      <c r="N770" s="178" t="str">
        <f t="shared" ref="N770:N833" si="36">IF(AND(ISNUMBER(VALUE(MID(M770,1,1))), ISNUMBER(VALUE(MID(M770,2,1))), ISNUMBER(VALUE(MID(M770,3,1))), ISNUMBER(VALUE(MID(M770,4,1)))), LEFT(M770,4), "")</f>
        <v/>
      </c>
      <c r="P770" s="52" t="s">
        <v>116</v>
      </c>
      <c r="Q770" s="178">
        <f t="shared" si="34"/>
        <v>0</v>
      </c>
      <c r="S770" s="178">
        <f t="shared" si="35"/>
        <v>0</v>
      </c>
    </row>
    <row r="771" spans="14:19" x14ac:dyDescent="0.25">
      <c r="N771" s="178" t="str">
        <f t="shared" si="36"/>
        <v/>
      </c>
      <c r="P771" s="52" t="s">
        <v>116</v>
      </c>
      <c r="Q771" s="178">
        <f t="shared" ref="Q771:Q834" si="37">FLOOR(O771,10)</f>
        <v>0</v>
      </c>
      <c r="S771" s="178">
        <f t="shared" ref="S771:S834" si="38">CEILING(O771,10)</f>
        <v>0</v>
      </c>
    </row>
    <row r="772" spans="14:19" x14ac:dyDescent="0.25">
      <c r="N772" s="178" t="str">
        <f t="shared" si="36"/>
        <v/>
      </c>
      <c r="P772" s="52" t="s">
        <v>116</v>
      </c>
      <c r="Q772" s="178">
        <f t="shared" si="37"/>
        <v>0</v>
      </c>
      <c r="S772" s="178">
        <f t="shared" si="38"/>
        <v>0</v>
      </c>
    </row>
    <row r="773" spans="14:19" x14ac:dyDescent="0.25">
      <c r="N773" s="178" t="str">
        <f t="shared" si="36"/>
        <v/>
      </c>
      <c r="P773" s="52" t="s">
        <v>116</v>
      </c>
      <c r="Q773" s="178">
        <f t="shared" si="37"/>
        <v>0</v>
      </c>
      <c r="S773" s="178">
        <f t="shared" si="38"/>
        <v>0</v>
      </c>
    </row>
    <row r="774" spans="14:19" x14ac:dyDescent="0.25">
      <c r="N774" s="178" t="str">
        <f t="shared" si="36"/>
        <v/>
      </c>
      <c r="P774" s="52" t="s">
        <v>116</v>
      </c>
      <c r="Q774" s="178">
        <f t="shared" si="37"/>
        <v>0</v>
      </c>
      <c r="S774" s="178">
        <f t="shared" si="38"/>
        <v>0</v>
      </c>
    </row>
    <row r="775" spans="14:19" x14ac:dyDescent="0.25">
      <c r="N775" s="178" t="str">
        <f t="shared" si="36"/>
        <v/>
      </c>
      <c r="P775" s="52" t="s">
        <v>116</v>
      </c>
      <c r="Q775" s="178">
        <f t="shared" si="37"/>
        <v>0</v>
      </c>
      <c r="S775" s="178">
        <f t="shared" si="38"/>
        <v>0</v>
      </c>
    </row>
    <row r="776" spans="14:19" x14ac:dyDescent="0.25">
      <c r="N776" s="178" t="str">
        <f t="shared" si="36"/>
        <v/>
      </c>
      <c r="P776" s="52" t="s">
        <v>116</v>
      </c>
      <c r="Q776" s="178">
        <f t="shared" si="37"/>
        <v>0</v>
      </c>
      <c r="S776" s="178">
        <f t="shared" si="38"/>
        <v>0</v>
      </c>
    </row>
    <row r="777" spans="14:19" x14ac:dyDescent="0.25">
      <c r="N777" s="178" t="str">
        <f t="shared" si="36"/>
        <v/>
      </c>
      <c r="P777" s="52" t="s">
        <v>116</v>
      </c>
      <c r="Q777" s="178">
        <f t="shared" si="37"/>
        <v>0</v>
      </c>
      <c r="S777" s="178">
        <f t="shared" si="38"/>
        <v>0</v>
      </c>
    </row>
    <row r="778" spans="14:19" x14ac:dyDescent="0.25">
      <c r="N778" s="178" t="str">
        <f t="shared" si="36"/>
        <v/>
      </c>
      <c r="P778" s="52" t="s">
        <v>116</v>
      </c>
      <c r="Q778" s="178">
        <f t="shared" si="37"/>
        <v>0</v>
      </c>
      <c r="S778" s="178">
        <f t="shared" si="38"/>
        <v>0</v>
      </c>
    </row>
    <row r="779" spans="14:19" x14ac:dyDescent="0.25">
      <c r="N779" s="178" t="str">
        <f t="shared" si="36"/>
        <v/>
      </c>
      <c r="P779" s="52" t="s">
        <v>116</v>
      </c>
      <c r="Q779" s="178">
        <f t="shared" si="37"/>
        <v>0</v>
      </c>
      <c r="S779" s="178">
        <f t="shared" si="38"/>
        <v>0</v>
      </c>
    </row>
    <row r="780" spans="14:19" x14ac:dyDescent="0.25">
      <c r="N780" s="178" t="str">
        <f t="shared" si="36"/>
        <v/>
      </c>
      <c r="P780" s="52" t="s">
        <v>116</v>
      </c>
      <c r="Q780" s="178">
        <f t="shared" si="37"/>
        <v>0</v>
      </c>
      <c r="S780" s="178">
        <f t="shared" si="38"/>
        <v>0</v>
      </c>
    </row>
    <row r="781" spans="14:19" x14ac:dyDescent="0.25">
      <c r="N781" s="178" t="str">
        <f t="shared" si="36"/>
        <v/>
      </c>
      <c r="P781" s="52" t="s">
        <v>116</v>
      </c>
      <c r="Q781" s="178">
        <f t="shared" si="37"/>
        <v>0</v>
      </c>
      <c r="S781" s="178">
        <f t="shared" si="38"/>
        <v>0</v>
      </c>
    </row>
    <row r="782" spans="14:19" x14ac:dyDescent="0.25">
      <c r="N782" s="178" t="str">
        <f t="shared" si="36"/>
        <v/>
      </c>
      <c r="P782" s="52" t="s">
        <v>116</v>
      </c>
      <c r="Q782" s="178">
        <f t="shared" si="37"/>
        <v>0</v>
      </c>
      <c r="S782" s="178">
        <f t="shared" si="38"/>
        <v>0</v>
      </c>
    </row>
    <row r="783" spans="14:19" x14ac:dyDescent="0.25">
      <c r="N783" s="178" t="str">
        <f t="shared" si="36"/>
        <v/>
      </c>
      <c r="P783" s="52" t="s">
        <v>116</v>
      </c>
      <c r="Q783" s="178">
        <f t="shared" si="37"/>
        <v>0</v>
      </c>
      <c r="S783" s="178">
        <f t="shared" si="38"/>
        <v>0</v>
      </c>
    </row>
    <row r="784" spans="14:19" x14ac:dyDescent="0.25">
      <c r="N784" s="178" t="str">
        <f t="shared" si="36"/>
        <v/>
      </c>
      <c r="P784" s="52" t="s">
        <v>116</v>
      </c>
      <c r="Q784" s="178">
        <f t="shared" si="37"/>
        <v>0</v>
      </c>
      <c r="S784" s="178">
        <f t="shared" si="38"/>
        <v>0</v>
      </c>
    </row>
    <row r="785" spans="14:19" x14ac:dyDescent="0.25">
      <c r="N785" s="178" t="str">
        <f t="shared" si="36"/>
        <v/>
      </c>
      <c r="P785" s="52" t="s">
        <v>116</v>
      </c>
      <c r="Q785" s="178">
        <f t="shared" si="37"/>
        <v>0</v>
      </c>
      <c r="S785" s="178">
        <f t="shared" si="38"/>
        <v>0</v>
      </c>
    </row>
    <row r="786" spans="14:19" x14ac:dyDescent="0.25">
      <c r="N786" s="178" t="str">
        <f t="shared" si="36"/>
        <v/>
      </c>
      <c r="P786" s="52" t="s">
        <v>116</v>
      </c>
      <c r="Q786" s="178">
        <f t="shared" si="37"/>
        <v>0</v>
      </c>
      <c r="S786" s="178">
        <f t="shared" si="38"/>
        <v>0</v>
      </c>
    </row>
    <row r="787" spans="14:19" x14ac:dyDescent="0.25">
      <c r="N787" s="178" t="str">
        <f t="shared" si="36"/>
        <v/>
      </c>
      <c r="P787" s="52" t="s">
        <v>116</v>
      </c>
      <c r="Q787" s="178">
        <f t="shared" si="37"/>
        <v>0</v>
      </c>
      <c r="S787" s="178">
        <f t="shared" si="38"/>
        <v>0</v>
      </c>
    </row>
    <row r="788" spans="14:19" x14ac:dyDescent="0.25">
      <c r="N788" s="178" t="str">
        <f t="shared" si="36"/>
        <v/>
      </c>
      <c r="P788" s="52" t="s">
        <v>116</v>
      </c>
      <c r="Q788" s="178">
        <f t="shared" si="37"/>
        <v>0</v>
      </c>
      <c r="S788" s="178">
        <f t="shared" si="38"/>
        <v>0</v>
      </c>
    </row>
    <row r="789" spans="14:19" x14ac:dyDescent="0.25">
      <c r="N789" s="178" t="str">
        <f t="shared" si="36"/>
        <v/>
      </c>
      <c r="P789" s="52" t="s">
        <v>116</v>
      </c>
      <c r="Q789" s="178">
        <f t="shared" si="37"/>
        <v>0</v>
      </c>
      <c r="S789" s="178">
        <f t="shared" si="38"/>
        <v>0</v>
      </c>
    </row>
    <row r="790" spans="14:19" x14ac:dyDescent="0.25">
      <c r="N790" s="178" t="str">
        <f t="shared" si="36"/>
        <v/>
      </c>
      <c r="P790" s="52" t="s">
        <v>116</v>
      </c>
      <c r="Q790" s="178">
        <f t="shared" si="37"/>
        <v>0</v>
      </c>
      <c r="S790" s="178">
        <f t="shared" si="38"/>
        <v>0</v>
      </c>
    </row>
    <row r="791" spans="14:19" x14ac:dyDescent="0.25">
      <c r="N791" s="178" t="str">
        <f t="shared" si="36"/>
        <v/>
      </c>
      <c r="P791" s="52" t="s">
        <v>116</v>
      </c>
      <c r="Q791" s="178">
        <f t="shared" si="37"/>
        <v>0</v>
      </c>
      <c r="S791" s="178">
        <f t="shared" si="38"/>
        <v>0</v>
      </c>
    </row>
    <row r="792" spans="14:19" x14ac:dyDescent="0.25">
      <c r="N792" s="178" t="str">
        <f t="shared" si="36"/>
        <v/>
      </c>
      <c r="P792" s="52" t="s">
        <v>116</v>
      </c>
      <c r="Q792" s="178">
        <f t="shared" si="37"/>
        <v>0</v>
      </c>
      <c r="S792" s="178">
        <f t="shared" si="38"/>
        <v>0</v>
      </c>
    </row>
    <row r="793" spans="14:19" x14ac:dyDescent="0.25">
      <c r="N793" s="178" t="str">
        <f t="shared" si="36"/>
        <v/>
      </c>
      <c r="P793" s="52" t="s">
        <v>116</v>
      </c>
      <c r="Q793" s="178">
        <f t="shared" si="37"/>
        <v>0</v>
      </c>
      <c r="S793" s="178">
        <f t="shared" si="38"/>
        <v>0</v>
      </c>
    </row>
    <row r="794" spans="14:19" x14ac:dyDescent="0.25">
      <c r="N794" s="178" t="str">
        <f t="shared" si="36"/>
        <v/>
      </c>
      <c r="P794" s="52" t="s">
        <v>100</v>
      </c>
      <c r="Q794" s="178">
        <f t="shared" si="37"/>
        <v>0</v>
      </c>
      <c r="S794" s="178">
        <f t="shared" si="38"/>
        <v>0</v>
      </c>
    </row>
    <row r="795" spans="14:19" x14ac:dyDescent="0.25">
      <c r="N795" s="178" t="str">
        <f t="shared" si="36"/>
        <v/>
      </c>
      <c r="P795" s="52" t="s">
        <v>100</v>
      </c>
      <c r="Q795" s="178">
        <f t="shared" si="37"/>
        <v>0</v>
      </c>
      <c r="S795" s="178">
        <f t="shared" si="38"/>
        <v>0</v>
      </c>
    </row>
    <row r="796" spans="14:19" x14ac:dyDescent="0.25">
      <c r="N796" s="178" t="str">
        <f t="shared" si="36"/>
        <v/>
      </c>
      <c r="P796" s="52" t="s">
        <v>100</v>
      </c>
      <c r="Q796" s="178">
        <f t="shared" si="37"/>
        <v>0</v>
      </c>
      <c r="S796" s="178">
        <f t="shared" si="38"/>
        <v>0</v>
      </c>
    </row>
    <row r="797" spans="14:19" x14ac:dyDescent="0.25">
      <c r="N797" s="178" t="str">
        <f t="shared" si="36"/>
        <v/>
      </c>
      <c r="P797" s="52" t="s">
        <v>100</v>
      </c>
      <c r="Q797" s="178">
        <f t="shared" si="37"/>
        <v>0</v>
      </c>
      <c r="S797" s="178">
        <f t="shared" si="38"/>
        <v>0</v>
      </c>
    </row>
    <row r="798" spans="14:19" x14ac:dyDescent="0.25">
      <c r="N798" s="178" t="str">
        <f t="shared" si="36"/>
        <v/>
      </c>
      <c r="P798" s="52" t="s">
        <v>100</v>
      </c>
      <c r="Q798" s="178">
        <f t="shared" si="37"/>
        <v>0</v>
      </c>
      <c r="S798" s="178">
        <f t="shared" si="38"/>
        <v>0</v>
      </c>
    </row>
    <row r="799" spans="14:19" x14ac:dyDescent="0.25">
      <c r="N799" s="178" t="str">
        <f t="shared" si="36"/>
        <v/>
      </c>
      <c r="P799" s="52" t="s">
        <v>100</v>
      </c>
      <c r="Q799" s="178">
        <f t="shared" si="37"/>
        <v>0</v>
      </c>
      <c r="S799" s="178">
        <f t="shared" si="38"/>
        <v>0</v>
      </c>
    </row>
    <row r="800" spans="14:19" x14ac:dyDescent="0.25">
      <c r="N800" s="178" t="str">
        <f t="shared" si="36"/>
        <v/>
      </c>
      <c r="P800" s="52" t="s">
        <v>100</v>
      </c>
      <c r="Q800" s="178">
        <f t="shared" si="37"/>
        <v>0</v>
      </c>
      <c r="S800" s="178">
        <f t="shared" si="38"/>
        <v>0</v>
      </c>
    </row>
    <row r="801" spans="14:19" x14ac:dyDescent="0.25">
      <c r="N801" s="178" t="str">
        <f t="shared" si="36"/>
        <v/>
      </c>
      <c r="P801" s="52" t="s">
        <v>100</v>
      </c>
      <c r="Q801" s="178">
        <f t="shared" si="37"/>
        <v>0</v>
      </c>
      <c r="S801" s="178">
        <f t="shared" si="38"/>
        <v>0</v>
      </c>
    </row>
    <row r="802" spans="14:19" x14ac:dyDescent="0.25">
      <c r="N802" s="178" t="str">
        <f t="shared" si="36"/>
        <v/>
      </c>
      <c r="P802" s="52" t="s">
        <v>100</v>
      </c>
      <c r="Q802" s="178">
        <f t="shared" si="37"/>
        <v>0</v>
      </c>
      <c r="S802" s="178">
        <f t="shared" si="38"/>
        <v>0</v>
      </c>
    </row>
    <row r="803" spans="14:19" x14ac:dyDescent="0.25">
      <c r="N803" s="178" t="str">
        <f t="shared" si="36"/>
        <v/>
      </c>
      <c r="P803" s="52" t="s">
        <v>100</v>
      </c>
      <c r="Q803" s="178">
        <f t="shared" si="37"/>
        <v>0</v>
      </c>
      <c r="S803" s="178">
        <f t="shared" si="38"/>
        <v>0</v>
      </c>
    </row>
    <row r="804" spans="14:19" x14ac:dyDescent="0.25">
      <c r="N804" s="178" t="str">
        <f t="shared" si="36"/>
        <v/>
      </c>
      <c r="P804" s="52" t="s">
        <v>100</v>
      </c>
      <c r="Q804" s="178">
        <f t="shared" si="37"/>
        <v>0</v>
      </c>
      <c r="S804" s="178">
        <f t="shared" si="38"/>
        <v>0</v>
      </c>
    </row>
    <row r="805" spans="14:19" x14ac:dyDescent="0.25">
      <c r="N805" s="178" t="str">
        <f t="shared" si="36"/>
        <v/>
      </c>
      <c r="P805" s="52" t="s">
        <v>100</v>
      </c>
      <c r="Q805" s="178">
        <f t="shared" si="37"/>
        <v>0</v>
      </c>
      <c r="S805" s="178">
        <f t="shared" si="38"/>
        <v>0</v>
      </c>
    </row>
    <row r="806" spans="14:19" x14ac:dyDescent="0.25">
      <c r="N806" s="178" t="str">
        <f t="shared" si="36"/>
        <v/>
      </c>
      <c r="P806" s="52" t="s">
        <v>100</v>
      </c>
      <c r="Q806" s="178">
        <f t="shared" si="37"/>
        <v>0</v>
      </c>
      <c r="S806" s="178">
        <f t="shared" si="38"/>
        <v>0</v>
      </c>
    </row>
    <row r="807" spans="14:19" x14ac:dyDescent="0.25">
      <c r="N807" s="178" t="str">
        <f t="shared" si="36"/>
        <v/>
      </c>
      <c r="P807" s="52" t="s">
        <v>100</v>
      </c>
      <c r="Q807" s="178">
        <f t="shared" si="37"/>
        <v>0</v>
      </c>
      <c r="S807" s="178">
        <f t="shared" si="38"/>
        <v>0</v>
      </c>
    </row>
    <row r="808" spans="14:19" x14ac:dyDescent="0.25">
      <c r="N808" s="178" t="str">
        <f t="shared" si="36"/>
        <v/>
      </c>
      <c r="P808" s="52" t="s">
        <v>100</v>
      </c>
      <c r="Q808" s="178">
        <f t="shared" si="37"/>
        <v>0</v>
      </c>
      <c r="S808" s="178">
        <f t="shared" si="38"/>
        <v>0</v>
      </c>
    </row>
    <row r="809" spans="14:19" x14ac:dyDescent="0.25">
      <c r="N809" s="178" t="str">
        <f t="shared" si="36"/>
        <v/>
      </c>
      <c r="P809" s="52" t="s">
        <v>100</v>
      </c>
      <c r="Q809" s="178">
        <f t="shared" si="37"/>
        <v>0</v>
      </c>
      <c r="S809" s="178">
        <f t="shared" si="38"/>
        <v>0</v>
      </c>
    </row>
    <row r="810" spans="14:19" x14ac:dyDescent="0.25">
      <c r="N810" s="178" t="str">
        <f t="shared" si="36"/>
        <v/>
      </c>
      <c r="P810" s="52" t="s">
        <v>100</v>
      </c>
      <c r="Q810" s="178">
        <f t="shared" si="37"/>
        <v>0</v>
      </c>
      <c r="S810" s="178">
        <f t="shared" si="38"/>
        <v>0</v>
      </c>
    </row>
    <row r="811" spans="14:19" x14ac:dyDescent="0.25">
      <c r="N811" s="178" t="str">
        <f t="shared" si="36"/>
        <v/>
      </c>
      <c r="P811" s="52" t="s">
        <v>100</v>
      </c>
      <c r="Q811" s="178">
        <f t="shared" si="37"/>
        <v>0</v>
      </c>
      <c r="S811" s="178">
        <f t="shared" si="38"/>
        <v>0</v>
      </c>
    </row>
    <row r="812" spans="14:19" x14ac:dyDescent="0.25">
      <c r="N812" s="178" t="str">
        <f t="shared" si="36"/>
        <v/>
      </c>
      <c r="P812" s="52" t="s">
        <v>100</v>
      </c>
      <c r="Q812" s="178">
        <f t="shared" si="37"/>
        <v>0</v>
      </c>
      <c r="S812" s="178">
        <f t="shared" si="38"/>
        <v>0</v>
      </c>
    </row>
    <row r="813" spans="14:19" x14ac:dyDescent="0.25">
      <c r="N813" s="178" t="str">
        <f t="shared" si="36"/>
        <v/>
      </c>
      <c r="P813" s="52" t="s">
        <v>100</v>
      </c>
      <c r="Q813" s="178">
        <f t="shared" si="37"/>
        <v>0</v>
      </c>
      <c r="S813" s="178">
        <f t="shared" si="38"/>
        <v>0</v>
      </c>
    </row>
    <row r="814" spans="14:19" x14ac:dyDescent="0.25">
      <c r="N814" s="178" t="str">
        <f t="shared" si="36"/>
        <v/>
      </c>
      <c r="P814" s="52" t="s">
        <v>100</v>
      </c>
      <c r="Q814" s="178">
        <f t="shared" si="37"/>
        <v>0</v>
      </c>
      <c r="S814" s="178">
        <f t="shared" si="38"/>
        <v>0</v>
      </c>
    </row>
    <row r="815" spans="14:19" x14ac:dyDescent="0.25">
      <c r="N815" s="178" t="str">
        <f t="shared" si="36"/>
        <v/>
      </c>
      <c r="P815" s="52" t="s">
        <v>100</v>
      </c>
      <c r="Q815" s="178">
        <f t="shared" si="37"/>
        <v>0</v>
      </c>
      <c r="S815" s="178">
        <f t="shared" si="38"/>
        <v>0</v>
      </c>
    </row>
    <row r="816" spans="14:19" x14ac:dyDescent="0.25">
      <c r="N816" s="178" t="str">
        <f t="shared" si="36"/>
        <v/>
      </c>
      <c r="P816" s="52" t="s">
        <v>100</v>
      </c>
      <c r="Q816" s="178">
        <f t="shared" si="37"/>
        <v>0</v>
      </c>
      <c r="S816" s="178">
        <f t="shared" si="38"/>
        <v>0</v>
      </c>
    </row>
    <row r="817" spans="14:19" x14ac:dyDescent="0.25">
      <c r="N817" s="178" t="str">
        <f t="shared" si="36"/>
        <v/>
      </c>
      <c r="P817" s="52" t="s">
        <v>100</v>
      </c>
      <c r="Q817" s="178">
        <f t="shared" si="37"/>
        <v>0</v>
      </c>
      <c r="S817" s="178">
        <f t="shared" si="38"/>
        <v>0</v>
      </c>
    </row>
    <row r="818" spans="14:19" x14ac:dyDescent="0.25">
      <c r="N818" s="178" t="str">
        <f t="shared" si="36"/>
        <v/>
      </c>
      <c r="P818" s="52" t="s">
        <v>100</v>
      </c>
      <c r="Q818" s="178">
        <f t="shared" si="37"/>
        <v>0</v>
      </c>
      <c r="S818" s="178">
        <f t="shared" si="38"/>
        <v>0</v>
      </c>
    </row>
    <row r="819" spans="14:19" x14ac:dyDescent="0.25">
      <c r="N819" s="178" t="str">
        <f t="shared" si="36"/>
        <v/>
      </c>
      <c r="P819" s="52" t="s">
        <v>100</v>
      </c>
      <c r="Q819" s="178">
        <f t="shared" si="37"/>
        <v>0</v>
      </c>
      <c r="S819" s="178">
        <f t="shared" si="38"/>
        <v>0</v>
      </c>
    </row>
    <row r="820" spans="14:19" x14ac:dyDescent="0.25">
      <c r="N820" s="178" t="str">
        <f t="shared" si="36"/>
        <v/>
      </c>
      <c r="P820" s="52" t="s">
        <v>100</v>
      </c>
      <c r="Q820" s="178">
        <f t="shared" si="37"/>
        <v>0</v>
      </c>
      <c r="S820" s="178">
        <f t="shared" si="38"/>
        <v>0</v>
      </c>
    </row>
    <row r="821" spans="14:19" x14ac:dyDescent="0.25">
      <c r="N821" s="178" t="str">
        <f t="shared" si="36"/>
        <v/>
      </c>
      <c r="P821" s="52" t="s">
        <v>100</v>
      </c>
      <c r="Q821" s="178">
        <f t="shared" si="37"/>
        <v>0</v>
      </c>
      <c r="S821" s="178">
        <f t="shared" si="38"/>
        <v>0</v>
      </c>
    </row>
    <row r="822" spans="14:19" x14ac:dyDescent="0.25">
      <c r="N822" s="178" t="str">
        <f t="shared" si="36"/>
        <v/>
      </c>
      <c r="P822" s="52" t="s">
        <v>100</v>
      </c>
      <c r="Q822" s="178">
        <f t="shared" si="37"/>
        <v>0</v>
      </c>
      <c r="S822" s="178">
        <f t="shared" si="38"/>
        <v>0</v>
      </c>
    </row>
    <row r="823" spans="14:19" x14ac:dyDescent="0.25">
      <c r="N823" s="178" t="str">
        <f t="shared" si="36"/>
        <v/>
      </c>
      <c r="P823" s="52" t="s">
        <v>100</v>
      </c>
      <c r="Q823" s="178">
        <f t="shared" si="37"/>
        <v>0</v>
      </c>
      <c r="S823" s="178">
        <f t="shared" si="38"/>
        <v>0</v>
      </c>
    </row>
    <row r="824" spans="14:19" x14ac:dyDescent="0.25">
      <c r="N824" s="178" t="str">
        <f t="shared" si="36"/>
        <v/>
      </c>
      <c r="P824" s="52" t="s">
        <v>100</v>
      </c>
      <c r="Q824" s="178">
        <f t="shared" si="37"/>
        <v>0</v>
      </c>
      <c r="S824" s="178">
        <f t="shared" si="38"/>
        <v>0</v>
      </c>
    </row>
    <row r="825" spans="14:19" x14ac:dyDescent="0.25">
      <c r="N825" s="178" t="str">
        <f t="shared" si="36"/>
        <v/>
      </c>
      <c r="P825" s="52" t="s">
        <v>100</v>
      </c>
      <c r="Q825" s="178">
        <f t="shared" si="37"/>
        <v>0</v>
      </c>
      <c r="S825" s="178">
        <f t="shared" si="38"/>
        <v>0</v>
      </c>
    </row>
    <row r="826" spans="14:19" x14ac:dyDescent="0.25">
      <c r="N826" s="178" t="str">
        <f t="shared" si="36"/>
        <v/>
      </c>
      <c r="P826" s="52" t="s">
        <v>100</v>
      </c>
      <c r="Q826" s="178">
        <f t="shared" si="37"/>
        <v>0</v>
      </c>
      <c r="S826" s="178">
        <f t="shared" si="38"/>
        <v>0</v>
      </c>
    </row>
    <row r="827" spans="14:19" x14ac:dyDescent="0.25">
      <c r="N827" s="178" t="str">
        <f t="shared" si="36"/>
        <v/>
      </c>
      <c r="P827" s="52" t="s">
        <v>100</v>
      </c>
      <c r="Q827" s="178">
        <f t="shared" si="37"/>
        <v>0</v>
      </c>
      <c r="S827" s="178">
        <f t="shared" si="38"/>
        <v>0</v>
      </c>
    </row>
    <row r="828" spans="14:19" x14ac:dyDescent="0.25">
      <c r="N828" s="178" t="str">
        <f t="shared" si="36"/>
        <v/>
      </c>
      <c r="P828" s="52" t="s">
        <v>100</v>
      </c>
      <c r="Q828" s="178">
        <f t="shared" si="37"/>
        <v>0</v>
      </c>
      <c r="S828" s="178">
        <f t="shared" si="38"/>
        <v>0</v>
      </c>
    </row>
    <row r="829" spans="14:19" x14ac:dyDescent="0.25">
      <c r="N829" s="178" t="str">
        <f t="shared" si="36"/>
        <v/>
      </c>
      <c r="P829" s="52" t="s">
        <v>100</v>
      </c>
      <c r="Q829" s="178">
        <f t="shared" si="37"/>
        <v>0</v>
      </c>
      <c r="S829" s="178">
        <f t="shared" si="38"/>
        <v>0</v>
      </c>
    </row>
    <row r="830" spans="14:19" x14ac:dyDescent="0.25">
      <c r="N830" s="178" t="str">
        <f t="shared" si="36"/>
        <v/>
      </c>
      <c r="P830" s="52" t="s">
        <v>100</v>
      </c>
      <c r="Q830" s="178">
        <f t="shared" si="37"/>
        <v>0</v>
      </c>
      <c r="S830" s="178">
        <f t="shared" si="38"/>
        <v>0</v>
      </c>
    </row>
    <row r="831" spans="14:19" x14ac:dyDescent="0.25">
      <c r="N831" s="178" t="str">
        <f t="shared" si="36"/>
        <v/>
      </c>
      <c r="P831" s="52" t="s">
        <v>100</v>
      </c>
      <c r="Q831" s="178">
        <f t="shared" si="37"/>
        <v>0</v>
      </c>
      <c r="S831" s="178">
        <f t="shared" si="38"/>
        <v>0</v>
      </c>
    </row>
    <row r="832" spans="14:19" x14ac:dyDescent="0.25">
      <c r="N832" s="178" t="str">
        <f t="shared" si="36"/>
        <v/>
      </c>
      <c r="P832" s="52" t="s">
        <v>100</v>
      </c>
      <c r="Q832" s="178">
        <f t="shared" si="37"/>
        <v>0</v>
      </c>
      <c r="S832" s="178">
        <f t="shared" si="38"/>
        <v>0</v>
      </c>
    </row>
    <row r="833" spans="14:19" x14ac:dyDescent="0.25">
      <c r="N833" s="178" t="str">
        <f t="shared" si="36"/>
        <v/>
      </c>
      <c r="P833" s="52" t="s">
        <v>100</v>
      </c>
      <c r="Q833" s="178">
        <f t="shared" si="37"/>
        <v>0</v>
      </c>
      <c r="S833" s="178">
        <f t="shared" si="38"/>
        <v>0</v>
      </c>
    </row>
    <row r="834" spans="14:19" x14ac:dyDescent="0.25">
      <c r="N834" s="178" t="str">
        <f t="shared" ref="N834:N897" si="39">IF(AND(ISNUMBER(VALUE(MID(M834,1,1))), ISNUMBER(VALUE(MID(M834,2,1))), ISNUMBER(VALUE(MID(M834,3,1))), ISNUMBER(VALUE(MID(M834,4,1)))), LEFT(M834,4), "")</f>
        <v/>
      </c>
      <c r="P834" s="52" t="s">
        <v>100</v>
      </c>
      <c r="Q834" s="178">
        <f t="shared" si="37"/>
        <v>0</v>
      </c>
      <c r="S834" s="178">
        <f t="shared" si="38"/>
        <v>0</v>
      </c>
    </row>
    <row r="835" spans="14:19" x14ac:dyDescent="0.25">
      <c r="N835" s="178" t="str">
        <f t="shared" si="39"/>
        <v/>
      </c>
      <c r="P835" s="52" t="s">
        <v>100</v>
      </c>
      <c r="Q835" s="178">
        <f t="shared" ref="Q835:Q898" si="40">FLOOR(O835,10)</f>
        <v>0</v>
      </c>
      <c r="S835" s="178">
        <f t="shared" ref="S835:S898" si="41">CEILING(O835,10)</f>
        <v>0</v>
      </c>
    </row>
    <row r="836" spans="14:19" x14ac:dyDescent="0.25">
      <c r="N836" s="178" t="str">
        <f t="shared" si="39"/>
        <v/>
      </c>
      <c r="P836" s="52" t="s">
        <v>114</v>
      </c>
      <c r="Q836" s="178">
        <f t="shared" si="40"/>
        <v>0</v>
      </c>
      <c r="S836" s="178">
        <f t="shared" si="41"/>
        <v>0</v>
      </c>
    </row>
    <row r="837" spans="14:19" x14ac:dyDescent="0.25">
      <c r="N837" s="178" t="str">
        <f t="shared" si="39"/>
        <v/>
      </c>
      <c r="P837" s="52" t="s">
        <v>114</v>
      </c>
      <c r="Q837" s="178">
        <f t="shared" si="40"/>
        <v>0</v>
      </c>
      <c r="S837" s="178">
        <f t="shared" si="41"/>
        <v>0</v>
      </c>
    </row>
    <row r="838" spans="14:19" x14ac:dyDescent="0.25">
      <c r="N838" s="178" t="str">
        <f t="shared" si="39"/>
        <v/>
      </c>
      <c r="P838" s="52" t="s">
        <v>114</v>
      </c>
      <c r="Q838" s="178">
        <f t="shared" si="40"/>
        <v>0</v>
      </c>
      <c r="S838" s="178">
        <f t="shared" si="41"/>
        <v>0</v>
      </c>
    </row>
    <row r="839" spans="14:19" x14ac:dyDescent="0.25">
      <c r="N839" s="178" t="str">
        <f t="shared" si="39"/>
        <v/>
      </c>
      <c r="P839" s="52" t="s">
        <v>114</v>
      </c>
      <c r="Q839" s="178">
        <f t="shared" si="40"/>
        <v>0</v>
      </c>
      <c r="S839" s="178">
        <f t="shared" si="41"/>
        <v>0</v>
      </c>
    </row>
    <row r="840" spans="14:19" x14ac:dyDescent="0.25">
      <c r="N840" s="178" t="str">
        <f t="shared" si="39"/>
        <v/>
      </c>
      <c r="P840" s="52" t="s">
        <v>114</v>
      </c>
      <c r="Q840" s="178">
        <f t="shared" si="40"/>
        <v>0</v>
      </c>
      <c r="S840" s="178">
        <f t="shared" si="41"/>
        <v>0</v>
      </c>
    </row>
    <row r="841" spans="14:19" x14ac:dyDescent="0.25">
      <c r="N841" s="178" t="str">
        <f t="shared" si="39"/>
        <v/>
      </c>
      <c r="P841" s="52" t="s">
        <v>114</v>
      </c>
      <c r="Q841" s="178">
        <f t="shared" si="40"/>
        <v>0</v>
      </c>
      <c r="S841" s="178">
        <f t="shared" si="41"/>
        <v>0</v>
      </c>
    </row>
    <row r="842" spans="14:19" x14ac:dyDescent="0.25">
      <c r="N842" s="178" t="str">
        <f t="shared" si="39"/>
        <v/>
      </c>
      <c r="P842" s="52" t="s">
        <v>114</v>
      </c>
      <c r="Q842" s="178">
        <f t="shared" si="40"/>
        <v>0</v>
      </c>
      <c r="S842" s="178">
        <f t="shared" si="41"/>
        <v>0</v>
      </c>
    </row>
    <row r="843" spans="14:19" x14ac:dyDescent="0.25">
      <c r="N843" s="178" t="str">
        <f t="shared" si="39"/>
        <v/>
      </c>
      <c r="P843" s="52" t="s">
        <v>114</v>
      </c>
      <c r="Q843" s="178">
        <f t="shared" si="40"/>
        <v>0</v>
      </c>
      <c r="S843" s="178">
        <f t="shared" si="41"/>
        <v>0</v>
      </c>
    </row>
    <row r="844" spans="14:19" x14ac:dyDescent="0.25">
      <c r="N844" s="178" t="str">
        <f t="shared" si="39"/>
        <v/>
      </c>
      <c r="P844" s="52" t="s">
        <v>114</v>
      </c>
      <c r="Q844" s="178">
        <f t="shared" si="40"/>
        <v>0</v>
      </c>
      <c r="S844" s="178">
        <f t="shared" si="41"/>
        <v>0</v>
      </c>
    </row>
    <row r="845" spans="14:19" x14ac:dyDescent="0.25">
      <c r="N845" s="178" t="str">
        <f t="shared" si="39"/>
        <v/>
      </c>
      <c r="P845" s="52" t="s">
        <v>114</v>
      </c>
      <c r="Q845" s="178">
        <f t="shared" si="40"/>
        <v>0</v>
      </c>
      <c r="S845" s="178">
        <f t="shared" si="41"/>
        <v>0</v>
      </c>
    </row>
    <row r="846" spans="14:19" x14ac:dyDescent="0.25">
      <c r="N846" s="178" t="str">
        <f t="shared" si="39"/>
        <v/>
      </c>
      <c r="P846" s="52" t="s">
        <v>114</v>
      </c>
      <c r="Q846" s="178">
        <f t="shared" si="40"/>
        <v>0</v>
      </c>
      <c r="S846" s="178">
        <f t="shared" si="41"/>
        <v>0</v>
      </c>
    </row>
    <row r="847" spans="14:19" x14ac:dyDescent="0.25">
      <c r="N847" s="178" t="str">
        <f t="shared" si="39"/>
        <v/>
      </c>
      <c r="P847" s="52" t="s">
        <v>114</v>
      </c>
      <c r="Q847" s="178">
        <f t="shared" si="40"/>
        <v>0</v>
      </c>
      <c r="S847" s="178">
        <f t="shared" si="41"/>
        <v>0</v>
      </c>
    </row>
    <row r="848" spans="14:19" x14ac:dyDescent="0.25">
      <c r="N848" s="178" t="str">
        <f t="shared" si="39"/>
        <v/>
      </c>
      <c r="P848" s="52" t="s">
        <v>114</v>
      </c>
      <c r="Q848" s="178">
        <f t="shared" si="40"/>
        <v>0</v>
      </c>
      <c r="S848" s="178">
        <f t="shared" si="41"/>
        <v>0</v>
      </c>
    </row>
    <row r="849" spans="14:19" x14ac:dyDescent="0.25">
      <c r="N849" s="178" t="str">
        <f t="shared" si="39"/>
        <v/>
      </c>
      <c r="P849" s="52" t="s">
        <v>114</v>
      </c>
      <c r="Q849" s="178">
        <f t="shared" si="40"/>
        <v>0</v>
      </c>
      <c r="S849" s="178">
        <f t="shared" si="41"/>
        <v>0</v>
      </c>
    </row>
    <row r="850" spans="14:19" x14ac:dyDescent="0.25">
      <c r="N850" s="178" t="str">
        <f t="shared" si="39"/>
        <v/>
      </c>
      <c r="P850" s="52" t="s">
        <v>114</v>
      </c>
      <c r="Q850" s="178">
        <f t="shared" si="40"/>
        <v>0</v>
      </c>
      <c r="S850" s="178">
        <f t="shared" si="41"/>
        <v>0</v>
      </c>
    </row>
    <row r="851" spans="14:19" x14ac:dyDescent="0.25">
      <c r="N851" s="178" t="str">
        <f t="shared" si="39"/>
        <v/>
      </c>
      <c r="P851" s="52" t="s">
        <v>114</v>
      </c>
      <c r="Q851" s="178">
        <f t="shared" si="40"/>
        <v>0</v>
      </c>
      <c r="S851" s="178">
        <f t="shared" si="41"/>
        <v>0</v>
      </c>
    </row>
    <row r="852" spans="14:19" x14ac:dyDescent="0.25">
      <c r="N852" s="178" t="str">
        <f t="shared" si="39"/>
        <v/>
      </c>
      <c r="P852" s="52" t="s">
        <v>114</v>
      </c>
      <c r="Q852" s="178">
        <f t="shared" si="40"/>
        <v>0</v>
      </c>
      <c r="S852" s="178">
        <f t="shared" si="41"/>
        <v>0</v>
      </c>
    </row>
    <row r="853" spans="14:19" x14ac:dyDescent="0.25">
      <c r="N853" s="178" t="str">
        <f t="shared" si="39"/>
        <v/>
      </c>
      <c r="P853" s="52" t="s">
        <v>114</v>
      </c>
      <c r="Q853" s="178">
        <f t="shared" si="40"/>
        <v>0</v>
      </c>
      <c r="S853" s="178">
        <f t="shared" si="41"/>
        <v>0</v>
      </c>
    </row>
    <row r="854" spans="14:19" x14ac:dyDescent="0.25">
      <c r="N854" s="178" t="str">
        <f t="shared" si="39"/>
        <v/>
      </c>
      <c r="P854" s="52" t="s">
        <v>114</v>
      </c>
      <c r="Q854" s="178">
        <f t="shared" si="40"/>
        <v>0</v>
      </c>
      <c r="S854" s="178">
        <f t="shared" si="41"/>
        <v>0</v>
      </c>
    </row>
    <row r="855" spans="14:19" x14ac:dyDescent="0.25">
      <c r="N855" s="178" t="str">
        <f t="shared" si="39"/>
        <v/>
      </c>
      <c r="P855" s="52" t="s">
        <v>114</v>
      </c>
      <c r="Q855" s="178">
        <f t="shared" si="40"/>
        <v>0</v>
      </c>
      <c r="S855" s="178">
        <f t="shared" si="41"/>
        <v>0</v>
      </c>
    </row>
    <row r="856" spans="14:19" x14ac:dyDescent="0.25">
      <c r="N856" s="178" t="str">
        <f t="shared" si="39"/>
        <v/>
      </c>
      <c r="P856" s="52" t="s">
        <v>114</v>
      </c>
      <c r="Q856" s="178">
        <f t="shared" si="40"/>
        <v>0</v>
      </c>
      <c r="S856" s="178">
        <f t="shared" si="41"/>
        <v>0</v>
      </c>
    </row>
    <row r="857" spans="14:19" x14ac:dyDescent="0.25">
      <c r="N857" s="178" t="str">
        <f t="shared" si="39"/>
        <v/>
      </c>
      <c r="P857" s="52" t="s">
        <v>114</v>
      </c>
      <c r="Q857" s="178">
        <f t="shared" si="40"/>
        <v>0</v>
      </c>
      <c r="S857" s="178">
        <f t="shared" si="41"/>
        <v>0</v>
      </c>
    </row>
    <row r="858" spans="14:19" x14ac:dyDescent="0.25">
      <c r="N858" s="178" t="str">
        <f t="shared" si="39"/>
        <v/>
      </c>
      <c r="P858" s="52" t="s">
        <v>114</v>
      </c>
      <c r="Q858" s="178">
        <f t="shared" si="40"/>
        <v>0</v>
      </c>
      <c r="S858" s="178">
        <f t="shared" si="41"/>
        <v>0</v>
      </c>
    </row>
    <row r="859" spans="14:19" x14ac:dyDescent="0.25">
      <c r="N859" s="178" t="str">
        <f t="shared" si="39"/>
        <v/>
      </c>
      <c r="P859" s="52" t="s">
        <v>114</v>
      </c>
      <c r="Q859" s="178">
        <f t="shared" si="40"/>
        <v>0</v>
      </c>
      <c r="S859" s="178">
        <f t="shared" si="41"/>
        <v>0</v>
      </c>
    </row>
    <row r="860" spans="14:19" x14ac:dyDescent="0.25">
      <c r="N860" s="178" t="str">
        <f t="shared" si="39"/>
        <v/>
      </c>
      <c r="P860" s="52" t="s">
        <v>110</v>
      </c>
      <c r="Q860" s="178">
        <f t="shared" si="40"/>
        <v>0</v>
      </c>
      <c r="S860" s="178">
        <f t="shared" si="41"/>
        <v>0</v>
      </c>
    </row>
    <row r="861" spans="14:19" x14ac:dyDescent="0.25">
      <c r="N861" s="178" t="str">
        <f t="shared" si="39"/>
        <v/>
      </c>
      <c r="P861" s="52" t="s">
        <v>110</v>
      </c>
      <c r="Q861" s="178">
        <f t="shared" si="40"/>
        <v>0</v>
      </c>
      <c r="S861" s="178">
        <f t="shared" si="41"/>
        <v>0</v>
      </c>
    </row>
    <row r="862" spans="14:19" x14ac:dyDescent="0.25">
      <c r="N862" s="178" t="str">
        <f t="shared" si="39"/>
        <v/>
      </c>
      <c r="P862" s="52" t="s">
        <v>110</v>
      </c>
      <c r="Q862" s="178">
        <f t="shared" si="40"/>
        <v>0</v>
      </c>
      <c r="S862" s="178">
        <f t="shared" si="41"/>
        <v>0</v>
      </c>
    </row>
    <row r="863" spans="14:19" x14ac:dyDescent="0.25">
      <c r="N863" s="178" t="str">
        <f t="shared" si="39"/>
        <v/>
      </c>
      <c r="P863" s="52" t="s">
        <v>110</v>
      </c>
      <c r="Q863" s="178">
        <f t="shared" si="40"/>
        <v>0</v>
      </c>
      <c r="S863" s="178">
        <f t="shared" si="41"/>
        <v>0</v>
      </c>
    </row>
    <row r="864" spans="14:19" x14ac:dyDescent="0.25">
      <c r="N864" s="178" t="str">
        <f t="shared" si="39"/>
        <v/>
      </c>
      <c r="P864" s="52" t="s">
        <v>110</v>
      </c>
      <c r="Q864" s="178">
        <f t="shared" si="40"/>
        <v>0</v>
      </c>
      <c r="S864" s="178">
        <f t="shared" si="41"/>
        <v>0</v>
      </c>
    </row>
    <row r="865" spans="14:19" x14ac:dyDescent="0.25">
      <c r="N865" s="178" t="str">
        <f t="shared" si="39"/>
        <v/>
      </c>
      <c r="P865" s="52" t="s">
        <v>110</v>
      </c>
      <c r="Q865" s="178">
        <f t="shared" si="40"/>
        <v>0</v>
      </c>
      <c r="S865" s="178">
        <f t="shared" si="41"/>
        <v>0</v>
      </c>
    </row>
    <row r="866" spans="14:19" x14ac:dyDescent="0.25">
      <c r="N866" s="178" t="str">
        <f t="shared" si="39"/>
        <v/>
      </c>
      <c r="P866" s="52" t="s">
        <v>110</v>
      </c>
      <c r="Q866" s="178">
        <f t="shared" si="40"/>
        <v>0</v>
      </c>
      <c r="S866" s="178">
        <f t="shared" si="41"/>
        <v>0</v>
      </c>
    </row>
    <row r="867" spans="14:19" x14ac:dyDescent="0.25">
      <c r="N867" s="178" t="str">
        <f t="shared" si="39"/>
        <v/>
      </c>
      <c r="P867" s="52" t="s">
        <v>110</v>
      </c>
      <c r="Q867" s="178">
        <f t="shared" si="40"/>
        <v>0</v>
      </c>
      <c r="S867" s="178">
        <f t="shared" si="41"/>
        <v>0</v>
      </c>
    </row>
    <row r="868" spans="14:19" x14ac:dyDescent="0.25">
      <c r="N868" s="178" t="str">
        <f t="shared" si="39"/>
        <v/>
      </c>
      <c r="P868" s="52" t="s">
        <v>110</v>
      </c>
      <c r="Q868" s="178">
        <f t="shared" si="40"/>
        <v>0</v>
      </c>
      <c r="S868" s="178">
        <f t="shared" si="41"/>
        <v>0</v>
      </c>
    </row>
    <row r="869" spans="14:19" x14ac:dyDescent="0.25">
      <c r="N869" s="178" t="str">
        <f t="shared" si="39"/>
        <v/>
      </c>
      <c r="P869" s="52" t="s">
        <v>110</v>
      </c>
      <c r="Q869" s="178">
        <f t="shared" si="40"/>
        <v>0</v>
      </c>
      <c r="S869" s="178">
        <f t="shared" si="41"/>
        <v>0</v>
      </c>
    </row>
    <row r="870" spans="14:19" x14ac:dyDescent="0.25">
      <c r="N870" s="178" t="str">
        <f t="shared" si="39"/>
        <v/>
      </c>
      <c r="P870" s="52" t="s">
        <v>110</v>
      </c>
      <c r="Q870" s="178">
        <f t="shared" si="40"/>
        <v>0</v>
      </c>
      <c r="S870" s="178">
        <f t="shared" si="41"/>
        <v>0</v>
      </c>
    </row>
    <row r="871" spans="14:19" x14ac:dyDescent="0.25">
      <c r="N871" s="178" t="str">
        <f t="shared" si="39"/>
        <v/>
      </c>
      <c r="P871" s="52" t="s">
        <v>110</v>
      </c>
      <c r="Q871" s="178">
        <f t="shared" si="40"/>
        <v>0</v>
      </c>
      <c r="S871" s="178">
        <f t="shared" si="41"/>
        <v>0</v>
      </c>
    </row>
    <row r="872" spans="14:19" x14ac:dyDescent="0.25">
      <c r="N872" s="178" t="str">
        <f t="shared" si="39"/>
        <v/>
      </c>
      <c r="P872" s="52" t="s">
        <v>110</v>
      </c>
      <c r="Q872" s="178">
        <f t="shared" si="40"/>
        <v>0</v>
      </c>
      <c r="S872" s="178">
        <f t="shared" si="41"/>
        <v>0</v>
      </c>
    </row>
    <row r="873" spans="14:19" x14ac:dyDescent="0.25">
      <c r="N873" s="178" t="str">
        <f t="shared" si="39"/>
        <v/>
      </c>
      <c r="P873" s="52" t="s">
        <v>110</v>
      </c>
      <c r="Q873" s="178">
        <f t="shared" si="40"/>
        <v>0</v>
      </c>
      <c r="S873" s="178">
        <f t="shared" si="41"/>
        <v>0</v>
      </c>
    </row>
    <row r="874" spans="14:19" x14ac:dyDescent="0.25">
      <c r="N874" s="178" t="str">
        <f t="shared" si="39"/>
        <v/>
      </c>
      <c r="P874" s="52" t="s">
        <v>115</v>
      </c>
      <c r="Q874" s="178">
        <f t="shared" si="40"/>
        <v>0</v>
      </c>
      <c r="S874" s="178">
        <f t="shared" si="41"/>
        <v>0</v>
      </c>
    </row>
    <row r="875" spans="14:19" x14ac:dyDescent="0.25">
      <c r="N875" s="178" t="str">
        <f t="shared" si="39"/>
        <v/>
      </c>
      <c r="P875" s="52" t="s">
        <v>115</v>
      </c>
      <c r="Q875" s="178">
        <f t="shared" si="40"/>
        <v>0</v>
      </c>
      <c r="S875" s="178">
        <f t="shared" si="41"/>
        <v>0</v>
      </c>
    </row>
    <row r="876" spans="14:19" x14ac:dyDescent="0.25">
      <c r="N876" s="178" t="str">
        <f t="shared" si="39"/>
        <v/>
      </c>
      <c r="P876" s="52" t="s">
        <v>115</v>
      </c>
      <c r="Q876" s="178">
        <f t="shared" si="40"/>
        <v>0</v>
      </c>
      <c r="S876" s="178">
        <f t="shared" si="41"/>
        <v>0</v>
      </c>
    </row>
    <row r="877" spans="14:19" x14ac:dyDescent="0.25">
      <c r="N877" s="178" t="str">
        <f t="shared" si="39"/>
        <v/>
      </c>
      <c r="P877" s="52" t="s">
        <v>115</v>
      </c>
      <c r="Q877" s="178">
        <f t="shared" si="40"/>
        <v>0</v>
      </c>
      <c r="S877" s="178">
        <f t="shared" si="41"/>
        <v>0</v>
      </c>
    </row>
    <row r="878" spans="14:19" x14ac:dyDescent="0.25">
      <c r="N878" s="178" t="str">
        <f t="shared" si="39"/>
        <v/>
      </c>
      <c r="P878" s="52" t="s">
        <v>115</v>
      </c>
      <c r="Q878" s="178">
        <f t="shared" si="40"/>
        <v>0</v>
      </c>
      <c r="S878" s="178">
        <f t="shared" si="41"/>
        <v>0</v>
      </c>
    </row>
    <row r="879" spans="14:19" x14ac:dyDescent="0.25">
      <c r="N879" s="178" t="str">
        <f t="shared" si="39"/>
        <v/>
      </c>
      <c r="P879" s="52" t="s">
        <v>115</v>
      </c>
      <c r="Q879" s="178">
        <f t="shared" si="40"/>
        <v>0</v>
      </c>
      <c r="S879" s="178">
        <f t="shared" si="41"/>
        <v>0</v>
      </c>
    </row>
    <row r="880" spans="14:19" x14ac:dyDescent="0.25">
      <c r="N880" s="178" t="str">
        <f t="shared" si="39"/>
        <v/>
      </c>
      <c r="P880" s="52" t="s">
        <v>115</v>
      </c>
      <c r="Q880" s="178">
        <f t="shared" si="40"/>
        <v>0</v>
      </c>
      <c r="S880" s="178">
        <f t="shared" si="41"/>
        <v>0</v>
      </c>
    </row>
    <row r="881" spans="14:19" x14ac:dyDescent="0.25">
      <c r="N881" s="178" t="str">
        <f t="shared" si="39"/>
        <v/>
      </c>
      <c r="P881" s="52" t="s">
        <v>115</v>
      </c>
      <c r="Q881" s="178">
        <f t="shared" si="40"/>
        <v>0</v>
      </c>
      <c r="S881" s="178">
        <f t="shared" si="41"/>
        <v>0</v>
      </c>
    </row>
    <row r="882" spans="14:19" x14ac:dyDescent="0.25">
      <c r="N882" s="178" t="str">
        <f t="shared" si="39"/>
        <v/>
      </c>
      <c r="P882" s="52" t="s">
        <v>115</v>
      </c>
      <c r="Q882" s="178">
        <f t="shared" si="40"/>
        <v>0</v>
      </c>
      <c r="S882" s="178">
        <f t="shared" si="41"/>
        <v>0</v>
      </c>
    </row>
    <row r="883" spans="14:19" x14ac:dyDescent="0.25">
      <c r="N883" s="178" t="str">
        <f t="shared" si="39"/>
        <v/>
      </c>
      <c r="P883" s="52" t="s">
        <v>115</v>
      </c>
      <c r="Q883" s="178">
        <f t="shared" si="40"/>
        <v>0</v>
      </c>
      <c r="S883" s="178">
        <f t="shared" si="41"/>
        <v>0</v>
      </c>
    </row>
    <row r="884" spans="14:19" x14ac:dyDescent="0.25">
      <c r="N884" s="178" t="str">
        <f t="shared" si="39"/>
        <v/>
      </c>
      <c r="P884" s="52" t="s">
        <v>115</v>
      </c>
      <c r="Q884" s="178">
        <f t="shared" si="40"/>
        <v>0</v>
      </c>
      <c r="S884" s="178">
        <f t="shared" si="41"/>
        <v>0</v>
      </c>
    </row>
    <row r="885" spans="14:19" x14ac:dyDescent="0.25">
      <c r="N885" s="178" t="str">
        <f t="shared" si="39"/>
        <v/>
      </c>
      <c r="P885" s="52" t="s">
        <v>115</v>
      </c>
      <c r="Q885" s="178">
        <f t="shared" si="40"/>
        <v>0</v>
      </c>
      <c r="S885" s="178">
        <f t="shared" si="41"/>
        <v>0</v>
      </c>
    </row>
    <row r="886" spans="14:19" x14ac:dyDescent="0.25">
      <c r="N886" s="178" t="str">
        <f t="shared" si="39"/>
        <v/>
      </c>
      <c r="P886" s="52" t="s">
        <v>115</v>
      </c>
      <c r="Q886" s="178">
        <f t="shared" si="40"/>
        <v>0</v>
      </c>
      <c r="S886" s="178">
        <f t="shared" si="41"/>
        <v>0</v>
      </c>
    </row>
    <row r="887" spans="14:19" x14ac:dyDescent="0.25">
      <c r="N887" s="178" t="str">
        <f t="shared" si="39"/>
        <v/>
      </c>
      <c r="P887" s="52" t="s">
        <v>115</v>
      </c>
      <c r="Q887" s="178">
        <f t="shared" si="40"/>
        <v>0</v>
      </c>
      <c r="S887" s="178">
        <f t="shared" si="41"/>
        <v>0</v>
      </c>
    </row>
    <row r="888" spans="14:19" x14ac:dyDescent="0.25">
      <c r="N888" s="178" t="str">
        <f t="shared" si="39"/>
        <v/>
      </c>
      <c r="P888" s="52" t="s">
        <v>115</v>
      </c>
      <c r="Q888" s="178">
        <f t="shared" si="40"/>
        <v>0</v>
      </c>
      <c r="S888" s="178">
        <f t="shared" si="41"/>
        <v>0</v>
      </c>
    </row>
    <row r="889" spans="14:19" x14ac:dyDescent="0.25">
      <c r="N889" s="178" t="str">
        <f t="shared" si="39"/>
        <v/>
      </c>
      <c r="P889" s="52" t="s">
        <v>115</v>
      </c>
      <c r="Q889" s="178">
        <f t="shared" si="40"/>
        <v>0</v>
      </c>
      <c r="S889" s="178">
        <f t="shared" si="41"/>
        <v>0</v>
      </c>
    </row>
    <row r="890" spans="14:19" x14ac:dyDescent="0.25">
      <c r="N890" s="178" t="str">
        <f t="shared" si="39"/>
        <v/>
      </c>
      <c r="P890" s="52" t="s">
        <v>115</v>
      </c>
      <c r="Q890" s="178">
        <f t="shared" si="40"/>
        <v>0</v>
      </c>
      <c r="S890" s="178">
        <f t="shared" si="41"/>
        <v>0</v>
      </c>
    </row>
    <row r="891" spans="14:19" x14ac:dyDescent="0.25">
      <c r="N891" s="178" t="str">
        <f t="shared" si="39"/>
        <v/>
      </c>
      <c r="P891" s="52" t="s">
        <v>115</v>
      </c>
      <c r="Q891" s="178">
        <f t="shared" si="40"/>
        <v>0</v>
      </c>
      <c r="S891" s="178">
        <f t="shared" si="41"/>
        <v>0</v>
      </c>
    </row>
    <row r="892" spans="14:19" x14ac:dyDescent="0.25">
      <c r="N892" s="178" t="str">
        <f t="shared" si="39"/>
        <v/>
      </c>
      <c r="P892" s="52" t="s">
        <v>115</v>
      </c>
      <c r="Q892" s="178">
        <f t="shared" si="40"/>
        <v>0</v>
      </c>
      <c r="S892" s="178">
        <f t="shared" si="41"/>
        <v>0</v>
      </c>
    </row>
    <row r="893" spans="14:19" x14ac:dyDescent="0.25">
      <c r="N893" s="178" t="str">
        <f t="shared" si="39"/>
        <v/>
      </c>
      <c r="P893" s="52" t="s">
        <v>115</v>
      </c>
      <c r="Q893" s="178">
        <f t="shared" si="40"/>
        <v>0</v>
      </c>
      <c r="S893" s="178">
        <f t="shared" si="41"/>
        <v>0</v>
      </c>
    </row>
    <row r="894" spans="14:19" x14ac:dyDescent="0.25">
      <c r="N894" s="178" t="str">
        <f t="shared" si="39"/>
        <v/>
      </c>
      <c r="P894" s="52" t="s">
        <v>115</v>
      </c>
      <c r="Q894" s="178">
        <f t="shared" si="40"/>
        <v>0</v>
      </c>
      <c r="S894" s="178">
        <f t="shared" si="41"/>
        <v>0</v>
      </c>
    </row>
    <row r="895" spans="14:19" x14ac:dyDescent="0.25">
      <c r="N895" s="178" t="str">
        <f t="shared" si="39"/>
        <v/>
      </c>
      <c r="P895" s="52" t="s">
        <v>115</v>
      </c>
      <c r="Q895" s="178">
        <f t="shared" si="40"/>
        <v>0</v>
      </c>
      <c r="S895" s="178">
        <f t="shared" si="41"/>
        <v>0</v>
      </c>
    </row>
    <row r="896" spans="14:19" x14ac:dyDescent="0.25">
      <c r="N896" s="178" t="str">
        <f t="shared" si="39"/>
        <v/>
      </c>
      <c r="P896" s="52" t="s">
        <v>115</v>
      </c>
      <c r="Q896" s="178">
        <f t="shared" si="40"/>
        <v>0</v>
      </c>
      <c r="S896" s="178">
        <f t="shared" si="41"/>
        <v>0</v>
      </c>
    </row>
    <row r="897" spans="14:19" x14ac:dyDescent="0.25">
      <c r="N897" s="178" t="str">
        <f t="shared" si="39"/>
        <v/>
      </c>
      <c r="P897" s="52" t="s">
        <v>253</v>
      </c>
      <c r="Q897" s="178">
        <f t="shared" si="40"/>
        <v>0</v>
      </c>
      <c r="S897" s="178">
        <f t="shared" si="41"/>
        <v>0</v>
      </c>
    </row>
    <row r="898" spans="14:19" x14ac:dyDescent="0.25">
      <c r="N898" s="178" t="str">
        <f t="shared" ref="N898:N961" si="42">IF(AND(ISNUMBER(VALUE(MID(M898,1,1))), ISNUMBER(VALUE(MID(M898,2,1))), ISNUMBER(VALUE(MID(M898,3,1))), ISNUMBER(VALUE(MID(M898,4,1)))), LEFT(M898,4), "")</f>
        <v/>
      </c>
      <c r="P898" s="52" t="s">
        <v>253</v>
      </c>
      <c r="Q898" s="178">
        <f t="shared" si="40"/>
        <v>0</v>
      </c>
      <c r="S898" s="178">
        <f t="shared" si="41"/>
        <v>0</v>
      </c>
    </row>
    <row r="899" spans="14:19" x14ac:dyDescent="0.25">
      <c r="N899" s="178" t="str">
        <f t="shared" si="42"/>
        <v/>
      </c>
      <c r="P899" s="52" t="s">
        <v>253</v>
      </c>
      <c r="Q899" s="178">
        <f t="shared" ref="Q899:Q962" si="43">FLOOR(O899,10)</f>
        <v>0</v>
      </c>
      <c r="S899" s="178">
        <f t="shared" ref="S899:S962" si="44">CEILING(O899,10)</f>
        <v>0</v>
      </c>
    </row>
    <row r="900" spans="14:19" x14ac:dyDescent="0.25">
      <c r="N900" s="178" t="str">
        <f t="shared" si="42"/>
        <v/>
      </c>
      <c r="P900" s="52" t="s">
        <v>253</v>
      </c>
      <c r="Q900" s="178">
        <f t="shared" si="43"/>
        <v>0</v>
      </c>
      <c r="S900" s="178">
        <f t="shared" si="44"/>
        <v>0</v>
      </c>
    </row>
    <row r="901" spans="14:19" x14ac:dyDescent="0.25">
      <c r="N901" s="178" t="str">
        <f t="shared" si="42"/>
        <v/>
      </c>
      <c r="P901" s="52" t="s">
        <v>253</v>
      </c>
      <c r="Q901" s="178">
        <f t="shared" si="43"/>
        <v>0</v>
      </c>
      <c r="S901" s="178">
        <f t="shared" si="44"/>
        <v>0</v>
      </c>
    </row>
    <row r="902" spans="14:19" x14ac:dyDescent="0.25">
      <c r="N902" s="178" t="str">
        <f t="shared" si="42"/>
        <v/>
      </c>
      <c r="P902" s="52" t="s">
        <v>253</v>
      </c>
      <c r="Q902" s="178">
        <f t="shared" si="43"/>
        <v>0</v>
      </c>
      <c r="S902" s="178">
        <f t="shared" si="44"/>
        <v>0</v>
      </c>
    </row>
    <row r="903" spans="14:19" x14ac:dyDescent="0.25">
      <c r="N903" s="178" t="str">
        <f t="shared" si="42"/>
        <v/>
      </c>
      <c r="P903" s="52" t="s">
        <v>253</v>
      </c>
      <c r="Q903" s="178">
        <f t="shared" si="43"/>
        <v>0</v>
      </c>
      <c r="S903" s="178">
        <f t="shared" si="44"/>
        <v>0</v>
      </c>
    </row>
    <row r="904" spans="14:19" x14ac:dyDescent="0.25">
      <c r="N904" s="178" t="str">
        <f t="shared" si="42"/>
        <v/>
      </c>
      <c r="P904" s="52" t="s">
        <v>253</v>
      </c>
      <c r="Q904" s="178">
        <f t="shared" si="43"/>
        <v>0</v>
      </c>
      <c r="S904" s="178">
        <f t="shared" si="44"/>
        <v>0</v>
      </c>
    </row>
    <row r="905" spans="14:19" x14ac:dyDescent="0.25">
      <c r="N905" s="178" t="str">
        <f t="shared" si="42"/>
        <v/>
      </c>
      <c r="P905" s="52" t="s">
        <v>253</v>
      </c>
      <c r="Q905" s="178">
        <f t="shared" si="43"/>
        <v>0</v>
      </c>
      <c r="S905" s="178">
        <f t="shared" si="44"/>
        <v>0</v>
      </c>
    </row>
    <row r="906" spans="14:19" x14ac:dyDescent="0.25">
      <c r="N906" s="178" t="str">
        <f t="shared" si="42"/>
        <v/>
      </c>
      <c r="P906" s="52" t="s">
        <v>253</v>
      </c>
      <c r="Q906" s="178">
        <f t="shared" si="43"/>
        <v>0</v>
      </c>
      <c r="S906" s="178">
        <f t="shared" si="44"/>
        <v>0</v>
      </c>
    </row>
    <row r="907" spans="14:19" x14ac:dyDescent="0.25">
      <c r="N907" s="178" t="str">
        <f t="shared" si="42"/>
        <v/>
      </c>
      <c r="P907" s="52" t="s">
        <v>253</v>
      </c>
      <c r="Q907" s="178">
        <f t="shared" si="43"/>
        <v>0</v>
      </c>
      <c r="S907" s="178">
        <f t="shared" si="44"/>
        <v>0</v>
      </c>
    </row>
    <row r="908" spans="14:19" x14ac:dyDescent="0.25">
      <c r="N908" s="178" t="str">
        <f t="shared" si="42"/>
        <v/>
      </c>
      <c r="P908" s="52" t="s">
        <v>253</v>
      </c>
      <c r="Q908" s="178">
        <f t="shared" si="43"/>
        <v>0</v>
      </c>
      <c r="S908" s="178">
        <f t="shared" si="44"/>
        <v>0</v>
      </c>
    </row>
    <row r="909" spans="14:19" x14ac:dyDescent="0.25">
      <c r="N909" s="178" t="str">
        <f t="shared" si="42"/>
        <v/>
      </c>
      <c r="P909" s="52" t="s">
        <v>253</v>
      </c>
      <c r="Q909" s="178">
        <f t="shared" si="43"/>
        <v>0</v>
      </c>
      <c r="S909" s="178">
        <f t="shared" si="44"/>
        <v>0</v>
      </c>
    </row>
    <row r="910" spans="14:19" x14ac:dyDescent="0.25">
      <c r="N910" s="178" t="str">
        <f t="shared" si="42"/>
        <v/>
      </c>
      <c r="P910" s="52" t="s">
        <v>253</v>
      </c>
      <c r="Q910" s="178">
        <f t="shared" si="43"/>
        <v>0</v>
      </c>
      <c r="S910" s="178">
        <f t="shared" si="44"/>
        <v>0</v>
      </c>
    </row>
    <row r="911" spans="14:19" x14ac:dyDescent="0.25">
      <c r="N911" s="178" t="str">
        <f t="shared" si="42"/>
        <v/>
      </c>
      <c r="P911" s="52" t="s">
        <v>253</v>
      </c>
      <c r="Q911" s="178">
        <f t="shared" si="43"/>
        <v>0</v>
      </c>
      <c r="S911" s="178">
        <f t="shared" si="44"/>
        <v>0</v>
      </c>
    </row>
    <row r="912" spans="14:19" x14ac:dyDescent="0.25">
      <c r="N912" s="178" t="str">
        <f t="shared" si="42"/>
        <v/>
      </c>
      <c r="P912" s="52" t="s">
        <v>253</v>
      </c>
      <c r="Q912" s="178">
        <f t="shared" si="43"/>
        <v>0</v>
      </c>
      <c r="S912" s="178">
        <f t="shared" si="44"/>
        <v>0</v>
      </c>
    </row>
    <row r="913" spans="14:19" x14ac:dyDescent="0.25">
      <c r="N913" s="178" t="str">
        <f t="shared" si="42"/>
        <v/>
      </c>
      <c r="P913" s="52" t="s">
        <v>253</v>
      </c>
      <c r="Q913" s="178">
        <f t="shared" si="43"/>
        <v>0</v>
      </c>
      <c r="S913" s="178">
        <f t="shared" si="44"/>
        <v>0</v>
      </c>
    </row>
    <row r="914" spans="14:19" x14ac:dyDescent="0.25">
      <c r="N914" s="178" t="str">
        <f t="shared" si="42"/>
        <v/>
      </c>
      <c r="P914" s="52" t="s">
        <v>253</v>
      </c>
      <c r="Q914" s="178">
        <f t="shared" si="43"/>
        <v>0</v>
      </c>
      <c r="S914" s="178">
        <f t="shared" si="44"/>
        <v>0</v>
      </c>
    </row>
    <row r="915" spans="14:19" x14ac:dyDescent="0.25">
      <c r="N915" s="178" t="str">
        <f t="shared" si="42"/>
        <v/>
      </c>
      <c r="P915" s="52" t="s">
        <v>253</v>
      </c>
      <c r="Q915" s="178">
        <f t="shared" si="43"/>
        <v>0</v>
      </c>
      <c r="S915" s="178">
        <f t="shared" si="44"/>
        <v>0</v>
      </c>
    </row>
    <row r="916" spans="14:19" x14ac:dyDescent="0.25">
      <c r="N916" s="178" t="str">
        <f t="shared" si="42"/>
        <v/>
      </c>
      <c r="P916" s="52" t="s">
        <v>253</v>
      </c>
      <c r="Q916" s="178">
        <f t="shared" si="43"/>
        <v>0</v>
      </c>
      <c r="S916" s="178">
        <f t="shared" si="44"/>
        <v>0</v>
      </c>
    </row>
    <row r="917" spans="14:19" x14ac:dyDescent="0.25">
      <c r="N917" s="178" t="str">
        <f t="shared" si="42"/>
        <v/>
      </c>
      <c r="P917" s="52" t="s">
        <v>253</v>
      </c>
      <c r="Q917" s="178">
        <f t="shared" si="43"/>
        <v>0</v>
      </c>
      <c r="S917" s="178">
        <f t="shared" si="44"/>
        <v>0</v>
      </c>
    </row>
    <row r="918" spans="14:19" x14ac:dyDescent="0.25">
      <c r="N918" s="178" t="str">
        <f t="shared" si="42"/>
        <v/>
      </c>
      <c r="P918" s="52" t="s">
        <v>253</v>
      </c>
      <c r="Q918" s="178">
        <f t="shared" si="43"/>
        <v>0</v>
      </c>
      <c r="S918" s="178">
        <f t="shared" si="44"/>
        <v>0</v>
      </c>
    </row>
    <row r="919" spans="14:19" x14ac:dyDescent="0.25">
      <c r="N919" s="178" t="str">
        <f t="shared" si="42"/>
        <v/>
      </c>
      <c r="P919" s="52" t="s">
        <v>253</v>
      </c>
      <c r="Q919" s="178">
        <f t="shared" si="43"/>
        <v>0</v>
      </c>
      <c r="S919" s="178">
        <f t="shared" si="44"/>
        <v>0</v>
      </c>
    </row>
    <row r="920" spans="14:19" x14ac:dyDescent="0.25">
      <c r="N920" s="178" t="str">
        <f t="shared" si="42"/>
        <v/>
      </c>
      <c r="P920" s="52" t="s">
        <v>150</v>
      </c>
      <c r="Q920" s="178">
        <f t="shared" si="43"/>
        <v>0</v>
      </c>
      <c r="S920" s="178">
        <f t="shared" si="44"/>
        <v>0</v>
      </c>
    </row>
    <row r="921" spans="14:19" x14ac:dyDescent="0.25">
      <c r="N921" s="178" t="str">
        <f t="shared" si="42"/>
        <v/>
      </c>
      <c r="P921" s="52" t="s">
        <v>150</v>
      </c>
      <c r="Q921" s="178">
        <f t="shared" si="43"/>
        <v>0</v>
      </c>
      <c r="S921" s="178">
        <f t="shared" si="44"/>
        <v>0</v>
      </c>
    </row>
    <row r="922" spans="14:19" x14ac:dyDescent="0.25">
      <c r="N922" s="178" t="str">
        <f t="shared" si="42"/>
        <v/>
      </c>
      <c r="P922" s="52" t="s">
        <v>150</v>
      </c>
      <c r="Q922" s="178">
        <f t="shared" si="43"/>
        <v>0</v>
      </c>
      <c r="S922" s="178">
        <f t="shared" si="44"/>
        <v>0</v>
      </c>
    </row>
    <row r="923" spans="14:19" x14ac:dyDescent="0.25">
      <c r="N923" s="178" t="str">
        <f t="shared" si="42"/>
        <v/>
      </c>
      <c r="P923" s="52" t="s">
        <v>150</v>
      </c>
      <c r="Q923" s="178">
        <f t="shared" si="43"/>
        <v>0</v>
      </c>
      <c r="S923" s="178">
        <f t="shared" si="44"/>
        <v>0</v>
      </c>
    </row>
    <row r="924" spans="14:19" x14ac:dyDescent="0.25">
      <c r="N924" s="178" t="str">
        <f t="shared" si="42"/>
        <v/>
      </c>
      <c r="P924" s="52" t="s">
        <v>150</v>
      </c>
      <c r="Q924" s="178">
        <f t="shared" si="43"/>
        <v>0</v>
      </c>
      <c r="S924" s="178">
        <f t="shared" si="44"/>
        <v>0</v>
      </c>
    </row>
    <row r="925" spans="14:19" x14ac:dyDescent="0.25">
      <c r="N925" s="178" t="str">
        <f t="shared" si="42"/>
        <v/>
      </c>
      <c r="P925" s="52" t="s">
        <v>150</v>
      </c>
      <c r="Q925" s="178">
        <f t="shared" si="43"/>
        <v>0</v>
      </c>
      <c r="S925" s="178">
        <f t="shared" si="44"/>
        <v>0</v>
      </c>
    </row>
    <row r="926" spans="14:19" x14ac:dyDescent="0.25">
      <c r="N926" s="178" t="str">
        <f t="shared" si="42"/>
        <v/>
      </c>
      <c r="P926" s="52" t="s">
        <v>150</v>
      </c>
      <c r="Q926" s="178">
        <f t="shared" si="43"/>
        <v>0</v>
      </c>
      <c r="S926" s="178">
        <f t="shared" si="44"/>
        <v>0</v>
      </c>
    </row>
    <row r="927" spans="14:19" x14ac:dyDescent="0.25">
      <c r="N927" s="178" t="str">
        <f t="shared" si="42"/>
        <v/>
      </c>
      <c r="P927" s="52" t="s">
        <v>150</v>
      </c>
      <c r="Q927" s="178">
        <f t="shared" si="43"/>
        <v>0</v>
      </c>
      <c r="S927" s="178">
        <f t="shared" si="44"/>
        <v>0</v>
      </c>
    </row>
    <row r="928" spans="14:19" x14ac:dyDescent="0.25">
      <c r="N928" s="178" t="str">
        <f t="shared" si="42"/>
        <v/>
      </c>
      <c r="P928" s="52" t="s">
        <v>150</v>
      </c>
      <c r="Q928" s="178">
        <f t="shared" si="43"/>
        <v>0</v>
      </c>
      <c r="S928" s="178">
        <f t="shared" si="44"/>
        <v>0</v>
      </c>
    </row>
    <row r="929" spans="14:19" x14ac:dyDescent="0.25">
      <c r="N929" s="178" t="str">
        <f t="shared" si="42"/>
        <v/>
      </c>
      <c r="P929" s="52" t="s">
        <v>150</v>
      </c>
      <c r="Q929" s="178">
        <f t="shared" si="43"/>
        <v>0</v>
      </c>
      <c r="S929" s="178">
        <f t="shared" si="44"/>
        <v>0</v>
      </c>
    </row>
    <row r="930" spans="14:19" x14ac:dyDescent="0.25">
      <c r="N930" s="178" t="str">
        <f t="shared" si="42"/>
        <v/>
      </c>
      <c r="P930" s="52" t="s">
        <v>150</v>
      </c>
      <c r="Q930" s="178">
        <f t="shared" si="43"/>
        <v>0</v>
      </c>
      <c r="S930" s="178">
        <f t="shared" si="44"/>
        <v>0</v>
      </c>
    </row>
    <row r="931" spans="14:19" x14ac:dyDescent="0.25">
      <c r="N931" s="178" t="str">
        <f t="shared" si="42"/>
        <v/>
      </c>
      <c r="P931" s="52" t="s">
        <v>150</v>
      </c>
      <c r="Q931" s="178">
        <f t="shared" si="43"/>
        <v>0</v>
      </c>
      <c r="S931" s="178">
        <f t="shared" si="44"/>
        <v>0</v>
      </c>
    </row>
    <row r="932" spans="14:19" x14ac:dyDescent="0.25">
      <c r="N932" s="178" t="str">
        <f t="shared" si="42"/>
        <v/>
      </c>
      <c r="P932" s="52" t="s">
        <v>150</v>
      </c>
      <c r="Q932" s="178">
        <f t="shared" si="43"/>
        <v>0</v>
      </c>
      <c r="S932" s="178">
        <f t="shared" si="44"/>
        <v>0</v>
      </c>
    </row>
    <row r="933" spans="14:19" x14ac:dyDescent="0.25">
      <c r="N933" s="178" t="str">
        <f t="shared" si="42"/>
        <v/>
      </c>
      <c r="P933" s="52" t="s">
        <v>150</v>
      </c>
      <c r="Q933" s="178">
        <f t="shared" si="43"/>
        <v>0</v>
      </c>
      <c r="S933" s="178">
        <f t="shared" si="44"/>
        <v>0</v>
      </c>
    </row>
    <row r="934" spans="14:19" x14ac:dyDescent="0.25">
      <c r="N934" s="178" t="str">
        <f t="shared" si="42"/>
        <v/>
      </c>
      <c r="P934" s="52" t="s">
        <v>150</v>
      </c>
      <c r="Q934" s="178">
        <f t="shared" si="43"/>
        <v>0</v>
      </c>
      <c r="S934" s="178">
        <f t="shared" si="44"/>
        <v>0</v>
      </c>
    </row>
    <row r="935" spans="14:19" x14ac:dyDescent="0.25">
      <c r="N935" s="178" t="str">
        <f t="shared" si="42"/>
        <v/>
      </c>
      <c r="P935" s="52" t="s">
        <v>150</v>
      </c>
      <c r="Q935" s="178">
        <f t="shared" si="43"/>
        <v>0</v>
      </c>
      <c r="S935" s="178">
        <f t="shared" si="44"/>
        <v>0</v>
      </c>
    </row>
    <row r="936" spans="14:19" x14ac:dyDescent="0.25">
      <c r="N936" s="178" t="str">
        <f t="shared" si="42"/>
        <v/>
      </c>
      <c r="P936" s="52" t="s">
        <v>150</v>
      </c>
      <c r="Q936" s="178">
        <f t="shared" si="43"/>
        <v>0</v>
      </c>
      <c r="S936" s="178">
        <f t="shared" si="44"/>
        <v>0</v>
      </c>
    </row>
    <row r="937" spans="14:19" x14ac:dyDescent="0.25">
      <c r="N937" s="178" t="str">
        <f t="shared" si="42"/>
        <v/>
      </c>
      <c r="P937" s="52" t="s">
        <v>150</v>
      </c>
      <c r="Q937" s="178">
        <f t="shared" si="43"/>
        <v>0</v>
      </c>
      <c r="S937" s="178">
        <f t="shared" si="44"/>
        <v>0</v>
      </c>
    </row>
    <row r="938" spans="14:19" x14ac:dyDescent="0.25">
      <c r="N938" s="178" t="str">
        <f t="shared" si="42"/>
        <v/>
      </c>
      <c r="P938" s="52" t="s">
        <v>150</v>
      </c>
      <c r="Q938" s="178">
        <f t="shared" si="43"/>
        <v>0</v>
      </c>
      <c r="S938" s="178">
        <f t="shared" si="44"/>
        <v>0</v>
      </c>
    </row>
    <row r="939" spans="14:19" x14ac:dyDescent="0.25">
      <c r="N939" s="178" t="str">
        <f t="shared" si="42"/>
        <v/>
      </c>
      <c r="P939" s="52" t="s">
        <v>150</v>
      </c>
      <c r="Q939" s="178">
        <f t="shared" si="43"/>
        <v>0</v>
      </c>
      <c r="S939" s="178">
        <f t="shared" si="44"/>
        <v>0</v>
      </c>
    </row>
    <row r="940" spans="14:19" x14ac:dyDescent="0.25">
      <c r="N940" s="178" t="str">
        <f t="shared" si="42"/>
        <v/>
      </c>
      <c r="P940" s="52" t="s">
        <v>150</v>
      </c>
      <c r="Q940" s="178">
        <f t="shared" si="43"/>
        <v>0</v>
      </c>
      <c r="S940" s="178">
        <f t="shared" si="44"/>
        <v>0</v>
      </c>
    </row>
    <row r="941" spans="14:19" x14ac:dyDescent="0.25">
      <c r="N941" s="178" t="str">
        <f t="shared" si="42"/>
        <v/>
      </c>
      <c r="P941" s="52" t="s">
        <v>150</v>
      </c>
      <c r="Q941" s="178">
        <f t="shared" si="43"/>
        <v>0</v>
      </c>
      <c r="S941" s="178">
        <f t="shared" si="44"/>
        <v>0</v>
      </c>
    </row>
    <row r="942" spans="14:19" x14ac:dyDescent="0.25">
      <c r="N942" s="178" t="str">
        <f t="shared" si="42"/>
        <v/>
      </c>
      <c r="P942" s="52" t="s">
        <v>150</v>
      </c>
      <c r="Q942" s="178">
        <f t="shared" si="43"/>
        <v>0</v>
      </c>
      <c r="S942" s="178">
        <f t="shared" si="44"/>
        <v>0</v>
      </c>
    </row>
    <row r="943" spans="14:19" x14ac:dyDescent="0.25">
      <c r="N943" s="178" t="str">
        <f t="shared" si="42"/>
        <v/>
      </c>
      <c r="P943" s="52" t="s">
        <v>132</v>
      </c>
      <c r="Q943" s="178">
        <f t="shared" si="43"/>
        <v>0</v>
      </c>
      <c r="S943" s="178">
        <f t="shared" si="44"/>
        <v>0</v>
      </c>
    </row>
    <row r="944" spans="14:19" x14ac:dyDescent="0.25">
      <c r="N944" s="178" t="str">
        <f t="shared" si="42"/>
        <v/>
      </c>
      <c r="P944" s="52" t="s">
        <v>132</v>
      </c>
      <c r="Q944" s="178">
        <f t="shared" si="43"/>
        <v>0</v>
      </c>
      <c r="S944" s="178">
        <f t="shared" si="44"/>
        <v>0</v>
      </c>
    </row>
    <row r="945" spans="14:19" x14ac:dyDescent="0.25">
      <c r="N945" s="178" t="str">
        <f t="shared" si="42"/>
        <v/>
      </c>
      <c r="P945" s="52" t="s">
        <v>132</v>
      </c>
      <c r="Q945" s="178">
        <f t="shared" si="43"/>
        <v>0</v>
      </c>
      <c r="S945" s="178">
        <f t="shared" si="44"/>
        <v>0</v>
      </c>
    </row>
    <row r="946" spans="14:19" x14ac:dyDescent="0.25">
      <c r="N946" s="178" t="str">
        <f t="shared" si="42"/>
        <v/>
      </c>
      <c r="P946" s="52" t="s">
        <v>132</v>
      </c>
      <c r="Q946" s="178">
        <f t="shared" si="43"/>
        <v>0</v>
      </c>
      <c r="S946" s="178">
        <f t="shared" si="44"/>
        <v>0</v>
      </c>
    </row>
    <row r="947" spans="14:19" x14ac:dyDescent="0.25">
      <c r="N947" s="178" t="str">
        <f t="shared" si="42"/>
        <v/>
      </c>
      <c r="P947" s="52" t="s">
        <v>132</v>
      </c>
      <c r="Q947" s="178">
        <f t="shared" si="43"/>
        <v>0</v>
      </c>
      <c r="S947" s="178">
        <f t="shared" si="44"/>
        <v>0</v>
      </c>
    </row>
    <row r="948" spans="14:19" x14ac:dyDescent="0.25">
      <c r="N948" s="178" t="str">
        <f t="shared" si="42"/>
        <v/>
      </c>
      <c r="P948" s="52" t="s">
        <v>132</v>
      </c>
      <c r="Q948" s="178">
        <f t="shared" si="43"/>
        <v>0</v>
      </c>
      <c r="S948" s="178">
        <f t="shared" si="44"/>
        <v>0</v>
      </c>
    </row>
    <row r="949" spans="14:19" x14ac:dyDescent="0.25">
      <c r="N949" s="178" t="str">
        <f t="shared" si="42"/>
        <v/>
      </c>
      <c r="P949" s="52" t="s">
        <v>132</v>
      </c>
      <c r="Q949" s="178">
        <f t="shared" si="43"/>
        <v>0</v>
      </c>
      <c r="S949" s="178">
        <f t="shared" si="44"/>
        <v>0</v>
      </c>
    </row>
    <row r="950" spans="14:19" x14ac:dyDescent="0.25">
      <c r="N950" s="178" t="str">
        <f t="shared" si="42"/>
        <v/>
      </c>
      <c r="P950" s="52" t="s">
        <v>132</v>
      </c>
      <c r="Q950" s="178">
        <f t="shared" si="43"/>
        <v>0</v>
      </c>
      <c r="S950" s="178">
        <f t="shared" si="44"/>
        <v>0</v>
      </c>
    </row>
    <row r="951" spans="14:19" x14ac:dyDescent="0.25">
      <c r="N951" s="178" t="str">
        <f t="shared" si="42"/>
        <v/>
      </c>
      <c r="P951" s="52" t="s">
        <v>132</v>
      </c>
      <c r="Q951" s="178">
        <f t="shared" si="43"/>
        <v>0</v>
      </c>
      <c r="S951" s="178">
        <f t="shared" si="44"/>
        <v>0</v>
      </c>
    </row>
    <row r="952" spans="14:19" x14ac:dyDescent="0.25">
      <c r="N952" s="178" t="str">
        <f t="shared" si="42"/>
        <v/>
      </c>
      <c r="P952" s="52" t="s">
        <v>132</v>
      </c>
      <c r="Q952" s="178">
        <f t="shared" si="43"/>
        <v>0</v>
      </c>
      <c r="S952" s="178">
        <f t="shared" si="44"/>
        <v>0</v>
      </c>
    </row>
    <row r="953" spans="14:19" x14ac:dyDescent="0.25">
      <c r="N953" s="178" t="str">
        <f t="shared" si="42"/>
        <v/>
      </c>
      <c r="P953" s="52" t="s">
        <v>132</v>
      </c>
      <c r="Q953" s="178">
        <f t="shared" si="43"/>
        <v>0</v>
      </c>
      <c r="S953" s="178">
        <f t="shared" si="44"/>
        <v>0</v>
      </c>
    </row>
    <row r="954" spans="14:19" x14ac:dyDescent="0.25">
      <c r="N954" s="178" t="str">
        <f t="shared" si="42"/>
        <v/>
      </c>
      <c r="P954" s="52" t="s">
        <v>132</v>
      </c>
      <c r="Q954" s="178">
        <f t="shared" si="43"/>
        <v>0</v>
      </c>
      <c r="S954" s="178">
        <f t="shared" si="44"/>
        <v>0</v>
      </c>
    </row>
    <row r="955" spans="14:19" x14ac:dyDescent="0.25">
      <c r="N955" s="178" t="str">
        <f t="shared" si="42"/>
        <v/>
      </c>
      <c r="P955" s="52" t="s">
        <v>132</v>
      </c>
      <c r="Q955" s="178">
        <f t="shared" si="43"/>
        <v>0</v>
      </c>
      <c r="S955" s="178">
        <f t="shared" si="44"/>
        <v>0</v>
      </c>
    </row>
    <row r="956" spans="14:19" x14ac:dyDescent="0.25">
      <c r="N956" s="178" t="str">
        <f t="shared" si="42"/>
        <v/>
      </c>
      <c r="P956" s="52" t="s">
        <v>132</v>
      </c>
      <c r="Q956" s="178">
        <f t="shared" si="43"/>
        <v>0</v>
      </c>
      <c r="S956" s="178">
        <f t="shared" si="44"/>
        <v>0</v>
      </c>
    </row>
    <row r="957" spans="14:19" x14ac:dyDescent="0.25">
      <c r="N957" s="178" t="str">
        <f t="shared" si="42"/>
        <v/>
      </c>
      <c r="P957" s="52" t="s">
        <v>132</v>
      </c>
      <c r="Q957" s="178">
        <f t="shared" si="43"/>
        <v>0</v>
      </c>
      <c r="S957" s="178">
        <f t="shared" si="44"/>
        <v>0</v>
      </c>
    </row>
    <row r="958" spans="14:19" x14ac:dyDescent="0.25">
      <c r="N958" s="178" t="str">
        <f t="shared" si="42"/>
        <v/>
      </c>
      <c r="P958" s="52" t="s">
        <v>132</v>
      </c>
      <c r="Q958" s="178">
        <f t="shared" si="43"/>
        <v>0</v>
      </c>
      <c r="S958" s="178">
        <f t="shared" si="44"/>
        <v>0</v>
      </c>
    </row>
    <row r="959" spans="14:19" x14ac:dyDescent="0.25">
      <c r="N959" s="178" t="str">
        <f t="shared" si="42"/>
        <v/>
      </c>
      <c r="P959" s="52" t="s">
        <v>132</v>
      </c>
      <c r="Q959" s="178">
        <f t="shared" si="43"/>
        <v>0</v>
      </c>
      <c r="S959" s="178">
        <f t="shared" si="44"/>
        <v>0</v>
      </c>
    </row>
    <row r="960" spans="14:19" x14ac:dyDescent="0.25">
      <c r="N960" s="178" t="str">
        <f t="shared" si="42"/>
        <v/>
      </c>
      <c r="P960" s="52" t="s">
        <v>132</v>
      </c>
      <c r="Q960" s="178">
        <f t="shared" si="43"/>
        <v>0</v>
      </c>
      <c r="S960" s="178">
        <f t="shared" si="44"/>
        <v>0</v>
      </c>
    </row>
    <row r="961" spans="14:19" x14ac:dyDescent="0.25">
      <c r="N961" s="178" t="str">
        <f t="shared" si="42"/>
        <v/>
      </c>
      <c r="P961" s="52" t="s">
        <v>132</v>
      </c>
      <c r="Q961" s="178">
        <f t="shared" si="43"/>
        <v>0</v>
      </c>
      <c r="S961" s="178">
        <f t="shared" si="44"/>
        <v>0</v>
      </c>
    </row>
    <row r="962" spans="14:19" x14ac:dyDescent="0.25">
      <c r="N962" s="178" t="str">
        <f t="shared" ref="N962:N1025" si="45">IF(AND(ISNUMBER(VALUE(MID(M962,1,1))), ISNUMBER(VALUE(MID(M962,2,1))), ISNUMBER(VALUE(MID(M962,3,1))), ISNUMBER(VALUE(MID(M962,4,1)))), LEFT(M962,4), "")</f>
        <v/>
      </c>
      <c r="P962" s="52" t="s">
        <v>132</v>
      </c>
      <c r="Q962" s="178">
        <f t="shared" si="43"/>
        <v>0</v>
      </c>
      <c r="S962" s="178">
        <f t="shared" si="44"/>
        <v>0</v>
      </c>
    </row>
    <row r="963" spans="14:19" x14ac:dyDescent="0.25">
      <c r="N963" s="178" t="str">
        <f t="shared" si="45"/>
        <v/>
      </c>
      <c r="P963" s="52" t="s">
        <v>132</v>
      </c>
      <c r="Q963" s="178">
        <f t="shared" ref="Q963:Q1026" si="46">FLOOR(O963,10)</f>
        <v>0</v>
      </c>
      <c r="S963" s="178">
        <f t="shared" ref="S963:S1026" si="47">CEILING(O963,10)</f>
        <v>0</v>
      </c>
    </row>
    <row r="964" spans="14:19" x14ac:dyDescent="0.25">
      <c r="N964" s="178" t="str">
        <f t="shared" si="45"/>
        <v/>
      </c>
      <c r="P964" s="52" t="s">
        <v>132</v>
      </c>
      <c r="Q964" s="178">
        <f t="shared" si="46"/>
        <v>0</v>
      </c>
      <c r="S964" s="178">
        <f t="shared" si="47"/>
        <v>0</v>
      </c>
    </row>
    <row r="965" spans="14:19" x14ac:dyDescent="0.25">
      <c r="N965" s="178" t="str">
        <f t="shared" si="45"/>
        <v/>
      </c>
      <c r="P965" s="52" t="s">
        <v>132</v>
      </c>
      <c r="Q965" s="178">
        <f t="shared" si="46"/>
        <v>0</v>
      </c>
      <c r="S965" s="178">
        <f t="shared" si="47"/>
        <v>0</v>
      </c>
    </row>
    <row r="966" spans="14:19" x14ac:dyDescent="0.25">
      <c r="N966" s="178" t="str">
        <f t="shared" si="45"/>
        <v/>
      </c>
      <c r="P966" s="52" t="s">
        <v>132</v>
      </c>
      <c r="Q966" s="178">
        <f t="shared" si="46"/>
        <v>0</v>
      </c>
      <c r="S966" s="178">
        <f t="shared" si="47"/>
        <v>0</v>
      </c>
    </row>
    <row r="967" spans="14:19" x14ac:dyDescent="0.25">
      <c r="N967" s="178" t="str">
        <f t="shared" si="45"/>
        <v/>
      </c>
      <c r="P967" s="52" t="s">
        <v>132</v>
      </c>
      <c r="Q967" s="178">
        <f t="shared" si="46"/>
        <v>0</v>
      </c>
      <c r="S967" s="178">
        <f t="shared" si="47"/>
        <v>0</v>
      </c>
    </row>
    <row r="968" spans="14:19" x14ac:dyDescent="0.25">
      <c r="N968" s="178" t="str">
        <f t="shared" si="45"/>
        <v/>
      </c>
      <c r="P968" s="52" t="s">
        <v>132</v>
      </c>
      <c r="Q968" s="178">
        <f t="shared" si="46"/>
        <v>0</v>
      </c>
      <c r="S968" s="178">
        <f t="shared" si="47"/>
        <v>0</v>
      </c>
    </row>
    <row r="969" spans="14:19" x14ac:dyDescent="0.25">
      <c r="N969" s="178" t="str">
        <f t="shared" si="45"/>
        <v/>
      </c>
      <c r="P969" s="52" t="s">
        <v>132</v>
      </c>
      <c r="Q969" s="178">
        <f t="shared" si="46"/>
        <v>0</v>
      </c>
      <c r="S969" s="178">
        <f t="shared" si="47"/>
        <v>0</v>
      </c>
    </row>
    <row r="970" spans="14:19" x14ac:dyDescent="0.25">
      <c r="N970" s="178" t="str">
        <f t="shared" si="45"/>
        <v/>
      </c>
      <c r="P970" s="52" t="s">
        <v>132</v>
      </c>
      <c r="Q970" s="178">
        <f t="shared" si="46"/>
        <v>0</v>
      </c>
      <c r="S970" s="178">
        <f t="shared" si="47"/>
        <v>0</v>
      </c>
    </row>
    <row r="971" spans="14:19" x14ac:dyDescent="0.25">
      <c r="N971" s="178" t="str">
        <f t="shared" si="45"/>
        <v/>
      </c>
      <c r="P971" s="52" t="s">
        <v>132</v>
      </c>
      <c r="Q971" s="178">
        <f t="shared" si="46"/>
        <v>0</v>
      </c>
      <c r="S971" s="178">
        <f t="shared" si="47"/>
        <v>0</v>
      </c>
    </row>
    <row r="972" spans="14:19" x14ac:dyDescent="0.25">
      <c r="N972" s="178" t="str">
        <f t="shared" si="45"/>
        <v/>
      </c>
      <c r="P972" s="52" t="s">
        <v>132</v>
      </c>
      <c r="Q972" s="178">
        <f t="shared" si="46"/>
        <v>0</v>
      </c>
      <c r="S972" s="178">
        <f t="shared" si="47"/>
        <v>0</v>
      </c>
    </row>
    <row r="973" spans="14:19" x14ac:dyDescent="0.25">
      <c r="N973" s="178" t="str">
        <f t="shared" si="45"/>
        <v/>
      </c>
      <c r="P973" s="52" t="s">
        <v>132</v>
      </c>
      <c r="Q973" s="178">
        <f t="shared" si="46"/>
        <v>0</v>
      </c>
      <c r="S973" s="178">
        <f t="shared" si="47"/>
        <v>0</v>
      </c>
    </row>
    <row r="974" spans="14:19" x14ac:dyDescent="0.25">
      <c r="N974" s="178" t="str">
        <f t="shared" si="45"/>
        <v/>
      </c>
      <c r="P974" s="52" t="s">
        <v>132</v>
      </c>
      <c r="Q974" s="178">
        <f t="shared" si="46"/>
        <v>0</v>
      </c>
      <c r="S974" s="178">
        <f t="shared" si="47"/>
        <v>0</v>
      </c>
    </row>
    <row r="975" spans="14:19" x14ac:dyDescent="0.25">
      <c r="N975" s="178" t="str">
        <f t="shared" si="45"/>
        <v/>
      </c>
      <c r="P975" s="52" t="s">
        <v>132</v>
      </c>
      <c r="Q975" s="178">
        <f t="shared" si="46"/>
        <v>0</v>
      </c>
      <c r="S975" s="178">
        <f t="shared" si="47"/>
        <v>0</v>
      </c>
    </row>
    <row r="976" spans="14:19" x14ac:dyDescent="0.25">
      <c r="N976" s="178" t="str">
        <f t="shared" si="45"/>
        <v/>
      </c>
      <c r="P976" s="52" t="s">
        <v>132</v>
      </c>
      <c r="Q976" s="178">
        <f t="shared" si="46"/>
        <v>0</v>
      </c>
      <c r="S976" s="178">
        <f t="shared" si="47"/>
        <v>0</v>
      </c>
    </row>
    <row r="977" spans="14:19" x14ac:dyDescent="0.25">
      <c r="N977" s="178" t="str">
        <f t="shared" si="45"/>
        <v/>
      </c>
      <c r="P977" s="52" t="s">
        <v>132</v>
      </c>
      <c r="Q977" s="178">
        <f t="shared" si="46"/>
        <v>0</v>
      </c>
      <c r="S977" s="178">
        <f t="shared" si="47"/>
        <v>0</v>
      </c>
    </row>
    <row r="978" spans="14:19" x14ac:dyDescent="0.25">
      <c r="N978" s="178" t="str">
        <f t="shared" si="45"/>
        <v/>
      </c>
      <c r="P978" s="52" t="s">
        <v>132</v>
      </c>
      <c r="Q978" s="178">
        <f t="shared" si="46"/>
        <v>0</v>
      </c>
      <c r="S978" s="178">
        <f t="shared" si="47"/>
        <v>0</v>
      </c>
    </row>
    <row r="979" spans="14:19" x14ac:dyDescent="0.25">
      <c r="N979" s="178" t="str">
        <f t="shared" si="45"/>
        <v/>
      </c>
      <c r="P979" s="52" t="s">
        <v>132</v>
      </c>
      <c r="Q979" s="178">
        <f t="shared" si="46"/>
        <v>0</v>
      </c>
      <c r="S979" s="178">
        <f t="shared" si="47"/>
        <v>0</v>
      </c>
    </row>
    <row r="980" spans="14:19" x14ac:dyDescent="0.25">
      <c r="N980" s="178" t="str">
        <f t="shared" si="45"/>
        <v/>
      </c>
      <c r="P980" s="52" t="s">
        <v>132</v>
      </c>
      <c r="Q980" s="178">
        <f t="shared" si="46"/>
        <v>0</v>
      </c>
      <c r="S980" s="178">
        <f t="shared" si="47"/>
        <v>0</v>
      </c>
    </row>
    <row r="981" spans="14:19" x14ac:dyDescent="0.25">
      <c r="N981" s="178" t="str">
        <f t="shared" si="45"/>
        <v/>
      </c>
      <c r="P981" s="52" t="s">
        <v>132</v>
      </c>
      <c r="Q981" s="178">
        <f t="shared" si="46"/>
        <v>0</v>
      </c>
      <c r="S981" s="178">
        <f t="shared" si="47"/>
        <v>0</v>
      </c>
    </row>
    <row r="982" spans="14:19" x14ac:dyDescent="0.25">
      <c r="N982" s="178" t="str">
        <f t="shared" si="45"/>
        <v/>
      </c>
      <c r="P982" s="52" t="s">
        <v>132</v>
      </c>
      <c r="Q982" s="178">
        <f t="shared" si="46"/>
        <v>0</v>
      </c>
      <c r="S982" s="178">
        <f t="shared" si="47"/>
        <v>0</v>
      </c>
    </row>
    <row r="983" spans="14:19" x14ac:dyDescent="0.25">
      <c r="N983" s="178" t="str">
        <f t="shared" si="45"/>
        <v/>
      </c>
      <c r="P983" s="52" t="s">
        <v>132</v>
      </c>
      <c r="Q983" s="178">
        <f t="shared" si="46"/>
        <v>0</v>
      </c>
      <c r="S983" s="178">
        <f t="shared" si="47"/>
        <v>0</v>
      </c>
    </row>
    <row r="984" spans="14:19" x14ac:dyDescent="0.25">
      <c r="N984" s="178" t="str">
        <f t="shared" si="45"/>
        <v/>
      </c>
      <c r="P984" s="52" t="s">
        <v>132</v>
      </c>
      <c r="Q984" s="178">
        <f t="shared" si="46"/>
        <v>0</v>
      </c>
      <c r="S984" s="178">
        <f t="shared" si="47"/>
        <v>0</v>
      </c>
    </row>
    <row r="985" spans="14:19" x14ac:dyDescent="0.25">
      <c r="N985" s="178" t="str">
        <f t="shared" si="45"/>
        <v/>
      </c>
      <c r="P985" s="52" t="s">
        <v>132</v>
      </c>
      <c r="Q985" s="178">
        <f t="shared" si="46"/>
        <v>0</v>
      </c>
      <c r="S985" s="178">
        <f t="shared" si="47"/>
        <v>0</v>
      </c>
    </row>
    <row r="986" spans="14:19" x14ac:dyDescent="0.25">
      <c r="N986" s="178" t="str">
        <f t="shared" si="45"/>
        <v/>
      </c>
      <c r="P986" s="52" t="s">
        <v>132</v>
      </c>
      <c r="Q986" s="178">
        <f t="shared" si="46"/>
        <v>0</v>
      </c>
      <c r="S986" s="178">
        <f t="shared" si="47"/>
        <v>0</v>
      </c>
    </row>
    <row r="987" spans="14:19" x14ac:dyDescent="0.25">
      <c r="N987" s="178" t="str">
        <f t="shared" si="45"/>
        <v/>
      </c>
      <c r="P987" s="52" t="s">
        <v>132</v>
      </c>
      <c r="Q987" s="178">
        <f t="shared" si="46"/>
        <v>0</v>
      </c>
      <c r="S987" s="178">
        <f t="shared" si="47"/>
        <v>0</v>
      </c>
    </row>
    <row r="988" spans="14:19" x14ac:dyDescent="0.25">
      <c r="N988" s="178" t="str">
        <f t="shared" si="45"/>
        <v/>
      </c>
      <c r="P988" s="52" t="s">
        <v>132</v>
      </c>
      <c r="Q988" s="178">
        <f t="shared" si="46"/>
        <v>0</v>
      </c>
      <c r="S988" s="178">
        <f t="shared" si="47"/>
        <v>0</v>
      </c>
    </row>
    <row r="989" spans="14:19" x14ac:dyDescent="0.25">
      <c r="N989" s="178" t="str">
        <f t="shared" si="45"/>
        <v/>
      </c>
      <c r="P989" s="52" t="s">
        <v>132</v>
      </c>
      <c r="Q989" s="178">
        <f t="shared" si="46"/>
        <v>0</v>
      </c>
      <c r="S989" s="178">
        <f t="shared" si="47"/>
        <v>0</v>
      </c>
    </row>
    <row r="990" spans="14:19" x14ac:dyDescent="0.25">
      <c r="N990" s="178" t="str">
        <f t="shared" si="45"/>
        <v/>
      </c>
      <c r="P990" s="52" t="s">
        <v>132</v>
      </c>
      <c r="Q990" s="178">
        <f t="shared" si="46"/>
        <v>0</v>
      </c>
      <c r="S990" s="178">
        <f t="shared" si="47"/>
        <v>0</v>
      </c>
    </row>
    <row r="991" spans="14:19" x14ac:dyDescent="0.25">
      <c r="N991" s="178" t="str">
        <f t="shared" si="45"/>
        <v/>
      </c>
      <c r="P991" s="52" t="s">
        <v>132</v>
      </c>
      <c r="Q991" s="178">
        <f t="shared" si="46"/>
        <v>0</v>
      </c>
      <c r="S991" s="178">
        <f t="shared" si="47"/>
        <v>0</v>
      </c>
    </row>
    <row r="992" spans="14:19" x14ac:dyDescent="0.25">
      <c r="N992" s="178" t="str">
        <f t="shared" si="45"/>
        <v/>
      </c>
      <c r="P992" s="52" t="s">
        <v>132</v>
      </c>
      <c r="Q992" s="178">
        <f t="shared" si="46"/>
        <v>0</v>
      </c>
      <c r="S992" s="178">
        <f t="shared" si="47"/>
        <v>0</v>
      </c>
    </row>
    <row r="993" spans="14:19" x14ac:dyDescent="0.25">
      <c r="N993" s="178" t="str">
        <f t="shared" si="45"/>
        <v/>
      </c>
      <c r="P993" s="52" t="s">
        <v>132</v>
      </c>
      <c r="Q993" s="178">
        <f t="shared" si="46"/>
        <v>0</v>
      </c>
      <c r="S993" s="178">
        <f t="shared" si="47"/>
        <v>0</v>
      </c>
    </row>
    <row r="994" spans="14:19" x14ac:dyDescent="0.25">
      <c r="N994" s="178" t="str">
        <f t="shared" si="45"/>
        <v/>
      </c>
      <c r="P994" s="52" t="s">
        <v>132</v>
      </c>
      <c r="Q994" s="178">
        <f t="shared" si="46"/>
        <v>0</v>
      </c>
      <c r="S994" s="178">
        <f t="shared" si="47"/>
        <v>0</v>
      </c>
    </row>
    <row r="995" spans="14:19" x14ac:dyDescent="0.25">
      <c r="N995" s="178" t="str">
        <f t="shared" si="45"/>
        <v/>
      </c>
      <c r="P995" s="52" t="s">
        <v>132</v>
      </c>
      <c r="Q995" s="178">
        <f t="shared" si="46"/>
        <v>0</v>
      </c>
      <c r="S995" s="178">
        <f t="shared" si="47"/>
        <v>0</v>
      </c>
    </row>
    <row r="996" spans="14:19" x14ac:dyDescent="0.25">
      <c r="N996" s="178" t="str">
        <f t="shared" si="45"/>
        <v/>
      </c>
      <c r="P996" s="52" t="s">
        <v>132</v>
      </c>
      <c r="Q996" s="178">
        <f t="shared" si="46"/>
        <v>0</v>
      </c>
      <c r="S996" s="178">
        <f t="shared" si="47"/>
        <v>0</v>
      </c>
    </row>
    <row r="997" spans="14:19" x14ac:dyDescent="0.25">
      <c r="N997" s="178" t="str">
        <f t="shared" si="45"/>
        <v/>
      </c>
      <c r="P997" s="52" t="s">
        <v>132</v>
      </c>
      <c r="Q997" s="178">
        <f t="shared" si="46"/>
        <v>0</v>
      </c>
      <c r="S997" s="178">
        <f t="shared" si="47"/>
        <v>0</v>
      </c>
    </row>
    <row r="998" spans="14:19" x14ac:dyDescent="0.25">
      <c r="N998" s="178" t="str">
        <f t="shared" si="45"/>
        <v/>
      </c>
      <c r="P998" s="52" t="s">
        <v>132</v>
      </c>
      <c r="Q998" s="178">
        <f t="shared" si="46"/>
        <v>0</v>
      </c>
      <c r="S998" s="178">
        <f t="shared" si="47"/>
        <v>0</v>
      </c>
    </row>
    <row r="999" spans="14:19" x14ac:dyDescent="0.25">
      <c r="N999" s="178" t="str">
        <f t="shared" si="45"/>
        <v/>
      </c>
      <c r="P999" s="52" t="s">
        <v>112</v>
      </c>
      <c r="Q999" s="178">
        <f t="shared" si="46"/>
        <v>0</v>
      </c>
      <c r="S999" s="178">
        <f t="shared" si="47"/>
        <v>0</v>
      </c>
    </row>
    <row r="1000" spans="14:19" x14ac:dyDescent="0.25">
      <c r="N1000" s="178" t="str">
        <f t="shared" si="45"/>
        <v/>
      </c>
      <c r="P1000" s="52" t="s">
        <v>112</v>
      </c>
      <c r="Q1000" s="178">
        <f t="shared" si="46"/>
        <v>0</v>
      </c>
      <c r="S1000" s="178">
        <f t="shared" si="47"/>
        <v>0</v>
      </c>
    </row>
    <row r="1001" spans="14:19" x14ac:dyDescent="0.25">
      <c r="N1001" s="178" t="str">
        <f t="shared" si="45"/>
        <v/>
      </c>
      <c r="P1001" s="52" t="s">
        <v>112</v>
      </c>
      <c r="Q1001" s="178">
        <f t="shared" si="46"/>
        <v>0</v>
      </c>
      <c r="S1001" s="178">
        <f t="shared" si="47"/>
        <v>0</v>
      </c>
    </row>
    <row r="1002" spans="14:19" x14ac:dyDescent="0.25">
      <c r="N1002" s="178" t="str">
        <f t="shared" si="45"/>
        <v/>
      </c>
      <c r="P1002" s="52" t="s">
        <v>112</v>
      </c>
      <c r="Q1002" s="178">
        <f t="shared" si="46"/>
        <v>0</v>
      </c>
      <c r="S1002" s="178">
        <f t="shared" si="47"/>
        <v>0</v>
      </c>
    </row>
    <row r="1003" spans="14:19" x14ac:dyDescent="0.25">
      <c r="N1003" s="178" t="str">
        <f t="shared" si="45"/>
        <v/>
      </c>
      <c r="P1003" s="52" t="s">
        <v>112</v>
      </c>
      <c r="Q1003" s="178">
        <f t="shared" si="46"/>
        <v>0</v>
      </c>
      <c r="S1003" s="178">
        <f t="shared" si="47"/>
        <v>0</v>
      </c>
    </row>
    <row r="1004" spans="14:19" x14ac:dyDescent="0.25">
      <c r="N1004" s="178" t="str">
        <f t="shared" si="45"/>
        <v/>
      </c>
      <c r="P1004" s="52" t="s">
        <v>112</v>
      </c>
      <c r="Q1004" s="178">
        <f t="shared" si="46"/>
        <v>0</v>
      </c>
      <c r="S1004" s="178">
        <f t="shared" si="47"/>
        <v>0</v>
      </c>
    </row>
    <row r="1005" spans="14:19" x14ac:dyDescent="0.25">
      <c r="N1005" s="178" t="str">
        <f t="shared" si="45"/>
        <v/>
      </c>
      <c r="P1005" s="52" t="s">
        <v>112</v>
      </c>
      <c r="Q1005" s="178">
        <f t="shared" si="46"/>
        <v>0</v>
      </c>
      <c r="S1005" s="178">
        <f t="shared" si="47"/>
        <v>0</v>
      </c>
    </row>
    <row r="1006" spans="14:19" x14ac:dyDescent="0.25">
      <c r="N1006" s="178" t="str">
        <f t="shared" si="45"/>
        <v/>
      </c>
      <c r="P1006" s="52" t="s">
        <v>112</v>
      </c>
      <c r="Q1006" s="178">
        <f t="shared" si="46"/>
        <v>0</v>
      </c>
      <c r="S1006" s="178">
        <f t="shared" si="47"/>
        <v>0</v>
      </c>
    </row>
    <row r="1007" spans="14:19" x14ac:dyDescent="0.25">
      <c r="N1007" s="178" t="str">
        <f t="shared" si="45"/>
        <v/>
      </c>
      <c r="P1007" s="52" t="s">
        <v>112</v>
      </c>
      <c r="Q1007" s="178">
        <f t="shared" si="46"/>
        <v>0</v>
      </c>
      <c r="S1007" s="178">
        <f t="shared" si="47"/>
        <v>0</v>
      </c>
    </row>
    <row r="1008" spans="14:19" x14ac:dyDescent="0.25">
      <c r="N1008" s="178" t="str">
        <f t="shared" si="45"/>
        <v/>
      </c>
      <c r="P1008" s="52" t="s">
        <v>112</v>
      </c>
      <c r="Q1008" s="178">
        <f t="shared" si="46"/>
        <v>0</v>
      </c>
      <c r="S1008" s="178">
        <f t="shared" si="47"/>
        <v>0</v>
      </c>
    </row>
    <row r="1009" spans="14:19" x14ac:dyDescent="0.25">
      <c r="N1009" s="178" t="str">
        <f t="shared" si="45"/>
        <v/>
      </c>
      <c r="P1009" s="52" t="s">
        <v>112</v>
      </c>
      <c r="Q1009" s="178">
        <f t="shared" si="46"/>
        <v>0</v>
      </c>
      <c r="S1009" s="178">
        <f t="shared" si="47"/>
        <v>0</v>
      </c>
    </row>
    <row r="1010" spans="14:19" x14ac:dyDescent="0.25">
      <c r="N1010" s="178" t="str">
        <f t="shared" si="45"/>
        <v/>
      </c>
      <c r="P1010" s="52" t="s">
        <v>112</v>
      </c>
      <c r="Q1010" s="178">
        <f t="shared" si="46"/>
        <v>0</v>
      </c>
      <c r="S1010" s="178">
        <f t="shared" si="47"/>
        <v>0</v>
      </c>
    </row>
    <row r="1011" spans="14:19" x14ac:dyDescent="0.25">
      <c r="N1011" s="178" t="str">
        <f t="shared" si="45"/>
        <v/>
      </c>
      <c r="P1011" s="52" t="s">
        <v>112</v>
      </c>
      <c r="Q1011" s="178">
        <f t="shared" si="46"/>
        <v>0</v>
      </c>
      <c r="S1011" s="178">
        <f t="shared" si="47"/>
        <v>0</v>
      </c>
    </row>
    <row r="1012" spans="14:19" x14ac:dyDescent="0.25">
      <c r="N1012" s="178" t="str">
        <f t="shared" si="45"/>
        <v/>
      </c>
      <c r="P1012" s="52" t="s">
        <v>112</v>
      </c>
      <c r="Q1012" s="178">
        <f t="shared" si="46"/>
        <v>0</v>
      </c>
      <c r="S1012" s="178">
        <f t="shared" si="47"/>
        <v>0</v>
      </c>
    </row>
    <row r="1013" spans="14:19" x14ac:dyDescent="0.25">
      <c r="N1013" s="178" t="str">
        <f t="shared" si="45"/>
        <v/>
      </c>
      <c r="P1013" s="52" t="s">
        <v>112</v>
      </c>
      <c r="Q1013" s="178">
        <f t="shared" si="46"/>
        <v>0</v>
      </c>
      <c r="S1013" s="178">
        <f t="shared" si="47"/>
        <v>0</v>
      </c>
    </row>
    <row r="1014" spans="14:19" x14ac:dyDescent="0.25">
      <c r="N1014" s="178" t="str">
        <f t="shared" si="45"/>
        <v/>
      </c>
      <c r="P1014" s="52" t="s">
        <v>319</v>
      </c>
      <c r="Q1014" s="178">
        <f t="shared" si="46"/>
        <v>0</v>
      </c>
      <c r="S1014" s="178">
        <f t="shared" si="47"/>
        <v>0</v>
      </c>
    </row>
    <row r="1015" spans="14:19" x14ac:dyDescent="0.25">
      <c r="N1015" s="178" t="str">
        <f t="shared" si="45"/>
        <v/>
      </c>
      <c r="P1015" s="52" t="s">
        <v>319</v>
      </c>
      <c r="Q1015" s="178">
        <f t="shared" si="46"/>
        <v>0</v>
      </c>
      <c r="S1015" s="178">
        <f t="shared" si="47"/>
        <v>0</v>
      </c>
    </row>
    <row r="1016" spans="14:19" x14ac:dyDescent="0.25">
      <c r="N1016" s="178" t="str">
        <f t="shared" si="45"/>
        <v/>
      </c>
      <c r="P1016" s="52" t="s">
        <v>319</v>
      </c>
      <c r="Q1016" s="178">
        <f t="shared" si="46"/>
        <v>0</v>
      </c>
      <c r="S1016" s="178">
        <f t="shared" si="47"/>
        <v>0</v>
      </c>
    </row>
    <row r="1017" spans="14:19" x14ac:dyDescent="0.25">
      <c r="N1017" s="178" t="str">
        <f t="shared" si="45"/>
        <v/>
      </c>
      <c r="P1017" s="52" t="s">
        <v>319</v>
      </c>
      <c r="Q1017" s="178">
        <f t="shared" si="46"/>
        <v>0</v>
      </c>
      <c r="S1017" s="178">
        <f t="shared" si="47"/>
        <v>0</v>
      </c>
    </row>
    <row r="1018" spans="14:19" x14ac:dyDescent="0.25">
      <c r="N1018" s="178" t="str">
        <f t="shared" si="45"/>
        <v/>
      </c>
      <c r="P1018" s="52" t="s">
        <v>319</v>
      </c>
      <c r="Q1018" s="178">
        <f t="shared" si="46"/>
        <v>0</v>
      </c>
      <c r="S1018" s="178">
        <f t="shared" si="47"/>
        <v>0</v>
      </c>
    </row>
    <row r="1019" spans="14:19" x14ac:dyDescent="0.25">
      <c r="N1019" s="178" t="str">
        <f t="shared" si="45"/>
        <v/>
      </c>
      <c r="P1019" s="52" t="s">
        <v>319</v>
      </c>
      <c r="Q1019" s="178">
        <f t="shared" si="46"/>
        <v>0</v>
      </c>
      <c r="S1019" s="178">
        <f t="shared" si="47"/>
        <v>0</v>
      </c>
    </row>
    <row r="1020" spans="14:19" x14ac:dyDescent="0.25">
      <c r="N1020" s="178" t="str">
        <f t="shared" si="45"/>
        <v/>
      </c>
      <c r="P1020" s="52" t="s">
        <v>319</v>
      </c>
      <c r="Q1020" s="178">
        <f t="shared" si="46"/>
        <v>0</v>
      </c>
      <c r="S1020" s="178">
        <f t="shared" si="47"/>
        <v>0</v>
      </c>
    </row>
    <row r="1021" spans="14:19" x14ac:dyDescent="0.25">
      <c r="N1021" s="178" t="str">
        <f t="shared" si="45"/>
        <v/>
      </c>
      <c r="P1021" s="52" t="s">
        <v>319</v>
      </c>
      <c r="Q1021" s="178">
        <f t="shared" si="46"/>
        <v>0</v>
      </c>
      <c r="S1021" s="178">
        <f t="shared" si="47"/>
        <v>0</v>
      </c>
    </row>
    <row r="1022" spans="14:19" x14ac:dyDescent="0.25">
      <c r="N1022" s="178" t="str">
        <f t="shared" si="45"/>
        <v/>
      </c>
      <c r="P1022" s="52" t="s">
        <v>319</v>
      </c>
      <c r="Q1022" s="178">
        <f t="shared" si="46"/>
        <v>0</v>
      </c>
      <c r="S1022" s="178">
        <f t="shared" si="47"/>
        <v>0</v>
      </c>
    </row>
    <row r="1023" spans="14:19" x14ac:dyDescent="0.25">
      <c r="N1023" s="178" t="str">
        <f t="shared" si="45"/>
        <v/>
      </c>
      <c r="P1023" s="52" t="s">
        <v>319</v>
      </c>
      <c r="Q1023" s="178">
        <f t="shared" si="46"/>
        <v>0</v>
      </c>
      <c r="S1023" s="178">
        <f t="shared" si="47"/>
        <v>0</v>
      </c>
    </row>
    <row r="1024" spans="14:19" x14ac:dyDescent="0.25">
      <c r="N1024" s="178" t="str">
        <f t="shared" si="45"/>
        <v/>
      </c>
      <c r="P1024" s="52" t="s">
        <v>319</v>
      </c>
      <c r="Q1024" s="178">
        <f t="shared" si="46"/>
        <v>0</v>
      </c>
      <c r="S1024" s="178">
        <f t="shared" si="47"/>
        <v>0</v>
      </c>
    </row>
    <row r="1025" spans="14:19" x14ac:dyDescent="0.25">
      <c r="N1025" s="178" t="str">
        <f t="shared" si="45"/>
        <v/>
      </c>
      <c r="P1025" s="52" t="s">
        <v>319</v>
      </c>
      <c r="Q1025" s="178">
        <f t="shared" si="46"/>
        <v>0</v>
      </c>
      <c r="S1025" s="178">
        <f t="shared" si="47"/>
        <v>0</v>
      </c>
    </row>
    <row r="1026" spans="14:19" x14ac:dyDescent="0.25">
      <c r="N1026" s="178" t="str">
        <f t="shared" ref="N1026:N1089" si="48">IF(AND(ISNUMBER(VALUE(MID(M1026,1,1))), ISNUMBER(VALUE(MID(M1026,2,1))), ISNUMBER(VALUE(MID(M1026,3,1))), ISNUMBER(VALUE(MID(M1026,4,1)))), LEFT(M1026,4), "")</f>
        <v/>
      </c>
      <c r="P1026" s="52" t="s">
        <v>319</v>
      </c>
      <c r="Q1026" s="178">
        <f t="shared" si="46"/>
        <v>0</v>
      </c>
      <c r="S1026" s="178">
        <f t="shared" si="47"/>
        <v>0</v>
      </c>
    </row>
    <row r="1027" spans="14:19" x14ac:dyDescent="0.25">
      <c r="N1027" s="178" t="str">
        <f t="shared" si="48"/>
        <v/>
      </c>
      <c r="P1027" s="52" t="s">
        <v>319</v>
      </c>
      <c r="Q1027" s="178">
        <f t="shared" ref="Q1027:Q1090" si="49">FLOOR(O1027,10)</f>
        <v>0</v>
      </c>
      <c r="S1027" s="178">
        <f t="shared" ref="S1027:S1090" si="50">CEILING(O1027,10)</f>
        <v>0</v>
      </c>
    </row>
    <row r="1028" spans="14:19" x14ac:dyDescent="0.25">
      <c r="N1028" s="178" t="str">
        <f t="shared" si="48"/>
        <v/>
      </c>
      <c r="P1028" s="52" t="s">
        <v>319</v>
      </c>
      <c r="Q1028" s="178">
        <f t="shared" si="49"/>
        <v>0</v>
      </c>
      <c r="S1028" s="178">
        <f t="shared" si="50"/>
        <v>0</v>
      </c>
    </row>
    <row r="1029" spans="14:19" x14ac:dyDescent="0.25">
      <c r="N1029" s="178" t="str">
        <f t="shared" si="48"/>
        <v/>
      </c>
      <c r="P1029" s="52" t="s">
        <v>319</v>
      </c>
      <c r="Q1029" s="178">
        <f t="shared" si="49"/>
        <v>0</v>
      </c>
      <c r="S1029" s="178">
        <f t="shared" si="50"/>
        <v>0</v>
      </c>
    </row>
    <row r="1030" spans="14:19" x14ac:dyDescent="0.25">
      <c r="N1030" s="178" t="str">
        <f t="shared" si="48"/>
        <v/>
      </c>
      <c r="P1030" s="52" t="s">
        <v>319</v>
      </c>
      <c r="Q1030" s="178">
        <f t="shared" si="49"/>
        <v>0</v>
      </c>
      <c r="S1030" s="178">
        <f t="shared" si="50"/>
        <v>0</v>
      </c>
    </row>
    <row r="1031" spans="14:19" x14ac:dyDescent="0.25">
      <c r="N1031" s="178" t="str">
        <f t="shared" si="48"/>
        <v/>
      </c>
      <c r="P1031" s="52" t="s">
        <v>319</v>
      </c>
      <c r="Q1031" s="178">
        <f t="shared" si="49"/>
        <v>0</v>
      </c>
      <c r="S1031" s="178">
        <f t="shared" si="50"/>
        <v>0</v>
      </c>
    </row>
    <row r="1032" spans="14:19" x14ac:dyDescent="0.25">
      <c r="N1032" s="178" t="str">
        <f t="shared" si="48"/>
        <v/>
      </c>
      <c r="P1032" s="52" t="s">
        <v>319</v>
      </c>
      <c r="Q1032" s="178">
        <f t="shared" si="49"/>
        <v>0</v>
      </c>
      <c r="S1032" s="178">
        <f t="shared" si="50"/>
        <v>0</v>
      </c>
    </row>
    <row r="1033" spans="14:19" x14ac:dyDescent="0.25">
      <c r="N1033" s="178" t="str">
        <f t="shared" si="48"/>
        <v/>
      </c>
      <c r="P1033" s="52" t="s">
        <v>319</v>
      </c>
      <c r="Q1033" s="178">
        <f t="shared" si="49"/>
        <v>0</v>
      </c>
      <c r="S1033" s="178">
        <f t="shared" si="50"/>
        <v>0</v>
      </c>
    </row>
    <row r="1034" spans="14:19" x14ac:dyDescent="0.25">
      <c r="N1034" s="178" t="str">
        <f t="shared" si="48"/>
        <v/>
      </c>
      <c r="P1034" s="52" t="s">
        <v>319</v>
      </c>
      <c r="Q1034" s="178">
        <f t="shared" si="49"/>
        <v>0</v>
      </c>
      <c r="S1034" s="178">
        <f t="shared" si="50"/>
        <v>0</v>
      </c>
    </row>
    <row r="1035" spans="14:19" x14ac:dyDescent="0.25">
      <c r="N1035" s="178" t="str">
        <f t="shared" si="48"/>
        <v/>
      </c>
      <c r="P1035" s="52" t="s">
        <v>319</v>
      </c>
      <c r="Q1035" s="178">
        <f t="shared" si="49"/>
        <v>0</v>
      </c>
      <c r="S1035" s="178">
        <f t="shared" si="50"/>
        <v>0</v>
      </c>
    </row>
    <row r="1036" spans="14:19" x14ac:dyDescent="0.25">
      <c r="N1036" s="178" t="str">
        <f t="shared" si="48"/>
        <v/>
      </c>
      <c r="P1036" s="52" t="s">
        <v>319</v>
      </c>
      <c r="Q1036" s="178">
        <f t="shared" si="49"/>
        <v>0</v>
      </c>
      <c r="S1036" s="178">
        <f t="shared" si="50"/>
        <v>0</v>
      </c>
    </row>
    <row r="1037" spans="14:19" x14ac:dyDescent="0.25">
      <c r="N1037" s="178" t="str">
        <f t="shared" si="48"/>
        <v/>
      </c>
      <c r="P1037" s="52" t="s">
        <v>319</v>
      </c>
      <c r="Q1037" s="178">
        <f t="shared" si="49"/>
        <v>0</v>
      </c>
      <c r="S1037" s="178">
        <f t="shared" si="50"/>
        <v>0</v>
      </c>
    </row>
    <row r="1038" spans="14:19" x14ac:dyDescent="0.25">
      <c r="N1038" s="178" t="str">
        <f t="shared" si="48"/>
        <v/>
      </c>
      <c r="P1038" s="52" t="s">
        <v>319</v>
      </c>
      <c r="Q1038" s="178">
        <f t="shared" si="49"/>
        <v>0</v>
      </c>
      <c r="S1038" s="178">
        <f t="shared" si="50"/>
        <v>0</v>
      </c>
    </row>
    <row r="1039" spans="14:19" x14ac:dyDescent="0.25">
      <c r="N1039" s="178" t="str">
        <f t="shared" si="48"/>
        <v/>
      </c>
      <c r="P1039" s="52" t="s">
        <v>319</v>
      </c>
      <c r="Q1039" s="178">
        <f t="shared" si="49"/>
        <v>0</v>
      </c>
      <c r="S1039" s="178">
        <f t="shared" si="50"/>
        <v>0</v>
      </c>
    </row>
    <row r="1040" spans="14:19" x14ac:dyDescent="0.25">
      <c r="N1040" s="178" t="str">
        <f t="shared" si="48"/>
        <v/>
      </c>
      <c r="P1040" s="52" t="s">
        <v>319</v>
      </c>
      <c r="Q1040" s="178">
        <f t="shared" si="49"/>
        <v>0</v>
      </c>
      <c r="S1040" s="178">
        <f t="shared" si="50"/>
        <v>0</v>
      </c>
    </row>
    <row r="1041" spans="14:19" x14ac:dyDescent="0.25">
      <c r="N1041" s="178" t="str">
        <f t="shared" si="48"/>
        <v/>
      </c>
      <c r="P1041" s="52" t="s">
        <v>319</v>
      </c>
      <c r="Q1041" s="178">
        <f t="shared" si="49"/>
        <v>0</v>
      </c>
      <c r="S1041" s="178">
        <f t="shared" si="50"/>
        <v>0</v>
      </c>
    </row>
    <row r="1042" spans="14:19" x14ac:dyDescent="0.25">
      <c r="N1042" s="178" t="str">
        <f t="shared" si="48"/>
        <v/>
      </c>
      <c r="P1042" s="52" t="s">
        <v>319</v>
      </c>
      <c r="Q1042" s="178">
        <f t="shared" si="49"/>
        <v>0</v>
      </c>
      <c r="S1042" s="178">
        <f t="shared" si="50"/>
        <v>0</v>
      </c>
    </row>
    <row r="1043" spans="14:19" x14ac:dyDescent="0.25">
      <c r="N1043" s="178" t="str">
        <f t="shared" si="48"/>
        <v/>
      </c>
      <c r="P1043" s="52" t="s">
        <v>319</v>
      </c>
      <c r="Q1043" s="178">
        <f t="shared" si="49"/>
        <v>0</v>
      </c>
      <c r="S1043" s="178">
        <f t="shared" si="50"/>
        <v>0</v>
      </c>
    </row>
    <row r="1044" spans="14:19" x14ac:dyDescent="0.25">
      <c r="N1044" s="178" t="str">
        <f t="shared" si="48"/>
        <v/>
      </c>
      <c r="P1044" s="52" t="s">
        <v>319</v>
      </c>
      <c r="Q1044" s="178">
        <f t="shared" si="49"/>
        <v>0</v>
      </c>
      <c r="S1044" s="178">
        <f t="shared" si="50"/>
        <v>0</v>
      </c>
    </row>
    <row r="1045" spans="14:19" x14ac:dyDescent="0.25">
      <c r="N1045" s="178" t="str">
        <f t="shared" si="48"/>
        <v/>
      </c>
      <c r="P1045" s="52" t="s">
        <v>319</v>
      </c>
      <c r="Q1045" s="178">
        <f t="shared" si="49"/>
        <v>0</v>
      </c>
      <c r="S1045" s="178">
        <f t="shared" si="50"/>
        <v>0</v>
      </c>
    </row>
    <row r="1046" spans="14:19" x14ac:dyDescent="0.25">
      <c r="N1046" s="178" t="str">
        <f t="shared" si="48"/>
        <v/>
      </c>
      <c r="P1046" s="52" t="s">
        <v>319</v>
      </c>
      <c r="Q1046" s="178">
        <f t="shared" si="49"/>
        <v>0</v>
      </c>
      <c r="S1046" s="178">
        <f t="shared" si="50"/>
        <v>0</v>
      </c>
    </row>
    <row r="1047" spans="14:19" x14ac:dyDescent="0.25">
      <c r="N1047" s="178" t="str">
        <f t="shared" si="48"/>
        <v/>
      </c>
      <c r="P1047" s="52" t="s">
        <v>319</v>
      </c>
      <c r="Q1047" s="178">
        <f t="shared" si="49"/>
        <v>0</v>
      </c>
      <c r="S1047" s="178">
        <f t="shared" si="50"/>
        <v>0</v>
      </c>
    </row>
    <row r="1048" spans="14:19" x14ac:dyDescent="0.25">
      <c r="N1048" s="178" t="str">
        <f t="shared" si="48"/>
        <v/>
      </c>
      <c r="P1048" s="52" t="s">
        <v>319</v>
      </c>
      <c r="Q1048" s="178">
        <f t="shared" si="49"/>
        <v>0</v>
      </c>
      <c r="S1048" s="178">
        <f t="shared" si="50"/>
        <v>0</v>
      </c>
    </row>
    <row r="1049" spans="14:19" x14ac:dyDescent="0.25">
      <c r="N1049" s="178" t="str">
        <f t="shared" si="48"/>
        <v/>
      </c>
      <c r="P1049" s="52" t="s">
        <v>319</v>
      </c>
      <c r="Q1049" s="178">
        <f t="shared" si="49"/>
        <v>0</v>
      </c>
      <c r="S1049" s="178">
        <f t="shared" si="50"/>
        <v>0</v>
      </c>
    </row>
    <row r="1050" spans="14:19" x14ac:dyDescent="0.25">
      <c r="N1050" s="178" t="str">
        <f t="shared" si="48"/>
        <v/>
      </c>
      <c r="P1050" s="52" t="s">
        <v>319</v>
      </c>
      <c r="Q1050" s="178">
        <f t="shared" si="49"/>
        <v>0</v>
      </c>
      <c r="S1050" s="178">
        <f t="shared" si="50"/>
        <v>0</v>
      </c>
    </row>
    <row r="1051" spans="14:19" x14ac:dyDescent="0.25">
      <c r="N1051" s="178" t="str">
        <f t="shared" si="48"/>
        <v/>
      </c>
      <c r="P1051" s="52" t="s">
        <v>319</v>
      </c>
      <c r="Q1051" s="178">
        <f t="shared" si="49"/>
        <v>0</v>
      </c>
      <c r="S1051" s="178">
        <f t="shared" si="50"/>
        <v>0</v>
      </c>
    </row>
    <row r="1052" spans="14:19" x14ac:dyDescent="0.25">
      <c r="N1052" s="178" t="str">
        <f t="shared" si="48"/>
        <v/>
      </c>
      <c r="P1052" s="52" t="s">
        <v>319</v>
      </c>
      <c r="Q1052" s="178">
        <f t="shared" si="49"/>
        <v>0</v>
      </c>
      <c r="S1052" s="178">
        <f t="shared" si="50"/>
        <v>0</v>
      </c>
    </row>
    <row r="1053" spans="14:19" x14ac:dyDescent="0.25">
      <c r="N1053" s="178" t="str">
        <f t="shared" si="48"/>
        <v/>
      </c>
      <c r="P1053" s="52" t="s">
        <v>319</v>
      </c>
      <c r="Q1053" s="178">
        <f t="shared" si="49"/>
        <v>0</v>
      </c>
      <c r="S1053" s="178">
        <f t="shared" si="50"/>
        <v>0</v>
      </c>
    </row>
    <row r="1054" spans="14:19" x14ac:dyDescent="0.25">
      <c r="N1054" s="178" t="str">
        <f t="shared" si="48"/>
        <v/>
      </c>
      <c r="P1054" s="52" t="s">
        <v>319</v>
      </c>
      <c r="Q1054" s="178">
        <f t="shared" si="49"/>
        <v>0</v>
      </c>
      <c r="S1054" s="178">
        <f t="shared" si="50"/>
        <v>0</v>
      </c>
    </row>
    <row r="1055" spans="14:19" x14ac:dyDescent="0.25">
      <c r="N1055" s="178" t="str">
        <f t="shared" si="48"/>
        <v/>
      </c>
      <c r="P1055" s="52" t="s">
        <v>319</v>
      </c>
      <c r="Q1055" s="178">
        <f t="shared" si="49"/>
        <v>0</v>
      </c>
      <c r="S1055" s="178">
        <f t="shared" si="50"/>
        <v>0</v>
      </c>
    </row>
    <row r="1056" spans="14:19" x14ac:dyDescent="0.25">
      <c r="N1056" s="178" t="str">
        <f t="shared" si="48"/>
        <v/>
      </c>
      <c r="P1056" s="52" t="s">
        <v>319</v>
      </c>
      <c r="Q1056" s="178">
        <f t="shared" si="49"/>
        <v>0</v>
      </c>
      <c r="S1056" s="178">
        <f t="shared" si="50"/>
        <v>0</v>
      </c>
    </row>
    <row r="1057" spans="14:19" x14ac:dyDescent="0.25">
      <c r="N1057" s="178" t="str">
        <f t="shared" si="48"/>
        <v/>
      </c>
      <c r="P1057" s="52" t="s">
        <v>319</v>
      </c>
      <c r="Q1057" s="178">
        <f t="shared" si="49"/>
        <v>0</v>
      </c>
      <c r="S1057" s="178">
        <f t="shared" si="50"/>
        <v>0</v>
      </c>
    </row>
    <row r="1058" spans="14:19" x14ac:dyDescent="0.25">
      <c r="N1058" s="178" t="str">
        <f t="shared" si="48"/>
        <v/>
      </c>
      <c r="P1058" s="52" t="s">
        <v>319</v>
      </c>
      <c r="Q1058" s="178">
        <f t="shared" si="49"/>
        <v>0</v>
      </c>
      <c r="S1058" s="178">
        <f t="shared" si="50"/>
        <v>0</v>
      </c>
    </row>
    <row r="1059" spans="14:19" x14ac:dyDescent="0.25">
      <c r="N1059" s="178" t="str">
        <f t="shared" si="48"/>
        <v/>
      </c>
      <c r="P1059" s="52" t="s">
        <v>319</v>
      </c>
      <c r="Q1059" s="178">
        <f t="shared" si="49"/>
        <v>0</v>
      </c>
      <c r="S1059" s="178">
        <f t="shared" si="50"/>
        <v>0</v>
      </c>
    </row>
    <row r="1060" spans="14:19" x14ac:dyDescent="0.25">
      <c r="N1060" s="178" t="str">
        <f t="shared" si="48"/>
        <v/>
      </c>
      <c r="P1060" s="52" t="s">
        <v>319</v>
      </c>
      <c r="Q1060" s="178">
        <f t="shared" si="49"/>
        <v>0</v>
      </c>
      <c r="S1060" s="178">
        <f t="shared" si="50"/>
        <v>0</v>
      </c>
    </row>
    <row r="1061" spans="14:19" x14ac:dyDescent="0.25">
      <c r="N1061" s="178" t="str">
        <f t="shared" si="48"/>
        <v/>
      </c>
      <c r="P1061" s="52" t="s">
        <v>319</v>
      </c>
      <c r="Q1061" s="178">
        <f t="shared" si="49"/>
        <v>0</v>
      </c>
      <c r="S1061" s="178">
        <f t="shared" si="50"/>
        <v>0</v>
      </c>
    </row>
    <row r="1062" spans="14:19" x14ac:dyDescent="0.25">
      <c r="N1062" s="178" t="str">
        <f t="shared" si="48"/>
        <v/>
      </c>
      <c r="P1062" s="52" t="s">
        <v>319</v>
      </c>
      <c r="Q1062" s="178">
        <f t="shared" si="49"/>
        <v>0</v>
      </c>
      <c r="S1062" s="178">
        <f t="shared" si="50"/>
        <v>0</v>
      </c>
    </row>
    <row r="1063" spans="14:19" x14ac:dyDescent="0.25">
      <c r="N1063" s="178" t="str">
        <f t="shared" si="48"/>
        <v/>
      </c>
      <c r="P1063" s="52" t="s">
        <v>319</v>
      </c>
      <c r="Q1063" s="178">
        <f t="shared" si="49"/>
        <v>0</v>
      </c>
      <c r="S1063" s="178">
        <f t="shared" si="50"/>
        <v>0</v>
      </c>
    </row>
    <row r="1064" spans="14:19" x14ac:dyDescent="0.25">
      <c r="N1064" s="178" t="str">
        <f t="shared" si="48"/>
        <v/>
      </c>
      <c r="P1064" s="52" t="s">
        <v>319</v>
      </c>
      <c r="Q1064" s="178">
        <f t="shared" si="49"/>
        <v>0</v>
      </c>
      <c r="S1064" s="178">
        <f t="shared" si="50"/>
        <v>0</v>
      </c>
    </row>
    <row r="1065" spans="14:19" x14ac:dyDescent="0.25">
      <c r="N1065" s="178" t="str">
        <f t="shared" si="48"/>
        <v/>
      </c>
      <c r="P1065" s="52" t="s">
        <v>319</v>
      </c>
      <c r="Q1065" s="178">
        <f t="shared" si="49"/>
        <v>0</v>
      </c>
      <c r="S1065" s="178">
        <f t="shared" si="50"/>
        <v>0</v>
      </c>
    </row>
    <row r="1066" spans="14:19" x14ac:dyDescent="0.25">
      <c r="N1066" s="178" t="str">
        <f t="shared" si="48"/>
        <v/>
      </c>
      <c r="P1066" s="52" t="s">
        <v>319</v>
      </c>
      <c r="Q1066" s="178">
        <f t="shared" si="49"/>
        <v>0</v>
      </c>
      <c r="S1066" s="178">
        <f t="shared" si="50"/>
        <v>0</v>
      </c>
    </row>
    <row r="1067" spans="14:19" x14ac:dyDescent="0.25">
      <c r="N1067" s="178" t="str">
        <f t="shared" si="48"/>
        <v/>
      </c>
      <c r="P1067" s="52" t="s">
        <v>135</v>
      </c>
      <c r="Q1067" s="178">
        <f t="shared" si="49"/>
        <v>0</v>
      </c>
      <c r="S1067" s="178">
        <f t="shared" si="50"/>
        <v>0</v>
      </c>
    </row>
    <row r="1068" spans="14:19" x14ac:dyDescent="0.25">
      <c r="N1068" s="178" t="str">
        <f t="shared" si="48"/>
        <v/>
      </c>
      <c r="P1068" s="52" t="s">
        <v>135</v>
      </c>
      <c r="Q1068" s="178">
        <f t="shared" si="49"/>
        <v>0</v>
      </c>
      <c r="S1068" s="178">
        <f t="shared" si="50"/>
        <v>0</v>
      </c>
    </row>
    <row r="1069" spans="14:19" x14ac:dyDescent="0.25">
      <c r="N1069" s="178" t="str">
        <f t="shared" si="48"/>
        <v/>
      </c>
      <c r="P1069" s="52" t="s">
        <v>135</v>
      </c>
      <c r="Q1069" s="178">
        <f t="shared" si="49"/>
        <v>0</v>
      </c>
      <c r="S1069" s="178">
        <f t="shared" si="50"/>
        <v>0</v>
      </c>
    </row>
    <row r="1070" spans="14:19" x14ac:dyDescent="0.25">
      <c r="N1070" s="178" t="str">
        <f t="shared" si="48"/>
        <v/>
      </c>
      <c r="P1070" s="52" t="s">
        <v>135</v>
      </c>
      <c r="Q1070" s="178">
        <f t="shared" si="49"/>
        <v>0</v>
      </c>
      <c r="S1070" s="178">
        <f t="shared" si="50"/>
        <v>0</v>
      </c>
    </row>
    <row r="1071" spans="14:19" x14ac:dyDescent="0.25">
      <c r="N1071" s="178" t="str">
        <f t="shared" si="48"/>
        <v/>
      </c>
      <c r="P1071" s="52" t="s">
        <v>135</v>
      </c>
      <c r="Q1071" s="178">
        <f t="shared" si="49"/>
        <v>0</v>
      </c>
      <c r="S1071" s="178">
        <f t="shared" si="50"/>
        <v>0</v>
      </c>
    </row>
    <row r="1072" spans="14:19" x14ac:dyDescent="0.25">
      <c r="N1072" s="178" t="str">
        <f t="shared" si="48"/>
        <v/>
      </c>
      <c r="P1072" s="52" t="s">
        <v>135</v>
      </c>
      <c r="Q1072" s="178">
        <f t="shared" si="49"/>
        <v>0</v>
      </c>
      <c r="S1072" s="178">
        <f t="shared" si="50"/>
        <v>0</v>
      </c>
    </row>
    <row r="1073" spans="14:19" x14ac:dyDescent="0.25">
      <c r="N1073" s="178" t="str">
        <f t="shared" si="48"/>
        <v/>
      </c>
      <c r="P1073" s="52" t="s">
        <v>135</v>
      </c>
      <c r="Q1073" s="178">
        <f t="shared" si="49"/>
        <v>0</v>
      </c>
      <c r="S1073" s="178">
        <f t="shared" si="50"/>
        <v>0</v>
      </c>
    </row>
    <row r="1074" spans="14:19" x14ac:dyDescent="0.25">
      <c r="N1074" s="178" t="str">
        <f t="shared" si="48"/>
        <v/>
      </c>
      <c r="P1074" s="52" t="s">
        <v>135</v>
      </c>
      <c r="Q1074" s="178">
        <f t="shared" si="49"/>
        <v>0</v>
      </c>
      <c r="S1074" s="178">
        <f t="shared" si="50"/>
        <v>0</v>
      </c>
    </row>
    <row r="1075" spans="14:19" x14ac:dyDescent="0.25">
      <c r="N1075" s="178" t="str">
        <f t="shared" si="48"/>
        <v/>
      </c>
      <c r="P1075" s="52" t="s">
        <v>135</v>
      </c>
      <c r="Q1075" s="178">
        <f t="shared" si="49"/>
        <v>0</v>
      </c>
      <c r="S1075" s="178">
        <f t="shared" si="50"/>
        <v>0</v>
      </c>
    </row>
    <row r="1076" spans="14:19" x14ac:dyDescent="0.25">
      <c r="N1076" s="178" t="str">
        <f t="shared" si="48"/>
        <v/>
      </c>
      <c r="P1076" s="52" t="s">
        <v>135</v>
      </c>
      <c r="Q1076" s="178">
        <f t="shared" si="49"/>
        <v>0</v>
      </c>
      <c r="S1076" s="178">
        <f t="shared" si="50"/>
        <v>0</v>
      </c>
    </row>
    <row r="1077" spans="14:19" x14ac:dyDescent="0.25">
      <c r="N1077" s="178" t="str">
        <f t="shared" si="48"/>
        <v/>
      </c>
      <c r="P1077" s="52" t="s">
        <v>135</v>
      </c>
      <c r="Q1077" s="178">
        <f t="shared" si="49"/>
        <v>0</v>
      </c>
      <c r="S1077" s="178">
        <f t="shared" si="50"/>
        <v>0</v>
      </c>
    </row>
    <row r="1078" spans="14:19" x14ac:dyDescent="0.25">
      <c r="N1078" s="178" t="str">
        <f t="shared" si="48"/>
        <v/>
      </c>
      <c r="P1078" s="52" t="s">
        <v>135</v>
      </c>
      <c r="Q1078" s="178">
        <f t="shared" si="49"/>
        <v>0</v>
      </c>
      <c r="S1078" s="178">
        <f t="shared" si="50"/>
        <v>0</v>
      </c>
    </row>
    <row r="1079" spans="14:19" x14ac:dyDescent="0.25">
      <c r="N1079" s="178" t="str">
        <f t="shared" si="48"/>
        <v/>
      </c>
      <c r="P1079" s="52" t="s">
        <v>205</v>
      </c>
      <c r="Q1079" s="178">
        <f t="shared" si="49"/>
        <v>0</v>
      </c>
      <c r="S1079" s="178">
        <f t="shared" si="50"/>
        <v>0</v>
      </c>
    </row>
    <row r="1080" spans="14:19" x14ac:dyDescent="0.25">
      <c r="N1080" s="178" t="str">
        <f t="shared" si="48"/>
        <v/>
      </c>
      <c r="P1080" s="52" t="s">
        <v>205</v>
      </c>
      <c r="Q1080" s="178">
        <f t="shared" si="49"/>
        <v>0</v>
      </c>
      <c r="S1080" s="178">
        <f t="shared" si="50"/>
        <v>0</v>
      </c>
    </row>
    <row r="1081" spans="14:19" x14ac:dyDescent="0.25">
      <c r="N1081" s="178" t="str">
        <f t="shared" si="48"/>
        <v/>
      </c>
      <c r="P1081" s="52" t="s">
        <v>205</v>
      </c>
      <c r="Q1081" s="178">
        <f t="shared" si="49"/>
        <v>0</v>
      </c>
      <c r="S1081" s="178">
        <f t="shared" si="50"/>
        <v>0</v>
      </c>
    </row>
    <row r="1082" spans="14:19" x14ac:dyDescent="0.25">
      <c r="N1082" s="178" t="str">
        <f t="shared" si="48"/>
        <v/>
      </c>
      <c r="P1082" s="52" t="s">
        <v>205</v>
      </c>
      <c r="Q1082" s="178">
        <f t="shared" si="49"/>
        <v>0</v>
      </c>
      <c r="S1082" s="178">
        <f t="shared" si="50"/>
        <v>0</v>
      </c>
    </row>
    <row r="1083" spans="14:19" x14ac:dyDescent="0.25">
      <c r="N1083" s="178" t="str">
        <f t="shared" si="48"/>
        <v/>
      </c>
      <c r="P1083" s="52" t="s">
        <v>205</v>
      </c>
      <c r="Q1083" s="178">
        <f t="shared" si="49"/>
        <v>0</v>
      </c>
      <c r="S1083" s="178">
        <f t="shared" si="50"/>
        <v>0</v>
      </c>
    </row>
    <row r="1084" spans="14:19" x14ac:dyDescent="0.25">
      <c r="N1084" s="178" t="str">
        <f t="shared" si="48"/>
        <v/>
      </c>
      <c r="P1084" s="52" t="s">
        <v>205</v>
      </c>
      <c r="Q1084" s="178">
        <f t="shared" si="49"/>
        <v>0</v>
      </c>
      <c r="S1084" s="178">
        <f t="shared" si="50"/>
        <v>0</v>
      </c>
    </row>
    <row r="1085" spans="14:19" x14ac:dyDescent="0.25">
      <c r="N1085" s="178" t="str">
        <f t="shared" si="48"/>
        <v/>
      </c>
      <c r="P1085" s="52" t="s">
        <v>205</v>
      </c>
      <c r="Q1085" s="178">
        <f t="shared" si="49"/>
        <v>0</v>
      </c>
      <c r="S1085" s="178">
        <f t="shared" si="50"/>
        <v>0</v>
      </c>
    </row>
    <row r="1086" spans="14:19" x14ac:dyDescent="0.25">
      <c r="N1086" s="178" t="str">
        <f t="shared" si="48"/>
        <v/>
      </c>
      <c r="P1086" s="52" t="s">
        <v>205</v>
      </c>
      <c r="Q1086" s="178">
        <f t="shared" si="49"/>
        <v>0</v>
      </c>
      <c r="S1086" s="178">
        <f t="shared" si="50"/>
        <v>0</v>
      </c>
    </row>
    <row r="1087" spans="14:19" x14ac:dyDescent="0.25">
      <c r="N1087" s="178" t="str">
        <f t="shared" si="48"/>
        <v/>
      </c>
      <c r="P1087" s="52" t="s">
        <v>205</v>
      </c>
      <c r="Q1087" s="178">
        <f t="shared" si="49"/>
        <v>0</v>
      </c>
      <c r="S1087" s="178">
        <f t="shared" si="50"/>
        <v>0</v>
      </c>
    </row>
    <row r="1088" spans="14:19" x14ac:dyDescent="0.25">
      <c r="N1088" s="178" t="str">
        <f t="shared" si="48"/>
        <v/>
      </c>
      <c r="P1088" s="52" t="s">
        <v>205</v>
      </c>
      <c r="Q1088" s="178">
        <f t="shared" si="49"/>
        <v>0</v>
      </c>
      <c r="S1088" s="178">
        <f t="shared" si="50"/>
        <v>0</v>
      </c>
    </row>
    <row r="1089" spans="14:19" x14ac:dyDescent="0.25">
      <c r="N1089" s="178" t="str">
        <f t="shared" si="48"/>
        <v/>
      </c>
      <c r="P1089" s="52" t="s">
        <v>205</v>
      </c>
      <c r="Q1089" s="178">
        <f t="shared" si="49"/>
        <v>0</v>
      </c>
      <c r="S1089" s="178">
        <f t="shared" si="50"/>
        <v>0</v>
      </c>
    </row>
    <row r="1090" spans="14:19" x14ac:dyDescent="0.25">
      <c r="N1090" s="178" t="str">
        <f t="shared" ref="N1090:N1153" si="51">IF(AND(ISNUMBER(VALUE(MID(M1090,1,1))), ISNUMBER(VALUE(MID(M1090,2,1))), ISNUMBER(VALUE(MID(M1090,3,1))), ISNUMBER(VALUE(MID(M1090,4,1)))), LEFT(M1090,4), "")</f>
        <v/>
      </c>
      <c r="P1090" s="52" t="s">
        <v>205</v>
      </c>
      <c r="Q1090" s="178">
        <f t="shared" si="49"/>
        <v>0</v>
      </c>
      <c r="S1090" s="178">
        <f t="shared" si="50"/>
        <v>0</v>
      </c>
    </row>
    <row r="1091" spans="14:19" x14ac:dyDescent="0.25">
      <c r="N1091" s="178" t="str">
        <f t="shared" si="51"/>
        <v/>
      </c>
      <c r="P1091" s="52" t="s">
        <v>205</v>
      </c>
      <c r="Q1091" s="178">
        <f t="shared" ref="Q1091:Q1154" si="52">FLOOR(O1091,10)</f>
        <v>0</v>
      </c>
      <c r="S1091" s="178">
        <f t="shared" ref="S1091:S1154" si="53">CEILING(O1091,10)</f>
        <v>0</v>
      </c>
    </row>
    <row r="1092" spans="14:19" x14ac:dyDescent="0.25">
      <c r="N1092" s="178" t="str">
        <f t="shared" si="51"/>
        <v/>
      </c>
      <c r="P1092" s="52" t="s">
        <v>205</v>
      </c>
      <c r="Q1092" s="178">
        <f t="shared" si="52"/>
        <v>0</v>
      </c>
      <c r="S1092" s="178">
        <f t="shared" si="53"/>
        <v>0</v>
      </c>
    </row>
    <row r="1093" spans="14:19" x14ac:dyDescent="0.25">
      <c r="N1093" s="178" t="str">
        <f t="shared" si="51"/>
        <v/>
      </c>
      <c r="P1093" s="52" t="s">
        <v>205</v>
      </c>
      <c r="Q1093" s="178">
        <f t="shared" si="52"/>
        <v>0</v>
      </c>
      <c r="S1093" s="178">
        <f t="shared" si="53"/>
        <v>0</v>
      </c>
    </row>
    <row r="1094" spans="14:19" x14ac:dyDescent="0.25">
      <c r="N1094" s="178" t="str">
        <f t="shared" si="51"/>
        <v/>
      </c>
      <c r="P1094" s="52" t="s">
        <v>205</v>
      </c>
      <c r="Q1094" s="178">
        <f t="shared" si="52"/>
        <v>0</v>
      </c>
      <c r="S1094" s="178">
        <f t="shared" si="53"/>
        <v>0</v>
      </c>
    </row>
    <row r="1095" spans="14:19" x14ac:dyDescent="0.25">
      <c r="N1095" s="178" t="str">
        <f t="shared" si="51"/>
        <v/>
      </c>
      <c r="P1095" s="52" t="s">
        <v>205</v>
      </c>
      <c r="Q1095" s="178">
        <f t="shared" si="52"/>
        <v>0</v>
      </c>
      <c r="S1095" s="178">
        <f t="shared" si="53"/>
        <v>0</v>
      </c>
    </row>
    <row r="1096" spans="14:19" x14ac:dyDescent="0.25">
      <c r="N1096" s="178" t="str">
        <f t="shared" si="51"/>
        <v/>
      </c>
      <c r="P1096" s="52" t="s">
        <v>205</v>
      </c>
      <c r="Q1096" s="178">
        <f t="shared" si="52"/>
        <v>0</v>
      </c>
      <c r="S1096" s="178">
        <f t="shared" si="53"/>
        <v>0</v>
      </c>
    </row>
    <row r="1097" spans="14:19" x14ac:dyDescent="0.25">
      <c r="N1097" s="178" t="str">
        <f t="shared" si="51"/>
        <v/>
      </c>
      <c r="P1097" s="52" t="s">
        <v>205</v>
      </c>
      <c r="Q1097" s="178">
        <f t="shared" si="52"/>
        <v>0</v>
      </c>
      <c r="S1097" s="178">
        <f t="shared" si="53"/>
        <v>0</v>
      </c>
    </row>
    <row r="1098" spans="14:19" x14ac:dyDescent="0.25">
      <c r="N1098" s="178" t="str">
        <f t="shared" si="51"/>
        <v/>
      </c>
      <c r="P1098" s="52" t="s">
        <v>96</v>
      </c>
      <c r="Q1098" s="178">
        <f t="shared" si="52"/>
        <v>0</v>
      </c>
      <c r="S1098" s="178">
        <f t="shared" si="53"/>
        <v>0</v>
      </c>
    </row>
    <row r="1099" spans="14:19" x14ac:dyDescent="0.25">
      <c r="N1099" s="178" t="str">
        <f t="shared" si="51"/>
        <v/>
      </c>
      <c r="P1099" s="52" t="s">
        <v>96</v>
      </c>
      <c r="Q1099" s="178">
        <f t="shared" si="52"/>
        <v>0</v>
      </c>
      <c r="S1099" s="178">
        <f t="shared" si="53"/>
        <v>0</v>
      </c>
    </row>
    <row r="1100" spans="14:19" x14ac:dyDescent="0.25">
      <c r="N1100" s="178" t="str">
        <f t="shared" si="51"/>
        <v/>
      </c>
      <c r="P1100" s="52" t="s">
        <v>96</v>
      </c>
      <c r="Q1100" s="178">
        <f t="shared" si="52"/>
        <v>0</v>
      </c>
      <c r="S1100" s="178">
        <f t="shared" si="53"/>
        <v>0</v>
      </c>
    </row>
    <row r="1101" spans="14:19" x14ac:dyDescent="0.25">
      <c r="N1101" s="178" t="str">
        <f t="shared" si="51"/>
        <v/>
      </c>
      <c r="P1101" s="52" t="s">
        <v>96</v>
      </c>
      <c r="Q1101" s="178">
        <f t="shared" si="52"/>
        <v>0</v>
      </c>
      <c r="S1101" s="178">
        <f t="shared" si="53"/>
        <v>0</v>
      </c>
    </row>
    <row r="1102" spans="14:19" x14ac:dyDescent="0.25">
      <c r="N1102" s="178" t="str">
        <f t="shared" si="51"/>
        <v/>
      </c>
      <c r="P1102" s="52" t="s">
        <v>96</v>
      </c>
      <c r="Q1102" s="178">
        <f t="shared" si="52"/>
        <v>0</v>
      </c>
      <c r="S1102" s="178">
        <f t="shared" si="53"/>
        <v>0</v>
      </c>
    </row>
    <row r="1103" spans="14:19" x14ac:dyDescent="0.25">
      <c r="N1103" s="178" t="str">
        <f t="shared" si="51"/>
        <v/>
      </c>
      <c r="P1103" s="52" t="s">
        <v>96</v>
      </c>
      <c r="Q1103" s="178">
        <f t="shared" si="52"/>
        <v>0</v>
      </c>
      <c r="S1103" s="178">
        <f t="shared" si="53"/>
        <v>0</v>
      </c>
    </row>
    <row r="1104" spans="14:19" x14ac:dyDescent="0.25">
      <c r="N1104" s="178" t="str">
        <f t="shared" si="51"/>
        <v/>
      </c>
      <c r="P1104" s="52" t="s">
        <v>96</v>
      </c>
      <c r="Q1104" s="178">
        <f t="shared" si="52"/>
        <v>0</v>
      </c>
      <c r="S1104" s="178">
        <f t="shared" si="53"/>
        <v>0</v>
      </c>
    </row>
    <row r="1105" spans="14:19" x14ac:dyDescent="0.25">
      <c r="N1105" s="178" t="str">
        <f t="shared" si="51"/>
        <v/>
      </c>
      <c r="P1105" s="52" t="s">
        <v>96</v>
      </c>
      <c r="Q1105" s="178">
        <f t="shared" si="52"/>
        <v>0</v>
      </c>
      <c r="S1105" s="178">
        <f t="shared" si="53"/>
        <v>0</v>
      </c>
    </row>
    <row r="1106" spans="14:19" x14ac:dyDescent="0.25">
      <c r="N1106" s="178" t="str">
        <f t="shared" si="51"/>
        <v/>
      </c>
      <c r="P1106" s="52" t="s">
        <v>96</v>
      </c>
      <c r="Q1106" s="178">
        <f t="shared" si="52"/>
        <v>0</v>
      </c>
      <c r="S1106" s="178">
        <f t="shared" si="53"/>
        <v>0</v>
      </c>
    </row>
    <row r="1107" spans="14:19" x14ac:dyDescent="0.25">
      <c r="N1107" s="178" t="str">
        <f t="shared" si="51"/>
        <v/>
      </c>
      <c r="P1107" s="52" t="s">
        <v>96</v>
      </c>
      <c r="Q1107" s="178">
        <f t="shared" si="52"/>
        <v>0</v>
      </c>
      <c r="S1107" s="178">
        <f t="shared" si="53"/>
        <v>0</v>
      </c>
    </row>
    <row r="1108" spans="14:19" x14ac:dyDescent="0.25">
      <c r="N1108" s="178" t="str">
        <f t="shared" si="51"/>
        <v/>
      </c>
      <c r="P1108" s="52" t="s">
        <v>96</v>
      </c>
      <c r="Q1108" s="178">
        <f t="shared" si="52"/>
        <v>0</v>
      </c>
      <c r="S1108" s="178">
        <f t="shared" si="53"/>
        <v>0</v>
      </c>
    </row>
    <row r="1109" spans="14:19" x14ac:dyDescent="0.25">
      <c r="N1109" s="178" t="str">
        <f t="shared" si="51"/>
        <v/>
      </c>
      <c r="P1109" s="52" t="s">
        <v>96</v>
      </c>
      <c r="Q1109" s="178">
        <f t="shared" si="52"/>
        <v>0</v>
      </c>
      <c r="S1109" s="178">
        <f t="shared" si="53"/>
        <v>0</v>
      </c>
    </row>
    <row r="1110" spans="14:19" x14ac:dyDescent="0.25">
      <c r="N1110" s="178" t="str">
        <f t="shared" si="51"/>
        <v/>
      </c>
      <c r="P1110" s="52" t="s">
        <v>96</v>
      </c>
      <c r="Q1110" s="178">
        <f t="shared" si="52"/>
        <v>0</v>
      </c>
      <c r="S1110" s="178">
        <f t="shared" si="53"/>
        <v>0</v>
      </c>
    </row>
    <row r="1111" spans="14:19" x14ac:dyDescent="0.25">
      <c r="N1111" s="178" t="str">
        <f t="shared" si="51"/>
        <v/>
      </c>
      <c r="P1111" s="52" t="s">
        <v>96</v>
      </c>
      <c r="Q1111" s="178">
        <f t="shared" si="52"/>
        <v>0</v>
      </c>
      <c r="S1111" s="178">
        <f t="shared" si="53"/>
        <v>0</v>
      </c>
    </row>
    <row r="1112" spans="14:19" x14ac:dyDescent="0.25">
      <c r="N1112" s="178" t="str">
        <f t="shared" si="51"/>
        <v/>
      </c>
      <c r="P1112" s="52" t="s">
        <v>450</v>
      </c>
      <c r="Q1112" s="178">
        <f t="shared" si="52"/>
        <v>0</v>
      </c>
      <c r="S1112" s="178">
        <f t="shared" si="53"/>
        <v>0</v>
      </c>
    </row>
    <row r="1113" spans="14:19" x14ac:dyDescent="0.25">
      <c r="N1113" s="178" t="str">
        <f t="shared" si="51"/>
        <v/>
      </c>
      <c r="P1113" s="52" t="s">
        <v>450</v>
      </c>
      <c r="Q1113" s="178">
        <f t="shared" si="52"/>
        <v>0</v>
      </c>
      <c r="S1113" s="178">
        <f t="shared" si="53"/>
        <v>0</v>
      </c>
    </row>
    <row r="1114" spans="14:19" x14ac:dyDescent="0.25">
      <c r="N1114" s="178" t="str">
        <f t="shared" si="51"/>
        <v/>
      </c>
      <c r="P1114" s="52" t="s">
        <v>450</v>
      </c>
      <c r="Q1114" s="178">
        <f t="shared" si="52"/>
        <v>0</v>
      </c>
      <c r="S1114" s="178">
        <f t="shared" si="53"/>
        <v>0</v>
      </c>
    </row>
    <row r="1115" spans="14:19" x14ac:dyDescent="0.25">
      <c r="N1115" s="178" t="str">
        <f t="shared" si="51"/>
        <v/>
      </c>
      <c r="P1115" s="52" t="s">
        <v>450</v>
      </c>
      <c r="Q1115" s="178">
        <f t="shared" si="52"/>
        <v>0</v>
      </c>
      <c r="S1115" s="178">
        <f t="shared" si="53"/>
        <v>0</v>
      </c>
    </row>
    <row r="1116" spans="14:19" x14ac:dyDescent="0.25">
      <c r="N1116" s="178" t="str">
        <f t="shared" si="51"/>
        <v/>
      </c>
      <c r="P1116" s="52" t="s">
        <v>450</v>
      </c>
      <c r="Q1116" s="178">
        <f t="shared" si="52"/>
        <v>0</v>
      </c>
      <c r="S1116" s="178">
        <f t="shared" si="53"/>
        <v>0</v>
      </c>
    </row>
    <row r="1117" spans="14:19" x14ac:dyDescent="0.25">
      <c r="N1117" s="178" t="str">
        <f t="shared" si="51"/>
        <v/>
      </c>
      <c r="P1117" s="52" t="s">
        <v>450</v>
      </c>
      <c r="Q1117" s="178">
        <f t="shared" si="52"/>
        <v>0</v>
      </c>
      <c r="S1117" s="178">
        <f t="shared" si="53"/>
        <v>0</v>
      </c>
    </row>
    <row r="1118" spans="14:19" x14ac:dyDescent="0.25">
      <c r="N1118" s="178" t="str">
        <f t="shared" si="51"/>
        <v/>
      </c>
      <c r="P1118" s="52" t="s">
        <v>450</v>
      </c>
      <c r="Q1118" s="178">
        <f t="shared" si="52"/>
        <v>0</v>
      </c>
      <c r="S1118" s="178">
        <f t="shared" si="53"/>
        <v>0</v>
      </c>
    </row>
    <row r="1119" spans="14:19" x14ac:dyDescent="0.25">
      <c r="N1119" s="178" t="str">
        <f t="shared" si="51"/>
        <v/>
      </c>
      <c r="P1119" s="52" t="s">
        <v>450</v>
      </c>
      <c r="Q1119" s="178">
        <f t="shared" si="52"/>
        <v>0</v>
      </c>
      <c r="S1119" s="178">
        <f t="shared" si="53"/>
        <v>0</v>
      </c>
    </row>
    <row r="1120" spans="14:19" x14ac:dyDescent="0.25">
      <c r="N1120" s="178" t="str">
        <f t="shared" si="51"/>
        <v/>
      </c>
      <c r="P1120" s="52" t="s">
        <v>450</v>
      </c>
      <c r="Q1120" s="178">
        <f t="shared" si="52"/>
        <v>0</v>
      </c>
      <c r="S1120" s="178">
        <f t="shared" si="53"/>
        <v>0</v>
      </c>
    </row>
    <row r="1121" spans="14:19" x14ac:dyDescent="0.25">
      <c r="N1121" s="178" t="str">
        <f t="shared" si="51"/>
        <v/>
      </c>
      <c r="P1121" s="52" t="s">
        <v>450</v>
      </c>
      <c r="Q1121" s="178">
        <f t="shared" si="52"/>
        <v>0</v>
      </c>
      <c r="S1121" s="178">
        <f t="shared" si="53"/>
        <v>0</v>
      </c>
    </row>
    <row r="1122" spans="14:19" x14ac:dyDescent="0.25">
      <c r="N1122" s="178" t="str">
        <f t="shared" si="51"/>
        <v/>
      </c>
      <c r="P1122" s="52" t="s">
        <v>450</v>
      </c>
      <c r="Q1122" s="178">
        <f t="shared" si="52"/>
        <v>0</v>
      </c>
      <c r="S1122" s="178">
        <f t="shared" si="53"/>
        <v>0</v>
      </c>
    </row>
    <row r="1123" spans="14:19" x14ac:dyDescent="0.25">
      <c r="N1123" s="178" t="str">
        <f t="shared" si="51"/>
        <v/>
      </c>
      <c r="P1123" s="52" t="s">
        <v>450</v>
      </c>
      <c r="Q1123" s="178">
        <f t="shared" si="52"/>
        <v>0</v>
      </c>
      <c r="S1123" s="178">
        <f t="shared" si="53"/>
        <v>0</v>
      </c>
    </row>
    <row r="1124" spans="14:19" x14ac:dyDescent="0.25">
      <c r="N1124" s="178" t="str">
        <f t="shared" si="51"/>
        <v/>
      </c>
      <c r="P1124" s="52" t="s">
        <v>450</v>
      </c>
      <c r="Q1124" s="178">
        <f t="shared" si="52"/>
        <v>0</v>
      </c>
      <c r="S1124" s="178">
        <f t="shared" si="53"/>
        <v>0</v>
      </c>
    </row>
    <row r="1125" spans="14:19" x14ac:dyDescent="0.25">
      <c r="N1125" s="178" t="str">
        <f t="shared" si="51"/>
        <v/>
      </c>
      <c r="P1125" s="52" t="s">
        <v>235</v>
      </c>
      <c r="Q1125" s="178">
        <f t="shared" si="52"/>
        <v>0</v>
      </c>
      <c r="S1125" s="178">
        <f t="shared" si="53"/>
        <v>0</v>
      </c>
    </row>
    <row r="1126" spans="14:19" x14ac:dyDescent="0.25">
      <c r="N1126" s="178" t="str">
        <f t="shared" si="51"/>
        <v/>
      </c>
      <c r="P1126" s="52" t="s">
        <v>235</v>
      </c>
      <c r="Q1126" s="178">
        <f t="shared" si="52"/>
        <v>0</v>
      </c>
      <c r="S1126" s="178">
        <f t="shared" si="53"/>
        <v>0</v>
      </c>
    </row>
    <row r="1127" spans="14:19" x14ac:dyDescent="0.25">
      <c r="N1127" s="178" t="str">
        <f t="shared" si="51"/>
        <v/>
      </c>
      <c r="P1127" s="52" t="s">
        <v>235</v>
      </c>
      <c r="Q1127" s="178">
        <f t="shared" si="52"/>
        <v>0</v>
      </c>
      <c r="S1127" s="178">
        <f t="shared" si="53"/>
        <v>0</v>
      </c>
    </row>
    <row r="1128" spans="14:19" x14ac:dyDescent="0.25">
      <c r="N1128" s="178" t="str">
        <f t="shared" si="51"/>
        <v/>
      </c>
      <c r="P1128" s="52" t="s">
        <v>235</v>
      </c>
      <c r="Q1128" s="178">
        <f t="shared" si="52"/>
        <v>0</v>
      </c>
      <c r="S1128" s="178">
        <f t="shared" si="53"/>
        <v>0</v>
      </c>
    </row>
    <row r="1129" spans="14:19" x14ac:dyDescent="0.25">
      <c r="N1129" s="178" t="str">
        <f t="shared" si="51"/>
        <v/>
      </c>
      <c r="P1129" s="52" t="s">
        <v>235</v>
      </c>
      <c r="Q1129" s="178">
        <f t="shared" si="52"/>
        <v>0</v>
      </c>
      <c r="S1129" s="178">
        <f t="shared" si="53"/>
        <v>0</v>
      </c>
    </row>
    <row r="1130" spans="14:19" x14ac:dyDescent="0.25">
      <c r="N1130" s="178" t="str">
        <f t="shared" si="51"/>
        <v/>
      </c>
      <c r="P1130" s="52" t="s">
        <v>235</v>
      </c>
      <c r="Q1130" s="178">
        <f t="shared" si="52"/>
        <v>0</v>
      </c>
      <c r="S1130" s="178">
        <f t="shared" si="53"/>
        <v>0</v>
      </c>
    </row>
    <row r="1131" spans="14:19" x14ac:dyDescent="0.25">
      <c r="N1131" s="178" t="str">
        <f t="shared" si="51"/>
        <v/>
      </c>
      <c r="P1131" s="52" t="s">
        <v>235</v>
      </c>
      <c r="Q1131" s="178">
        <f t="shared" si="52"/>
        <v>0</v>
      </c>
      <c r="S1131" s="178">
        <f t="shared" si="53"/>
        <v>0</v>
      </c>
    </row>
    <row r="1132" spans="14:19" x14ac:dyDescent="0.25">
      <c r="N1132" s="178" t="str">
        <f t="shared" si="51"/>
        <v/>
      </c>
      <c r="P1132" s="52" t="s">
        <v>235</v>
      </c>
      <c r="Q1132" s="178">
        <f t="shared" si="52"/>
        <v>0</v>
      </c>
      <c r="S1132" s="178">
        <f t="shared" si="53"/>
        <v>0</v>
      </c>
    </row>
    <row r="1133" spans="14:19" x14ac:dyDescent="0.25">
      <c r="N1133" s="178" t="str">
        <f t="shared" si="51"/>
        <v/>
      </c>
      <c r="P1133" s="52" t="s">
        <v>235</v>
      </c>
      <c r="Q1133" s="178">
        <f t="shared" si="52"/>
        <v>0</v>
      </c>
      <c r="S1133" s="178">
        <f t="shared" si="53"/>
        <v>0</v>
      </c>
    </row>
    <row r="1134" spans="14:19" x14ac:dyDescent="0.25">
      <c r="N1134" s="178" t="str">
        <f t="shared" si="51"/>
        <v/>
      </c>
      <c r="P1134" s="52" t="s">
        <v>235</v>
      </c>
      <c r="Q1134" s="178">
        <f t="shared" si="52"/>
        <v>0</v>
      </c>
      <c r="S1134" s="178">
        <f t="shared" si="53"/>
        <v>0</v>
      </c>
    </row>
    <row r="1135" spans="14:19" x14ac:dyDescent="0.25">
      <c r="N1135" s="178" t="str">
        <f t="shared" si="51"/>
        <v/>
      </c>
      <c r="P1135" s="52" t="s">
        <v>235</v>
      </c>
      <c r="Q1135" s="178">
        <f t="shared" si="52"/>
        <v>0</v>
      </c>
      <c r="S1135" s="178">
        <f t="shared" si="53"/>
        <v>0</v>
      </c>
    </row>
    <row r="1136" spans="14:19" x14ac:dyDescent="0.25">
      <c r="N1136" s="178" t="str">
        <f t="shared" si="51"/>
        <v/>
      </c>
      <c r="P1136" s="52" t="s">
        <v>235</v>
      </c>
      <c r="Q1136" s="178">
        <f t="shared" si="52"/>
        <v>0</v>
      </c>
      <c r="S1136" s="178">
        <f t="shared" si="53"/>
        <v>0</v>
      </c>
    </row>
    <row r="1137" spans="14:19" x14ac:dyDescent="0.25">
      <c r="N1137" s="178" t="str">
        <f t="shared" si="51"/>
        <v/>
      </c>
      <c r="P1137" s="52" t="s">
        <v>235</v>
      </c>
      <c r="Q1137" s="178">
        <f t="shared" si="52"/>
        <v>0</v>
      </c>
      <c r="S1137" s="178">
        <f t="shared" si="53"/>
        <v>0</v>
      </c>
    </row>
    <row r="1138" spans="14:19" x14ac:dyDescent="0.25">
      <c r="N1138" s="178" t="str">
        <f t="shared" si="51"/>
        <v/>
      </c>
      <c r="P1138" s="52" t="s">
        <v>235</v>
      </c>
      <c r="Q1138" s="178">
        <f t="shared" si="52"/>
        <v>0</v>
      </c>
      <c r="S1138" s="178">
        <f t="shared" si="53"/>
        <v>0</v>
      </c>
    </row>
    <row r="1139" spans="14:19" x14ac:dyDescent="0.25">
      <c r="N1139" s="178" t="str">
        <f t="shared" si="51"/>
        <v/>
      </c>
      <c r="P1139" s="52" t="s">
        <v>235</v>
      </c>
      <c r="Q1139" s="178">
        <f t="shared" si="52"/>
        <v>0</v>
      </c>
      <c r="S1139" s="178">
        <f t="shared" si="53"/>
        <v>0</v>
      </c>
    </row>
    <row r="1140" spans="14:19" x14ac:dyDescent="0.25">
      <c r="N1140" s="178" t="str">
        <f t="shared" si="51"/>
        <v/>
      </c>
      <c r="P1140" s="52" t="s">
        <v>235</v>
      </c>
      <c r="Q1140" s="178">
        <f t="shared" si="52"/>
        <v>0</v>
      </c>
      <c r="S1140" s="178">
        <f t="shared" si="53"/>
        <v>0</v>
      </c>
    </row>
    <row r="1141" spans="14:19" x14ac:dyDescent="0.25">
      <c r="N1141" s="178" t="str">
        <f t="shared" si="51"/>
        <v/>
      </c>
      <c r="P1141" s="52" t="s">
        <v>235</v>
      </c>
      <c r="Q1141" s="178">
        <f t="shared" si="52"/>
        <v>0</v>
      </c>
      <c r="S1141" s="178">
        <f t="shared" si="53"/>
        <v>0</v>
      </c>
    </row>
    <row r="1142" spans="14:19" x14ac:dyDescent="0.25">
      <c r="N1142" s="178" t="str">
        <f t="shared" si="51"/>
        <v/>
      </c>
      <c r="P1142" s="52" t="s">
        <v>235</v>
      </c>
      <c r="Q1142" s="178">
        <f t="shared" si="52"/>
        <v>0</v>
      </c>
      <c r="S1142" s="178">
        <f t="shared" si="53"/>
        <v>0</v>
      </c>
    </row>
    <row r="1143" spans="14:19" x14ac:dyDescent="0.25">
      <c r="N1143" s="178" t="str">
        <f t="shared" si="51"/>
        <v/>
      </c>
      <c r="P1143" s="52" t="s">
        <v>238</v>
      </c>
      <c r="Q1143" s="178">
        <f t="shared" si="52"/>
        <v>0</v>
      </c>
      <c r="S1143" s="178">
        <f t="shared" si="53"/>
        <v>0</v>
      </c>
    </row>
    <row r="1144" spans="14:19" x14ac:dyDescent="0.25">
      <c r="N1144" s="178" t="str">
        <f t="shared" si="51"/>
        <v/>
      </c>
      <c r="P1144" s="52" t="s">
        <v>238</v>
      </c>
      <c r="Q1144" s="178">
        <f t="shared" si="52"/>
        <v>0</v>
      </c>
      <c r="S1144" s="178">
        <f t="shared" si="53"/>
        <v>0</v>
      </c>
    </row>
    <row r="1145" spans="14:19" x14ac:dyDescent="0.25">
      <c r="N1145" s="178" t="str">
        <f t="shared" si="51"/>
        <v/>
      </c>
      <c r="P1145" s="52" t="s">
        <v>238</v>
      </c>
      <c r="Q1145" s="178">
        <f t="shared" si="52"/>
        <v>0</v>
      </c>
      <c r="S1145" s="178">
        <f t="shared" si="53"/>
        <v>0</v>
      </c>
    </row>
    <row r="1146" spans="14:19" x14ac:dyDescent="0.25">
      <c r="N1146" s="178" t="str">
        <f t="shared" si="51"/>
        <v/>
      </c>
      <c r="P1146" s="52" t="s">
        <v>238</v>
      </c>
      <c r="Q1146" s="178">
        <f t="shared" si="52"/>
        <v>0</v>
      </c>
      <c r="S1146" s="178">
        <f t="shared" si="53"/>
        <v>0</v>
      </c>
    </row>
    <row r="1147" spans="14:19" x14ac:dyDescent="0.25">
      <c r="N1147" s="178" t="str">
        <f t="shared" si="51"/>
        <v/>
      </c>
      <c r="P1147" s="52" t="s">
        <v>238</v>
      </c>
      <c r="Q1147" s="178">
        <f t="shared" si="52"/>
        <v>0</v>
      </c>
      <c r="S1147" s="178">
        <f t="shared" si="53"/>
        <v>0</v>
      </c>
    </row>
    <row r="1148" spans="14:19" x14ac:dyDescent="0.25">
      <c r="N1148" s="178" t="str">
        <f t="shared" si="51"/>
        <v/>
      </c>
      <c r="P1148" s="52" t="s">
        <v>238</v>
      </c>
      <c r="Q1148" s="178">
        <f t="shared" si="52"/>
        <v>0</v>
      </c>
      <c r="S1148" s="178">
        <f t="shared" si="53"/>
        <v>0</v>
      </c>
    </row>
    <row r="1149" spans="14:19" x14ac:dyDescent="0.25">
      <c r="N1149" s="178" t="str">
        <f t="shared" si="51"/>
        <v/>
      </c>
      <c r="P1149" s="52" t="s">
        <v>329</v>
      </c>
      <c r="Q1149" s="178">
        <f t="shared" si="52"/>
        <v>0</v>
      </c>
      <c r="S1149" s="178">
        <f t="shared" si="53"/>
        <v>0</v>
      </c>
    </row>
    <row r="1150" spans="14:19" x14ac:dyDescent="0.25">
      <c r="N1150" s="178" t="str">
        <f t="shared" si="51"/>
        <v/>
      </c>
      <c r="P1150" s="52" t="s">
        <v>329</v>
      </c>
      <c r="Q1150" s="178">
        <f t="shared" si="52"/>
        <v>0</v>
      </c>
      <c r="S1150" s="178">
        <f t="shared" si="53"/>
        <v>0</v>
      </c>
    </row>
    <row r="1151" spans="14:19" x14ac:dyDescent="0.25">
      <c r="N1151" s="178" t="str">
        <f t="shared" si="51"/>
        <v/>
      </c>
      <c r="P1151" s="52" t="s">
        <v>329</v>
      </c>
      <c r="Q1151" s="178">
        <f t="shared" si="52"/>
        <v>0</v>
      </c>
      <c r="S1151" s="178">
        <f t="shared" si="53"/>
        <v>0</v>
      </c>
    </row>
    <row r="1152" spans="14:19" x14ac:dyDescent="0.25">
      <c r="N1152" s="178" t="str">
        <f t="shared" si="51"/>
        <v/>
      </c>
      <c r="P1152" s="52" t="s">
        <v>329</v>
      </c>
      <c r="Q1152" s="178">
        <f t="shared" si="52"/>
        <v>0</v>
      </c>
      <c r="S1152" s="178">
        <f t="shared" si="53"/>
        <v>0</v>
      </c>
    </row>
    <row r="1153" spans="14:19" x14ac:dyDescent="0.25">
      <c r="N1153" s="178" t="str">
        <f t="shared" si="51"/>
        <v/>
      </c>
      <c r="P1153" s="52" t="s">
        <v>329</v>
      </c>
      <c r="Q1153" s="178">
        <f t="shared" si="52"/>
        <v>0</v>
      </c>
      <c r="S1153" s="178">
        <f t="shared" si="53"/>
        <v>0</v>
      </c>
    </row>
    <row r="1154" spans="14:19" x14ac:dyDescent="0.25">
      <c r="N1154" s="178" t="str">
        <f t="shared" ref="N1154:N1217" si="54">IF(AND(ISNUMBER(VALUE(MID(M1154,1,1))), ISNUMBER(VALUE(MID(M1154,2,1))), ISNUMBER(VALUE(MID(M1154,3,1))), ISNUMBER(VALUE(MID(M1154,4,1)))), LEFT(M1154,4), "")</f>
        <v/>
      </c>
      <c r="P1154" s="52" t="s">
        <v>329</v>
      </c>
      <c r="Q1154" s="178">
        <f t="shared" si="52"/>
        <v>0</v>
      </c>
      <c r="S1154" s="178">
        <f t="shared" si="53"/>
        <v>0</v>
      </c>
    </row>
    <row r="1155" spans="14:19" x14ac:dyDescent="0.25">
      <c r="N1155" s="178" t="str">
        <f t="shared" si="54"/>
        <v/>
      </c>
      <c r="P1155" s="52" t="s">
        <v>264</v>
      </c>
      <c r="Q1155" s="178">
        <f t="shared" ref="Q1155:Q1202" si="55">FLOOR(O1155,10)</f>
        <v>0</v>
      </c>
      <c r="S1155" s="178">
        <f t="shared" ref="S1155:S1202" si="56">CEILING(O1155,10)</f>
        <v>0</v>
      </c>
    </row>
    <row r="1156" spans="14:19" x14ac:dyDescent="0.25">
      <c r="N1156" s="178" t="str">
        <f t="shared" si="54"/>
        <v/>
      </c>
      <c r="P1156" s="52" t="s">
        <v>264</v>
      </c>
      <c r="Q1156" s="178">
        <f t="shared" si="55"/>
        <v>0</v>
      </c>
      <c r="S1156" s="178">
        <f t="shared" si="56"/>
        <v>0</v>
      </c>
    </row>
    <row r="1157" spans="14:19" x14ac:dyDescent="0.25">
      <c r="N1157" s="178" t="str">
        <f t="shared" si="54"/>
        <v/>
      </c>
      <c r="P1157" s="52" t="s">
        <v>264</v>
      </c>
      <c r="Q1157" s="178">
        <f t="shared" si="55"/>
        <v>0</v>
      </c>
      <c r="S1157" s="178">
        <f t="shared" si="56"/>
        <v>0</v>
      </c>
    </row>
    <row r="1158" spans="14:19" x14ac:dyDescent="0.25">
      <c r="N1158" s="178" t="str">
        <f t="shared" si="54"/>
        <v/>
      </c>
      <c r="P1158" s="52" t="s">
        <v>264</v>
      </c>
      <c r="Q1158" s="178">
        <f t="shared" si="55"/>
        <v>0</v>
      </c>
      <c r="S1158" s="178">
        <f t="shared" si="56"/>
        <v>0</v>
      </c>
    </row>
    <row r="1159" spans="14:19" x14ac:dyDescent="0.25">
      <c r="N1159" s="178" t="str">
        <f t="shared" si="54"/>
        <v/>
      </c>
      <c r="P1159" s="52" t="s">
        <v>264</v>
      </c>
      <c r="Q1159" s="178">
        <f t="shared" si="55"/>
        <v>0</v>
      </c>
      <c r="S1159" s="178">
        <f t="shared" si="56"/>
        <v>0</v>
      </c>
    </row>
    <row r="1160" spans="14:19" x14ac:dyDescent="0.25">
      <c r="N1160" s="178" t="str">
        <f t="shared" si="54"/>
        <v/>
      </c>
      <c r="P1160" s="52" t="s">
        <v>264</v>
      </c>
      <c r="Q1160" s="178">
        <f t="shared" si="55"/>
        <v>0</v>
      </c>
      <c r="S1160" s="178">
        <f t="shared" si="56"/>
        <v>0</v>
      </c>
    </row>
    <row r="1161" spans="14:19" x14ac:dyDescent="0.25">
      <c r="N1161" s="178" t="str">
        <f t="shared" si="54"/>
        <v/>
      </c>
      <c r="P1161" s="52" t="s">
        <v>433</v>
      </c>
      <c r="Q1161" s="178">
        <f t="shared" si="55"/>
        <v>0</v>
      </c>
      <c r="S1161" s="178">
        <f t="shared" si="56"/>
        <v>0</v>
      </c>
    </row>
    <row r="1162" spans="14:19" x14ac:dyDescent="0.25">
      <c r="N1162" s="178" t="str">
        <f t="shared" si="54"/>
        <v/>
      </c>
      <c r="P1162" s="52" t="s">
        <v>433</v>
      </c>
      <c r="Q1162" s="178">
        <f t="shared" si="55"/>
        <v>0</v>
      </c>
      <c r="S1162" s="178">
        <f t="shared" si="56"/>
        <v>0</v>
      </c>
    </row>
    <row r="1163" spans="14:19" x14ac:dyDescent="0.25">
      <c r="N1163" s="178" t="str">
        <f t="shared" si="54"/>
        <v/>
      </c>
      <c r="P1163" s="52" t="s">
        <v>433</v>
      </c>
      <c r="Q1163" s="178">
        <f t="shared" si="55"/>
        <v>0</v>
      </c>
      <c r="S1163" s="178">
        <f t="shared" si="56"/>
        <v>0</v>
      </c>
    </row>
    <row r="1164" spans="14:19" x14ac:dyDescent="0.25">
      <c r="N1164" s="178" t="str">
        <f t="shared" si="54"/>
        <v/>
      </c>
      <c r="P1164" s="52" t="s">
        <v>433</v>
      </c>
      <c r="Q1164" s="178">
        <f t="shared" si="55"/>
        <v>0</v>
      </c>
      <c r="S1164" s="178">
        <f t="shared" si="56"/>
        <v>0</v>
      </c>
    </row>
    <row r="1165" spans="14:19" x14ac:dyDescent="0.25">
      <c r="N1165" s="178" t="str">
        <f t="shared" si="54"/>
        <v/>
      </c>
      <c r="P1165" s="52" t="s">
        <v>433</v>
      </c>
      <c r="Q1165" s="178">
        <f t="shared" si="55"/>
        <v>0</v>
      </c>
      <c r="S1165" s="178">
        <f t="shared" si="56"/>
        <v>0</v>
      </c>
    </row>
    <row r="1166" spans="14:19" x14ac:dyDescent="0.25">
      <c r="N1166" s="178" t="str">
        <f t="shared" si="54"/>
        <v/>
      </c>
      <c r="P1166" s="52" t="s">
        <v>433</v>
      </c>
      <c r="Q1166" s="178">
        <f t="shared" si="55"/>
        <v>0</v>
      </c>
      <c r="S1166" s="178">
        <f t="shared" si="56"/>
        <v>0</v>
      </c>
    </row>
    <row r="1167" spans="14:19" x14ac:dyDescent="0.25">
      <c r="N1167" s="178" t="str">
        <f t="shared" si="54"/>
        <v/>
      </c>
      <c r="P1167" s="52" t="s">
        <v>272</v>
      </c>
      <c r="Q1167" s="178">
        <f t="shared" si="55"/>
        <v>0</v>
      </c>
      <c r="S1167" s="178">
        <f t="shared" si="56"/>
        <v>0</v>
      </c>
    </row>
    <row r="1168" spans="14:19" x14ac:dyDescent="0.25">
      <c r="N1168" s="178" t="str">
        <f t="shared" si="54"/>
        <v/>
      </c>
      <c r="P1168" s="52" t="s">
        <v>272</v>
      </c>
      <c r="Q1168" s="178">
        <f t="shared" si="55"/>
        <v>0</v>
      </c>
      <c r="S1168" s="178">
        <f t="shared" si="56"/>
        <v>0</v>
      </c>
    </row>
    <row r="1169" spans="14:19" x14ac:dyDescent="0.25">
      <c r="N1169" s="178" t="str">
        <f t="shared" si="54"/>
        <v/>
      </c>
      <c r="P1169" s="52" t="s">
        <v>272</v>
      </c>
      <c r="Q1169" s="178">
        <f t="shared" si="55"/>
        <v>0</v>
      </c>
      <c r="S1169" s="178">
        <f t="shared" si="56"/>
        <v>0</v>
      </c>
    </row>
    <row r="1170" spans="14:19" x14ac:dyDescent="0.25">
      <c r="N1170" s="178" t="str">
        <f t="shared" si="54"/>
        <v/>
      </c>
      <c r="P1170" s="52" t="s">
        <v>598</v>
      </c>
      <c r="Q1170" s="178">
        <f t="shared" si="55"/>
        <v>0</v>
      </c>
      <c r="S1170" s="178">
        <f t="shared" si="56"/>
        <v>0</v>
      </c>
    </row>
    <row r="1171" spans="14:19" x14ac:dyDescent="0.25">
      <c r="N1171" s="178" t="str">
        <f t="shared" si="54"/>
        <v/>
      </c>
      <c r="P1171" s="52" t="s">
        <v>598</v>
      </c>
      <c r="Q1171" s="178">
        <f t="shared" si="55"/>
        <v>0</v>
      </c>
      <c r="S1171" s="178">
        <f t="shared" si="56"/>
        <v>0</v>
      </c>
    </row>
    <row r="1172" spans="14:19" x14ac:dyDescent="0.25">
      <c r="N1172" s="178" t="str">
        <f t="shared" si="54"/>
        <v/>
      </c>
      <c r="P1172" s="52" t="s">
        <v>598</v>
      </c>
      <c r="Q1172" s="178">
        <f t="shared" si="55"/>
        <v>0</v>
      </c>
      <c r="S1172" s="178">
        <f t="shared" si="56"/>
        <v>0</v>
      </c>
    </row>
    <row r="1173" spans="14:19" x14ac:dyDescent="0.25">
      <c r="N1173" s="178" t="str">
        <f t="shared" si="54"/>
        <v/>
      </c>
      <c r="P1173" s="52" t="s">
        <v>598</v>
      </c>
      <c r="Q1173" s="178">
        <f t="shared" si="55"/>
        <v>0</v>
      </c>
      <c r="S1173" s="178">
        <f t="shared" si="56"/>
        <v>0</v>
      </c>
    </row>
    <row r="1174" spans="14:19" x14ac:dyDescent="0.25">
      <c r="N1174" s="178" t="str">
        <f t="shared" si="54"/>
        <v/>
      </c>
      <c r="P1174" s="52" t="s">
        <v>598</v>
      </c>
      <c r="Q1174" s="178">
        <f t="shared" si="55"/>
        <v>0</v>
      </c>
      <c r="S1174" s="178">
        <f t="shared" si="56"/>
        <v>0</v>
      </c>
    </row>
    <row r="1175" spans="14:19" x14ac:dyDescent="0.25">
      <c r="N1175" s="178" t="str">
        <f t="shared" si="54"/>
        <v/>
      </c>
      <c r="P1175" s="52" t="s">
        <v>598</v>
      </c>
      <c r="Q1175" s="178">
        <f t="shared" si="55"/>
        <v>0</v>
      </c>
      <c r="S1175" s="178">
        <f t="shared" si="56"/>
        <v>0</v>
      </c>
    </row>
    <row r="1176" spans="14:19" x14ac:dyDescent="0.25">
      <c r="N1176" s="178" t="str">
        <f t="shared" si="54"/>
        <v/>
      </c>
      <c r="P1176" s="52" t="s">
        <v>598</v>
      </c>
      <c r="Q1176" s="178">
        <f t="shared" si="55"/>
        <v>0</v>
      </c>
      <c r="S1176" s="178">
        <f t="shared" si="56"/>
        <v>0</v>
      </c>
    </row>
    <row r="1177" spans="14:19" x14ac:dyDescent="0.25">
      <c r="N1177" s="178" t="str">
        <f t="shared" si="54"/>
        <v/>
      </c>
      <c r="P1177" s="52" t="s">
        <v>598</v>
      </c>
      <c r="Q1177" s="178">
        <f t="shared" si="55"/>
        <v>0</v>
      </c>
      <c r="S1177" s="178">
        <f t="shared" si="56"/>
        <v>0</v>
      </c>
    </row>
    <row r="1178" spans="14:19" x14ac:dyDescent="0.25">
      <c r="N1178" s="178" t="str">
        <f t="shared" si="54"/>
        <v/>
      </c>
      <c r="P1178" s="52" t="s">
        <v>598</v>
      </c>
      <c r="Q1178" s="178">
        <f t="shared" si="55"/>
        <v>0</v>
      </c>
      <c r="S1178" s="178">
        <f t="shared" si="56"/>
        <v>0</v>
      </c>
    </row>
    <row r="1179" spans="14:19" x14ac:dyDescent="0.25">
      <c r="N1179" s="178" t="str">
        <f t="shared" si="54"/>
        <v/>
      </c>
      <c r="P1179" s="52" t="s">
        <v>646</v>
      </c>
      <c r="Q1179" s="178">
        <f t="shared" si="55"/>
        <v>0</v>
      </c>
      <c r="S1179" s="178">
        <f t="shared" si="56"/>
        <v>0</v>
      </c>
    </row>
    <row r="1180" spans="14:19" x14ac:dyDescent="0.25">
      <c r="N1180" s="178" t="str">
        <f t="shared" si="54"/>
        <v/>
      </c>
      <c r="P1180" s="52" t="s">
        <v>646</v>
      </c>
      <c r="Q1180" s="178">
        <f t="shared" si="55"/>
        <v>0</v>
      </c>
      <c r="S1180" s="178">
        <f t="shared" si="56"/>
        <v>0</v>
      </c>
    </row>
    <row r="1181" spans="14:19" x14ac:dyDescent="0.25">
      <c r="N1181" s="178" t="str">
        <f t="shared" si="54"/>
        <v/>
      </c>
      <c r="P1181" s="52" t="s">
        <v>646</v>
      </c>
      <c r="Q1181" s="178">
        <f t="shared" si="55"/>
        <v>0</v>
      </c>
      <c r="S1181" s="178">
        <f t="shared" si="56"/>
        <v>0</v>
      </c>
    </row>
    <row r="1182" spans="14:19" x14ac:dyDescent="0.25">
      <c r="N1182" s="178" t="str">
        <f t="shared" si="54"/>
        <v/>
      </c>
      <c r="P1182" s="52" t="s">
        <v>646</v>
      </c>
      <c r="Q1182" s="178">
        <f t="shared" si="55"/>
        <v>0</v>
      </c>
      <c r="S1182" s="178">
        <f t="shared" si="56"/>
        <v>0</v>
      </c>
    </row>
    <row r="1183" spans="14:19" x14ac:dyDescent="0.25">
      <c r="N1183" s="178" t="str">
        <f t="shared" si="54"/>
        <v/>
      </c>
      <c r="P1183" s="52" t="s">
        <v>646</v>
      </c>
      <c r="Q1183" s="178">
        <f t="shared" si="55"/>
        <v>0</v>
      </c>
      <c r="S1183" s="178">
        <f t="shared" si="56"/>
        <v>0</v>
      </c>
    </row>
    <row r="1184" spans="14:19" x14ac:dyDescent="0.25">
      <c r="N1184" s="178" t="str">
        <f t="shared" si="54"/>
        <v/>
      </c>
      <c r="P1184" s="52" t="s">
        <v>1220</v>
      </c>
      <c r="Q1184" s="178">
        <f t="shared" si="55"/>
        <v>0</v>
      </c>
      <c r="S1184" s="178">
        <f t="shared" si="56"/>
        <v>0</v>
      </c>
    </row>
    <row r="1185" spans="14:19" x14ac:dyDescent="0.25">
      <c r="N1185" s="178" t="str">
        <f t="shared" si="54"/>
        <v/>
      </c>
      <c r="P1185" s="52" t="s">
        <v>727</v>
      </c>
      <c r="Q1185" s="178">
        <f t="shared" si="55"/>
        <v>0</v>
      </c>
      <c r="S1185" s="178">
        <f t="shared" si="56"/>
        <v>0</v>
      </c>
    </row>
    <row r="1186" spans="14:19" x14ac:dyDescent="0.25">
      <c r="N1186" s="178" t="str">
        <f t="shared" si="54"/>
        <v/>
      </c>
      <c r="P1186" s="52" t="s">
        <v>727</v>
      </c>
      <c r="Q1186" s="178">
        <f t="shared" si="55"/>
        <v>0</v>
      </c>
      <c r="S1186" s="178">
        <f t="shared" si="56"/>
        <v>0</v>
      </c>
    </row>
    <row r="1187" spans="14:19" x14ac:dyDescent="0.25">
      <c r="N1187" s="178" t="str">
        <f t="shared" si="54"/>
        <v/>
      </c>
      <c r="P1187" s="52" t="s">
        <v>727</v>
      </c>
      <c r="Q1187" s="178">
        <f t="shared" si="55"/>
        <v>0</v>
      </c>
      <c r="S1187" s="178">
        <f t="shared" si="56"/>
        <v>0</v>
      </c>
    </row>
    <row r="1188" spans="14:19" x14ac:dyDescent="0.25">
      <c r="N1188" s="178" t="str">
        <f t="shared" si="54"/>
        <v/>
      </c>
      <c r="P1188" s="52" t="s">
        <v>727</v>
      </c>
      <c r="Q1188" s="178">
        <f t="shared" si="55"/>
        <v>0</v>
      </c>
      <c r="S1188" s="178">
        <f t="shared" si="56"/>
        <v>0</v>
      </c>
    </row>
    <row r="1189" spans="14:19" x14ac:dyDescent="0.25">
      <c r="N1189" s="178" t="str">
        <f t="shared" si="54"/>
        <v/>
      </c>
      <c r="P1189" s="52" t="s">
        <v>727</v>
      </c>
      <c r="Q1189" s="178">
        <f t="shared" si="55"/>
        <v>0</v>
      </c>
      <c r="S1189" s="178">
        <f t="shared" si="56"/>
        <v>0</v>
      </c>
    </row>
    <row r="1190" spans="14:19" x14ac:dyDescent="0.25">
      <c r="N1190" s="178" t="str">
        <f t="shared" si="54"/>
        <v/>
      </c>
      <c r="P1190" s="52" t="s">
        <v>727</v>
      </c>
      <c r="Q1190" s="178">
        <f t="shared" si="55"/>
        <v>0</v>
      </c>
      <c r="S1190" s="178">
        <f t="shared" si="56"/>
        <v>0</v>
      </c>
    </row>
    <row r="1191" spans="14:19" x14ac:dyDescent="0.25">
      <c r="N1191" s="178" t="str">
        <f t="shared" si="54"/>
        <v/>
      </c>
      <c r="P1191" s="52" t="s">
        <v>727</v>
      </c>
      <c r="Q1191" s="178">
        <f t="shared" si="55"/>
        <v>0</v>
      </c>
      <c r="S1191" s="178">
        <f t="shared" si="56"/>
        <v>0</v>
      </c>
    </row>
    <row r="1192" spans="14:19" x14ac:dyDescent="0.25">
      <c r="N1192" s="178" t="str">
        <f t="shared" si="54"/>
        <v/>
      </c>
      <c r="P1192" s="52" t="s">
        <v>490</v>
      </c>
      <c r="Q1192" s="178">
        <f t="shared" si="55"/>
        <v>0</v>
      </c>
      <c r="S1192" s="178">
        <f t="shared" si="56"/>
        <v>0</v>
      </c>
    </row>
    <row r="1193" spans="14:19" x14ac:dyDescent="0.25">
      <c r="N1193" s="178" t="str">
        <f t="shared" si="54"/>
        <v/>
      </c>
      <c r="P1193" s="52" t="s">
        <v>490</v>
      </c>
      <c r="Q1193" s="178">
        <f t="shared" si="55"/>
        <v>0</v>
      </c>
      <c r="S1193" s="178">
        <f t="shared" si="56"/>
        <v>0</v>
      </c>
    </row>
    <row r="1194" spans="14:19" x14ac:dyDescent="0.25">
      <c r="N1194" s="178" t="str">
        <f t="shared" si="54"/>
        <v/>
      </c>
      <c r="P1194" s="52" t="s">
        <v>490</v>
      </c>
      <c r="Q1194" s="178">
        <f t="shared" si="55"/>
        <v>0</v>
      </c>
      <c r="S1194" s="178">
        <f t="shared" si="56"/>
        <v>0</v>
      </c>
    </row>
    <row r="1195" spans="14:19" x14ac:dyDescent="0.25">
      <c r="N1195" s="178" t="str">
        <f t="shared" si="54"/>
        <v/>
      </c>
      <c r="P1195" s="52" t="s">
        <v>490</v>
      </c>
      <c r="Q1195" s="178">
        <f t="shared" si="55"/>
        <v>0</v>
      </c>
      <c r="S1195" s="178">
        <f t="shared" si="56"/>
        <v>0</v>
      </c>
    </row>
    <row r="1196" spans="14:19" x14ac:dyDescent="0.25">
      <c r="N1196" s="178" t="str">
        <f t="shared" si="54"/>
        <v/>
      </c>
      <c r="P1196" s="52" t="s">
        <v>690</v>
      </c>
      <c r="Q1196" s="178">
        <f t="shared" si="55"/>
        <v>0</v>
      </c>
      <c r="S1196" s="178">
        <f t="shared" si="56"/>
        <v>0</v>
      </c>
    </row>
    <row r="1197" spans="14:19" x14ac:dyDescent="0.25">
      <c r="N1197" s="178" t="str">
        <f t="shared" si="54"/>
        <v/>
      </c>
      <c r="P1197" s="52" t="s">
        <v>690</v>
      </c>
      <c r="Q1197" s="178">
        <f t="shared" si="55"/>
        <v>0</v>
      </c>
      <c r="S1197" s="178">
        <f t="shared" si="56"/>
        <v>0</v>
      </c>
    </row>
    <row r="1198" spans="14:19" x14ac:dyDescent="0.25">
      <c r="N1198" s="178" t="str">
        <f t="shared" si="54"/>
        <v/>
      </c>
      <c r="P1198" s="52" t="s">
        <v>690</v>
      </c>
      <c r="Q1198" s="178">
        <f t="shared" si="55"/>
        <v>0</v>
      </c>
      <c r="S1198" s="178">
        <f t="shared" si="56"/>
        <v>0</v>
      </c>
    </row>
    <row r="1199" spans="14:19" x14ac:dyDescent="0.25">
      <c r="N1199" s="178" t="str">
        <f t="shared" si="54"/>
        <v/>
      </c>
      <c r="P1199" s="52" t="s">
        <v>807</v>
      </c>
      <c r="Q1199" s="178">
        <f t="shared" si="55"/>
        <v>0</v>
      </c>
      <c r="S1199" s="178">
        <f t="shared" si="56"/>
        <v>0</v>
      </c>
    </row>
    <row r="1200" spans="14:19" x14ac:dyDescent="0.25">
      <c r="N1200" s="178" t="str">
        <f t="shared" si="54"/>
        <v/>
      </c>
      <c r="P1200" s="52" t="s">
        <v>1029</v>
      </c>
      <c r="Q1200" s="178">
        <f t="shared" si="55"/>
        <v>0</v>
      </c>
      <c r="S1200" s="178">
        <f t="shared" si="56"/>
        <v>0</v>
      </c>
    </row>
    <row r="1201" spans="14:19" x14ac:dyDescent="0.25">
      <c r="N1201" s="178" t="str">
        <f t="shared" si="54"/>
        <v/>
      </c>
      <c r="P1201" s="52" t="s">
        <v>1029</v>
      </c>
      <c r="Q1201" s="178">
        <f t="shared" si="55"/>
        <v>0</v>
      </c>
      <c r="S1201" s="178">
        <f t="shared" si="56"/>
        <v>0</v>
      </c>
    </row>
    <row r="1202" spans="14:19" x14ac:dyDescent="0.25">
      <c r="N1202" s="178" t="str">
        <f t="shared" si="54"/>
        <v/>
      </c>
      <c r="P1202" s="52" t="s">
        <v>1029</v>
      </c>
      <c r="Q1202" s="178">
        <f t="shared" si="55"/>
        <v>0</v>
      </c>
      <c r="S1202" s="178">
        <f t="shared" si="56"/>
        <v>0</v>
      </c>
    </row>
    <row r="1203" spans="14:19" x14ac:dyDescent="0.25">
      <c r="N1203" s="178" t="str">
        <f t="shared" si="54"/>
        <v/>
      </c>
    </row>
    <row r="1204" spans="14:19" x14ac:dyDescent="0.25">
      <c r="N1204" s="178" t="str">
        <f t="shared" si="54"/>
        <v/>
      </c>
    </row>
    <row r="1205" spans="14:19" x14ac:dyDescent="0.25">
      <c r="N1205" s="178" t="str">
        <f t="shared" si="54"/>
        <v/>
      </c>
    </row>
    <row r="1206" spans="14:19" x14ac:dyDescent="0.25">
      <c r="N1206" s="178" t="str">
        <f t="shared" si="54"/>
        <v/>
      </c>
    </row>
    <row r="1207" spans="14:19" x14ac:dyDescent="0.25">
      <c r="N1207" s="178" t="str">
        <f t="shared" si="54"/>
        <v/>
      </c>
    </row>
    <row r="1208" spans="14:19" x14ac:dyDescent="0.25">
      <c r="N1208" s="178" t="str">
        <f t="shared" si="54"/>
        <v/>
      </c>
    </row>
    <row r="1209" spans="14:19" x14ac:dyDescent="0.25">
      <c r="N1209" s="178" t="str">
        <f t="shared" si="54"/>
        <v/>
      </c>
    </row>
    <row r="1210" spans="14:19" x14ac:dyDescent="0.25">
      <c r="N1210" s="178" t="str">
        <f t="shared" si="54"/>
        <v/>
      </c>
    </row>
    <row r="1211" spans="14:19" x14ac:dyDescent="0.25">
      <c r="N1211" s="178" t="str">
        <f t="shared" si="54"/>
        <v/>
      </c>
    </row>
    <row r="1212" spans="14:19" x14ac:dyDescent="0.25">
      <c r="N1212" s="178" t="str">
        <f t="shared" si="54"/>
        <v/>
      </c>
    </row>
    <row r="1213" spans="14:19" x14ac:dyDescent="0.25">
      <c r="N1213" s="178" t="str">
        <f t="shared" si="54"/>
        <v/>
      </c>
    </row>
    <row r="1214" spans="14:19" x14ac:dyDescent="0.25">
      <c r="N1214" s="178" t="str">
        <f t="shared" si="54"/>
        <v/>
      </c>
    </row>
    <row r="1215" spans="14:19" x14ac:dyDescent="0.25">
      <c r="N1215" s="178" t="str">
        <f t="shared" si="54"/>
        <v/>
      </c>
    </row>
    <row r="1216" spans="14:19" x14ac:dyDescent="0.25">
      <c r="N1216" s="178" t="str">
        <f t="shared" si="54"/>
        <v/>
      </c>
    </row>
    <row r="1217" spans="14:14" x14ac:dyDescent="0.25">
      <c r="N1217" s="178" t="str">
        <f t="shared" si="54"/>
        <v/>
      </c>
    </row>
    <row r="1218" spans="14:14" x14ac:dyDescent="0.25">
      <c r="N1218" s="178" t="str">
        <f t="shared" ref="N1218:N1254" si="57">IF(AND(ISNUMBER(VALUE(MID(M1218,1,1))), ISNUMBER(VALUE(MID(M1218,2,1))), ISNUMBER(VALUE(MID(M1218,3,1))), ISNUMBER(VALUE(MID(M1218,4,1)))), LEFT(M1218,4), "")</f>
        <v/>
      </c>
    </row>
    <row r="1219" spans="14:14" x14ac:dyDescent="0.25">
      <c r="N1219" s="178" t="str">
        <f t="shared" si="57"/>
        <v/>
      </c>
    </row>
    <row r="1220" spans="14:14" x14ac:dyDescent="0.25">
      <c r="N1220" s="178" t="str">
        <f t="shared" si="57"/>
        <v/>
      </c>
    </row>
    <row r="1221" spans="14:14" x14ac:dyDescent="0.25">
      <c r="N1221" s="178" t="str">
        <f t="shared" si="57"/>
        <v/>
      </c>
    </row>
    <row r="1222" spans="14:14" x14ac:dyDescent="0.25">
      <c r="N1222" s="178" t="str">
        <f t="shared" si="57"/>
        <v/>
      </c>
    </row>
    <row r="1223" spans="14:14" x14ac:dyDescent="0.25">
      <c r="N1223" s="178" t="str">
        <f t="shared" si="57"/>
        <v/>
      </c>
    </row>
    <row r="1224" spans="14:14" x14ac:dyDescent="0.25">
      <c r="N1224" s="178" t="str">
        <f t="shared" si="57"/>
        <v/>
      </c>
    </row>
    <row r="1225" spans="14:14" x14ac:dyDescent="0.25">
      <c r="N1225" s="178" t="str">
        <f t="shared" si="57"/>
        <v/>
      </c>
    </row>
    <row r="1226" spans="14:14" x14ac:dyDescent="0.25">
      <c r="N1226" s="178" t="str">
        <f t="shared" si="57"/>
        <v/>
      </c>
    </row>
    <row r="1227" spans="14:14" x14ac:dyDescent="0.25">
      <c r="N1227" s="178" t="str">
        <f t="shared" si="57"/>
        <v/>
      </c>
    </row>
    <row r="1228" spans="14:14" x14ac:dyDescent="0.25">
      <c r="N1228" s="178" t="str">
        <f t="shared" si="57"/>
        <v/>
      </c>
    </row>
    <row r="1229" spans="14:14" x14ac:dyDescent="0.25">
      <c r="N1229" s="178" t="str">
        <f t="shared" si="57"/>
        <v/>
      </c>
    </row>
    <row r="1230" spans="14:14" x14ac:dyDescent="0.25">
      <c r="N1230" s="178" t="str">
        <f t="shared" si="57"/>
        <v/>
      </c>
    </row>
    <row r="1231" spans="14:14" x14ac:dyDescent="0.25">
      <c r="N1231" s="178" t="str">
        <f t="shared" si="57"/>
        <v/>
      </c>
    </row>
    <row r="1232" spans="14:14" x14ac:dyDescent="0.25">
      <c r="N1232" s="178" t="str">
        <f t="shared" si="57"/>
        <v/>
      </c>
    </row>
    <row r="1233" spans="14:14" x14ac:dyDescent="0.25">
      <c r="N1233" s="178" t="str">
        <f t="shared" si="57"/>
        <v/>
      </c>
    </row>
    <row r="1234" spans="14:14" x14ac:dyDescent="0.25">
      <c r="N1234" s="178" t="str">
        <f t="shared" si="57"/>
        <v/>
      </c>
    </row>
    <row r="1235" spans="14:14" x14ac:dyDescent="0.25">
      <c r="N1235" s="178" t="str">
        <f t="shared" si="57"/>
        <v/>
      </c>
    </row>
    <row r="1236" spans="14:14" x14ac:dyDescent="0.25">
      <c r="N1236" s="178" t="str">
        <f t="shared" si="57"/>
        <v/>
      </c>
    </row>
    <row r="1237" spans="14:14" x14ac:dyDescent="0.25">
      <c r="N1237" s="178" t="str">
        <f t="shared" si="57"/>
        <v/>
      </c>
    </row>
    <row r="1238" spans="14:14" x14ac:dyDescent="0.25">
      <c r="N1238" s="178" t="str">
        <f t="shared" si="57"/>
        <v/>
      </c>
    </row>
    <row r="1239" spans="14:14" x14ac:dyDescent="0.25">
      <c r="N1239" s="178" t="str">
        <f t="shared" si="57"/>
        <v/>
      </c>
    </row>
    <row r="1240" spans="14:14" x14ac:dyDescent="0.25">
      <c r="N1240" s="178" t="str">
        <f t="shared" si="57"/>
        <v/>
      </c>
    </row>
    <row r="1241" spans="14:14" x14ac:dyDescent="0.25">
      <c r="N1241" s="178" t="str">
        <f t="shared" si="57"/>
        <v/>
      </c>
    </row>
    <row r="1242" spans="14:14" x14ac:dyDescent="0.25">
      <c r="N1242" s="178" t="str">
        <f t="shared" si="57"/>
        <v/>
      </c>
    </row>
    <row r="1243" spans="14:14" x14ac:dyDescent="0.25">
      <c r="N1243" s="178" t="str">
        <f t="shared" si="57"/>
        <v/>
      </c>
    </row>
    <row r="1244" spans="14:14" x14ac:dyDescent="0.25">
      <c r="N1244" s="178" t="str">
        <f t="shared" si="57"/>
        <v/>
      </c>
    </row>
    <row r="1245" spans="14:14" x14ac:dyDescent="0.25">
      <c r="N1245" s="178" t="str">
        <f t="shared" si="57"/>
        <v/>
      </c>
    </row>
    <row r="1246" spans="14:14" x14ac:dyDescent="0.25">
      <c r="N1246" s="178" t="str">
        <f t="shared" si="57"/>
        <v/>
      </c>
    </row>
    <row r="1247" spans="14:14" x14ac:dyDescent="0.25">
      <c r="N1247" s="178" t="str">
        <f t="shared" si="57"/>
        <v/>
      </c>
    </row>
    <row r="1248" spans="14:14" x14ac:dyDescent="0.25">
      <c r="N1248" s="178" t="str">
        <f t="shared" si="57"/>
        <v/>
      </c>
    </row>
    <row r="1249" spans="14:14" x14ac:dyDescent="0.25">
      <c r="N1249" s="178" t="str">
        <f t="shared" si="57"/>
        <v/>
      </c>
    </row>
    <row r="1250" spans="14:14" x14ac:dyDescent="0.25">
      <c r="N1250" s="178" t="str">
        <f t="shared" si="57"/>
        <v/>
      </c>
    </row>
    <row r="1251" spans="14:14" x14ac:dyDescent="0.25">
      <c r="N1251" s="178" t="str">
        <f t="shared" si="57"/>
        <v/>
      </c>
    </row>
    <row r="1252" spans="14:14" x14ac:dyDescent="0.25">
      <c r="N1252" s="178" t="str">
        <f t="shared" ref="N1252" si="58">IF(AND(ISNUMBER(VALUE(MID(M1252,1,1))), ISNUMBER(VALUE(MID(M1252,2,1))), ISNUMBER(VALUE(MID(M1252,3,1))), ISNUMBER(VALUE(MID(M1252,4,1)))), LEFT(M1252,4), "")</f>
        <v/>
      </c>
    </row>
    <row r="1253" spans="14:14" x14ac:dyDescent="0.25">
      <c r="N1253" s="178" t="str">
        <f t="shared" si="57"/>
        <v/>
      </c>
    </row>
    <row r="1254" spans="14:14" x14ac:dyDescent="0.25">
      <c r="N1254" s="178" t="str">
        <f t="shared" si="57"/>
        <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Date_Refresh">
                <anchor moveWithCells="1">
                  <from>
                    <xdr:col>3</xdr:col>
                    <xdr:colOff>0</xdr:colOff>
                    <xdr:row>1</xdr:row>
                    <xdr:rowOff>0</xdr:rowOff>
                  </from>
                  <to>
                    <xdr:col>5</xdr:col>
                    <xdr:colOff>0</xdr:colOff>
                    <xdr:row>1</xdr:row>
                    <xdr:rowOff>238125</xdr:rowOff>
                  </to>
                </anchor>
              </controlPr>
            </control>
          </mc:Choice>
        </mc:AlternateContent>
        <mc:AlternateContent xmlns:mc="http://schemas.openxmlformats.org/markup-compatibility/2006">
          <mc:Choice Requires="x14">
            <control shapeId="38914" r:id="rId5" name="Button 2">
              <controlPr defaultSize="0" print="0" autoFill="0" autoPict="0" macro="[0]!Date_Expand">
                <anchor moveWithCells="1">
                  <from>
                    <xdr:col>6</xdr:col>
                    <xdr:colOff>0</xdr:colOff>
                    <xdr:row>1</xdr:row>
                    <xdr:rowOff>0</xdr:rowOff>
                  </from>
                  <to>
                    <xdr:col>7</xdr:col>
                    <xdr:colOff>0</xdr:colOff>
                    <xdr:row>1</xdr:row>
                    <xdr:rowOff>238125</xdr:rowOff>
                  </to>
                </anchor>
              </controlPr>
            </control>
          </mc:Choice>
        </mc:AlternateContent>
        <mc:AlternateContent xmlns:mc="http://schemas.openxmlformats.org/markup-compatibility/2006">
          <mc:Choice Requires="x14">
            <control shapeId="38915" r:id="rId6" name="Button 3">
              <controlPr defaultSize="0" print="0" autoFill="0" autoPict="0" macro="[0]!Date_Contract">
                <anchor moveWithCells="1">
                  <from>
                    <xdr:col>8</xdr:col>
                    <xdr:colOff>0</xdr:colOff>
                    <xdr:row>1</xdr:row>
                    <xdr:rowOff>0</xdr:rowOff>
                  </from>
                  <to>
                    <xdr:col>9</xdr:col>
                    <xdr:colOff>0</xdr:colOff>
                    <xdr:row>1</xdr:row>
                    <xdr:rowOff>238125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E9FB6-FE85-4242-A6EE-EA234F20C0C1}">
  <sheetPr codeName="Details">
    <tabColor theme="7"/>
  </sheetPr>
  <dimension ref="A1:G19"/>
  <sheetViews>
    <sheetView showGridLines="0" workbookViewId="0">
      <selection activeCell="D33" sqref="D33"/>
    </sheetView>
  </sheetViews>
  <sheetFormatPr defaultRowHeight="15" x14ac:dyDescent="0.25"/>
  <cols>
    <col min="1" max="1" width="32.42578125" bestFit="1" customWidth="1"/>
    <col min="2" max="7" width="20.7109375" customWidth="1"/>
  </cols>
  <sheetData>
    <row r="1" spans="1:7" ht="20.100000000000001" customHeight="1" x14ac:dyDescent="0.25">
      <c r="A1" s="8"/>
      <c r="B1" s="6" t="s">
        <v>968</v>
      </c>
      <c r="C1" s="6" t="s">
        <v>969</v>
      </c>
      <c r="D1" s="6" t="s">
        <v>970</v>
      </c>
      <c r="E1" s="6" t="s">
        <v>971</v>
      </c>
      <c r="F1" s="6" t="s">
        <v>972</v>
      </c>
      <c r="G1" s="6" t="s">
        <v>973</v>
      </c>
    </row>
    <row r="2" spans="1:7" x14ac:dyDescent="0.25">
      <c r="A2" s="7" t="s">
        <v>974</v>
      </c>
      <c r="B2" s="10"/>
      <c r="C2" s="11"/>
      <c r="D2" s="17"/>
      <c r="E2" s="14"/>
      <c r="F2" s="14"/>
      <c r="G2" s="4"/>
    </row>
    <row r="3" spans="1:7" x14ac:dyDescent="0.25">
      <c r="A3" s="7" t="s">
        <v>975</v>
      </c>
      <c r="B3" s="75"/>
      <c r="C3" s="12"/>
      <c r="D3" s="13"/>
      <c r="E3" s="15"/>
      <c r="F3" s="15"/>
      <c r="G3" s="5"/>
    </row>
    <row r="4" spans="1:7" x14ac:dyDescent="0.25">
      <c r="B4" s="1"/>
      <c r="C4" s="1"/>
      <c r="D4" s="73"/>
      <c r="E4" s="74"/>
      <c r="F4" s="74"/>
      <c r="G4" s="74"/>
    </row>
    <row r="5" spans="1:7" x14ac:dyDescent="0.25">
      <c r="A5" s="76" t="s">
        <v>976</v>
      </c>
      <c r="B5" s="244" t="s">
        <v>93</v>
      </c>
      <c r="C5" s="245"/>
      <c r="D5" s="245"/>
      <c r="E5" s="245"/>
      <c r="F5" s="245"/>
      <c r="G5" s="246"/>
    </row>
    <row r="7" spans="1:7" x14ac:dyDescent="0.25">
      <c r="A7" s="76" t="s">
        <v>977</v>
      </c>
      <c r="B7" s="247"/>
      <c r="C7" s="248"/>
      <c r="D7" s="248"/>
      <c r="E7" s="248"/>
      <c r="F7" s="248"/>
      <c r="G7" s="249"/>
    </row>
    <row r="9" spans="1:7" x14ac:dyDescent="0.25">
      <c r="A9" s="76" t="s">
        <v>978</v>
      </c>
      <c r="B9" s="77" t="s">
        <v>187</v>
      </c>
    </row>
    <row r="10" spans="1:7" x14ac:dyDescent="0.25">
      <c r="A10" s="85" t="s">
        <v>979</v>
      </c>
      <c r="B10" s="86">
        <v>45264</v>
      </c>
    </row>
    <row r="11" spans="1:7" x14ac:dyDescent="0.25">
      <c r="A11" s="79" t="s">
        <v>980</v>
      </c>
      <c r="B11" s="80"/>
    </row>
    <row r="12" spans="1:7" x14ac:dyDescent="0.25">
      <c r="A12" s="81" t="s">
        <v>981</v>
      </c>
      <c r="B12" s="78">
        <v>45273</v>
      </c>
      <c r="C12" s="9"/>
    </row>
    <row r="13" spans="1:7" x14ac:dyDescent="0.25">
      <c r="A13" s="82" t="s">
        <v>982</v>
      </c>
      <c r="B13" s="83"/>
      <c r="C13" s="9"/>
    </row>
    <row r="15" spans="1:7" x14ac:dyDescent="0.25">
      <c r="A15" s="84" t="s">
        <v>983</v>
      </c>
      <c r="B15" s="244" t="s">
        <v>93</v>
      </c>
      <c r="C15" s="245"/>
      <c r="D15" s="245"/>
      <c r="E15" s="245"/>
      <c r="F15" s="245"/>
      <c r="G15" s="246"/>
    </row>
    <row r="17" spans="1:7" x14ac:dyDescent="0.25">
      <c r="A17" s="84" t="s">
        <v>984</v>
      </c>
      <c r="B17" s="235"/>
      <c r="C17" s="236"/>
      <c r="D17" s="236"/>
      <c r="E17" s="236"/>
      <c r="F17" s="236"/>
      <c r="G17" s="237"/>
    </row>
    <row r="18" spans="1:7" x14ac:dyDescent="0.25">
      <c r="A18" s="87"/>
      <c r="B18" s="238"/>
      <c r="C18" s="239"/>
      <c r="D18" s="239"/>
      <c r="E18" s="239"/>
      <c r="F18" s="239"/>
      <c r="G18" s="240"/>
    </row>
    <row r="19" spans="1:7" x14ac:dyDescent="0.25">
      <c r="B19" s="241"/>
      <c r="C19" s="242"/>
      <c r="D19" s="242"/>
      <c r="E19" s="242"/>
      <c r="F19" s="242"/>
      <c r="G19" s="243"/>
    </row>
  </sheetData>
  <mergeCells count="4">
    <mergeCell ref="B17:G19"/>
    <mergeCell ref="B15:G15"/>
    <mergeCell ref="B5:G5"/>
    <mergeCell ref="B7:G7"/>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3AFB4-E5B4-478F-89C1-5DC00BDBAF60}">
  <sheetPr codeName="License">
    <tabColor theme="9" tint="-0.249977111117893"/>
  </sheetPr>
  <dimension ref="B2:D16"/>
  <sheetViews>
    <sheetView showGridLines="0" workbookViewId="0">
      <selection activeCell="J22" sqref="J22"/>
    </sheetView>
  </sheetViews>
  <sheetFormatPr defaultColWidth="9.140625" defaultRowHeight="15" x14ac:dyDescent="0.25"/>
  <cols>
    <col min="1" max="1" width="3.7109375" style="2" customWidth="1"/>
    <col min="2" max="16384" width="9.140625" style="2"/>
  </cols>
  <sheetData>
    <row r="2" spans="2:4" ht="24.95" customHeight="1" x14ac:dyDescent="0.25">
      <c r="D2" s="16" t="s">
        <v>985</v>
      </c>
    </row>
    <row r="3" spans="2:4" x14ac:dyDescent="0.25">
      <c r="D3" s="20" t="s">
        <v>986</v>
      </c>
    </row>
    <row r="5" spans="2:4" x14ac:dyDescent="0.25">
      <c r="B5" s="2" t="s">
        <v>987</v>
      </c>
      <c r="D5" s="2" t="s">
        <v>988</v>
      </c>
    </row>
    <row r="6" spans="2:4" x14ac:dyDescent="0.25">
      <c r="D6" s="2" t="s">
        <v>989</v>
      </c>
    </row>
    <row r="7" spans="2:4" x14ac:dyDescent="0.25">
      <c r="D7" s="2" t="s">
        <v>990</v>
      </c>
    </row>
    <row r="8" spans="2:4" x14ac:dyDescent="0.25">
      <c r="D8" s="2" t="s">
        <v>991</v>
      </c>
    </row>
    <row r="9" spans="2:4" x14ac:dyDescent="0.25">
      <c r="D9" s="2" t="s">
        <v>992</v>
      </c>
    </row>
    <row r="11" spans="2:4" x14ac:dyDescent="0.25">
      <c r="B11" s="2" t="s">
        <v>970</v>
      </c>
      <c r="D11" s="19" t="s">
        <v>993</v>
      </c>
    </row>
    <row r="13" spans="2:4" x14ac:dyDescent="0.25">
      <c r="B13" s="2" t="s">
        <v>994</v>
      </c>
      <c r="D13" s="19" t="s">
        <v>995</v>
      </c>
    </row>
    <row r="14" spans="2:4" x14ac:dyDescent="0.25">
      <c r="B14" s="2" t="s">
        <v>996</v>
      </c>
      <c r="D14" s="19" t="s">
        <v>997</v>
      </c>
    </row>
    <row r="16" spans="2:4" x14ac:dyDescent="0.25">
      <c r="B16" s="2" t="s">
        <v>998</v>
      </c>
      <c r="D16" s="19" t="s">
        <v>999</v>
      </c>
    </row>
  </sheetData>
  <hyperlinks>
    <hyperlink ref="D3" r:id="rId1" xr:uid="{4FFCA569-40B9-469F-815F-CC3AC3FE0817}"/>
    <hyperlink ref="D11" r:id="rId2" xr:uid="{527BC514-698F-49B1-A2C3-FE7B3C06A976}"/>
    <hyperlink ref="D13" r:id="rId3" xr:uid="{C7509E19-F321-478C-87D9-87EE3FB1E16B}"/>
    <hyperlink ref="D14" r:id="rId4" display="https://www.linkedin.com/in/adam-lisbon-90a7b3106/" xr:uid="{125B2868-E407-4602-90A3-C70BDB84B3CB}"/>
    <hyperlink ref="D16" r:id="rId5" xr:uid="{DCE713EF-ED54-43B8-87DF-162FFBE9E158}"/>
  </hyperlinks>
  <pageMargins left="0.7" right="0.7" top="0.75" bottom="0.75" header="0.3" footer="0.3"/>
  <pageSetup paperSize="0" orientation="portrait" horizontalDpi="0" verticalDpi="0" copies="0" r:id="rId6"/>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A897829-BE56-4EBE-8F2A-4AF547A3A7A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Donation</vt:lpstr>
      <vt:lpstr>SA-Slips</vt:lpstr>
      <vt:lpstr>M-Slips</vt:lpstr>
      <vt:lpstr>Assign</vt:lpstr>
      <vt:lpstr>Series</vt:lpstr>
      <vt:lpstr>Publisher</vt:lpstr>
      <vt:lpstr>Date</vt:lpstr>
      <vt:lpstr>Details</vt:lpstr>
      <vt:lpstr>License</vt:lpstr>
      <vt:lpstr>Donation!Orders</vt:lpstr>
      <vt:lpstr>Donation!Print_Area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Adam H. Lisbon</dc:creator>
  <cp:keywords/>
  <dc:description/>
  <cp:lastModifiedBy>Adam H. Lisbon</cp:lastModifiedBy>
  <cp:revision/>
  <dcterms:created xsi:type="dcterms:W3CDTF">2021-07-26T18:34:48Z</dcterms:created>
  <dcterms:modified xsi:type="dcterms:W3CDTF">2025-06-11T19:23:24Z</dcterms:modified>
  <cp:category/>
  <cp:contentStatus/>
</cp:coreProperties>
</file>