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Ordering/"/>
    </mc:Choice>
  </mc:AlternateContent>
  <xr:revisionPtr revIDLastSave="5" documentId="8_{1153D9B7-14E2-4596-8E7E-6466DF8CD887}" xr6:coauthVersionLast="47" xr6:coauthVersionMax="47" xr10:uidLastSave="{72345AF4-20C3-4596-8C63-7180236D5F45}"/>
  <bookViews>
    <workbookView xWindow="-120" yWindow="-120" windowWidth="29040" windowHeight="15840" xr2:uid="{3F73EF3F-DCF4-4B94-9F4F-509400B7C5B3}"/>
  </bookViews>
  <sheets>
    <sheet name="Orders" sheetId="1" r:id="rId1"/>
    <sheet name="s-Assign" sheetId="11" r:id="rId2"/>
    <sheet name="s-Series" sheetId="19" r:id="rId3"/>
    <sheet name="s-Pub" sheetId="12" r:id="rId4"/>
    <sheet name="s-Date" sheetId="2" r:id="rId5"/>
    <sheet name="s-Subjects" sheetId="9" r:id="rId6"/>
    <sheet name="License" sheetId="18" r:id="rId7"/>
  </sheets>
  <definedNames>
    <definedName name="_xlnm._FilterDatabase" localSheetId="2" hidden="1">'s-Series'!$A$1:$A$201</definedName>
    <definedName name="_xlnm._FilterDatabase" localSheetId="5" hidden="1">'s-Subjects'!#REF!</definedName>
    <definedName name="skipped2content" localSheetId="0">Orders!$A$350</definedName>
    <definedName name="top" localSheetId="0">Orders!$A$163</definedName>
  </definedNames>
  <calcPr calcId="191029"/>
  <pivotCaches>
    <pivotCache cacheId="4" r:id="rId8"/>
    <pivotCache cacheId="5" r:id="rId9"/>
    <pivotCache cacheId="6" r:id="rId10"/>
    <pivotCache cacheId="7" r:id="rId11"/>
    <pivotCache cacheId="8" r:id="rId12"/>
    <pivotCache cacheId="9"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9" i="1" l="1" a="1"/>
  <c r="AP9" i="1" s="1"/>
  <c r="AP8" i="1" a="1"/>
  <c r="AP8" i="1" s="1"/>
  <c r="AP7" i="1" a="1"/>
  <c r="AP7" i="1" s="1"/>
  <c r="R1" i="19"/>
  <c r="B1" i="19"/>
  <c r="M2" i="2" a="1"/>
  <c r="N243" i="2" s="1"/>
  <c r="Q2" i="19" a="1"/>
  <c r="R325" i="19" s="1"/>
  <c r="A2" i="19" a="1"/>
  <c r="B330" i="19" s="1"/>
  <c r="B4" i="19" l="1"/>
  <c r="B28" i="19"/>
  <c r="B53" i="19"/>
  <c r="B9" i="19"/>
  <c r="B29" i="19"/>
  <c r="B58" i="19"/>
  <c r="R23" i="19"/>
  <c r="B12" i="19"/>
  <c r="B33" i="19"/>
  <c r="B62" i="19"/>
  <c r="R26" i="19"/>
  <c r="B13" i="19"/>
  <c r="B36" i="19"/>
  <c r="B67" i="19"/>
  <c r="B17" i="19"/>
  <c r="B37" i="19"/>
  <c r="B20" i="19"/>
  <c r="B41" i="19"/>
  <c r="R4" i="19"/>
  <c r="B21" i="19"/>
  <c r="B44" i="19"/>
  <c r="R11" i="19"/>
  <c r="B3" i="19"/>
  <c r="B25" i="19"/>
  <c r="B49" i="19"/>
  <c r="R12" i="19"/>
  <c r="R20" i="19"/>
  <c r="B103" i="19"/>
  <c r="B63" i="19"/>
  <c r="B104" i="19"/>
  <c r="B190" i="19"/>
  <c r="B6" i="19"/>
  <c r="B22" i="19"/>
  <c r="B38" i="19"/>
  <c r="B55" i="19"/>
  <c r="B74" i="19"/>
  <c r="B95" i="19"/>
  <c r="B106" i="19"/>
  <c r="B127" i="19"/>
  <c r="B149" i="19"/>
  <c r="B159" i="19"/>
  <c r="B181" i="19"/>
  <c r="B191" i="19"/>
  <c r="B213" i="19"/>
  <c r="B223" i="19"/>
  <c r="B245" i="19"/>
  <c r="B255" i="19"/>
  <c r="B266" i="19"/>
  <c r="B287" i="19"/>
  <c r="B301" i="19"/>
  <c r="B312" i="19"/>
  <c r="B326" i="19"/>
  <c r="B338" i="19"/>
  <c r="R13" i="19"/>
  <c r="R29" i="19"/>
  <c r="R58" i="19"/>
  <c r="R71" i="19"/>
  <c r="R86" i="19"/>
  <c r="R102" i="19"/>
  <c r="R115" i="19"/>
  <c r="R131" i="19"/>
  <c r="R147" i="19"/>
  <c r="R164" i="19"/>
  <c r="R182" i="19"/>
  <c r="R197" i="19"/>
  <c r="R217" i="19"/>
  <c r="R233" i="19"/>
  <c r="R252" i="19"/>
  <c r="R274" i="19"/>
  <c r="R292" i="19"/>
  <c r="R333" i="19"/>
  <c r="N138" i="2"/>
  <c r="B7" i="19"/>
  <c r="B15" i="19"/>
  <c r="B23" i="19"/>
  <c r="B31" i="19"/>
  <c r="B39" i="19"/>
  <c r="B47" i="19"/>
  <c r="B56" i="19"/>
  <c r="B65" i="19"/>
  <c r="B75" i="19"/>
  <c r="B86" i="19"/>
  <c r="B96" i="19"/>
  <c r="B107" i="19"/>
  <c r="B118" i="19"/>
  <c r="B128" i="19"/>
  <c r="B139" i="19"/>
  <c r="B150" i="19"/>
  <c r="B160" i="19"/>
  <c r="B171" i="19"/>
  <c r="B182" i="19"/>
  <c r="B192" i="19"/>
  <c r="B203" i="19"/>
  <c r="B214" i="19"/>
  <c r="B224" i="19"/>
  <c r="B235" i="19"/>
  <c r="B246" i="19"/>
  <c r="B256" i="19"/>
  <c r="B267" i="19"/>
  <c r="B278" i="19"/>
  <c r="B288" i="19"/>
  <c r="B302" i="19"/>
  <c r="B314" i="19"/>
  <c r="B327" i="19"/>
  <c r="R14" i="19"/>
  <c r="R30" i="19"/>
  <c r="R44" i="19"/>
  <c r="R59" i="19"/>
  <c r="R75" i="19"/>
  <c r="R87" i="19"/>
  <c r="R103" i="19"/>
  <c r="R117" i="19"/>
  <c r="R132" i="19"/>
  <c r="R150" i="19"/>
  <c r="R165" i="19"/>
  <c r="R185" i="19"/>
  <c r="R201" i="19"/>
  <c r="R218" i="19"/>
  <c r="R236" i="19"/>
  <c r="R253" i="19"/>
  <c r="R276" i="19"/>
  <c r="R294" i="19"/>
  <c r="R316" i="19"/>
  <c r="R338" i="19"/>
  <c r="N42" i="2"/>
  <c r="N161" i="2"/>
  <c r="B8" i="19"/>
  <c r="B16" i="19"/>
  <c r="B24" i="19"/>
  <c r="B32" i="19"/>
  <c r="B40" i="19"/>
  <c r="B48" i="19"/>
  <c r="B57" i="19"/>
  <c r="B66" i="19"/>
  <c r="B77" i="19"/>
  <c r="B87" i="19"/>
  <c r="B98" i="19"/>
  <c r="B109" i="19"/>
  <c r="B119" i="19"/>
  <c r="B130" i="19"/>
  <c r="B141" i="19"/>
  <c r="B151" i="19"/>
  <c r="B162" i="19"/>
  <c r="B173" i="19"/>
  <c r="B183" i="19"/>
  <c r="B194" i="19"/>
  <c r="B205" i="19"/>
  <c r="B215" i="19"/>
  <c r="B226" i="19"/>
  <c r="B237" i="19"/>
  <c r="B247" i="19"/>
  <c r="B258" i="19"/>
  <c r="B269" i="19"/>
  <c r="B279" i="19"/>
  <c r="B290" i="19"/>
  <c r="B303" i="19"/>
  <c r="B317" i="19"/>
  <c r="B328" i="19"/>
  <c r="R3" i="19"/>
  <c r="R17" i="19"/>
  <c r="R31" i="19"/>
  <c r="R47" i="19"/>
  <c r="R60" i="19"/>
  <c r="R76" i="19"/>
  <c r="R90" i="19"/>
  <c r="R105" i="19"/>
  <c r="R121" i="19"/>
  <c r="R133" i="19"/>
  <c r="R153" i="19"/>
  <c r="R169" i="19"/>
  <c r="R186" i="19"/>
  <c r="R204" i="19"/>
  <c r="R219" i="19"/>
  <c r="R237" i="19"/>
  <c r="R257" i="19"/>
  <c r="R277" i="19"/>
  <c r="R300" i="19"/>
  <c r="R317" i="19"/>
  <c r="R340" i="19"/>
  <c r="N55" i="2"/>
  <c r="N179" i="2"/>
  <c r="B78" i="19"/>
  <c r="B88" i="19"/>
  <c r="B99" i="19"/>
  <c r="B110" i="19"/>
  <c r="B120" i="19"/>
  <c r="B131" i="19"/>
  <c r="B142" i="19"/>
  <c r="B152" i="19"/>
  <c r="B163" i="19"/>
  <c r="B174" i="19"/>
  <c r="B184" i="19"/>
  <c r="B195" i="19"/>
  <c r="B206" i="19"/>
  <c r="B216" i="19"/>
  <c r="B227" i="19"/>
  <c r="B238" i="19"/>
  <c r="B248" i="19"/>
  <c r="B259" i="19"/>
  <c r="B270" i="19"/>
  <c r="B280" i="19"/>
  <c r="B293" i="19"/>
  <c r="B304" i="19"/>
  <c r="B318" i="19"/>
  <c r="R33" i="19"/>
  <c r="R49" i="19"/>
  <c r="R62" i="19"/>
  <c r="R77" i="19"/>
  <c r="R93" i="19"/>
  <c r="R106" i="19"/>
  <c r="R122" i="19"/>
  <c r="R137" i="19"/>
  <c r="R154" i="19"/>
  <c r="R172" i="19"/>
  <c r="R187" i="19"/>
  <c r="R205" i="19"/>
  <c r="R221" i="19"/>
  <c r="R238" i="19"/>
  <c r="R261" i="19"/>
  <c r="R278" i="19"/>
  <c r="R301" i="19"/>
  <c r="R321" i="19"/>
  <c r="R341" i="19"/>
  <c r="N67" i="2"/>
  <c r="N202" i="2"/>
  <c r="B340" i="19"/>
  <c r="B341" i="19"/>
  <c r="B332" i="19"/>
  <c r="B324" i="19"/>
  <c r="B316" i="19"/>
  <c r="B308" i="19"/>
  <c r="B300" i="19"/>
  <c r="B292" i="19"/>
  <c r="B284" i="19"/>
  <c r="B276" i="19"/>
  <c r="B268" i="19"/>
  <c r="B260" i="19"/>
  <c r="B252" i="19"/>
  <c r="B244" i="19"/>
  <c r="B236" i="19"/>
  <c r="B228" i="19"/>
  <c r="B220" i="19"/>
  <c r="B212" i="19"/>
  <c r="B204" i="19"/>
  <c r="B196" i="19"/>
  <c r="B188" i="19"/>
  <c r="B180" i="19"/>
  <c r="B172" i="19"/>
  <c r="B164" i="19"/>
  <c r="B156" i="19"/>
  <c r="B148" i="19"/>
  <c r="B140" i="19"/>
  <c r="B132" i="19"/>
  <c r="B124" i="19"/>
  <c r="B116" i="19"/>
  <c r="B108" i="19"/>
  <c r="B100" i="19"/>
  <c r="B92" i="19"/>
  <c r="B84" i="19"/>
  <c r="B76" i="19"/>
  <c r="B68" i="19"/>
  <c r="B60" i="19"/>
  <c r="B52" i="19"/>
  <c r="B339" i="19"/>
  <c r="B331" i="19"/>
  <c r="B323" i="19"/>
  <c r="B315" i="19"/>
  <c r="B307" i="19"/>
  <c r="B299" i="19"/>
  <c r="B291" i="19"/>
  <c r="B337" i="19"/>
  <c r="B329" i="19"/>
  <c r="B321" i="19"/>
  <c r="B313" i="19"/>
  <c r="B305" i="19"/>
  <c r="B297" i="19"/>
  <c r="B289" i="19"/>
  <c r="B281" i="19"/>
  <c r="B273" i="19"/>
  <c r="B265" i="19"/>
  <c r="B257" i="19"/>
  <c r="B249" i="19"/>
  <c r="B241" i="19"/>
  <c r="B233" i="19"/>
  <c r="B225" i="19"/>
  <c r="B217" i="19"/>
  <c r="B209" i="19"/>
  <c r="B201" i="19"/>
  <c r="B193" i="19"/>
  <c r="B185" i="19"/>
  <c r="B177" i="19"/>
  <c r="B169" i="19"/>
  <c r="B161" i="19"/>
  <c r="B153" i="19"/>
  <c r="B145" i="19"/>
  <c r="B137" i="19"/>
  <c r="B129" i="19"/>
  <c r="B121" i="19"/>
  <c r="B113" i="19"/>
  <c r="B105" i="19"/>
  <c r="B97" i="19"/>
  <c r="B89" i="19"/>
  <c r="B81" i="19"/>
  <c r="B73" i="19"/>
  <c r="B10" i="19"/>
  <c r="B18" i="19"/>
  <c r="B26" i="19"/>
  <c r="B34" i="19"/>
  <c r="B42" i="19"/>
  <c r="B50" i="19"/>
  <c r="B59" i="19"/>
  <c r="B69" i="19"/>
  <c r="B79" i="19"/>
  <c r="B90" i="19"/>
  <c r="B101" i="19"/>
  <c r="B111" i="19"/>
  <c r="B122" i="19"/>
  <c r="B133" i="19"/>
  <c r="B143" i="19"/>
  <c r="B154" i="19"/>
  <c r="B165" i="19"/>
  <c r="B175" i="19"/>
  <c r="B186" i="19"/>
  <c r="B197" i="19"/>
  <c r="B207" i="19"/>
  <c r="B218" i="19"/>
  <c r="B229" i="19"/>
  <c r="B239" i="19"/>
  <c r="B250" i="19"/>
  <c r="B261" i="19"/>
  <c r="B271" i="19"/>
  <c r="B282" i="19"/>
  <c r="B294" i="19"/>
  <c r="B306" i="19"/>
  <c r="B319" i="19"/>
  <c r="B333" i="19"/>
  <c r="R5" i="19"/>
  <c r="R21" i="19"/>
  <c r="R35" i="19"/>
  <c r="R50" i="19"/>
  <c r="R66" i="19"/>
  <c r="R78" i="19"/>
  <c r="R94" i="19"/>
  <c r="R108" i="19"/>
  <c r="R123" i="19"/>
  <c r="R140" i="19"/>
  <c r="R155" i="19"/>
  <c r="R173" i="19"/>
  <c r="R189" i="19"/>
  <c r="R206" i="19"/>
  <c r="R226" i="19"/>
  <c r="R241" i="19"/>
  <c r="R262" i="19"/>
  <c r="R282" i="19"/>
  <c r="R302" i="19"/>
  <c r="N3" i="2"/>
  <c r="N81" i="2"/>
  <c r="N225" i="2"/>
  <c r="R339" i="19"/>
  <c r="R331" i="19"/>
  <c r="R323" i="19"/>
  <c r="R315" i="19"/>
  <c r="R307" i="19"/>
  <c r="R299" i="19"/>
  <c r="R291" i="19"/>
  <c r="R283" i="19"/>
  <c r="R275" i="19"/>
  <c r="R267" i="19"/>
  <c r="R259" i="19"/>
  <c r="R251" i="19"/>
  <c r="R243" i="19"/>
  <c r="R336" i="19"/>
  <c r="R328" i="19"/>
  <c r="R320" i="19"/>
  <c r="R312" i="19"/>
  <c r="R304" i="19"/>
  <c r="R296" i="19"/>
  <c r="R288" i="19"/>
  <c r="R280" i="19"/>
  <c r="R272" i="19"/>
  <c r="R264" i="19"/>
  <c r="R256" i="19"/>
  <c r="R248" i="19"/>
  <c r="R240" i="19"/>
  <c r="R232" i="19"/>
  <c r="R224" i="19"/>
  <c r="R216" i="19"/>
  <c r="R208" i="19"/>
  <c r="R200" i="19"/>
  <c r="R192" i="19"/>
  <c r="R184" i="19"/>
  <c r="R176" i="19"/>
  <c r="R168" i="19"/>
  <c r="R160" i="19"/>
  <c r="R152" i="19"/>
  <c r="R144" i="19"/>
  <c r="R136" i="19"/>
  <c r="R128" i="19"/>
  <c r="R120" i="19"/>
  <c r="R112" i="19"/>
  <c r="R104" i="19"/>
  <c r="R96" i="19"/>
  <c r="R88" i="19"/>
  <c r="R80" i="19"/>
  <c r="R72" i="19"/>
  <c r="R64" i="19"/>
  <c r="R56" i="19"/>
  <c r="R48" i="19"/>
  <c r="R40" i="19"/>
  <c r="R32" i="19"/>
  <c r="R24" i="19"/>
  <c r="R16" i="19"/>
  <c r="R8" i="19"/>
  <c r="R335" i="19"/>
  <c r="R327" i="19"/>
  <c r="R319" i="19"/>
  <c r="R311" i="19"/>
  <c r="R303" i="19"/>
  <c r="R295" i="19"/>
  <c r="R287" i="19"/>
  <c r="R279" i="19"/>
  <c r="R271" i="19"/>
  <c r="R263" i="19"/>
  <c r="R255" i="19"/>
  <c r="R247" i="19"/>
  <c r="R239" i="19"/>
  <c r="R231" i="19"/>
  <c r="R223" i="19"/>
  <c r="R215" i="19"/>
  <c r="R207" i="19"/>
  <c r="R199" i="19"/>
  <c r="R191" i="19"/>
  <c r="R183" i="19"/>
  <c r="R175" i="19"/>
  <c r="R167" i="19"/>
  <c r="R159" i="19"/>
  <c r="R151" i="19"/>
  <c r="R143" i="19"/>
  <c r="R135" i="19"/>
  <c r="R337" i="19"/>
  <c r="R324" i="19"/>
  <c r="R310" i="19"/>
  <c r="R298" i="19"/>
  <c r="R285" i="19"/>
  <c r="R273" i="19"/>
  <c r="R260" i="19"/>
  <c r="R246" i="19"/>
  <c r="R235" i="19"/>
  <c r="R225" i="19"/>
  <c r="R213" i="19"/>
  <c r="R203" i="19"/>
  <c r="R193" i="19"/>
  <c r="R181" i="19"/>
  <c r="R171" i="19"/>
  <c r="R161" i="19"/>
  <c r="R149" i="19"/>
  <c r="R139" i="19"/>
  <c r="R129" i="19"/>
  <c r="R119" i="19"/>
  <c r="R110" i="19"/>
  <c r="R101" i="19"/>
  <c r="R92" i="19"/>
  <c r="R83" i="19"/>
  <c r="R74" i="19"/>
  <c r="R65" i="19"/>
  <c r="R55" i="19"/>
  <c r="R46" i="19"/>
  <c r="R37" i="19"/>
  <c r="R28" i="19"/>
  <c r="R19" i="19"/>
  <c r="R10" i="19"/>
  <c r="R334" i="19"/>
  <c r="R322" i="19"/>
  <c r="R309" i="19"/>
  <c r="R297" i="19"/>
  <c r="R284" i="19"/>
  <c r="R270" i="19"/>
  <c r="R258" i="19"/>
  <c r="R245" i="19"/>
  <c r="R234" i="19"/>
  <c r="R222" i="19"/>
  <c r="R212" i="19"/>
  <c r="R202" i="19"/>
  <c r="R190" i="19"/>
  <c r="R180" i="19"/>
  <c r="R170" i="19"/>
  <c r="R158" i="19"/>
  <c r="R148" i="19"/>
  <c r="R138" i="19"/>
  <c r="R127" i="19"/>
  <c r="R118" i="19"/>
  <c r="R109" i="19"/>
  <c r="R100" i="19"/>
  <c r="R91" i="19"/>
  <c r="R82" i="19"/>
  <c r="R73" i="19"/>
  <c r="R63" i="19"/>
  <c r="R54" i="19"/>
  <c r="R45" i="19"/>
  <c r="R36" i="19"/>
  <c r="R27" i="19"/>
  <c r="R18" i="19"/>
  <c r="R9" i="19"/>
  <c r="R332" i="19"/>
  <c r="R318" i="19"/>
  <c r="R306" i="19"/>
  <c r="R293" i="19"/>
  <c r="R281" i="19"/>
  <c r="R268" i="19"/>
  <c r="R254" i="19"/>
  <c r="R242" i="19"/>
  <c r="R230" i="19"/>
  <c r="R220" i="19"/>
  <c r="R210" i="19"/>
  <c r="R198" i="19"/>
  <c r="R188" i="19"/>
  <c r="R178" i="19"/>
  <c r="R166" i="19"/>
  <c r="R156" i="19"/>
  <c r="R146" i="19"/>
  <c r="R134" i="19"/>
  <c r="R125" i="19"/>
  <c r="R116" i="19"/>
  <c r="R107" i="19"/>
  <c r="R98" i="19"/>
  <c r="R89" i="19"/>
  <c r="R79" i="19"/>
  <c r="R70" i="19"/>
  <c r="R61" i="19"/>
  <c r="R52" i="19"/>
  <c r="R43" i="19"/>
  <c r="R34" i="19"/>
  <c r="R25" i="19"/>
  <c r="R15" i="19"/>
  <c r="R6" i="19"/>
  <c r="B11" i="19"/>
  <c r="B19" i="19"/>
  <c r="B27" i="19"/>
  <c r="B35" i="19"/>
  <c r="B43" i="19"/>
  <c r="B51" i="19"/>
  <c r="B61" i="19"/>
  <c r="B70" i="19"/>
  <c r="B80" i="19"/>
  <c r="B91" i="19"/>
  <c r="B102" i="19"/>
  <c r="B112" i="19"/>
  <c r="B123" i="19"/>
  <c r="B134" i="19"/>
  <c r="B144" i="19"/>
  <c r="B155" i="19"/>
  <c r="B166" i="19"/>
  <c r="B176" i="19"/>
  <c r="B187" i="19"/>
  <c r="B198" i="19"/>
  <c r="B208" i="19"/>
  <c r="B219" i="19"/>
  <c r="B230" i="19"/>
  <c r="B240" i="19"/>
  <c r="B251" i="19"/>
  <c r="B262" i="19"/>
  <c r="B272" i="19"/>
  <c r="B283" i="19"/>
  <c r="B295" i="19"/>
  <c r="B309" i="19"/>
  <c r="B320" i="19"/>
  <c r="B334" i="19"/>
  <c r="R7" i="19"/>
  <c r="R22" i="19"/>
  <c r="R38" i="19"/>
  <c r="R51" i="19"/>
  <c r="R67" i="19"/>
  <c r="R81" i="19"/>
  <c r="R95" i="19"/>
  <c r="R111" i="19"/>
  <c r="R124" i="19"/>
  <c r="R141" i="19"/>
  <c r="R157" i="19"/>
  <c r="R174" i="19"/>
  <c r="R194" i="19"/>
  <c r="R209" i="19"/>
  <c r="R227" i="19"/>
  <c r="R244" i="19"/>
  <c r="R265" i="19"/>
  <c r="R286" i="19"/>
  <c r="R305" i="19"/>
  <c r="R326" i="19"/>
  <c r="N15" i="2"/>
  <c r="N94" i="2"/>
  <c r="N336" i="2"/>
  <c r="N328" i="2"/>
  <c r="N320" i="2"/>
  <c r="N312" i="2"/>
  <c r="N304" i="2"/>
  <c r="N296" i="2"/>
  <c r="N288" i="2"/>
  <c r="N280" i="2"/>
  <c r="N272" i="2"/>
  <c r="N264" i="2"/>
  <c r="N256" i="2"/>
  <c r="N248" i="2"/>
  <c r="N240" i="2"/>
  <c r="N232" i="2"/>
  <c r="N224" i="2"/>
  <c r="N216" i="2"/>
  <c r="N208" i="2"/>
  <c r="N200" i="2"/>
  <c r="N192" i="2"/>
  <c r="N184" i="2"/>
  <c r="N176" i="2"/>
  <c r="N168" i="2"/>
  <c r="N160" i="2"/>
  <c r="N152" i="2"/>
  <c r="N144" i="2"/>
  <c r="N136" i="2"/>
  <c r="N128" i="2"/>
  <c r="N120" i="2"/>
  <c r="N112" i="2"/>
  <c r="N104" i="2"/>
  <c r="N96" i="2"/>
  <c r="N88" i="2"/>
  <c r="N80" i="2"/>
  <c r="N72" i="2"/>
  <c r="N64" i="2"/>
  <c r="N56" i="2"/>
  <c r="N48" i="2"/>
  <c r="N40" i="2"/>
  <c r="N32" i="2"/>
  <c r="N24" i="2"/>
  <c r="N16" i="2"/>
  <c r="N8" i="2"/>
  <c r="N335" i="2"/>
  <c r="N327" i="2"/>
  <c r="N319" i="2"/>
  <c r="N311" i="2"/>
  <c r="N303" i="2"/>
  <c r="N295" i="2"/>
  <c r="N287" i="2"/>
  <c r="N279" i="2"/>
  <c r="N271" i="2"/>
  <c r="N263" i="2"/>
  <c r="N255" i="2"/>
  <c r="N247" i="2"/>
  <c r="N239" i="2"/>
  <c r="N231" i="2"/>
  <c r="N223" i="2"/>
  <c r="N215" i="2"/>
  <c r="N207" i="2"/>
  <c r="N199" i="2"/>
  <c r="N191" i="2"/>
  <c r="N183" i="2"/>
  <c r="N175" i="2"/>
  <c r="N167" i="2"/>
  <c r="N159" i="2"/>
  <c r="N151" i="2"/>
  <c r="N143" i="2"/>
  <c r="N135" i="2"/>
  <c r="N127" i="2"/>
  <c r="N334" i="2"/>
  <c r="N326" i="2"/>
  <c r="N318" i="2"/>
  <c r="N310" i="2"/>
  <c r="N302" i="2"/>
  <c r="N294" i="2"/>
  <c r="N286" i="2"/>
  <c r="N278" i="2"/>
  <c r="N270" i="2"/>
  <c r="N262" i="2"/>
  <c r="N254" i="2"/>
  <c r="N246" i="2"/>
  <c r="N238" i="2"/>
  <c r="N230" i="2"/>
  <c r="N222" i="2"/>
  <c r="N214" i="2"/>
  <c r="N206" i="2"/>
  <c r="N198" i="2"/>
  <c r="N190" i="2"/>
  <c r="N182" i="2"/>
  <c r="N174" i="2"/>
  <c r="N166" i="2"/>
  <c r="N158" i="2"/>
  <c r="N150" i="2"/>
  <c r="N142" i="2"/>
  <c r="N134" i="2"/>
  <c r="N126" i="2"/>
  <c r="N333" i="2"/>
  <c r="N325" i="2"/>
  <c r="N317" i="2"/>
  <c r="N309" i="2"/>
  <c r="N301" i="2"/>
  <c r="N293" i="2"/>
  <c r="N285" i="2"/>
  <c r="N277" i="2"/>
  <c r="N269" i="2"/>
  <c r="N261" i="2"/>
  <c r="N253" i="2"/>
  <c r="N245" i="2"/>
  <c r="N237" i="2"/>
  <c r="N229" i="2"/>
  <c r="N221" i="2"/>
  <c r="N213" i="2"/>
  <c r="N205" i="2"/>
  <c r="N197" i="2"/>
  <c r="N189" i="2"/>
  <c r="N181" i="2"/>
  <c r="N173" i="2"/>
  <c r="N165" i="2"/>
  <c r="N157" i="2"/>
  <c r="N149" i="2"/>
  <c r="N141" i="2"/>
  <c r="N133" i="2"/>
  <c r="N125" i="2"/>
  <c r="N117" i="2"/>
  <c r="N109" i="2"/>
  <c r="N101" i="2"/>
  <c r="N93" i="2"/>
  <c r="N85" i="2"/>
  <c r="N77" i="2"/>
  <c r="N69" i="2"/>
  <c r="N61" i="2"/>
  <c r="N53" i="2"/>
  <c r="N45" i="2"/>
  <c r="N37" i="2"/>
  <c r="N29" i="2"/>
  <c r="N21" i="2"/>
  <c r="N13" i="2"/>
  <c r="N5" i="2"/>
  <c r="N332" i="2"/>
  <c r="N324" i="2"/>
  <c r="N316" i="2"/>
  <c r="N308" i="2"/>
  <c r="N300" i="2"/>
  <c r="N292" i="2"/>
  <c r="N284" i="2"/>
  <c r="N276" i="2"/>
  <c r="N268" i="2"/>
  <c r="N260" i="2"/>
  <c r="N252" i="2"/>
  <c r="N244" i="2"/>
  <c r="N236" i="2"/>
  <c r="N228" i="2"/>
  <c r="N220" i="2"/>
  <c r="N212" i="2"/>
  <c r="N204" i="2"/>
  <c r="N196" i="2"/>
  <c r="N188" i="2"/>
  <c r="N180" i="2"/>
  <c r="N172" i="2"/>
  <c r="N164" i="2"/>
  <c r="N156" i="2"/>
  <c r="N148" i="2"/>
  <c r="N140" i="2"/>
  <c r="N132" i="2"/>
  <c r="N124" i="2"/>
  <c r="N116" i="2"/>
  <c r="N108" i="2"/>
  <c r="N100" i="2"/>
  <c r="N92" i="2"/>
  <c r="N84" i="2"/>
  <c r="N76" i="2"/>
  <c r="N68" i="2"/>
  <c r="N60" i="2"/>
  <c r="N52" i="2"/>
  <c r="N44" i="2"/>
  <c r="N36" i="2"/>
  <c r="N28" i="2"/>
  <c r="N20" i="2"/>
  <c r="N12" i="2"/>
  <c r="N4" i="2"/>
  <c r="N331" i="2"/>
  <c r="N330" i="2"/>
  <c r="N329" i="2"/>
  <c r="N306" i="2"/>
  <c r="N283" i="2"/>
  <c r="N265" i="2"/>
  <c r="N242" i="2"/>
  <c r="N219" i="2"/>
  <c r="N201" i="2"/>
  <c r="N178" i="2"/>
  <c r="N155" i="2"/>
  <c r="N137" i="2"/>
  <c r="N118" i="2"/>
  <c r="N105" i="2"/>
  <c r="N91" i="2"/>
  <c r="N79" i="2"/>
  <c r="N66" i="2"/>
  <c r="N54" i="2"/>
  <c r="N41" i="2"/>
  <c r="N323" i="2"/>
  <c r="N305" i="2"/>
  <c r="N282" i="2"/>
  <c r="N259" i="2"/>
  <c r="N241" i="2"/>
  <c r="N218" i="2"/>
  <c r="N195" i="2"/>
  <c r="N177" i="2"/>
  <c r="N154" i="2"/>
  <c r="N131" i="2"/>
  <c r="N115" i="2"/>
  <c r="N103" i="2"/>
  <c r="N90" i="2"/>
  <c r="N78" i="2"/>
  <c r="N65" i="2"/>
  <c r="N51" i="2"/>
  <c r="N39" i="2"/>
  <c r="N26" i="2"/>
  <c r="N14" i="2"/>
  <c r="N322" i="2"/>
  <c r="N299" i="2"/>
  <c r="N281" i="2"/>
  <c r="N258" i="2"/>
  <c r="N235" i="2"/>
  <c r="N217" i="2"/>
  <c r="N194" i="2"/>
  <c r="N171" i="2"/>
  <c r="N153" i="2"/>
  <c r="N130" i="2"/>
  <c r="N114" i="2"/>
  <c r="N102" i="2"/>
  <c r="N89" i="2"/>
  <c r="N75" i="2"/>
  <c r="N63" i="2"/>
  <c r="N50" i="2"/>
  <c r="N38" i="2"/>
  <c r="N25" i="2"/>
  <c r="N11" i="2"/>
  <c r="N321" i="2"/>
  <c r="N298" i="2"/>
  <c r="N275" i="2"/>
  <c r="N257" i="2"/>
  <c r="N234" i="2"/>
  <c r="N211" i="2"/>
  <c r="N193" i="2"/>
  <c r="N170" i="2"/>
  <c r="N147" i="2"/>
  <c r="N129" i="2"/>
  <c r="N113" i="2"/>
  <c r="N99" i="2"/>
  <c r="N87" i="2"/>
  <c r="N74" i="2"/>
  <c r="N62" i="2"/>
  <c r="N49" i="2"/>
  <c r="N35" i="2"/>
  <c r="N23" i="2"/>
  <c r="N10" i="2"/>
  <c r="N315" i="2"/>
  <c r="N297" i="2"/>
  <c r="N274" i="2"/>
  <c r="N251" i="2"/>
  <c r="N233" i="2"/>
  <c r="N210" i="2"/>
  <c r="N187" i="2"/>
  <c r="N169" i="2"/>
  <c r="N146" i="2"/>
  <c r="N123" i="2"/>
  <c r="N111" i="2"/>
  <c r="N98" i="2"/>
  <c r="N86" i="2"/>
  <c r="N73" i="2"/>
  <c r="N59" i="2"/>
  <c r="N47" i="2"/>
  <c r="N34" i="2"/>
  <c r="N22" i="2"/>
  <c r="N9" i="2"/>
  <c r="N314" i="2"/>
  <c r="N291" i="2"/>
  <c r="N273" i="2"/>
  <c r="N250" i="2"/>
  <c r="N227" i="2"/>
  <c r="N209" i="2"/>
  <c r="N186" i="2"/>
  <c r="N163" i="2"/>
  <c r="N145" i="2"/>
  <c r="N122" i="2"/>
  <c r="N110" i="2"/>
  <c r="N97" i="2"/>
  <c r="N83" i="2"/>
  <c r="N71" i="2"/>
  <c r="N58" i="2"/>
  <c r="N46" i="2"/>
  <c r="N33" i="2"/>
  <c r="N19" i="2"/>
  <c r="N7" i="2"/>
  <c r="N313" i="2"/>
  <c r="N290" i="2"/>
  <c r="N267" i="2"/>
  <c r="N249" i="2"/>
  <c r="N226" i="2"/>
  <c r="N203" i="2"/>
  <c r="N185" i="2"/>
  <c r="N162" i="2"/>
  <c r="N139" i="2"/>
  <c r="N121" i="2"/>
  <c r="N107" i="2"/>
  <c r="N95" i="2"/>
  <c r="N82" i="2"/>
  <c r="N70" i="2"/>
  <c r="N57" i="2"/>
  <c r="N43" i="2"/>
  <c r="N31" i="2"/>
  <c r="N18" i="2"/>
  <c r="N6" i="2"/>
  <c r="B71" i="19"/>
  <c r="B82" i="19"/>
  <c r="B93" i="19"/>
  <c r="B125" i="19"/>
  <c r="B135" i="19"/>
  <c r="B146" i="19"/>
  <c r="B157" i="19"/>
  <c r="B167" i="19"/>
  <c r="B178" i="19"/>
  <c r="B189" i="19"/>
  <c r="B199" i="19"/>
  <c r="B210" i="19"/>
  <c r="B221" i="19"/>
  <c r="B231" i="19"/>
  <c r="B242" i="19"/>
  <c r="B253" i="19"/>
  <c r="B263" i="19"/>
  <c r="B274" i="19"/>
  <c r="B285" i="19"/>
  <c r="B296" i="19"/>
  <c r="B310" i="19"/>
  <c r="B322" i="19"/>
  <c r="B335" i="19"/>
  <c r="R39" i="19"/>
  <c r="R53" i="19"/>
  <c r="R68" i="19"/>
  <c r="R84" i="19"/>
  <c r="R97" i="19"/>
  <c r="R113" i="19"/>
  <c r="R126" i="19"/>
  <c r="R142" i="19"/>
  <c r="R162" i="19"/>
  <c r="R177" i="19"/>
  <c r="R195" i="19"/>
  <c r="R211" i="19"/>
  <c r="R228" i="19"/>
  <c r="R249" i="19"/>
  <c r="R266" i="19"/>
  <c r="R289" i="19"/>
  <c r="R308" i="19"/>
  <c r="R329" i="19"/>
  <c r="N17" i="2"/>
  <c r="N106" i="2"/>
  <c r="N266" i="2"/>
  <c r="B54" i="19"/>
  <c r="B83" i="19"/>
  <c r="B126" i="19"/>
  <c r="B168" i="19"/>
  <c r="B232" i="19"/>
  <c r="R41" i="19"/>
  <c r="R57" i="19"/>
  <c r="R69" i="19"/>
  <c r="R85" i="19"/>
  <c r="R99" i="19"/>
  <c r="R114" i="19"/>
  <c r="R130" i="19"/>
  <c r="R145" i="19"/>
  <c r="R163" i="19"/>
  <c r="R179" i="19"/>
  <c r="R196" i="19"/>
  <c r="R214" i="19"/>
  <c r="R229" i="19"/>
  <c r="R250" i="19"/>
  <c r="R269" i="19"/>
  <c r="R290" i="19"/>
  <c r="R313" i="19"/>
  <c r="R330" i="19"/>
  <c r="N27" i="2"/>
  <c r="N119" i="2"/>
  <c r="N289" i="2"/>
  <c r="B114" i="19"/>
  <c r="B45" i="19"/>
  <c r="B72" i="19"/>
  <c r="B94" i="19"/>
  <c r="B115" i="19"/>
  <c r="B136" i="19"/>
  <c r="B147" i="19"/>
  <c r="B158" i="19"/>
  <c r="B179" i="19"/>
  <c r="B200" i="19"/>
  <c r="B211" i="19"/>
  <c r="B222" i="19"/>
  <c r="B243" i="19"/>
  <c r="B254" i="19"/>
  <c r="B264" i="19"/>
  <c r="B275" i="19"/>
  <c r="B286" i="19"/>
  <c r="B298" i="19"/>
  <c r="B311" i="19"/>
  <c r="B325" i="19"/>
  <c r="B336" i="19"/>
  <c r="B14" i="19"/>
  <c r="B30" i="19"/>
  <c r="B46" i="19"/>
  <c r="B64" i="19"/>
  <c r="B85" i="19"/>
  <c r="B117" i="19"/>
  <c r="B138" i="19"/>
  <c r="B170" i="19"/>
  <c r="B202" i="19"/>
  <c r="B234" i="19"/>
  <c r="B277" i="19"/>
  <c r="R42" i="19"/>
  <c r="R314" i="19"/>
  <c r="N30" i="2"/>
  <c r="N307" i="2"/>
  <c r="B5" i="19"/>
  <c r="Q2" i="19"/>
  <c r="R2" i="19" s="1"/>
  <c r="M2" i="2"/>
  <c r="N2" i="2" s="1"/>
  <c r="A2" i="19"/>
  <c r="B2" i="19" s="1"/>
  <c r="AJ2" i="1" l="1"/>
  <c r="O3" i="2"/>
  <c r="O4" i="2" s="1"/>
  <c r="O5" i="2" s="1"/>
  <c r="X2" i="2" s="1"/>
  <c r="O7" i="2"/>
  <c r="O8" i="2" s="1"/>
  <c r="O9" i="2" s="1"/>
  <c r="AA2"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R6" authorId="0" shapeId="0" xr:uid="{38400129-DC43-4E83-A512-DAC79BA8FD78}">
      <text>
        <r>
          <rPr>
            <b/>
            <sz val="9"/>
            <color indexed="81"/>
            <rFont val="Tahoma"/>
            <family val="2"/>
          </rPr>
          <t>Adam H. Lisbon:</t>
        </r>
        <r>
          <rPr>
            <sz val="9"/>
            <color indexed="81"/>
            <rFont val="Tahoma"/>
            <family val="2"/>
          </rPr>
          <t xml:space="preserve">
Applies to the ISBN13 and ISBN 10 column.
Book sets will have multiple ISBN's.
They should be in numeric order of their volume nunmbers. Double check if there is an ISBN for the set.
Press ctrl + numpad8 OR ctrl + F8 to bring up a menu to keep only 1 ISBN.</t>
        </r>
      </text>
    </comment>
    <comment ref="U6" authorId="0" shapeId="0" xr:uid="{DEFA84B4-33A2-43D9-807C-DE97FF5C11AF}">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W6" authorId="0" shapeId="0" xr:uid="{349CA48E-0403-4BA4-89EC-CD13377A5A75}">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AD6" authorId="0" shapeId="0" xr:uid="{6D2CC456-3D0F-41F9-BD84-C2D0242747E3}">
      <text>
        <r>
          <rPr>
            <b/>
            <sz val="9"/>
            <color indexed="81"/>
            <rFont val="Tahoma"/>
            <family val="2"/>
          </rPr>
          <t xml:space="preserve">Adam H. Lisbon:
Non-Roman series titles can only be obtained in FirstSearch
</t>
        </r>
        <r>
          <rPr>
            <sz val="9"/>
            <color indexed="81"/>
            <rFont val="Tahoma"/>
            <family val="2"/>
          </rPr>
          <t xml:space="preserve">
</t>
        </r>
      </text>
    </comment>
    <comment ref="AK6" authorId="0" shapeId="0" xr:uid="{816EE3E5-0B15-49EC-8A2F-AEF0D46E6C5B}">
      <text>
        <r>
          <rPr>
            <b/>
            <sz val="9"/>
            <color indexed="81"/>
            <rFont val="Tahoma"/>
            <family val="2"/>
          </rPr>
          <t>Adam H. Lisbon:</t>
        </r>
        <r>
          <rPr>
            <sz val="9"/>
            <color indexed="81"/>
            <rFont val="Tahoma"/>
            <family val="2"/>
          </rPr>
          <t xml:space="preserve">
Use ISO abbreviations for currencies: https://en.wikipedia.org/wiki/ISO_4217#Active_codes_(List_One)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1"/>
        </ext>
      </extLst>
    </bk>
    <bk>
      <extLst>
        <ext uri="{3e2802c4-a4d2-4d8b-9148-e3be6c30e623}">
          <xlrd:rvb i="3"/>
        </ext>
      </extLst>
    </bk>
    <bk>
      <extLst>
        <ext uri="{3e2802c4-a4d2-4d8b-9148-e3be6c30e623}">
          <xlrd:rvb i="5"/>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<sst xmlns="http://schemas.openxmlformats.org/spreadsheetml/2006/main" count="15234" uniqueCount="1026">
  <si>
    <t>6</t>
  </si>
  <si>
    <t>9</t>
  </si>
  <si>
    <t>Value Analysis</t>
  </si>
  <si>
    <t>Requester Data</t>
  </si>
  <si>
    <t>Acquistions Data</t>
  </si>
  <si>
    <t>Price Data</t>
  </si>
  <si>
    <t>2</t>
  </si>
  <si>
    <t>3</t>
  </si>
  <si>
    <t>4</t>
  </si>
  <si>
    <t>5</t>
  </si>
  <si>
    <t>7</t>
  </si>
  <si>
    <t>10</t>
  </si>
  <si>
    <t>11</t>
  </si>
  <si>
    <t>12</t>
  </si>
  <si>
    <t>13</t>
  </si>
  <si>
    <t>14</t>
  </si>
  <si>
    <t>15</t>
  </si>
  <si>
    <t>16</t>
  </si>
  <si>
    <t>17</t>
  </si>
  <si>
    <t>18</t>
  </si>
  <si>
    <t>19</t>
  </si>
  <si>
    <t>20</t>
  </si>
  <si>
    <t>21</t>
  </si>
  <si>
    <t>22</t>
  </si>
  <si>
    <t>23</t>
  </si>
  <si>
    <t>24</t>
  </si>
  <si>
    <t>25</t>
  </si>
  <si>
    <t>26</t>
  </si>
  <si>
    <t>27</t>
  </si>
  <si>
    <t>28</t>
  </si>
  <si>
    <t>29</t>
  </si>
  <si>
    <t>30</t>
  </si>
  <si>
    <t>31</t>
  </si>
  <si>
    <t>32</t>
  </si>
  <si>
    <t>34</t>
  </si>
  <si>
    <t>free</t>
  </si>
  <si>
    <t>formatted</t>
  </si>
  <si>
    <t>macro</t>
  </si>
  <si>
    <t xml:space="preserve">macro </t>
  </si>
  <si>
    <t>PO#</t>
  </si>
  <si>
    <t>Requester</t>
  </si>
  <si>
    <t>Pref. Vendor</t>
  </si>
  <si>
    <t>URL for Price Check</t>
  </si>
  <si>
    <t>Collection</t>
  </si>
  <si>
    <t>Total
Vols.</t>
  </si>
  <si>
    <t>Dupe
ISBN
Check</t>
  </si>
  <si>
    <t>Dupe
Title
Check</t>
  </si>
  <si>
    <t>Dupe Check in WC / FS</t>
  </si>
  <si>
    <t>ISBN13#/
ISSN#</t>
  </si>
  <si>
    <t>ISBN10#/
ISSN#</t>
  </si>
  <si>
    <t>OCLC#</t>
  </si>
  <si>
    <t>Language</t>
  </si>
  <si>
    <t>Translated Title (Unofficial)</t>
  </si>
  <si>
    <t>Title (R/E)</t>
  </si>
  <si>
    <t>Title (N)</t>
  </si>
  <si>
    <t>Creator (R/E)</t>
  </si>
  <si>
    <t>Creator (N)</t>
  </si>
  <si>
    <t>Series (R/E)</t>
  </si>
  <si>
    <t>Series (N)</t>
  </si>
  <si>
    <t>Publisher (R/E)</t>
  </si>
  <si>
    <t>Publisher (N)</t>
  </si>
  <si>
    <t>Pub Date (RE)</t>
  </si>
  <si>
    <t>Pub Date (N)</t>
  </si>
  <si>
    <t>Edition (RE)</t>
  </si>
  <si>
    <t>Edition (N)</t>
  </si>
  <si>
    <t>Subject Headings</t>
  </si>
  <si>
    <t>Currency</t>
  </si>
  <si>
    <t>dupe</t>
  </si>
  <si>
    <t>Japanese</t>
  </si>
  <si>
    <t>Heibonsha</t>
  </si>
  <si>
    <t>平凡社</t>
  </si>
  <si>
    <t>2018</t>
  </si>
  <si>
    <t>jpy</t>
  </si>
  <si>
    <t>asnst</t>
  </si>
  <si>
    <t>Kōbun Shuppan</t>
  </si>
  <si>
    <t>好文出版</t>
  </si>
  <si>
    <t>-</t>
  </si>
  <si>
    <t>Kyūko Shoin</t>
  </si>
  <si>
    <t>汲古書院</t>
  </si>
  <si>
    <t>2006</t>
  </si>
  <si>
    <t>Yoshikawa Kōbunkan</t>
  </si>
  <si>
    <t>吉川弘文館</t>
  </si>
  <si>
    <t>asnref</t>
  </si>
  <si>
    <t>Ariake Shobō</t>
  </si>
  <si>
    <t>有明書房</t>
  </si>
  <si>
    <t>Taishūkan Shoten</t>
  </si>
  <si>
    <t>大修館書店</t>
  </si>
  <si>
    <t>Kōbundō</t>
  </si>
  <si>
    <t>弘文堂</t>
  </si>
  <si>
    <t>Hatsubaimoto Kinokuniya Shoten</t>
  </si>
  <si>
    <t>発売元紀伊國屋書店</t>
  </si>
  <si>
    <t>Kōdansha</t>
  </si>
  <si>
    <t>講談社</t>
  </si>
  <si>
    <t>1980</t>
  </si>
  <si>
    <t>2012</t>
  </si>
  <si>
    <t>Meicho Kankōkai</t>
  </si>
  <si>
    <t>名長官公開</t>
  </si>
  <si>
    <t>1978</t>
  </si>
  <si>
    <t>1979</t>
  </si>
  <si>
    <t>1997</t>
  </si>
  <si>
    <t>Benseisha</t>
  </si>
  <si>
    <t>勉誠社</t>
  </si>
  <si>
    <t>1976-1978</t>
  </si>
  <si>
    <t>Kansai Daigaku Shuppan</t>
  </si>
  <si>
    <t>関西大学出版</t>
  </si>
  <si>
    <t>1979-1981</t>
  </si>
  <si>
    <t>Kōseisha</t>
  </si>
  <si>
    <t>皓星社</t>
  </si>
  <si>
    <t>1999</t>
  </si>
  <si>
    <t>Shin Jinbutsu Ōraisha</t>
  </si>
  <si>
    <t>新人物往来社</t>
  </si>
  <si>
    <t>1986-1987</t>
  </si>
  <si>
    <t xml:space="preserve">1987- </t>
  </si>
  <si>
    <t>Kabushiki Kaisha Yūzankaku</t>
  </si>
  <si>
    <t>雄山閣</t>
  </si>
  <si>
    <t>2015</t>
  </si>
  <si>
    <t xml:space="preserve">1978- </t>
  </si>
  <si>
    <t>Shūfūsha</t>
  </si>
  <si>
    <t>柊風舎</t>
  </si>
  <si>
    <t>2009</t>
  </si>
  <si>
    <t>Hōzōkan</t>
  </si>
  <si>
    <t>法藏館</t>
  </si>
  <si>
    <t>1992</t>
  </si>
  <si>
    <t>Shibunkaku Shuppan</t>
  </si>
  <si>
    <t>思文閣出版</t>
  </si>
  <si>
    <t>1988</t>
  </si>
  <si>
    <t>Kashiwa Shobō</t>
  </si>
  <si>
    <t>柏書房</t>
  </si>
  <si>
    <t>1966</t>
  </si>
  <si>
    <t>Kōdansha gakujutsu bunko</t>
  </si>
  <si>
    <t>講談社学術文庫</t>
  </si>
  <si>
    <t>1983</t>
  </si>
  <si>
    <t>2013</t>
  </si>
  <si>
    <t>Bungaku Tsūshin</t>
  </si>
  <si>
    <t>2020</t>
  </si>
  <si>
    <t>Kenbun Shuppan</t>
  </si>
  <si>
    <t>研文出版</t>
  </si>
  <si>
    <t>Iwanami Shoten</t>
  </si>
  <si>
    <t>岩波書店</t>
  </si>
  <si>
    <t>1963</t>
  </si>
  <si>
    <t>2007</t>
  </si>
  <si>
    <t>Heirakuji Shoten</t>
  </si>
  <si>
    <t>平楽寺書店</t>
  </si>
  <si>
    <t>1996</t>
  </si>
  <si>
    <t>Yūzankaku Shuppan</t>
  </si>
  <si>
    <t>雄山閣出版</t>
  </si>
  <si>
    <t>Chikuma Shobō</t>
  </si>
  <si>
    <t>筑摩書房</t>
  </si>
  <si>
    <t>Nihongo-Bunpō</t>
  </si>
  <si>
    <t>Izumi Shoin</t>
  </si>
  <si>
    <t>和泉書院</t>
  </si>
  <si>
    <t>Shirīzu Nihonjin no tenarai</t>
  </si>
  <si>
    <t>シリーズ日本人の手習い</t>
  </si>
  <si>
    <t>2002</t>
  </si>
  <si>
    <t>Seishodō Shoten</t>
  </si>
  <si>
    <t>青裳堂書店</t>
  </si>
  <si>
    <t>1989</t>
  </si>
  <si>
    <t>Kotowaza</t>
  </si>
  <si>
    <t>Nihongo -- Gairaigo -- Jisho</t>
  </si>
  <si>
    <t>2017</t>
  </si>
  <si>
    <t>山本書店出版部研文出版</t>
  </si>
  <si>
    <t>1987</t>
  </si>
  <si>
    <t xml:space="preserve">1979- </t>
  </si>
  <si>
    <t>2005</t>
  </si>
  <si>
    <t>Kanshi</t>
  </si>
  <si>
    <t>Hōyūshoten</t>
  </si>
  <si>
    <t>朋友書店</t>
  </si>
  <si>
    <t>Chūgokugo-Bunpō</t>
  </si>
  <si>
    <t>Shibunkaku Shuppsn</t>
  </si>
  <si>
    <t>1991</t>
  </si>
  <si>
    <t>名著普及会</t>
  </si>
  <si>
    <t>1981</t>
  </si>
  <si>
    <t>2010</t>
  </si>
  <si>
    <t>2021</t>
  </si>
  <si>
    <t>Kanji-Jiten</t>
  </si>
  <si>
    <t>Meiji Shoin</t>
  </si>
  <si>
    <t>明治書院</t>
  </si>
  <si>
    <t>2011</t>
  </si>
  <si>
    <t>Hōyū Shoten</t>
  </si>
  <si>
    <t>Kadokawa</t>
  </si>
  <si>
    <t>KADOKAWA</t>
  </si>
  <si>
    <t>2023</t>
  </si>
  <si>
    <t>2014</t>
  </si>
  <si>
    <t>2001</t>
  </si>
  <si>
    <t>Wakakusa Shobō</t>
  </si>
  <si>
    <t>若草書房</t>
  </si>
  <si>
    <t>shuppan -- nihon -- rekishi -- edojidai</t>
  </si>
  <si>
    <t>Bensei Shuppan</t>
  </si>
  <si>
    <t>勉誠出版</t>
  </si>
  <si>
    <t>長沢規矩也先生喜寿記念会</t>
  </si>
  <si>
    <t>1995</t>
  </si>
  <si>
    <t>Shoshigaku -- Jisho</t>
  </si>
  <si>
    <t>Nippon Hōsō Shuppan Ky{229]okai</t>
  </si>
  <si>
    <t>日本放送出版協会</t>
  </si>
  <si>
    <t>1975</t>
  </si>
  <si>
    <t>Tōkyōdō Shuppan</t>
  </si>
  <si>
    <t>東京堂出版</t>
  </si>
  <si>
    <t>2003</t>
  </si>
  <si>
    <t>2022</t>
  </si>
  <si>
    <t>Popurasha</t>
  </si>
  <si>
    <t>ポプラ社</t>
  </si>
  <si>
    <t>Shōgakukan</t>
  </si>
  <si>
    <t>小学館</t>
  </si>
  <si>
    <t>Futabasha</t>
  </si>
  <si>
    <t>双葉社</t>
  </si>
  <si>
    <t>Shinchōsha</t>
  </si>
  <si>
    <t>新潮社</t>
  </si>
  <si>
    <t>norst</t>
  </si>
  <si>
    <t>New Direction Books</t>
  </si>
  <si>
    <t>2019</t>
  </si>
  <si>
    <t>usd</t>
  </si>
  <si>
    <t>New directions paperbook</t>
  </si>
  <si>
    <t>New Directions</t>
  </si>
  <si>
    <t>Cambridge companions to music</t>
  </si>
  <si>
    <t>Cambridge University Press</t>
  </si>
  <si>
    <t>Kodansha bunko</t>
  </si>
  <si>
    <t>講談社文庫</t>
  </si>
  <si>
    <t>Chimmundang</t>
  </si>
  <si>
    <t>集文堂</t>
  </si>
  <si>
    <t>krw</t>
  </si>
  <si>
    <t>T'aehaksa</t>
  </si>
  <si>
    <t>太學社</t>
  </si>
  <si>
    <t>Mimunsa</t>
  </si>
  <si>
    <t>미문사</t>
  </si>
  <si>
    <t>Pogosa</t>
  </si>
  <si>
    <t>보고사</t>
  </si>
  <si>
    <t>Hunmin Chŏngŭm</t>
  </si>
  <si>
    <t>훈민정음</t>
  </si>
  <si>
    <t>Yŏngnak</t>
  </si>
  <si>
    <t>亦樂</t>
  </si>
  <si>
    <t>Pukt'ori</t>
  </si>
  <si>
    <t>북토리</t>
  </si>
  <si>
    <t>Kŏbugi Puksŭ</t>
  </si>
  <si>
    <t>거북이북스</t>
  </si>
  <si>
    <t>Pangmunsa</t>
  </si>
  <si>
    <t>박문사</t>
  </si>
  <si>
    <t>Yumani Shobō</t>
  </si>
  <si>
    <t>ゆまに書房</t>
  </si>
  <si>
    <t>日本マンガ学会</t>
  </si>
  <si>
    <t>Nihonmangagakkai</t>
  </si>
  <si>
    <t>Seidosha</t>
  </si>
  <si>
    <t>青土社</t>
  </si>
  <si>
    <t>1982</t>
  </si>
  <si>
    <t>Gracewing</t>
  </si>
  <si>
    <t>1993</t>
  </si>
  <si>
    <t>Niji Shobō</t>
  </si>
  <si>
    <t>1959</t>
  </si>
  <si>
    <t>Aoki bunko</t>
  </si>
  <si>
    <t>青木文庫</t>
  </si>
  <si>
    <t>Aoki Shoten</t>
  </si>
  <si>
    <t>青木書店</t>
  </si>
  <si>
    <t>1952</t>
  </si>
  <si>
    <t>Genbaku No Zu Maruki Bijutsukan</t>
  </si>
  <si>
    <t>Hakusuisha</t>
  </si>
  <si>
    <t>白水社</t>
  </si>
  <si>
    <t>Kokubunsha</t>
  </si>
  <si>
    <t>国文社</t>
  </si>
  <si>
    <t>Shinpyōsha</t>
  </si>
  <si>
    <t>新評社</t>
  </si>
  <si>
    <t>Riburopōto</t>
  </si>
  <si>
    <t>リブロポ-ト</t>
  </si>
  <si>
    <t>Senchuri bukkusu</t>
  </si>
  <si>
    <t>Century Books. 人と作品</t>
  </si>
  <si>
    <t>清水書院</t>
  </si>
  <si>
    <t>Count</t>
  </si>
  <si>
    <t>Grand Total</t>
  </si>
  <si>
    <t>Source - ST (RE)</t>
  </si>
  <si>
    <t>Series Title (RE)</t>
  </si>
  <si>
    <t>Source - ST (N)</t>
  </si>
  <si>
    <t>Series Title (N)</t>
  </si>
  <si>
    <t>Counts</t>
  </si>
  <si>
    <t>Publishers (RE)</t>
  </si>
  <si>
    <t>Publishers (N)</t>
  </si>
  <si>
    <t>Pub Dates</t>
  </si>
  <si>
    <t>Source - Dates</t>
  </si>
  <si>
    <t>Dates Reformatted</t>
  </si>
  <si>
    <t>Dates MinMax</t>
  </si>
  <si>
    <t>Decades</t>
  </si>
  <si>
    <t xml:space="preserve">min ▼ </t>
  </si>
  <si>
    <t>1950-1959</t>
  </si>
  <si>
    <t>min year:</t>
  </si>
  <si>
    <t>max year:</t>
  </si>
  <si>
    <t>1960-1969</t>
  </si>
  <si>
    <t>1970-1979</t>
  </si>
  <si>
    <t>1980-1989</t>
  </si>
  <si>
    <t>max ▼</t>
  </si>
  <si>
    <t>1990-1999</t>
  </si>
  <si>
    <t>2000-2009</t>
  </si>
  <si>
    <t>2010-2019</t>
  </si>
  <si>
    <t>2020-2029</t>
  </si>
  <si>
    <t>Subjects</t>
  </si>
  <si>
    <t>Sub-Subjects</t>
  </si>
  <si>
    <t>Chinese literature -- Study and teaching</t>
  </si>
  <si>
    <t>Chinese literature</t>
  </si>
  <si>
    <t>Civilization</t>
  </si>
  <si>
    <t>Chinese imprints -- Japan -- Catalogs</t>
  </si>
  <si>
    <t>Chinese imprints</t>
  </si>
  <si>
    <t>Subject Facets</t>
  </si>
  <si>
    <t>(blank)</t>
  </si>
  <si>
    <t>Komonjogaku</t>
  </si>
  <si>
    <t>Shinagaku -- Jisho</t>
  </si>
  <si>
    <t>Shinagaku</t>
  </si>
  <si>
    <t>Komonjo-Jiten</t>
  </si>
  <si>
    <t>Bibliography -- China -- History</t>
  </si>
  <si>
    <t>Bibliography</t>
  </si>
  <si>
    <t>18.87 Japanese language and literature</t>
  </si>
  <si>
    <t>Medicine, Chinese -- Japan -- Bibliography</t>
  </si>
  <si>
    <t>Maruki, Iri, 1901-1995</t>
  </si>
  <si>
    <t>Medicine, Chinese</t>
  </si>
  <si>
    <t>Literatur</t>
  </si>
  <si>
    <t>Tosho kaidai</t>
  </si>
  <si>
    <t>Japan -- Nagasaki-shi</t>
  </si>
  <si>
    <t>漫画</t>
  </si>
  <si>
    <t>Biography</t>
  </si>
  <si>
    <t>Maruki, Iri, 1901-1995 -- Exhibitions</t>
  </si>
  <si>
    <t>Nihon -- Jinmeijiten</t>
  </si>
  <si>
    <t>Actors</t>
  </si>
  <si>
    <t>Nihon</t>
  </si>
  <si>
    <t>Maruki, Iri, 1901-1995. Genbaku no zu</t>
  </si>
  <si>
    <t>Livres anciens</t>
  </si>
  <si>
    <t>Adaptations</t>
  </si>
  <si>
    <t>Art</t>
  </si>
  <si>
    <t>Maruki, Toshi, 1912-2000</t>
  </si>
  <si>
    <t>Manga</t>
  </si>
  <si>
    <t>Materia medica</t>
  </si>
  <si>
    <t>Bombe atomique dans l'art</t>
  </si>
  <si>
    <t>Materia medica -- Japan -- Bibliography</t>
  </si>
  <si>
    <t>Manshu</t>
  </si>
  <si>
    <t>Authors, Japanese -- 20th century -- Biography</t>
  </si>
  <si>
    <t>Bungaku chiri-Chūgoku</t>
  </si>
  <si>
    <t>Kokugaku</t>
  </si>
  <si>
    <t>Sinologists -- Japan -- Biography</t>
  </si>
  <si>
    <t>Bibliographie -- Méthodologie</t>
  </si>
  <si>
    <t>Sinologists</t>
  </si>
  <si>
    <t>Celebrities</t>
  </si>
  <si>
    <t>Medicine, Chinese Traditional</t>
  </si>
  <si>
    <t>Maruki, Toshi, 1912-2000. Genbaku no zu</t>
  </si>
  <si>
    <t>Bibliography -- Japan</t>
  </si>
  <si>
    <t>Chosen</t>
  </si>
  <si>
    <t>Denki -- Nihon</t>
  </si>
  <si>
    <t>Medicine, Chinese Traditional -- history</t>
  </si>
  <si>
    <t>Denki</t>
  </si>
  <si>
    <t>Meibo</t>
  </si>
  <si>
    <t>Daimyo -- Biography</t>
  </si>
  <si>
    <t>Daimyo</t>
  </si>
  <si>
    <t>Chugoku</t>
  </si>
  <si>
    <t>Monstres -- Romans, nouvelles, etc</t>
  </si>
  <si>
    <t>Meiji period</t>
  </si>
  <si>
    <t>Chūgoku bungaku-Meibo</t>
  </si>
  <si>
    <t>Mori, Ōgai, 1862-1922 -- Criticism and interpretation</t>
  </si>
  <si>
    <t>Méthodologie</t>
  </si>
  <si>
    <t>Fiefs -- Japan -- Dictionaries -- Japanese</t>
  </si>
  <si>
    <t>Book industries and trade -- Japan -- History</t>
  </si>
  <si>
    <t>Fiefs</t>
  </si>
  <si>
    <t>Mothers and sons</t>
  </si>
  <si>
    <t>Mœurs et coutumes</t>
  </si>
  <si>
    <t>Buddhist priests</t>
  </si>
  <si>
    <t>Chun qiu (Confucius)</t>
  </si>
  <si>
    <t>Mothers and sons -- Fiction</t>
  </si>
  <si>
    <t>Monstres</t>
  </si>
  <si>
    <t>Buddhists</t>
  </si>
  <si>
    <t>Confucius. Chun qiu</t>
  </si>
  <si>
    <t>Motion pictures</t>
  </si>
  <si>
    <t>Nagasaki-shi</t>
  </si>
  <si>
    <t>Fiefs -- Japan -- History -- Handbooks, manuals, etc</t>
  </si>
  <si>
    <t>Motion pictures -- Japan -- History -- 20th century</t>
  </si>
  <si>
    <t>Nagasaki-shi (Japan)</t>
  </si>
  <si>
    <t>Directory</t>
  </si>
  <si>
    <t>Murder -- Investigation</t>
  </si>
  <si>
    <t>Nengo</t>
  </si>
  <si>
    <t>Catalogs</t>
  </si>
  <si>
    <t>Edo jidai</t>
  </si>
  <si>
    <t>Murder -- Investigation -- Fiction</t>
  </si>
  <si>
    <t>Nengō</t>
  </si>
  <si>
    <t>Nagai, Kafū, 1879-1959 -- Criticism and interpretation</t>
  </si>
  <si>
    <t>China -- Dictionaries</t>
  </si>
  <si>
    <t>Esthétique</t>
  </si>
  <si>
    <t>Royal households -- Japan -- History -- Sources</t>
  </si>
  <si>
    <t>Nakahara, Chūya</t>
  </si>
  <si>
    <t>Royal households</t>
  </si>
  <si>
    <t>Nihon bungaku-Rekishi-Edo jidai</t>
  </si>
  <si>
    <t>China -- Study and teaching -- Bibliography</t>
  </si>
  <si>
    <t>Exhibition, pictorial works</t>
  </si>
  <si>
    <t>Nakahara, Chūya -- Translations into English</t>
  </si>
  <si>
    <t>nihon shoki</t>
  </si>
  <si>
    <t>China -- Study and teaching -- Japan</t>
  </si>
  <si>
    <t>Famous Persons</t>
  </si>
  <si>
    <t>Nihongo</t>
  </si>
  <si>
    <t>Geschichte</t>
  </si>
  <si>
    <t>Nihon-Rekishi-Edo jidai</t>
  </si>
  <si>
    <t>Chinese language -- Cursive writing</t>
  </si>
  <si>
    <t>Gongyang, Gao. Gongyang zhuan</t>
  </si>
  <si>
    <t>Guerre dans l'art</t>
  </si>
  <si>
    <t>Nihon-Rekishi-Kinsei-Jiten</t>
  </si>
  <si>
    <t>Guliang zhuan (Guliang, Chi)</t>
  </si>
  <si>
    <t>Nihon -- Rekishi -- Shoshi</t>
  </si>
  <si>
    <t>Nihon-Rekishi-Shoshi</t>
  </si>
  <si>
    <t>Nobility -- Japan -- History -- 17th century -- Registers</t>
  </si>
  <si>
    <t>Chosen -- Rekishi</t>
  </si>
  <si>
    <t>Nobility</t>
  </si>
  <si>
    <t>Hayashi, Fumiko, 1904-1951</t>
  </si>
  <si>
    <t>Nihon -- Shakai -- Rekishi -- Edojidai</t>
  </si>
  <si>
    <t>Chugoku -- Rekishi</t>
  </si>
  <si>
    <t>Particles</t>
  </si>
  <si>
    <t>Hyakkaten-Rekishi</t>
  </si>
  <si>
    <t>Personnel</t>
  </si>
  <si>
    <t>Imprints</t>
  </si>
  <si>
    <t>Poems (texts)</t>
  </si>
  <si>
    <t>Investigation</t>
  </si>
  <si>
    <t>Poissons tropicaux</t>
  </si>
  <si>
    <t>Civil service</t>
  </si>
  <si>
    <t>Juvenile fiction</t>
  </si>
  <si>
    <t>Production and direction</t>
  </si>
  <si>
    <t>Collective memory</t>
  </si>
  <si>
    <t>Kanshi-Jiten</t>
  </si>
  <si>
    <t>Relations entre hommes et femmes</t>
  </si>
  <si>
    <t>Relations industrielles</t>
  </si>
  <si>
    <t>Department stores -- Management</t>
  </si>
  <si>
    <t>Ōbaku (Sect)</t>
  </si>
  <si>
    <t>Romans familiaux</t>
  </si>
  <si>
    <t>Diplomatics, Japanese -- Dictionaries</t>
  </si>
  <si>
    <t>Kunten</t>
  </si>
  <si>
    <t>Ōbaku (Sect) -- Dictionaries -- Japanese</t>
  </si>
  <si>
    <t>Romans psychologiques</t>
  </si>
  <si>
    <t>Drama</t>
  </si>
  <si>
    <t>lexikon</t>
  </si>
  <si>
    <t>Ruisho</t>
  </si>
  <si>
    <t>Dramatists, Japanese</t>
  </si>
  <si>
    <t>Animals</t>
  </si>
  <si>
    <t>Buddhist priests -- Japan -- Biography -- Dictionaries -- Japanese</t>
  </si>
  <si>
    <t>Zen priests -- Japan -- Biography -- Japanese</t>
  </si>
  <si>
    <t>Painting, Japanese -- 20th century</t>
  </si>
  <si>
    <t>Zen priests</t>
  </si>
  <si>
    <t>Manners and customs</t>
  </si>
  <si>
    <t>Early printed books -- Japan</t>
  </si>
  <si>
    <t>Chinese influences</t>
  </si>
  <si>
    <t>Civil service -- Japan</t>
  </si>
  <si>
    <t>Painting, Japanese -- 20th century -- Exhibitions</t>
  </si>
  <si>
    <t>edo</t>
  </si>
  <si>
    <t>Chūgoku</t>
  </si>
  <si>
    <t>Collective memory -- Japan</t>
  </si>
  <si>
    <t>Paleography, Japanese -- Dictionaries</t>
  </si>
  <si>
    <t>Shunjū</t>
  </si>
  <si>
    <t>Chūgokugo</t>
  </si>
  <si>
    <t>Japanese literature -- Indexes</t>
  </si>
  <si>
    <t>Paleography, Japanese -- Handbooks, manuals, etc</t>
  </si>
  <si>
    <t>Japanese literature</t>
  </si>
  <si>
    <t>Shunjū kokuryōden</t>
  </si>
  <si>
    <t>Court and courtiers</t>
  </si>
  <si>
    <t>People with disabilities</t>
  </si>
  <si>
    <t>Shunjū kuyōden</t>
  </si>
  <si>
    <t>Koyomi</t>
  </si>
  <si>
    <t>Factories -- Employees -- Fiction</t>
  </si>
  <si>
    <t>Japanese language -- To 1868 -- Dictionaries</t>
  </si>
  <si>
    <t>People with disabilities -- Fiction</t>
  </si>
  <si>
    <t>Japanese language</t>
  </si>
  <si>
    <t>shuppan</t>
  </si>
  <si>
    <t>Families -- Fiction</t>
  </si>
  <si>
    <t>Employees</t>
  </si>
  <si>
    <t>Japanese language -- Grammar, Classical</t>
  </si>
  <si>
    <t>Philologists</t>
  </si>
  <si>
    <t>Takabatake, Ransen, 1838-1885</t>
  </si>
  <si>
    <t>Paleography, Japanese</t>
  </si>
  <si>
    <t>Expertising</t>
  </si>
  <si>
    <t>Philologists -- Japan -- Biography</t>
  </si>
  <si>
    <t>Film criticism</t>
  </si>
  <si>
    <t>Gongyang zhuan (Gongyang, Gao)</t>
  </si>
  <si>
    <t>Philosophers -- Japan -- Biography</t>
  </si>
  <si>
    <t>Chinese language -- Particles -- Dictionaries -- Japanese</t>
  </si>
  <si>
    <t>Fujin -- Denki</t>
  </si>
  <si>
    <t>Chinese language</t>
  </si>
  <si>
    <t>Guerre mondiale, 1939-1945</t>
  </si>
  <si>
    <t>Philosophers -- Japan -- Encyclopedias</t>
  </si>
  <si>
    <t>theater (discipline)</t>
  </si>
  <si>
    <t>historia</t>
  </si>
  <si>
    <t>Philosophy, Japanese</t>
  </si>
  <si>
    <t>Théâtre</t>
  </si>
  <si>
    <t>Imprimés chinois</t>
  </si>
  <si>
    <t>Philosophy, Japanese -- History -- Encyclopedias</t>
  </si>
  <si>
    <t>Jōhō kensaku</t>
  </si>
  <si>
    <t>Podcasts</t>
  </si>
  <si>
    <t>Tokugawa (Famille)</t>
  </si>
  <si>
    <t>Zen Buddhism -- Dictionaries -- Japanese</t>
  </si>
  <si>
    <t>Podcasts -- Fiction</t>
  </si>
  <si>
    <t>Zen Buddhism</t>
  </si>
  <si>
    <t>Tokyo</t>
  </si>
  <si>
    <t>Bukkyō -- Jisho</t>
  </si>
  <si>
    <t>Bukkyō</t>
  </si>
  <si>
    <t>1868-1912</t>
  </si>
  <si>
    <t>Tokyo (Japan)</t>
  </si>
  <si>
    <t>Imprimés chinois -- Catalogues -- Japon</t>
  </si>
  <si>
    <t>百貨店-歴史</t>
  </si>
  <si>
    <t>Poissons tropicaux -- Romans, nouvelles, etc</t>
  </si>
  <si>
    <t>Tōkyō (Japon)</t>
  </si>
  <si>
    <t>Chūgokugo -- Bunpō</t>
  </si>
  <si>
    <t>Industrial relations -- Fiction</t>
  </si>
  <si>
    <t>Art and the war</t>
  </si>
  <si>
    <t>Tōkyōto-Rekishi</t>
  </si>
  <si>
    <t>Keisho</t>
  </si>
  <si>
    <t>Intellectual life</t>
  </si>
  <si>
    <t>Chōsen</t>
  </si>
  <si>
    <t>Toyo igaku</t>
  </si>
  <si>
    <t>Japanese literature -- 1600-1868 -- History and criticism</t>
  </si>
  <si>
    <t>Japan -- Biography -- Indexes</t>
  </si>
  <si>
    <t>Cinéma</t>
  </si>
  <si>
    <t>Popular music</t>
  </si>
  <si>
    <t>Tōyō igaku-Shoshi</t>
  </si>
  <si>
    <t>Rare books -- Expertising -- Japan</t>
  </si>
  <si>
    <t>Japan -- History -- Bibliography</t>
  </si>
  <si>
    <t>Rare books</t>
  </si>
  <si>
    <t>Edo period</t>
  </si>
  <si>
    <t>Popular music -- Korea (South) -- History and criticism</t>
  </si>
  <si>
    <t>Shoshigaku</t>
  </si>
  <si>
    <t>Toyoshi --</t>
  </si>
  <si>
    <t>Publishers and publishing -- Japan -- History</t>
  </si>
  <si>
    <t>Publishers and publishing</t>
  </si>
  <si>
    <t>Fujin</t>
  </si>
  <si>
    <t>Civilization -- Study and teaching</t>
  </si>
  <si>
    <t>Popular music -- Production and direction -- Korea (South)</t>
  </si>
  <si>
    <t>Translations</t>
  </si>
  <si>
    <t>Japan -- Intellectual life -- Encyclopedias</t>
  </si>
  <si>
    <t>Guliang, Chi. Guliang zhuan</t>
  </si>
  <si>
    <t>Translations (form)</t>
  </si>
  <si>
    <t>Intānetto</t>
  </si>
  <si>
    <t>Translations into English</t>
  </si>
  <si>
    <t>Japanese drama -- 20th century -- History and criticism</t>
  </si>
  <si>
    <t>Klassisches Japanisch</t>
  </si>
  <si>
    <t>Travail</t>
  </si>
  <si>
    <t>Japanese language -- Cursive writing</t>
  </si>
  <si>
    <t>1939-1945</t>
  </si>
  <si>
    <t>Tokugawa period, Japan, 1600-1868</t>
  </si>
  <si>
    <t>Usines</t>
  </si>
  <si>
    <t>Vie rurale</t>
  </si>
  <si>
    <t>Exhibition catalogs</t>
  </si>
  <si>
    <t>Chinese language -- Dictionaries -- Japanese</t>
  </si>
  <si>
    <t>Humorous fiction</t>
  </si>
  <si>
    <t>Relations entre hommes et femmes -- Romans, nouvelles, etc</t>
  </si>
  <si>
    <t>Buddhism</t>
  </si>
  <si>
    <t>Relations industrielles -- Romans, nouvelles, etc</t>
  </si>
  <si>
    <t>Zhu shi</t>
  </si>
  <si>
    <t>Dictionaries. Japanese</t>
  </si>
  <si>
    <t>丸木位里, 1901-1995. 原爆の図. 丸木俊, 1912-2000. 原爆の図</t>
  </si>
  <si>
    <t>Kangakusha</t>
  </si>
  <si>
    <t>寺山修司, 1936-1983</t>
  </si>
  <si>
    <t>Murder</t>
  </si>
  <si>
    <t>Grammatik</t>
  </si>
  <si>
    <t>広島市 (Japan); In art.; 広島市 (Japan); History; Bombardment, 1945; Pictorial works</t>
  </si>
  <si>
    <t>Women -- Fiction</t>
  </si>
  <si>
    <t>Women</t>
  </si>
  <si>
    <t>Célébrités</t>
  </si>
  <si>
    <t>Short stories, Japanese -- 21st century</t>
  </si>
  <si>
    <t>Short stories, Japanese</t>
  </si>
  <si>
    <t>林, 芙美子, 1904-1951</t>
  </si>
  <si>
    <t>Lexicography</t>
  </si>
  <si>
    <t>Japanese fiction</t>
  </si>
  <si>
    <t>Aesthetics</t>
  </si>
  <si>
    <t>Factories</t>
  </si>
  <si>
    <t>Mori, Ōgai, 1862-1922</t>
  </si>
  <si>
    <t>Korea (South)</t>
  </si>
  <si>
    <t>Kōda, Rohan, 1867-1947</t>
  </si>
  <si>
    <t>Nagai, Kafū, 1879-1959</t>
  </si>
  <si>
    <t>Film criticism -- Japan -- History -- 20th century</t>
  </si>
  <si>
    <t>Book industries and trade</t>
  </si>
  <si>
    <t>Labor</t>
  </si>
  <si>
    <t>Painting, Japanese</t>
  </si>
  <si>
    <t>World War, 1939-1945</t>
  </si>
  <si>
    <t>Department stores</t>
  </si>
  <si>
    <t>War in art</t>
  </si>
  <si>
    <t>Sound recording industry</t>
  </si>
  <si>
    <t>Japanese drama (Comedy)</t>
  </si>
  <si>
    <t>Theater</t>
  </si>
  <si>
    <t>Livres anciens -- Japon</t>
  </si>
  <si>
    <t>Authors, Japanese</t>
  </si>
  <si>
    <t>Nihon shisō-Rekishi-Benran</t>
  </si>
  <si>
    <t>Theater -- Japan -- Interviews</t>
  </si>
  <si>
    <t>Manshu -- Meibo</t>
  </si>
  <si>
    <t>Takizawa, Bakin, 1767-1848</t>
  </si>
  <si>
    <t>Chūgokugaku</t>
  </si>
  <si>
    <t>Education</t>
  </si>
  <si>
    <t>In art</t>
  </si>
  <si>
    <t>Actors -- Japan -- Interviews</t>
  </si>
  <si>
    <t>Kundoku</t>
  </si>
  <si>
    <t>Dictionaries</t>
  </si>
  <si>
    <t>Nouvelles</t>
  </si>
  <si>
    <t>Terayama, Shūji, 1936-1983</t>
  </si>
  <si>
    <t>Bibliographie -- Japon</t>
  </si>
  <si>
    <t>Nihon -- denki -- jisho</t>
  </si>
  <si>
    <t>Sound recording industry -- Korea (South) -- History</t>
  </si>
  <si>
    <t>Ishikawa, Jun, 1899-1987</t>
  </si>
  <si>
    <t>Takabatake, Ransen, 1838-1885 -- Criticism and interpretation</t>
  </si>
  <si>
    <t>Japanese drama</t>
  </si>
  <si>
    <t>Takizawa, Bakin, 1767-1848 -- Criticism and interpretation</t>
  </si>
  <si>
    <t>Jinmeijiten</t>
  </si>
  <si>
    <t>To 1600</t>
  </si>
  <si>
    <t>Philosophers</t>
  </si>
  <si>
    <t>Families</t>
  </si>
  <si>
    <t>China -- Study and teaching</t>
  </si>
  <si>
    <t>Daimyō -- Biographies</t>
  </si>
  <si>
    <t>Daimyō</t>
  </si>
  <si>
    <t>Chinese language -- Cursive writing -- Handbooks, manuals, etc</t>
  </si>
  <si>
    <t>Biobibliography</t>
  </si>
  <si>
    <t>Chūgoku -- Rekishi</t>
  </si>
  <si>
    <t>Theatrical producers and directors -- Japan -- Biography</t>
  </si>
  <si>
    <t>Management</t>
  </si>
  <si>
    <t>Theatrical producers and directors -- Japan -- Interviews</t>
  </si>
  <si>
    <t>Shoshi</t>
  </si>
  <si>
    <t>21st century</t>
  </si>
  <si>
    <t>Conversation and phrase books</t>
  </si>
  <si>
    <t>Atomic bomb in art</t>
  </si>
  <si>
    <t>Diplomatics, Japanese</t>
  </si>
  <si>
    <t>Manuscripts, Japanese</t>
  </si>
  <si>
    <t>To 1868</t>
  </si>
  <si>
    <t>Drama -- 20th century -- History and criticism</t>
  </si>
  <si>
    <t>Emperors -- Japan -- History -- Sources</t>
  </si>
  <si>
    <t>Emperors</t>
  </si>
  <si>
    <t>Industrial relations</t>
  </si>
  <si>
    <t>Tropical fish</t>
  </si>
  <si>
    <t>Toyo igaku -- Shoshi</t>
  </si>
  <si>
    <t>Factories -- Employees</t>
  </si>
  <si>
    <t>Nobility -- Japan -- History -- 18th century -- Registers</t>
  </si>
  <si>
    <t>Travail -- Romans, nouvelles, etc</t>
  </si>
  <si>
    <t>Benran</t>
  </si>
  <si>
    <t>Edojidai</t>
  </si>
  <si>
    <t>Tropical fish -- Fiction</t>
  </si>
  <si>
    <t>Music and transnationalism</t>
  </si>
  <si>
    <t>Usines -- Personnel -- Romans, nouvelles, etc</t>
  </si>
  <si>
    <t>Illustrated works</t>
  </si>
  <si>
    <t>Japan -- Imprints -- Catalogs</t>
  </si>
  <si>
    <t>Japanese language -- Cursive writing -- Handbooks, manuals, etc</t>
  </si>
  <si>
    <t>Vie rurale -- Romans, nouvelles, etc</t>
  </si>
  <si>
    <t>Satirical literature</t>
  </si>
  <si>
    <t>collective biographies</t>
  </si>
  <si>
    <t>Kōda, Rohan, 1867-1947 -- Criticism and interpretation</t>
  </si>
  <si>
    <t>Labor -- Fiction</t>
  </si>
  <si>
    <t>Methodology</t>
  </si>
  <si>
    <t>Buddhists -- Japan -- Biography -- Dictionaries -- Japanese</t>
  </si>
  <si>
    <t>Politics and government</t>
  </si>
  <si>
    <t>World War, 1939-1945 -- Japan -- Hiroshima-shi -- Art and the war -- Exhibitions</t>
  </si>
  <si>
    <t>Bombardment, 1945</t>
  </si>
  <si>
    <t>Maruki, Toshi, 1912-2000 -- Exhibitions</t>
  </si>
  <si>
    <t>Japanisch</t>
  </si>
  <si>
    <t>Tokugawa family</t>
  </si>
  <si>
    <t>Tokugawa period, 1600-1868</t>
  </si>
  <si>
    <t>Meiji period, 1868-1912</t>
  </si>
  <si>
    <t>2000-2099</t>
  </si>
  <si>
    <t>Chinese literature -- Adaptations</t>
  </si>
  <si>
    <t>Japon</t>
  </si>
  <si>
    <t>Kanbun</t>
  </si>
  <si>
    <t>Japanese language materials</t>
  </si>
  <si>
    <t>Bibliographie</t>
  </si>
  <si>
    <t>Bukkyō -- jisho</t>
  </si>
  <si>
    <t>Shomoku</t>
  </si>
  <si>
    <t>Buddhism -- Dictionaries</t>
  </si>
  <si>
    <t>Bibliographies</t>
  </si>
  <si>
    <t>Hiroshima-shi</t>
  </si>
  <si>
    <t>Cursive writing</t>
  </si>
  <si>
    <t>Theatrical producers and directors</t>
  </si>
  <si>
    <t>Japanese literature -- Chinese influences</t>
  </si>
  <si>
    <t>Japan -- Social life and customs</t>
  </si>
  <si>
    <t>Domestic fiction</t>
  </si>
  <si>
    <t>Ishikawa, Jun, 1899-1987 -- Criticism and interpretation</t>
  </si>
  <si>
    <t>Early printed books</t>
  </si>
  <si>
    <t>中国思想; 書目.; シナ学; 書目</t>
  </si>
  <si>
    <t>Social life and customs</t>
  </si>
  <si>
    <t>China -- Civilization -- Study and teaching -- Japan</t>
  </si>
  <si>
    <t>Japan -- Social life and customs -- 1600-1868</t>
  </si>
  <si>
    <t>China</t>
  </si>
  <si>
    <t>Hiroshima-shi (Japan)</t>
  </si>
  <si>
    <t>Hiroshima-shi (Japan) -- In art -- Exhibitions</t>
  </si>
  <si>
    <t>Indexes</t>
  </si>
  <si>
    <t>Interviews</t>
  </si>
  <si>
    <t>Japan -- History -- Tokugawa period, 1600-1868 -- Biography</t>
  </si>
  <si>
    <t>Hallucinations and illusions</t>
  </si>
  <si>
    <t>Japan -- Tokyo</t>
  </si>
  <si>
    <t>Rare books -- Expertising</t>
  </si>
  <si>
    <t>Handbooks, manuals, etc</t>
  </si>
  <si>
    <t>Hiroshima-shi (Japan) -- History -- Bombardment, 1945 -- Pictorial works -- Exhibitions</t>
  </si>
  <si>
    <t>Pictorial works</t>
  </si>
  <si>
    <t>Criticism, interpretation, etc</t>
  </si>
  <si>
    <t>Cinéma -- Esthétique</t>
  </si>
  <si>
    <t>Bio-bibliography</t>
  </si>
  <si>
    <t>Dramatists, Japanese -- 20th century -- Interviews</t>
  </si>
  <si>
    <t>Detective and mystery fiction</t>
  </si>
  <si>
    <t>Criticism and interpretation</t>
  </si>
  <si>
    <t>Encyclopedias</t>
  </si>
  <si>
    <t>History and criticism</t>
  </si>
  <si>
    <t>Romans, nouvelles, etc</t>
  </si>
  <si>
    <t>Exhibitions</t>
  </si>
  <si>
    <t>Japanese fiction -- 21st century</t>
  </si>
  <si>
    <t>20th century</t>
  </si>
  <si>
    <t>Study and teaching</t>
  </si>
  <si>
    <t>1900-1999</t>
  </si>
  <si>
    <t>Psychological fiction</t>
  </si>
  <si>
    <t>Department stores -- Japan -- Management -- History</t>
  </si>
  <si>
    <t>Motion pictures -- Aesthetics</t>
  </si>
  <si>
    <t>Japan -- Fiction</t>
  </si>
  <si>
    <t>Jisho</t>
  </si>
  <si>
    <t>Chōsen -- Rekishi</t>
  </si>
  <si>
    <t>Rekishi</t>
  </si>
  <si>
    <t>Handbooks and manuals</t>
  </si>
  <si>
    <t>Tokyo (Japan) -- Social life and customs -- 1600-1868</t>
  </si>
  <si>
    <t>Short stories</t>
  </si>
  <si>
    <t>Hiroshima-shi (Japan) -- In art</t>
  </si>
  <si>
    <t>China -- Civilization -- Study and teaching</t>
  </si>
  <si>
    <t>Courts and courtiers</t>
  </si>
  <si>
    <t>Tōkyō (Japon) -- Mœurs et coutumes -- 1600-1868</t>
  </si>
  <si>
    <t>Sources</t>
  </si>
  <si>
    <t>Animals -- Juvenile fiction</t>
  </si>
  <si>
    <t>Hiroshima-shi (Japan) -- History -- Bombardment, 1945 -- Pictorial works</t>
  </si>
  <si>
    <t>Biographies</t>
  </si>
  <si>
    <t>1600-1899</t>
  </si>
  <si>
    <t>Nagasaki-shi (Japan) -- History -- Bombardment, 1945 -- Pictorial works</t>
  </si>
  <si>
    <t>Registers (Lists)</t>
  </si>
  <si>
    <t>Fiction</t>
  </si>
  <si>
    <t>1600-1868</t>
  </si>
  <si>
    <t>Japan</t>
  </si>
  <si>
    <t>Japan -- Hiroshima-shi</t>
  </si>
  <si>
    <t>Bibliography -- Methodology</t>
  </si>
  <si>
    <t>Buddhism -- Japan</t>
  </si>
  <si>
    <t>Nihon -- Rekishi</t>
  </si>
  <si>
    <t>Japan -- Politics and government -- 1600-1868</t>
  </si>
  <si>
    <t>Nobility -- Japan -- History -- 19th century -- Registers</t>
  </si>
  <si>
    <t>China -- Civilization</t>
  </si>
  <si>
    <t>Hallucinations and illusions -- Fiction</t>
  </si>
  <si>
    <t>China -- Civilization -- Study and teaching -- Japan -- Bibliography</t>
  </si>
  <si>
    <t>Japan -- Biography</t>
  </si>
  <si>
    <t>Chinese language -- Particles</t>
  </si>
  <si>
    <t>Japan -- History -- Tokugawa period, 1600-1868 -- Biography -- Dictionaries -- Japanese</t>
  </si>
  <si>
    <t>Japan -- Politics and government -- 1600-1868 -- Handbooks, manuals, etc</t>
  </si>
  <si>
    <t>Japan -- Biography -- Dictionaries -- Japanese</t>
  </si>
  <si>
    <t>Japan -- Court and courtiers -- History -- Sources</t>
  </si>
  <si>
    <t>short stories</t>
  </si>
  <si>
    <t>History</t>
  </si>
  <si>
    <t>history</t>
  </si>
  <si>
    <t>rekishi</t>
  </si>
  <si>
    <t>jisho</t>
  </si>
  <si>
    <t>edojidai</t>
  </si>
  <si>
    <t>meibo</t>
  </si>
  <si>
    <t>Asia</t>
  </si>
  <si>
    <t>Shakai</t>
  </si>
  <si>
    <t>Grammar, Classical</t>
  </si>
  <si>
    <t>Gairaigo</t>
  </si>
  <si>
    <t>Tang dynasty, 618-907</t>
  </si>
  <si>
    <t>Bunpō</t>
  </si>
  <si>
    <t>nihon</t>
  </si>
  <si>
    <t>Edo period, 1600-1868</t>
  </si>
  <si>
    <t>Catalogues</t>
  </si>
  <si>
    <t>denki</t>
  </si>
  <si>
    <t>Ci yu</t>
  </si>
  <si>
    <t>17th century</t>
  </si>
  <si>
    <t>18th century</t>
  </si>
  <si>
    <t>19th century</t>
  </si>
  <si>
    <t>Registers</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</si>
  <si>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</si>
  <si>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</si>
  <si>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</si>
  <si>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</si>
  <si>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</si>
  <si>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</si>
  <si>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</si>
  <si>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</si>
  <si>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eMail</t>
  </si>
  <si>
    <t>adam.lisbon@colorado.edu</t>
  </si>
  <si>
    <t>Work Profile</t>
  </si>
  <si>
    <t>CU Experts</t>
  </si>
  <si>
    <t>LinkedIn</t>
  </si>
  <si>
    <t>LinkedIn Profile</t>
  </si>
  <si>
    <t>GitHub</t>
  </si>
  <si>
    <t>https://github.com/ahlisbon/CJKmaterialProcessing</t>
  </si>
  <si>
    <t>伝記</t>
  </si>
  <si>
    <t>辞書</t>
  </si>
  <si>
    <t>說話文学-索引</t>
  </si>
  <si>
    <t>Folk literature, Japanese</t>
  </si>
  <si>
    <t>Tales -- Japan -- Indexes</t>
  </si>
  <si>
    <t>Legends -- Japan -- Indexes</t>
  </si>
  <si>
    <t>Legends</t>
  </si>
  <si>
    <t>Tales</t>
  </si>
  <si>
    <t>Setsuwa bungaku-Sakuin</t>
  </si>
  <si>
    <t>Index</t>
  </si>
  <si>
    <t>indexes (reference sources)</t>
  </si>
  <si>
    <t>Chikuma gakugei bunko</t>
  </si>
  <si>
    <t>Han'guk ŏnŏ, munhak, munhwa ch'ongsŏ</t>
  </si>
  <si>
    <t>Iwanami bunko</t>
  </si>
  <si>
    <t>Iwanami gendai bunko</t>
  </si>
  <si>
    <t>Kadokawa sofia bunko</t>
  </si>
  <si>
    <t>Kansai daigaku tōzai gakujutsu kenkyūjo shiryō shūkan</t>
  </si>
  <si>
    <t>Kenbun sensho</t>
  </si>
  <si>
    <t>Kinsei bungaku kenkyū sōsho</t>
  </si>
  <si>
    <t>Kōdansha Sensho Mechie</t>
  </si>
  <si>
    <t>Kugŏsa taegye</t>
  </si>
  <si>
    <t>Manga kenkyū</t>
  </si>
  <si>
    <t>NHK bukkusu</t>
  </si>
  <si>
    <t>Nihon Shoshigaku Taikei</t>
  </si>
  <si>
    <t>Sŏnggyun Han'gugŏ Munhak ch'ongsŏ</t>
  </si>
  <si>
    <t>Tōyō bunko</t>
  </si>
  <si>
    <t>日本書誌学大系</t>
  </si>
  <si>
    <t>NHKブックス</t>
  </si>
  <si>
    <t>近世文学研究叢書</t>
  </si>
  <si>
    <t>角川ソフィア文庫</t>
  </si>
  <si>
    <t>岩波文庫</t>
  </si>
  <si>
    <t>関西大学東西学術研究所資料集刊</t>
  </si>
  <si>
    <t>講談社選書メチエ</t>
  </si>
  <si>
    <t>岩波現代文庫</t>
  </si>
  <si>
    <t>ちくま学芸文庫</t>
  </si>
  <si>
    <t>한국 언어, 문학, 문화 총서</t>
  </si>
  <si>
    <t>マンガ研究</t>
  </si>
  <si>
    <t>研文選書</t>
  </si>
  <si>
    <t>東洋文庫</t>
  </si>
  <si>
    <t>국어사대계</t>
  </si>
  <si>
    <t>성균 한국어문학 총서</t>
  </si>
  <si>
    <t>Moon country Korean poetry series</t>
  </si>
  <si>
    <t>日本詩歌</t>
  </si>
  <si>
    <t>Japanese poetry -- Shōwa period, 1926-1989</t>
  </si>
  <si>
    <t>Japanese poetry -- Shōwa period</t>
  </si>
  <si>
    <t>1926-1989</t>
  </si>
  <si>
    <t>Korean poetry -- 21st century -- Translations into English</t>
  </si>
  <si>
    <t>Poetry</t>
  </si>
  <si>
    <t>Inscriptions, Korean -- Korea -- History</t>
  </si>
  <si>
    <t>Writing -- Korea -- History -- To 1500</t>
  </si>
  <si>
    <t>Written communication -- Korea -- History -- To 1500</t>
  </si>
  <si>
    <t>Antiquities</t>
  </si>
  <si>
    <t>Inscriptions, Korean</t>
  </si>
  <si>
    <t>Writing</t>
  </si>
  <si>
    <t>Written communication</t>
  </si>
  <si>
    <t>To 1500</t>
  </si>
  <si>
    <t>新羅 (Kingdom); Antiquities</t>
  </si>
  <si>
    <t>Silla (Kingdom) -- Antiquities</t>
  </si>
  <si>
    <t>Asia -- Silla (Kingdom)</t>
  </si>
  <si>
    <t>Korea</t>
  </si>
  <si>
    <t>難波宮.; 都城</t>
  </si>
  <si>
    <t>City planning -- Japan -- History -- To 1500</t>
  </si>
  <si>
    <t>Capitals (Cities)</t>
  </si>
  <si>
    <t>City planning</t>
  </si>
  <si>
    <t>Naniwanomiya</t>
  </si>
  <si>
    <t>Tojō</t>
  </si>
  <si>
    <t>難波宮 (Osaka, Japan)</t>
  </si>
  <si>
    <t>Naniwa Kyū (Osaka, Japan)</t>
  </si>
  <si>
    <t>Japan -- Capital and capitol</t>
  </si>
  <si>
    <t>Japan -- Capital and capitol -- History -- To 1500</t>
  </si>
  <si>
    <t>Korean poetry</t>
  </si>
  <si>
    <t>Japanese poetry</t>
  </si>
  <si>
    <t>Shōwa period, 1926-1989</t>
  </si>
  <si>
    <t>Shōwa period</t>
  </si>
  <si>
    <t>Silla (Kingdom)</t>
  </si>
  <si>
    <t>Capital and capitol</t>
  </si>
  <si>
    <t>Nihongo yomu yomu bunko</t>
  </si>
  <si>
    <t>にほんごよむよむ文庫</t>
  </si>
  <si>
    <t>茶道-辞典</t>
  </si>
  <si>
    <t>Chadō-Jiten</t>
  </si>
  <si>
    <t>Japanese language -- Readers</t>
  </si>
  <si>
    <t>Japanese language -- Study and teaching</t>
  </si>
  <si>
    <t>Readers (Publications)</t>
  </si>
  <si>
    <t>日本語-類語-辞典</t>
  </si>
  <si>
    <t>Nihongo-Ruigo-Jiten</t>
  </si>
  <si>
    <t>Readers</t>
  </si>
  <si>
    <t>Early Korea Project occasional series</t>
  </si>
  <si>
    <t>Charyo ch'ongsŏ</t>
  </si>
  <si>
    <t>Chūkō bunko</t>
  </si>
  <si>
    <t>Han'guk Mokkan Hakhoe ch'ongsŏ</t>
  </si>
  <si>
    <t>Kadokawa bunko</t>
  </si>
  <si>
    <t>Key issues in Asian studies</t>
  </si>
  <si>
    <t>Societas Koreana</t>
  </si>
  <si>
    <t>ウズベキスタン人 (日本在留)</t>
  </si>
  <si>
    <t>Uzubekisutanjin (Nihon zairyu)</t>
  </si>
  <si>
    <t>Japanese language -- Synonyms and antonyms -- Dictionaries</t>
  </si>
  <si>
    <t>Japanese language -- Synonyms and antonyms</t>
  </si>
  <si>
    <t>Ocean travel -- Fiction</t>
  </si>
  <si>
    <t>Languages, Artificial -- Fiction</t>
  </si>
  <si>
    <t>Languages, Artificial</t>
  </si>
  <si>
    <t>Ocean travel</t>
  </si>
  <si>
    <t>Women -- Japan -- Social life and customs -- 19th century</t>
  </si>
  <si>
    <t>Samurai -- Social life and customs -- 19th century</t>
  </si>
  <si>
    <t>Kawai, Koume, 1804-1889</t>
  </si>
  <si>
    <t>Kawai, Koume, 1804-1889 -- Diaries</t>
  </si>
  <si>
    <t>Wakayama-ken (Japan) -- History</t>
  </si>
  <si>
    <t>Japan -- Civilization -- 1600-1868</t>
  </si>
  <si>
    <t>Japan -- Civilization -- 1868-1912</t>
  </si>
  <si>
    <t>Antiquarian booksellers -- Fiction</t>
  </si>
  <si>
    <t>Antiquarian booksellers</t>
  </si>
  <si>
    <t>Man-woman relationships -- Fiction</t>
  </si>
  <si>
    <t>Women botanists -- Fiction</t>
  </si>
  <si>
    <t>Interpersonal relations -- Fiction</t>
  </si>
  <si>
    <t>Femmes botanistes -- Romans, nouvelles, etc</t>
  </si>
  <si>
    <t>Interpersonal relations</t>
  </si>
  <si>
    <t>Man-woman relationships</t>
  </si>
  <si>
    <t>Women botanists</t>
  </si>
  <si>
    <t>Romance fiction</t>
  </si>
  <si>
    <t>朝鮮-歴史-新羅時代</t>
  </si>
  <si>
    <t>Chōsen-Rekishi-Shiragi jidai</t>
  </si>
  <si>
    <t>To 935</t>
  </si>
  <si>
    <t>Silla (Kingdom) -- History</t>
  </si>
  <si>
    <t>Korea -- History -- To 935</t>
  </si>
  <si>
    <t>Silla (Kingdom) -- Politics and government</t>
  </si>
  <si>
    <t>Civilization -- Japanese influences</t>
  </si>
  <si>
    <t>Civilization -- Korean influences</t>
  </si>
  <si>
    <t>Commerce</t>
  </si>
  <si>
    <t>Diplomatic relations</t>
  </si>
  <si>
    <t>International relations</t>
  </si>
  <si>
    <t>Korea -- Relations -- Japan</t>
  </si>
  <si>
    <t>Japan -- Relations -- Korea</t>
  </si>
  <si>
    <t>Korea -- Civilization -- Japanese influences</t>
  </si>
  <si>
    <t>Japan -- Civilization -- Korean influences</t>
  </si>
  <si>
    <t>Korea -- Commerce -- Japan</t>
  </si>
  <si>
    <t>Japan -- Commerce -- Korea</t>
  </si>
  <si>
    <t>Japan -- History -- To 794</t>
  </si>
  <si>
    <t>Korea -- Foreign relations -- To 935</t>
  </si>
  <si>
    <t>Japan -- Foreign relations -- To 794</t>
  </si>
  <si>
    <t>Posters -- Japan -- 20th century</t>
  </si>
  <si>
    <t>Commercial art -- Japan -- History -- 20th century</t>
  </si>
  <si>
    <t>Posters -- Japan -- 20th century -- Catalogs</t>
  </si>
  <si>
    <t>Commercial art -- Japan -- History -- 20th century -- Catalogs</t>
  </si>
  <si>
    <t>Commercial art</t>
  </si>
  <si>
    <t>Posters</t>
  </si>
  <si>
    <t>Posutā-Rekishi</t>
  </si>
  <si>
    <t>Catalog</t>
  </si>
  <si>
    <t>catalogs (documents)</t>
  </si>
  <si>
    <t>Political science -- Study and teaching -- Japan</t>
  </si>
  <si>
    <t>Democracy -- Study and teaching -- Japan</t>
  </si>
  <si>
    <t>Civil society -- Study and teaching -- Japan</t>
  </si>
  <si>
    <t>Democracy -- Study and teaching</t>
  </si>
  <si>
    <t>Political science -- Study and teaching</t>
  </si>
  <si>
    <t>Japan -- Politics and government -- History</t>
  </si>
  <si>
    <t>Japan -- Foreign relations</t>
  </si>
  <si>
    <t>Japanese influences</t>
  </si>
  <si>
    <t>Political science</t>
  </si>
  <si>
    <t>Synonyms and antonyms</t>
  </si>
  <si>
    <t>Samurai</t>
  </si>
  <si>
    <t>Korean influences</t>
  </si>
  <si>
    <t>Democracy</t>
  </si>
  <si>
    <t>Civil society</t>
  </si>
  <si>
    <t>Diaries</t>
  </si>
  <si>
    <t>Wakayama-ken (Japan)</t>
  </si>
  <si>
    <t>Femmes botanistes</t>
  </si>
  <si>
    <t>Relations</t>
  </si>
  <si>
    <t>Foreign relations</t>
  </si>
  <si>
    <t>To 794</t>
  </si>
  <si>
    <t>百濟 (Kingdom); History</t>
  </si>
  <si>
    <t>Paekche (Kingdom) -- History</t>
  </si>
  <si>
    <t>Asia -- Paekche (Kingdom)</t>
  </si>
  <si>
    <t>Paekche (Kingdom)</t>
  </si>
  <si>
    <t>New studies in modern Japan</t>
  </si>
  <si>
    <t>Asia past &amp; present</t>
  </si>
  <si>
    <t>Libraries -- East Asia</t>
  </si>
  <si>
    <t>Libraries</t>
  </si>
  <si>
    <t>East Asia</t>
  </si>
  <si>
    <t>Japanologists -- United States</t>
  </si>
  <si>
    <t>Women college teachers -- United States</t>
  </si>
  <si>
    <t>Professeures (Enseignement supérieur) -- États-Unis</t>
  </si>
  <si>
    <t>Japanologists</t>
  </si>
  <si>
    <t>Women college teachers</t>
  </si>
  <si>
    <t>Japan -- Study and teaching -- United States</t>
  </si>
  <si>
    <t>United States</t>
  </si>
  <si>
    <t>Prostitution -- Japan -- History -- 19th century</t>
  </si>
  <si>
    <t>Prostitution -- Japan -- History -- 20th century</t>
  </si>
  <si>
    <t>Prostitution</t>
  </si>
  <si>
    <t>Social conditions</t>
  </si>
  <si>
    <t>Women -- Social conditions</t>
  </si>
  <si>
    <t>1800-1999</t>
  </si>
  <si>
    <t>Japan -- Social conditions</t>
  </si>
  <si>
    <t>Japan -- History</t>
  </si>
  <si>
    <t>Kimonos in literature</t>
  </si>
  <si>
    <t>Kimonos in motion pictures</t>
  </si>
  <si>
    <t>Japanese fiction -- 20th century -- History and criticism</t>
  </si>
  <si>
    <t>Motion pictures -- Japan -- 20th century</t>
  </si>
  <si>
    <t>LITERARY CRITICISM / Asian / Japanese</t>
  </si>
  <si>
    <t>Professeures (Enseignement supérieur)</t>
  </si>
  <si>
    <t>États-Unis</t>
  </si>
  <si>
    <t>Asahi junia shirizu</t>
  </si>
  <si>
    <t>朝日ジュニアシリーズ</t>
  </si>
  <si>
    <t>Asahi Shinbun Shuppan</t>
  </si>
  <si>
    <t>朝日新聞出版</t>
  </si>
  <si>
    <t>33</t>
  </si>
  <si>
    <t>35</t>
  </si>
  <si>
    <t>38</t>
  </si>
  <si>
    <t>Chisik ŭl Mandŭnŭn Chisik kojŏn sŏnjip</t>
  </si>
  <si>
    <t>지식 을 만드는 지식 고전 선집</t>
  </si>
  <si>
    <t>Kokushi taikei (Shintei zōho : 1998) ;vdai 58-60, 62-kan</t>
  </si>
  <si>
    <t>Kang, Kir-un</t>
  </si>
  <si>
    <t>David A</t>
  </si>
  <si>
    <t>Trends in linguistics</t>
  </si>
  <si>
    <t>Language Data</t>
  </si>
  <si>
    <t>Bib Data to Search With</t>
  </si>
  <si>
    <t>Other Bibliographic Data</t>
  </si>
  <si>
    <t>Akita bunko</t>
  </si>
  <si>
    <t>Brill's Korean studies library</t>
  </si>
  <si>
    <t>Han'gugŏ munhak taegye</t>
  </si>
  <si>
    <t>Hanʼguk Kodae Sahoe Yŏnʼguso saryo chʿongsŏ</t>
  </si>
  <si>
    <t>Inmun kwahak yŏn'gu ch'ongsŏ</t>
  </si>
  <si>
    <t>Inmun yŏnʼgu nonjip</t>
  </si>
  <si>
    <t>Language, writing and literary culture in the sinographic cosmopolis</t>
  </si>
  <si>
    <t>Takaokashi Man'yō Rekishikan Sōsho</t>
  </si>
  <si>
    <t>Yŏksa sok e sara innŭn inʼgan tʿamgu</t>
  </si>
  <si>
    <t>Libraries with Item</t>
  </si>
  <si>
    <t>Volume</t>
  </si>
  <si>
    <t>上中下</t>
  </si>
  <si>
    <t>Issue</t>
  </si>
  <si>
    <t>36</t>
  </si>
  <si>
    <t>37</t>
  </si>
  <si>
    <t>Yŏksa sok e sara innŭn inʼgan tʿamgu ;; 38</t>
  </si>
  <si>
    <t>역사 속 에 살아 있는 인간 탐구</t>
  </si>
  <si>
    <t>角川文庫</t>
  </si>
  <si>
    <t>한국목간학회총서</t>
  </si>
  <si>
    <t>자료총서</t>
  </si>
  <si>
    <t>国史大系ei zōho : 1998) ; 第 58-60, 62卷</t>
  </si>
  <si>
    <t>인문 과학 연구 총서</t>
  </si>
  <si>
    <t>人文研究論集</t>
  </si>
  <si>
    <t>姜 吉云. Works. 2002</t>
  </si>
  <si>
    <t>韓國古代社會硏究所史料叢書; 2. 韓國古代社會硏究所史料叢書 ; 3</t>
  </si>
  <si>
    <t>高岡市萬葉歴史館叢書</t>
  </si>
  <si>
    <t>韓國語文學大系</t>
  </si>
  <si>
    <t>秋田文庫</t>
  </si>
  <si>
    <t>中公文庫</t>
  </si>
  <si>
    <t>Currency Conversions</t>
  </si>
  <si>
    <t>Set Currency</t>
  </si>
  <si>
    <t>Add additional currencies as needed</t>
  </si>
  <si>
    <t>Code</t>
  </si>
  <si>
    <t>Conversion</t>
  </si>
  <si>
    <t>Exchange Rate</t>
  </si>
  <si>
    <t>Your Currency</t>
  </si>
  <si>
    <t>cny</t>
  </si>
  <si>
    <t>Note</t>
  </si>
  <si>
    <t>Local Currency</t>
  </si>
  <si>
    <t>Rush Order?</t>
  </si>
  <si>
    <t>To Circ for Pickup?</t>
  </si>
  <si>
    <t>Prof Dev Funds?</t>
  </si>
  <si>
    <t>Orders - 20xx-xx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</si>
</sst>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6" x14ac:knownFonts="1">
    <font>
      <sz val="11"/>
      <color theme="1"/>
      <name val="Calibri"/>
      <family val="2"/>
      <scheme val="minor"/>
    </font>
    <font>
      <b/>
      <sz val="11"/>
      <color rgb="FF565A5C"/>
      <name val="Calibri"/>
      <family val="2"/>
      <scheme val="minor"/>
    </font>
    <font>
      <sz val="10"/>
      <color theme="1"/>
      <name val="Calibri"/>
      <family val="2"/>
      <scheme val="minor"/>
    </font>
    <font>
      <sz val="10"/>
      <color rgb="FF565A5C"/>
      <name val="Calibri"/>
      <family val="2"/>
      <scheme val="minor"/>
    </font>
    <font>
      <sz val="9"/>
      <color indexed="81"/>
      <name val="Tahoma"/>
      <family val="2"/>
    </font>
    <font>
      <b/>
      <sz val="9"/>
      <color indexed="81"/>
      <name val="Tahoma"/>
      <family val="2"/>
    </font>
    <font>
      <b/>
      <sz val="12"/>
      <color rgb="FF565A5C"/>
      <name val="Calibri"/>
      <family val="2"/>
      <scheme val="minor"/>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8"/>
      <name val="Calibri"/>
      <family val="2"/>
      <scheme val="minor"/>
    </font>
    <font>
      <sz val="10"/>
      <color theme="1"/>
      <name val="Calibri"/>
      <family val="2"/>
    </font>
    <font>
      <sz val="10"/>
      <name val="Calibri"/>
      <family val="2"/>
      <scheme val="minor"/>
    </font>
    <font>
      <u/>
      <sz val="11"/>
      <color theme="10"/>
      <name val="Calibri"/>
      <family val="2"/>
      <scheme val="minor"/>
    </font>
    <font>
      <sz val="10"/>
      <color theme="0"/>
      <name val="Calibri"/>
      <family val="2"/>
    </font>
    <font>
      <b/>
      <sz val="10"/>
      <color theme="7" tint="0.39997558519241921"/>
      <name val="Calibri"/>
      <family val="2"/>
      <scheme val="minor"/>
    </font>
    <font>
      <sz val="10"/>
      <color theme="7" tint="0.39997558519241921"/>
      <name val="Calibri"/>
      <family val="2"/>
      <scheme val="minor"/>
    </font>
    <font>
      <sz val="10"/>
      <color theme="0" tint="-0.499984740745262"/>
      <name val="Calibri"/>
      <family val="2"/>
      <scheme val="minor"/>
    </font>
    <font>
      <sz val="10"/>
      <color rgb="FFCFB87C"/>
      <name val="Calibri"/>
      <family val="2"/>
      <scheme val="minor"/>
    </font>
    <font>
      <b/>
      <sz val="8"/>
      <color rgb="FF565A5C"/>
      <name val="Calibri"/>
      <family val="2"/>
      <scheme val="minor"/>
    </font>
    <font>
      <sz val="11"/>
      <color theme="0"/>
      <name val="Calibri"/>
      <family val="2"/>
      <scheme val="minor"/>
    </font>
    <font>
      <sz val="11"/>
      <color rgb="FF006100"/>
      <name val="Calibri"/>
      <family val="2"/>
      <scheme val="minor"/>
    </font>
    <font>
      <sz val="11"/>
      <color rgb="FF000000"/>
      <name val="Calibri"/>
      <family val="2"/>
    </font>
    <font>
      <sz val="11"/>
      <color theme="1"/>
      <name val="Calibri"/>
      <family val="2"/>
      <scheme val="minor"/>
    </font>
    <font>
      <sz val="10"/>
      <color indexed="8"/>
      <name val="Arial"/>
      <family val="2"/>
    </font>
    <font>
      <sz val="11"/>
      <color rgb="FF3F3F76"/>
      <name val="Calibri"/>
      <family val="2"/>
      <scheme val="minor"/>
    </font>
    <font>
      <b/>
      <sz val="11"/>
      <color rgb="FF3F3F76"/>
      <name val="Calibri"/>
      <family val="2"/>
      <scheme val="minor"/>
    </font>
    <font>
      <sz val="10"/>
      <color rgb="FFFFFFFF"/>
      <name val="Calibri"/>
      <family val="2"/>
      <scheme val="minor"/>
    </font>
    <font>
      <sz val="10"/>
      <color theme="10"/>
      <name val="Calibri"/>
      <family val="2"/>
      <scheme val="minor"/>
    </font>
    <font>
      <sz val="10"/>
      <color rgb="FF808080"/>
      <name val="Calibri"/>
      <family val="2"/>
    </font>
    <font>
      <sz val="10"/>
      <color rgb="FF808080"/>
      <name val="Calibri"/>
      <family val="2"/>
      <scheme val="minor"/>
    </font>
  </fonts>
  <fills count="16">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theme="2"/>
        <bgColor indexed="64"/>
      </patternFill>
    </fill>
    <fill>
      <patternFill patternType="solid">
        <fgColor theme="4"/>
      </patternFill>
    </fill>
    <fill>
      <patternFill patternType="solid">
        <fgColor theme="5"/>
      </patternFill>
    </fill>
    <fill>
      <patternFill patternType="solid">
        <fgColor rgb="FFC6EFCE"/>
      </patternFill>
    </fill>
    <fill>
      <patternFill patternType="solid">
        <fgColor theme="8"/>
      </patternFill>
    </fill>
    <fill>
      <patternFill patternType="solid">
        <fgColor theme="7" tint="0.59999389629810485"/>
        <bgColor indexed="64"/>
      </patternFill>
    </fill>
    <fill>
      <patternFill patternType="solid">
        <fgColor rgb="FFF9F9F9"/>
        <bgColor indexed="64"/>
      </patternFill>
    </fill>
    <fill>
      <patternFill patternType="solid">
        <fgColor rgb="FFFFCC99"/>
      </patternFill>
    </fill>
  </fills>
  <borders count="1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style="dashDot">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AAAAAA"/>
      </left>
      <right style="thin">
        <color rgb="FFAAAAAA"/>
      </right>
      <top style="thin">
        <color rgb="FFAAAAAA"/>
      </top>
      <bottom style="thin">
        <color rgb="FFAAAAAA"/>
      </bottom>
      <diagonal/>
    </border>
    <border>
      <left style="dashDot">
        <color indexed="64"/>
      </left>
      <right/>
      <top/>
      <bottom/>
      <diagonal/>
    </border>
    <border>
      <left style="dashDot">
        <color indexed="64"/>
      </left>
      <right/>
      <top style="thin">
        <color indexed="64"/>
      </top>
      <bottom/>
      <diagonal/>
    </border>
    <border>
      <left/>
      <right style="dashDot">
        <color indexed="64"/>
      </right>
      <top style="thin">
        <color indexed="64"/>
      </top>
      <bottom/>
      <diagonal/>
    </border>
    <border>
      <left style="dashDot">
        <color indexed="64"/>
      </left>
      <right style="dashDot">
        <color indexed="64"/>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theme="6" tint="0.39997558519241921"/>
      </top>
      <bottom style="thin">
        <color theme="6" tint="0.39997558519241921"/>
      </bottom>
      <diagonal/>
    </border>
  </borders>
  <cellStyleXfs count="12">
    <xf numFmtId="0" fontId="0" fillId="0" borderId="0"/>
    <xf numFmtId="0" fontId="12" fillId="0" borderId="0" applyNumberFormat="0" applyFill="0" applyBorder="0" applyProtection="0">
      <alignment vertical="center"/>
    </xf>
    <xf numFmtId="0" fontId="9" fillId="0" borderId="0" applyNumberFormat="0" applyFill="0" applyBorder="0" applyProtection="0">
      <alignment vertical="center"/>
    </xf>
    <xf numFmtId="0" fontId="25" fillId="9" borderId="0" applyNumberFormat="0" applyBorder="0" applyAlignment="0" applyProtection="0"/>
    <xf numFmtId="0" fontId="25" fillId="10" borderId="0" applyNumberFormat="0" applyBorder="0" applyAlignment="0" applyProtection="0"/>
    <xf numFmtId="0" fontId="26" fillId="11" borderId="0" applyNumberFormat="0" applyBorder="0" applyAlignment="0" applyProtection="0"/>
    <xf numFmtId="0" fontId="25" fillId="12" borderId="0" applyNumberFormat="0" applyBorder="0" applyAlignment="0" applyProtection="0"/>
    <xf numFmtId="38" fontId="28" fillId="0" borderId="0" applyFont="0" applyFill="0" applyBorder="0" applyAlignment="0" applyProtection="0">
      <alignment vertical="center"/>
    </xf>
    <xf numFmtId="0" fontId="28" fillId="0" borderId="0"/>
    <xf numFmtId="0" fontId="29" fillId="14" borderId="11" applyNumberFormat="0" applyProtection="0">
      <alignment horizontal="center"/>
    </xf>
    <xf numFmtId="44" fontId="28" fillId="0" borderId="0" applyFont="0" applyFill="0" applyBorder="0" applyAlignment="0" applyProtection="0"/>
    <xf numFmtId="0" fontId="30" fillId="15" borderId="16" applyNumberFormat="0" applyAlignment="0" applyProtection="0"/>
  </cellStyleXfs>
  <cellXfs count="141">
    <xf numFmtId="0" fontId="0" fillId="0" borderId="0" xfId="0"/>
    <xf numFmtId="0" fontId="0" fillId="0" borderId="0" xfId="0" applyAlignment="1">
      <alignment vertical="center"/>
    </xf>
    <xf numFmtId="0" fontId="0" fillId="0" borderId="0" xfId="0" pivotButton="1" applyAlignment="1">
      <alignment vertical="center"/>
    </xf>
    <xf numFmtId="1" fontId="0" fillId="0" borderId="0" xfId="0" applyNumberFormat="1" applyAlignment="1">
      <alignment vertical="center"/>
    </xf>
    <xf numFmtId="0" fontId="0" fillId="0" borderId="0" xfId="0" applyAlignment="1">
      <alignment horizontal="left"/>
    </xf>
    <xf numFmtId="0" fontId="18" fillId="0" borderId="0" xfId="2" applyFont="1">
      <alignment vertical="center"/>
    </xf>
    <xf numFmtId="0" fontId="0" fillId="0" borderId="0" xfId="0" applyAlignment="1">
      <alignment horizontal="left" vertical="center"/>
    </xf>
    <xf numFmtId="0" fontId="14" fillId="0" borderId="0" xfId="0" applyFont="1" applyAlignment="1">
      <alignment vertical="center"/>
    </xf>
    <xf numFmtId="49" fontId="0" fillId="0" borderId="0" xfId="0" applyNumberFormat="1" applyAlignment="1">
      <alignment horizontal="left" vertical="center"/>
    </xf>
    <xf numFmtId="49" fontId="0" fillId="0" borderId="0" xfId="0" applyNumberFormat="1" applyAlignment="1">
      <alignment vertical="center"/>
    </xf>
    <xf numFmtId="0" fontId="13" fillId="9" borderId="0" xfId="3" applyFont="1" applyAlignment="1">
      <alignment vertical="center"/>
    </xf>
    <xf numFmtId="0" fontId="13" fillId="10" borderId="0" xfId="4" applyFont="1" applyAlignment="1">
      <alignment vertical="center"/>
    </xf>
    <xf numFmtId="0" fontId="0" fillId="0" borderId="0" xfId="0" pivotButton="1"/>
    <xf numFmtId="1" fontId="0" fillId="0" borderId="0" xfId="0" applyNumberFormat="1" applyAlignment="1">
      <alignment horizontal="right" vertical="center"/>
    </xf>
    <xf numFmtId="0" fontId="0" fillId="0" borderId="9" xfId="0" applyBorder="1" applyAlignment="1">
      <alignment horizontal="right" vertical="center"/>
    </xf>
    <xf numFmtId="1" fontId="0" fillId="0" borderId="5" xfId="0" applyNumberFormat="1" applyBorder="1" applyAlignment="1">
      <alignment horizontal="right" vertical="center"/>
    </xf>
    <xf numFmtId="1" fontId="26" fillId="11" borderId="10" xfId="5" applyNumberFormat="1" applyBorder="1" applyAlignment="1">
      <alignment vertical="center"/>
    </xf>
    <xf numFmtId="1" fontId="0" fillId="0" borderId="9" xfId="0" applyNumberFormat="1" applyBorder="1" applyAlignment="1">
      <alignment horizontal="right" vertical="center"/>
    </xf>
    <xf numFmtId="1" fontId="0" fillId="0" borderId="0" xfId="0" applyNumberFormat="1" applyAlignment="1">
      <alignment horizontal="center" vertical="center"/>
    </xf>
    <xf numFmtId="0" fontId="13" fillId="12" borderId="0" xfId="6" applyFont="1" applyAlignment="1">
      <alignment vertical="center"/>
    </xf>
    <xf numFmtId="49" fontId="11" fillId="8" borderId="0" xfId="0" applyNumberFormat="1" applyFont="1" applyFill="1" applyAlignment="1">
      <alignment horizontal="center" vertical="center"/>
    </xf>
    <xf numFmtId="49" fontId="11" fillId="8" borderId="3" xfId="0" applyNumberFormat="1" applyFont="1" applyFill="1" applyBorder="1" applyAlignment="1">
      <alignment horizontal="center" vertical="center"/>
    </xf>
    <xf numFmtId="49" fontId="11" fillId="8" borderId="4" xfId="0" applyNumberFormat="1" applyFont="1" applyFill="1" applyBorder="1" applyAlignment="1">
      <alignment horizontal="center" vertical="center"/>
    </xf>
    <xf numFmtId="49" fontId="2" fillId="0" borderId="0" xfId="0" applyNumberFormat="1" applyFont="1" applyAlignment="1">
      <alignment horizontal="center" vertical="center"/>
    </xf>
    <xf numFmtId="49" fontId="17" fillId="0" borderId="0" xfId="0" applyNumberFormat="1" applyFont="1" applyAlignment="1" applyProtection="1">
      <alignment horizontal="left" vertical="center"/>
      <protection locked="0"/>
    </xf>
    <xf numFmtId="49" fontId="17" fillId="0" borderId="3" xfId="0" applyNumberFormat="1" applyFont="1" applyBorder="1" applyAlignment="1" applyProtection="1">
      <alignment horizontal="left" vertical="center"/>
      <protection locked="0"/>
    </xf>
    <xf numFmtId="49" fontId="9" fillId="0" borderId="0" xfId="2" applyNumberFormat="1" applyProtection="1">
      <alignment vertical="center"/>
      <protection locked="0"/>
    </xf>
    <xf numFmtId="0" fontId="9" fillId="0" borderId="0" xfId="2" applyNumberFormat="1" applyProtection="1">
      <alignment vertical="center"/>
      <protection locked="0"/>
    </xf>
    <xf numFmtId="49" fontId="22" fillId="0" borderId="0" xfId="0" applyNumberFormat="1" applyFont="1" applyAlignment="1" applyProtection="1">
      <alignment horizontal="right" vertical="center"/>
      <protection locked="0"/>
    </xf>
    <xf numFmtId="1" fontId="22" fillId="0" borderId="4" xfId="0" applyNumberFormat="1" applyFont="1" applyBorder="1" applyAlignment="1" applyProtection="1">
      <alignment horizontal="left" vertical="center"/>
      <protection locked="0"/>
    </xf>
    <xf numFmtId="49" fontId="2" fillId="0" borderId="0" xfId="0" applyNumberFormat="1" applyFont="1" applyAlignment="1" applyProtection="1">
      <alignment horizontal="center" vertical="center"/>
      <protection locked="0"/>
    </xf>
    <xf numFmtId="49" fontId="3" fillId="0" borderId="0" xfId="0" applyNumberFormat="1" applyFont="1" applyAlignment="1">
      <alignment horizontal="left" vertical="center"/>
    </xf>
    <xf numFmtId="49" fontId="8" fillId="0" borderId="0" xfId="0" applyNumberFormat="1" applyFont="1" applyAlignment="1">
      <alignment horizontal="center" vertical="center"/>
    </xf>
    <xf numFmtId="49" fontId="0" fillId="0" borderId="0" xfId="0" applyNumberFormat="1" applyAlignment="1">
      <alignment horizontal="center" vertical="center"/>
    </xf>
    <xf numFmtId="0" fontId="19" fillId="0" borderId="0" xfId="0" applyFont="1" applyAlignment="1">
      <alignment horizontal="center" vertical="center"/>
    </xf>
    <xf numFmtId="0" fontId="2" fillId="0" borderId="0" xfId="0" applyFont="1" applyAlignment="1">
      <alignment horizontal="center" vertical="center"/>
    </xf>
    <xf numFmtId="49" fontId="16" fillId="0" borderId="0" xfId="0" applyNumberFormat="1" applyFont="1" applyAlignment="1" applyProtection="1">
      <alignment horizontal="left" vertical="center"/>
      <protection locked="0"/>
    </xf>
    <xf numFmtId="49" fontId="16" fillId="0" borderId="0" xfId="0" applyNumberFormat="1" applyFont="1" applyAlignment="1" applyProtection="1">
      <alignment horizontal="center" vertical="center"/>
      <protection locked="0"/>
    </xf>
    <xf numFmtId="49" fontId="9" fillId="0" borderId="0" xfId="2" applyNumberFormat="1" applyFill="1" applyBorder="1" applyProtection="1">
      <alignment vertical="center"/>
      <protection locked="0"/>
    </xf>
    <xf numFmtId="1" fontId="16" fillId="0" borderId="0" xfId="0" applyNumberFormat="1" applyFont="1" applyAlignment="1" applyProtection="1">
      <alignment horizontal="center" vertical="center"/>
      <protection locked="0"/>
    </xf>
    <xf numFmtId="49" fontId="16" fillId="0" borderId="3" xfId="0" applyNumberFormat="1" applyFont="1" applyBorder="1" applyAlignment="1" applyProtection="1">
      <alignment horizontal="left" vertical="center"/>
      <protection locked="0"/>
    </xf>
    <xf numFmtId="49" fontId="2" fillId="0" borderId="0" xfId="0" applyNumberFormat="1" applyFont="1" applyAlignment="1" applyProtection="1">
      <alignment horizontal="left" vertical="center"/>
      <protection locked="0"/>
    </xf>
    <xf numFmtId="49" fontId="2" fillId="0" borderId="3" xfId="0" applyNumberFormat="1" applyFont="1" applyBorder="1" applyAlignment="1" applyProtection="1">
      <alignment horizontal="left" vertical="center"/>
      <protection locked="0"/>
    </xf>
    <xf numFmtId="1" fontId="2" fillId="0" borderId="0" xfId="0" applyNumberFormat="1" applyFont="1" applyAlignment="1" applyProtection="1">
      <alignment horizontal="center" vertical="center"/>
      <protection locked="0"/>
    </xf>
    <xf numFmtId="49" fontId="6" fillId="7" borderId="0" xfId="0" applyNumberFormat="1" applyFont="1" applyFill="1" applyAlignment="1" applyProtection="1">
      <alignment horizontal="left" vertical="center"/>
      <protection locked="0"/>
    </xf>
    <xf numFmtId="49" fontId="7" fillId="7" borderId="0" xfId="0" applyNumberFormat="1" applyFont="1" applyFill="1" applyAlignment="1" applyProtection="1">
      <alignment horizontal="left" vertical="center"/>
      <protection locked="0"/>
    </xf>
    <xf numFmtId="49" fontId="20" fillId="7" borderId="0" xfId="0" applyNumberFormat="1" applyFont="1" applyFill="1" applyAlignment="1" applyProtection="1">
      <alignment horizontal="left" vertical="center"/>
      <protection locked="0"/>
    </xf>
    <xf numFmtId="49" fontId="21" fillId="7" borderId="0" xfId="0" quotePrefix="1" applyNumberFormat="1" applyFont="1" applyFill="1" applyAlignment="1" applyProtection="1">
      <alignment horizontal="left" vertical="center"/>
      <protection locked="0"/>
    </xf>
    <xf numFmtId="49" fontId="0" fillId="7" borderId="0" xfId="0" applyNumberFormat="1" applyFill="1" applyAlignment="1" applyProtection="1">
      <alignment horizontal="left" vertical="center"/>
      <protection locked="0"/>
    </xf>
    <xf numFmtId="49" fontId="7" fillId="7" borderId="4" xfId="0" applyNumberFormat="1" applyFont="1" applyFill="1" applyBorder="1" applyAlignment="1" applyProtection="1">
      <alignment horizontal="left" vertical="center"/>
      <protection locked="0"/>
    </xf>
    <xf numFmtId="49" fontId="7" fillId="6" borderId="0" xfId="0" applyNumberFormat="1" applyFont="1" applyFill="1" applyAlignment="1" applyProtection="1">
      <alignment horizontal="center" vertical="center" wrapText="1"/>
      <protection locked="0"/>
    </xf>
    <xf numFmtId="49" fontId="3" fillId="4" borderId="0" xfId="0" applyNumberFormat="1" applyFont="1" applyFill="1" applyAlignment="1" applyProtection="1">
      <alignment horizontal="center" vertical="center" wrapText="1"/>
      <protection locked="0"/>
    </xf>
    <xf numFmtId="49" fontId="7" fillId="4" borderId="0" xfId="0" applyNumberFormat="1" applyFont="1" applyFill="1" applyAlignment="1" applyProtection="1">
      <alignment horizontal="center" vertical="center" wrapText="1"/>
      <protection locked="0"/>
    </xf>
    <xf numFmtId="49" fontId="3" fillId="4" borderId="3" xfId="0" applyNumberFormat="1" applyFont="1" applyFill="1" applyBorder="1" applyAlignment="1" applyProtection="1">
      <alignment horizontal="center" vertical="center" wrapText="1"/>
      <protection locked="0"/>
    </xf>
    <xf numFmtId="49" fontId="3" fillId="6" borderId="0" xfId="0" applyNumberFormat="1" applyFont="1" applyFill="1" applyAlignment="1" applyProtection="1">
      <alignment horizontal="center" vertical="center" wrapText="1"/>
      <protection locked="0"/>
    </xf>
    <xf numFmtId="49" fontId="1" fillId="2" borderId="6" xfId="0" applyNumberFormat="1" applyFont="1" applyFill="1" applyBorder="1" applyAlignment="1" applyProtection="1">
      <alignment horizontal="left" vertical="center"/>
      <protection locked="0"/>
    </xf>
    <xf numFmtId="49" fontId="1" fillId="2" borderId="0" xfId="0" applyNumberFormat="1" applyFont="1" applyFill="1" applyAlignment="1" applyProtection="1">
      <alignment horizontal="left" vertical="center"/>
      <protection locked="0"/>
    </xf>
    <xf numFmtId="49" fontId="1" fillId="2" borderId="2" xfId="0" applyNumberFormat="1" applyFont="1" applyFill="1" applyBorder="1" applyAlignment="1" applyProtection="1">
      <alignment horizontal="left" vertical="center"/>
      <protection locked="0"/>
    </xf>
    <xf numFmtId="49" fontId="1" fillId="2" borderId="1" xfId="0" applyNumberFormat="1" applyFont="1" applyFill="1" applyBorder="1" applyAlignment="1" applyProtection="1">
      <alignment horizontal="left" vertical="center"/>
      <protection locked="0"/>
    </xf>
    <xf numFmtId="49" fontId="23" fillId="2" borderId="6" xfId="0" applyNumberFormat="1" applyFont="1" applyFill="1" applyBorder="1" applyAlignment="1" applyProtection="1">
      <alignment horizontal="left" vertical="center"/>
      <protection locked="0"/>
    </xf>
    <xf numFmtId="49" fontId="9" fillId="7" borderId="0" xfId="2" applyNumberFormat="1" applyFill="1" applyAlignment="1" applyProtection="1">
      <alignment horizontal="left" vertical="center"/>
      <protection locked="0"/>
    </xf>
    <xf numFmtId="49" fontId="3" fillId="13" borderId="0" xfId="0" applyNumberFormat="1" applyFont="1" applyFill="1" applyAlignment="1" applyProtection="1">
      <alignment horizontal="left" vertical="center"/>
      <protection locked="0"/>
    </xf>
    <xf numFmtId="49" fontId="3" fillId="13" borderId="7" xfId="0" applyNumberFormat="1" applyFont="1" applyFill="1" applyBorder="1" applyAlignment="1" applyProtection="1">
      <alignment horizontal="left" vertical="center"/>
      <protection locked="0"/>
    </xf>
    <xf numFmtId="49" fontId="21" fillId="13" borderId="0" xfId="0" applyNumberFormat="1" applyFont="1" applyFill="1" applyAlignment="1" applyProtection="1">
      <alignment horizontal="left" vertical="center"/>
      <protection locked="0"/>
    </xf>
    <xf numFmtId="49" fontId="9" fillId="13" borderId="0" xfId="2" applyNumberFormat="1" applyFill="1" applyAlignment="1" applyProtection="1">
      <alignment horizontal="left" vertical="center"/>
      <protection locked="0"/>
    </xf>
    <xf numFmtId="49" fontId="21" fillId="13" borderId="0" xfId="0" quotePrefix="1" applyNumberFormat="1" applyFont="1" applyFill="1" applyAlignment="1" applyProtection="1">
      <alignment horizontal="left" vertical="center"/>
      <protection locked="0"/>
    </xf>
    <xf numFmtId="49" fontId="0" fillId="13" borderId="0" xfId="0" applyNumberFormat="1" applyFill="1" applyAlignment="1" applyProtection="1">
      <alignment horizontal="left" vertical="center"/>
      <protection locked="0"/>
    </xf>
    <xf numFmtId="49" fontId="3" fillId="13" borderId="4" xfId="0" applyNumberFormat="1" applyFont="1" applyFill="1" applyBorder="1" applyAlignment="1" applyProtection="1">
      <alignment horizontal="left" vertical="center"/>
      <protection locked="0"/>
    </xf>
    <xf numFmtId="2" fontId="13" fillId="12" borderId="0" xfId="6" applyNumberFormat="1" applyFont="1" applyAlignment="1">
      <alignment vertical="center"/>
    </xf>
    <xf numFmtId="49" fontId="9" fillId="0" borderId="0" xfId="2" applyNumberFormat="1" applyAlignment="1" applyProtection="1">
      <alignment horizontal="left" vertical="center"/>
      <protection locked="0"/>
    </xf>
    <xf numFmtId="1" fontId="2" fillId="0" borderId="4" xfId="0" applyNumberFormat="1" applyFont="1" applyBorder="1" applyAlignment="1" applyProtection="1">
      <alignment horizontal="center" vertical="center"/>
      <protection locked="0"/>
    </xf>
    <xf numFmtId="49" fontId="9" fillId="0" borderId="0" xfId="2" applyNumberFormat="1" applyBorder="1" applyProtection="1">
      <alignment vertical="center"/>
      <protection locked="0"/>
    </xf>
    <xf numFmtId="0" fontId="9" fillId="0" borderId="0" xfId="2" applyNumberFormat="1" applyBorder="1" applyProtection="1">
      <alignment vertical="center"/>
      <protection locked="0"/>
    </xf>
    <xf numFmtId="49" fontId="2" fillId="0" borderId="0" xfId="0" applyNumberFormat="1" applyFont="1" applyAlignment="1" applyProtection="1">
      <alignment horizontal="right" vertical="center"/>
      <protection locked="0"/>
    </xf>
    <xf numFmtId="49" fontId="7" fillId="6" borderId="12" xfId="0" applyNumberFormat="1" applyFont="1" applyFill="1" applyBorder="1" applyAlignment="1" applyProtection="1">
      <alignment horizontal="center" vertical="center" wrapText="1"/>
      <protection locked="0"/>
    </xf>
    <xf numFmtId="1" fontId="2" fillId="0" borderId="12" xfId="0" applyNumberFormat="1" applyFont="1" applyBorder="1" applyAlignment="1" applyProtection="1">
      <alignment horizontal="center" vertical="center"/>
      <protection locked="0"/>
    </xf>
    <xf numFmtId="1" fontId="16" fillId="0" borderId="12" xfId="0" applyNumberFormat="1" applyFont="1" applyBorder="1" applyAlignment="1" applyProtection="1">
      <alignment horizontal="center" vertical="center"/>
      <protection locked="0"/>
    </xf>
    <xf numFmtId="49" fontId="11" fillId="8" borderId="12" xfId="0" applyNumberFormat="1" applyFont="1" applyFill="1" applyBorder="1" applyAlignment="1">
      <alignment horizontal="center" vertical="center"/>
    </xf>
    <xf numFmtId="49" fontId="7" fillId="4" borderId="12" xfId="0" applyNumberFormat="1" applyFont="1" applyFill="1" applyBorder="1" applyAlignment="1" applyProtection="1">
      <alignment horizontal="center" vertical="center" wrapText="1"/>
      <protection locked="0"/>
    </xf>
    <xf numFmtId="49" fontId="11" fillId="8" borderId="8" xfId="0" applyNumberFormat="1" applyFont="1" applyFill="1" applyBorder="1" applyAlignment="1">
      <alignment horizontal="center" vertical="center"/>
    </xf>
    <xf numFmtId="49" fontId="2" fillId="0" borderId="8" xfId="0" applyNumberFormat="1" applyFont="1" applyBorder="1" applyAlignment="1" applyProtection="1">
      <alignment horizontal="center" vertical="center"/>
      <protection locked="0"/>
    </xf>
    <xf numFmtId="49" fontId="16" fillId="0" borderId="8" xfId="0" applyNumberFormat="1" applyFont="1" applyBorder="1" applyAlignment="1" applyProtection="1">
      <alignment horizontal="center" vertical="center"/>
      <protection locked="0"/>
    </xf>
    <xf numFmtId="49" fontId="2" fillId="0" borderId="12" xfId="0" applyNumberFormat="1" applyFont="1" applyBorder="1" applyAlignment="1" applyProtection="1">
      <alignment horizontal="left" vertical="center"/>
      <protection locked="0"/>
    </xf>
    <xf numFmtId="49" fontId="16" fillId="0" borderId="12" xfId="0" applyNumberFormat="1" applyFont="1" applyBorder="1" applyAlignment="1" applyProtection="1">
      <alignment horizontal="left" vertical="center"/>
      <protection locked="0"/>
    </xf>
    <xf numFmtId="49" fontId="1" fillId="2" borderId="13" xfId="0" applyNumberFormat="1" applyFont="1" applyFill="1" applyBorder="1" applyAlignment="1" applyProtection="1">
      <alignment horizontal="left" vertical="center"/>
      <protection locked="0"/>
    </xf>
    <xf numFmtId="49" fontId="1" fillId="2" borderId="14" xfId="0" applyNumberFormat="1" applyFont="1" applyFill="1" applyBorder="1" applyAlignment="1" applyProtection="1">
      <alignment horizontal="left" vertical="center"/>
      <protection locked="0"/>
    </xf>
    <xf numFmtId="49" fontId="7" fillId="6" borderId="0" xfId="0" applyNumberFormat="1" applyFont="1" applyFill="1" applyAlignment="1">
      <alignment horizontal="center" vertical="center" wrapText="1"/>
    </xf>
    <xf numFmtId="49" fontId="2" fillId="0" borderId="12" xfId="0" applyNumberFormat="1" applyFont="1" applyBorder="1" applyAlignment="1" applyProtection="1">
      <alignment horizontal="center" vertical="center"/>
      <protection locked="0"/>
    </xf>
    <xf numFmtId="49" fontId="3" fillId="4" borderId="12" xfId="0" applyNumberFormat="1" applyFont="1" applyFill="1" applyBorder="1" applyAlignment="1" applyProtection="1">
      <alignment horizontal="center" vertical="center" wrapText="1"/>
      <protection locked="0"/>
    </xf>
    <xf numFmtId="49" fontId="11" fillId="8" borderId="15" xfId="0" applyNumberFormat="1" applyFont="1" applyFill="1" applyBorder="1" applyAlignment="1">
      <alignment horizontal="center" vertical="center"/>
    </xf>
    <xf numFmtId="49" fontId="3" fillId="6" borderId="8" xfId="0" applyNumberFormat="1" applyFont="1" applyFill="1" applyBorder="1" applyAlignment="1" applyProtection="1">
      <alignment horizontal="center" vertical="center" wrapText="1"/>
      <protection locked="0"/>
    </xf>
    <xf numFmtId="49" fontId="7" fillId="4" borderId="0" xfId="0" applyNumberFormat="1" applyFont="1" applyFill="1" applyAlignment="1">
      <alignment horizontal="center" vertical="center" wrapText="1"/>
    </xf>
    <xf numFmtId="49" fontId="7" fillId="6" borderId="15" xfId="0" applyNumberFormat="1" applyFont="1" applyFill="1" applyBorder="1" applyAlignment="1" applyProtection="1">
      <alignment horizontal="center" vertical="center" wrapText="1"/>
      <protection locked="0"/>
    </xf>
    <xf numFmtId="49" fontId="7" fillId="6" borderId="3" xfId="0" applyNumberFormat="1" applyFont="1" applyFill="1" applyBorder="1" applyAlignment="1" applyProtection="1">
      <alignment horizontal="center" vertical="center" wrapText="1"/>
      <protection locked="0"/>
    </xf>
    <xf numFmtId="49" fontId="24" fillId="6" borderId="0" xfId="0" applyNumberFormat="1" applyFont="1" applyFill="1" applyAlignment="1" applyProtection="1">
      <alignment horizontal="center" vertical="center" textRotation="90" wrapText="1"/>
      <protection locked="0"/>
    </xf>
    <xf numFmtId="49" fontId="7" fillId="4" borderId="8" xfId="0" applyNumberFormat="1" applyFont="1" applyFill="1" applyBorder="1" applyAlignment="1" applyProtection="1">
      <alignment horizontal="center" vertical="center" wrapText="1"/>
      <protection locked="0"/>
    </xf>
    <xf numFmtId="49" fontId="2" fillId="4" borderId="3" xfId="0" applyNumberFormat="1" applyFont="1" applyFill="1" applyBorder="1" applyAlignment="1" applyProtection="1">
      <alignment horizontal="left" vertical="center"/>
      <protection locked="0"/>
    </xf>
    <xf numFmtId="49" fontId="7" fillId="4" borderId="4" xfId="0" applyNumberFormat="1" applyFont="1" applyFill="1" applyBorder="1" applyAlignment="1" applyProtection="1">
      <alignment horizontal="center" vertical="center" wrapText="1"/>
      <protection locked="0"/>
    </xf>
    <xf numFmtId="49" fontId="1" fillId="2" borderId="9" xfId="0" applyNumberFormat="1" applyFont="1" applyFill="1" applyBorder="1" applyAlignment="1">
      <alignment horizontal="left" vertical="center"/>
    </xf>
    <xf numFmtId="49" fontId="0" fillId="8" borderId="5" xfId="0" applyNumberFormat="1" applyFill="1" applyBorder="1" applyAlignment="1">
      <alignment horizontal="center" vertical="center"/>
    </xf>
    <xf numFmtId="49" fontId="3" fillId="4" borderId="17" xfId="0" applyNumberFormat="1" applyFont="1" applyFill="1" applyBorder="1" applyAlignment="1">
      <alignment horizontal="center" vertical="center" wrapText="1"/>
    </xf>
    <xf numFmtId="49" fontId="3" fillId="4" borderId="0" xfId="0" applyNumberFormat="1" applyFont="1" applyFill="1" applyAlignment="1">
      <alignment horizontal="center" vertical="center" wrapText="1"/>
    </xf>
    <xf numFmtId="49" fontId="3" fillId="4" borderId="4" xfId="0" applyNumberFormat="1" applyFont="1" applyFill="1" applyBorder="1" applyAlignment="1">
      <alignment horizontal="center" vertical="center" wrapText="1"/>
    </xf>
    <xf numFmtId="49" fontId="2" fillId="0" borderId="0" xfId="0" applyNumberFormat="1" applyFont="1" applyAlignment="1">
      <alignment horizontal="center" vertical="center" wrapText="1"/>
    </xf>
    <xf numFmtId="49" fontId="7" fillId="4" borderId="5" xfId="0" applyNumberFormat="1" applyFont="1" applyFill="1" applyBorder="1" applyAlignment="1">
      <alignment horizontal="center" vertical="center" wrapText="1"/>
    </xf>
    <xf numFmtId="49" fontId="3" fillId="0" borderId="3" xfId="0" applyNumberFormat="1" applyFont="1" applyBorder="1" applyAlignment="1">
      <alignment horizontal="center" vertical="center"/>
    </xf>
    <xf numFmtId="49" fontId="3" fillId="0" borderId="4" xfId="0" applyNumberFormat="1" applyFont="1" applyBorder="1" applyAlignment="1">
      <alignment horizontal="left" vertical="center"/>
    </xf>
    <xf numFmtId="0" fontId="2" fillId="0" borderId="0" xfId="0" applyFont="1" applyAlignment="1">
      <alignment vertical="center"/>
    </xf>
    <xf numFmtId="49" fontId="31" fillId="15" borderId="10" xfId="11" applyNumberFormat="1" applyFont="1" applyBorder="1" applyAlignment="1">
      <alignment horizontal="center" vertical="center"/>
    </xf>
    <xf numFmtId="49" fontId="1" fillId="2" borderId="1" xfId="0" applyNumberFormat="1" applyFont="1" applyFill="1" applyBorder="1" applyAlignment="1">
      <alignment horizontal="left" vertical="center"/>
    </xf>
    <xf numFmtId="49" fontId="1" fillId="2" borderId="6" xfId="0" applyNumberFormat="1" applyFont="1" applyFill="1" applyBorder="1" applyAlignment="1">
      <alignment horizontal="left" vertical="center"/>
    </xf>
    <xf numFmtId="49" fontId="1" fillId="2" borderId="2" xfId="0" applyNumberFormat="1" applyFont="1" applyFill="1" applyBorder="1" applyAlignment="1">
      <alignment horizontal="left" vertical="center"/>
    </xf>
    <xf numFmtId="2" fontId="2" fillId="0" borderId="0" xfId="0" applyNumberFormat="1" applyFont="1" applyAlignment="1" applyProtection="1">
      <alignment horizontal="left" vertical="center"/>
      <protection locked="0"/>
    </xf>
    <xf numFmtId="2" fontId="17" fillId="0" borderId="0" xfId="0" applyNumberFormat="1" applyFont="1" applyAlignment="1" applyProtection="1">
      <alignment horizontal="left" vertical="center"/>
      <protection locked="0"/>
    </xf>
    <xf numFmtId="1" fontId="2" fillId="0" borderId="15" xfId="0" applyNumberFormat="1" applyFont="1" applyBorder="1" applyAlignment="1" applyProtection="1">
      <alignment horizontal="center" vertical="center"/>
      <protection locked="0"/>
    </xf>
    <xf numFmtId="1" fontId="16" fillId="0" borderId="15" xfId="0" applyNumberFormat="1" applyFont="1" applyBorder="1" applyAlignment="1" applyProtection="1">
      <alignment horizontal="center" vertical="center"/>
      <protection locked="0"/>
    </xf>
    <xf numFmtId="1" fontId="2" fillId="0" borderId="4" xfId="0" applyNumberFormat="1" applyFont="1" applyBorder="1" applyAlignment="1" applyProtection="1">
      <alignment horizontal="left" vertical="center"/>
      <protection locked="0"/>
    </xf>
    <xf numFmtId="49" fontId="10" fillId="5" borderId="0" xfId="0" applyNumberFormat="1" applyFont="1" applyFill="1" applyAlignment="1">
      <alignment horizontal="left" vertical="center"/>
    </xf>
    <xf numFmtId="49" fontId="8" fillId="0" borderId="0" xfId="0" applyNumberFormat="1" applyFont="1" applyAlignment="1">
      <alignment horizontal="left" vertical="center"/>
    </xf>
    <xf numFmtId="49" fontId="2" fillId="0" borderId="0" xfId="0" applyNumberFormat="1" applyFont="1" applyAlignment="1">
      <alignment horizontal="left" vertical="center"/>
    </xf>
    <xf numFmtId="49" fontId="10" fillId="3" borderId="4" xfId="0" applyNumberFormat="1" applyFont="1" applyFill="1" applyBorder="1" applyAlignment="1">
      <alignment horizontal="left" vertical="center"/>
    </xf>
    <xf numFmtId="49" fontId="10" fillId="3" borderId="0" xfId="0" applyNumberFormat="1" applyFont="1" applyFill="1" applyAlignment="1">
      <alignment horizontal="left" vertical="center"/>
    </xf>
    <xf numFmtId="49" fontId="33" fillId="2" borderId="6" xfId="2" applyNumberFormat="1" applyFont="1" applyFill="1" applyBorder="1" applyAlignment="1" applyProtection="1">
      <alignment horizontal="left" vertical="center"/>
      <protection locked="0"/>
    </xf>
    <xf numFmtId="49" fontId="1" fillId="2" borderId="6" xfId="2" applyNumberFormat="1" applyFont="1" applyFill="1" applyBorder="1" applyAlignment="1" applyProtection="1">
      <alignment horizontal="left" vertical="center"/>
      <protection locked="0"/>
    </xf>
    <xf numFmtId="49" fontId="34" fillId="8" borderId="0" xfId="0" applyNumberFormat="1" applyFont="1" applyFill="1" applyAlignment="1">
      <alignment horizontal="center" vertical="center"/>
    </xf>
    <xf numFmtId="49" fontId="35" fillId="8" borderId="0" xfId="2" applyNumberFormat="1" applyFont="1" applyFill="1" applyAlignment="1">
      <alignment horizontal="center" vertical="center"/>
    </xf>
    <xf numFmtId="49" fontId="34" fillId="8" borderId="12" xfId="0" applyNumberFormat="1" applyFont="1" applyFill="1" applyBorder="1" applyAlignment="1">
      <alignment horizontal="center" vertical="center"/>
    </xf>
    <xf numFmtId="49" fontId="34" fillId="8" borderId="8" xfId="0" applyNumberFormat="1" applyFont="1" applyFill="1" applyBorder="1" applyAlignment="1">
      <alignment horizontal="center" vertical="center"/>
    </xf>
    <xf numFmtId="49" fontId="3" fillId="4" borderId="0" xfId="2" applyNumberFormat="1" applyFont="1" applyFill="1" applyAlignment="1" applyProtection="1">
      <alignment horizontal="center" vertical="center" wrapText="1"/>
      <protection locked="0"/>
    </xf>
    <xf numFmtId="49" fontId="3" fillId="6" borderId="0" xfId="2" applyNumberFormat="1" applyFont="1" applyFill="1" applyAlignment="1" applyProtection="1">
      <alignment horizontal="center" vertical="center" wrapText="1"/>
      <protection locked="0"/>
    </xf>
    <xf numFmtId="49" fontId="8" fillId="0" borderId="0" xfId="0" applyNumberFormat="1" applyFont="1" applyAlignment="1">
      <alignment horizontal="center" vertical="center" wrapText="1"/>
    </xf>
    <xf numFmtId="49" fontId="10" fillId="5" borderId="0" xfId="10" applyNumberFormat="1" applyFont="1" applyFill="1" applyAlignment="1">
      <alignment horizontal="left" vertical="center"/>
    </xf>
    <xf numFmtId="49" fontId="1" fillId="2" borderId="1" xfId="10" applyNumberFormat="1" applyFont="1" applyFill="1" applyBorder="1" applyAlignment="1" applyProtection="1">
      <alignment horizontal="left" vertical="center"/>
      <protection locked="0"/>
    </xf>
    <xf numFmtId="49" fontId="11" fillId="8" borderId="3" xfId="10" applyNumberFormat="1" applyFont="1" applyFill="1" applyBorder="1" applyAlignment="1">
      <alignment horizontal="center" vertical="center"/>
    </xf>
    <xf numFmtId="49" fontId="7" fillId="4" borderId="3" xfId="10" applyNumberFormat="1" applyFont="1" applyFill="1" applyBorder="1" applyAlignment="1">
      <alignment horizontal="center" vertical="center" wrapText="1"/>
    </xf>
    <xf numFmtId="44" fontId="2" fillId="0" borderId="3" xfId="10" applyFont="1" applyBorder="1" applyAlignment="1" applyProtection="1">
      <alignment horizontal="left" vertical="center"/>
      <protection locked="0"/>
    </xf>
    <xf numFmtId="44" fontId="32" fillId="3" borderId="0" xfId="10" applyFont="1" applyFill="1" applyAlignment="1">
      <alignment horizontal="left" vertical="center"/>
    </xf>
    <xf numFmtId="49" fontId="0" fillId="2" borderId="6" xfId="0" applyNumberFormat="1" applyFill="1" applyBorder="1" applyAlignment="1" applyProtection="1">
      <alignment horizontal="left" vertical="center"/>
      <protection locked="0"/>
    </xf>
    <xf numFmtId="49" fontId="2" fillId="8" borderId="3" xfId="0" applyNumberFormat="1" applyFont="1" applyFill="1" applyBorder="1" applyAlignment="1">
      <alignment horizontal="center" vertical="center" wrapText="1"/>
    </xf>
    <xf numFmtId="49" fontId="2" fillId="8" borderId="0" xfId="0" applyNumberFormat="1" applyFont="1" applyFill="1" applyAlignment="1">
      <alignment horizontal="center" vertical="center" wrapText="1"/>
    </xf>
    <xf numFmtId="49" fontId="2" fillId="8" borderId="4" xfId="0" applyNumberFormat="1" applyFont="1" applyFill="1" applyBorder="1" applyAlignment="1">
      <alignment horizontal="center" vertical="center" wrapText="1"/>
    </xf>
  </cellXfs>
  <cellStyles count="12">
    <cellStyle name="Accent1" xfId="3" builtinId="29"/>
    <cellStyle name="Accent2" xfId="4" builtinId="33"/>
    <cellStyle name="Accent5" xfId="6" builtinId="45"/>
    <cellStyle name="Comma [0] 2" xfId="7" xr:uid="{909CB1D1-44B1-40D5-8317-3E7E277BEFC9}"/>
    <cellStyle name="Currency" xfId="10" builtinId="4"/>
    <cellStyle name="Followed Hyperlink" xfId="1" builtinId="9" customBuiltin="1"/>
    <cellStyle name="Good" xfId="5" builtinId="26"/>
    <cellStyle name="Hyperlink" xfId="2" builtinId="8" customBuiltin="1"/>
    <cellStyle name="Input" xfId="11" builtinId="20"/>
    <cellStyle name="MeL標準" xfId="8" xr:uid="{24AC8636-D96A-4103-ACE3-4B4DA6CA641D}"/>
    <cellStyle name="Normal" xfId="0" builtinId="0"/>
    <cellStyle name="xls-style-9" xfId="9" xr:uid="{0EF5D4C7-0DD2-4B80-96F1-6608603A884F}"/>
  </cellStyles>
  <dxfs count="124">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center" vertical="center" textRotation="0" wrapText="0" indent="0" justifyLastLine="0" shrinkToFit="0" readingOrder="0"/>
    </dxf>
    <dxf>
      <numFmt numFmtId="30" formatCode="@"/>
      <alignment vertical="center"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0" tint="-0.499984740745262"/>
        <name val="Calibri"/>
        <family val="2"/>
        <scheme val="minor"/>
      </font>
      <numFmt numFmtId="1" formatCode="0"/>
      <alignment horizontal="left" vertical="center" textRotation="0" wrapText="0" indent="0" justifyLastLine="0" shrinkToFit="0" readingOrder="0"/>
      <border diagonalUp="0" diagonalDown="0" outline="0">
        <left/>
        <right style="thin">
          <color indexed="64"/>
        </right>
        <top/>
        <bottom/>
      </border>
    </dxf>
    <dxf>
      <font>
        <strike val="0"/>
        <outline val="0"/>
        <shadow val="0"/>
        <vertAlign val="baseline"/>
        <sz val="10"/>
        <color theme="0" tint="-0.499984740745262"/>
        <name val="Calibri"/>
        <family val="2"/>
      </font>
      <numFmt numFmtId="1" formatCode="0"/>
      <alignment horizontal="left" vertical="center" textRotation="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0"/>
        <color theme="0" tint="-0.499984740745262"/>
        <name val="Calibri"/>
        <family val="2"/>
        <scheme val="minor"/>
      </font>
      <numFmt numFmtId="30" formatCode="@"/>
      <alignment horizontal="right" vertical="center" textRotation="0" wrapText="0" indent="0" justifyLastLine="0" shrinkToFit="0" readingOrder="0"/>
    </dxf>
    <dxf>
      <font>
        <strike val="0"/>
        <outline val="0"/>
        <shadow val="0"/>
        <vertAlign val="baseline"/>
        <sz val="10"/>
        <color theme="0" tint="-0.499984740745262"/>
        <name val="Calibri"/>
        <family val="2"/>
      </font>
      <numFmt numFmtId="30" formatCode="@"/>
      <alignment horizontal="righ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4" formatCode="_(&quot;$&quot;* #,##0.00_);_(&quot;$&quot;* \(#,##0.00\);_(&quot;$&quot;* &quot;-&quot;??_);_(@_)"/>
      <alignment horizontal="left" vertical="center" textRotation="0" wrapText="0" indent="0" justifyLastLine="0" shrinkToFit="0" readingOrder="0"/>
    </dxf>
    <dxf>
      <font>
        <strike val="0"/>
        <outline val="0"/>
        <shadow val="0"/>
        <vertAlign val="baseline"/>
        <sz val="10"/>
        <name val="Calibri"/>
        <family val="2"/>
      </font>
      <numFmt numFmtId="34" formatCode="_(&quot;$&quot;* #,##0.00_);_(&quot;$&quot;* \(#,##0.00\);_(&quot;$&quot;* &quot;-&quot;??_);_(@_)"/>
      <alignment horizontal="left" vertical="center" textRotation="0" wrapText="0" indent="0" justifyLastLine="0" shrinkToFit="0" readingOrder="0"/>
      <border diagonalUp="0" diagonalDown="0">
        <left style="thin">
          <color indexed="64"/>
        </left>
        <right/>
        <top/>
        <bottom/>
        <vertical/>
        <horizontal/>
      </border>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wrapText="0" indent="0" justifyLastLine="0" shrinkToFit="0" readingOrder="0"/>
      <border diagonalUp="0" diagonalDown="0" outline="0">
        <left/>
        <right style="dashDot">
          <color indexed="64"/>
        </right>
        <top/>
        <bottom/>
      </border>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strike val="0"/>
        <outline val="0"/>
        <shadow val="0"/>
        <vertAlign val="baseline"/>
        <sz val="10"/>
        <name val="Calibri"/>
        <family val="2"/>
      </font>
      <numFmt numFmtId="30" formatCode="@"/>
      <alignment horizontal="left" vertical="center" textRotation="0" indent="0" justifyLastLine="0" shrinkToFit="0" readingOrder="0"/>
      <border diagonalUp="0" diagonalDown="0" outline="0">
        <left style="thin">
          <color indexed="64"/>
        </left>
        <right/>
      </border>
      <protection locked="0" hidden="0"/>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dxf>
    <dxf>
      <font>
        <strike val="0"/>
        <outline val="0"/>
        <shadow val="0"/>
        <vertAlign val="baseline"/>
        <sz val="10"/>
        <name val="Calibri"/>
        <family val="2"/>
      </font>
      <numFmt numFmtId="1" formatCode="0"/>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dxf>
    <dxf>
      <font>
        <strike val="0"/>
        <outline val="0"/>
        <shadow val="0"/>
        <vertAlign val="baseline"/>
        <sz val="10"/>
        <name val="Calibri"/>
        <family val="2"/>
      </font>
      <numFmt numFmtId="1" formatCode="0"/>
      <alignment horizontal="center" vertical="center" textRotation="0" indent="0" justifyLastLine="0" shrinkToFit="0" readingOrder="0"/>
      <border diagonalUp="0" diagonalDown="0" outline="0">
        <left style="dashDot">
          <color indexed="64"/>
        </left>
        <right/>
        <top/>
        <bottom/>
      </border>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border diagonalUp="0" diagonalDown="0" outline="0">
        <left/>
        <right style="dashDot">
          <color indexed="64"/>
        </right>
        <top/>
        <bottom/>
      </border>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ertAlign val="baseline"/>
        <sz val="10"/>
        <color theme="10"/>
        <name val="Calibri"/>
        <family val="2"/>
        <scheme val="minor"/>
      </font>
      <alignment horizontal="general" vertical="center" textRotation="0" wrapText="0" indent="0" justifyLastLine="0" shrinkToFit="0" readingOrder="0"/>
    </dxf>
    <dxf>
      <numFmt numFmtId="0" formatCode="General"/>
      <protection locked="0" hidden="0"/>
    </dxf>
    <dxf>
      <font>
        <b val="0"/>
        <i val="0"/>
        <strike val="0"/>
        <condense val="0"/>
        <extend val="0"/>
        <outline val="0"/>
        <shadow val="0"/>
        <u/>
        <vertAlign val="baseline"/>
        <sz val="10"/>
        <color theme="10"/>
        <name val="Calibri"/>
        <family val="2"/>
        <scheme val="minor"/>
      </font>
      <alignment horizontal="general" vertical="center" textRotation="0" wrapText="0" indent="0" justifyLastLine="0" shrinkToFit="0" readingOrder="0"/>
    </dxf>
    <dxf>
      <numFmt numFmtId="0" formatCode="General"/>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left" vertical="center" textRotation="0" wrapText="0" indent="0" justifyLastLine="0" shrinkToFit="0" readingOrder="0"/>
      <protection locked="0" hidden="0"/>
    </dxf>
    <dxf>
      <font>
        <b val="0"/>
        <i val="0"/>
        <strike val="0"/>
        <condense val="0"/>
        <extend val="0"/>
        <outline val="0"/>
        <shadow val="0"/>
        <u/>
        <vertAlign val="baseline"/>
        <sz val="10"/>
        <color theme="10"/>
        <name val="Calibri"/>
        <family val="2"/>
        <scheme val="minor"/>
      </font>
      <numFmt numFmtId="30" formatCode="@"/>
      <alignment horizontal="general" vertical="center" textRotation="0" wrapText="0" indent="0" justifyLastLine="0" shrinkToFit="0" readingOrder="0"/>
    </dxf>
    <dxf>
      <numFmt numFmtId="30" formatCode="@"/>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strike val="0"/>
        <outline val="0"/>
        <shadow val="0"/>
        <vertAlign val="baseline"/>
        <sz val="10"/>
        <name val="Calibri"/>
        <family val="2"/>
      </font>
      <numFmt numFmtId="30" formatCode="@"/>
      <alignment horizontal="left" vertical="center" textRotation="0" indent="0" justifyLastLine="0" shrinkToFit="0" readingOrder="0"/>
      <border diagonalUp="0" diagonalDown="0" outline="0">
        <left style="thin">
          <color indexed="64"/>
        </left>
        <right/>
      </border>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2" formatCode="0.00"/>
      <alignment horizontal="left" vertical="center" textRotation="0" indent="0" justifyLastLine="0" shrinkToFit="0" readingOrder="0"/>
      <protection locked="0" hidden="0"/>
    </dxf>
    <dxf>
      <numFmt numFmtId="30" formatCode="@"/>
      <alignment vertical="center" indent="0" justifyLastLine="0" shrinkToFit="0" readingOrder="0"/>
      <protection locked="0" hidden="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strike val="0"/>
        <outline val="0"/>
        <shadow val="0"/>
        <vertAlign val="baseline"/>
        <sz val="10"/>
        <name val="Calibri"/>
        <family val="2"/>
      </font>
      <numFmt numFmtId="30" formatCode="@"/>
      <alignment horizontal="center" vertical="center" textRotation="0" wrapText="1" indent="0" justifyLastLine="0" shrinkToFit="0" readingOrder="0"/>
      <protection locked="0" hidden="0"/>
    </dxf>
    <dxf>
      <font>
        <color theme="0" tint="-0.24994659260841701"/>
      </font>
      <fill>
        <patternFill patternType="none">
          <fgColor indexed="64"/>
          <bgColor indexed="65"/>
        </patternFill>
      </fill>
    </dxf>
    <dxf>
      <font>
        <color theme="0" tint="-0.24994659260841701"/>
      </font>
    </dxf>
    <dxf>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Medium9"/>
  <colors>
    <mruColors>
      <color rgb="FF565A5C"/>
      <color rgb="FFCFB87C"/>
      <color rgb="FFFFCCCC"/>
      <color rgb="FF9933FF"/>
      <color rgb="FF9C5700"/>
      <color rgb="FFCCCCFF"/>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17/06/relationships/rdRichValue" Target="richData/rdrichvalue.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sheetMetadata" Target="metadata.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06/relationships/rdRichValueTypes" Target="richData/rdRichValueTypes.xml"/><Relationship Id="rId10" Type="http://schemas.openxmlformats.org/officeDocument/2006/relationships/pivotCacheDefinition" Target="pivotCache/pivotCacheDefinition3.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 Id="rId2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Template.xlsm]s-Assign!Collection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Collection Assignments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's-Assign'!$B$1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53-4DC6-B044-4015F18471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53-4DC6-B044-4015F18471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653-4DC6-B044-4015F18471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653-4DC6-B044-4015F18471E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653-4DC6-B044-4015F18471E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's-Assign'!$A$2:$A$6</c:f>
              <c:strCache>
                <c:ptCount val="4"/>
                <c:pt idx="0">
                  <c:v>asnref</c:v>
                </c:pt>
                <c:pt idx="1">
                  <c:v>asnst</c:v>
                </c:pt>
                <c:pt idx="2">
                  <c:v>dupe</c:v>
                </c:pt>
                <c:pt idx="3">
                  <c:v>norst</c:v>
                </c:pt>
              </c:strCache>
            </c:strRef>
          </c:cat>
          <c:val>
            <c:numRef>
              <c:f>'s-Assign'!$B$2:$B$6</c:f>
              <c:numCache>
                <c:formatCode>General</c:formatCode>
                <c:ptCount val="4"/>
                <c:pt idx="0">
                  <c:v>77</c:v>
                </c:pt>
                <c:pt idx="1">
                  <c:v>162</c:v>
                </c:pt>
                <c:pt idx="2">
                  <c:v>47</c:v>
                </c:pt>
                <c:pt idx="3">
                  <c:v>21</c:v>
                </c:pt>
              </c:numCache>
            </c:numRef>
          </c:val>
          <c:extLst>
            <c:ext xmlns:c16="http://schemas.microsoft.com/office/drawing/2014/chart" uri="{C3380CC4-5D6E-409C-BE32-E72D297353CC}">
              <c16:uniqueId val="{00000000-D83C-4A0E-8832-310FB1223FF7}"/>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Template.xlsm]s-Series!SeriesN</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a:t>
            </a:r>
            <a:r>
              <a:rPr lang="en-US" baseline="0"/>
              <a:t> - Non-Romanized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's-Series'!$U$1</c:f>
              <c:strCache>
                <c:ptCount val="1"/>
                <c:pt idx="0">
                  <c:v>Total</c:v>
                </c:pt>
              </c:strCache>
            </c:strRef>
          </c:tx>
          <c:spPr>
            <a:solidFill>
              <a:schemeClr val="accent2"/>
            </a:solidFill>
            <a:ln>
              <a:noFill/>
            </a:ln>
            <a:effectLst/>
          </c:spPr>
          <c:invertIfNegative val="0"/>
          <c:cat>
            <c:strRef>
              <c:f>'s-Series'!$T$2:$T$37</c:f>
              <c:strCache>
                <c:ptCount val="36"/>
                <c:pt idx="0">
                  <c:v>ちくま学芸文庫</c:v>
                </c:pt>
                <c:pt idx="1">
                  <c:v>マンガ研究</c:v>
                </c:pt>
                <c:pt idx="2">
                  <c:v>講談社学術文庫</c:v>
                </c:pt>
                <c:pt idx="3">
                  <c:v>角川ソフィア文庫</c:v>
                </c:pt>
                <c:pt idx="4">
                  <c:v>Century Books. 人と作品</c:v>
                </c:pt>
                <c:pt idx="5">
                  <c:v>講談社文庫</c:v>
                </c:pt>
                <c:pt idx="6">
                  <c:v>角川文庫</c:v>
                </c:pt>
                <c:pt idx="7">
                  <c:v>한국 언어, 문학, 문화 총서</c:v>
                </c:pt>
                <c:pt idx="8">
                  <c:v>한국목간학회총서</c:v>
                </c:pt>
                <c:pt idx="9">
                  <c:v>日本書誌学大系</c:v>
                </c:pt>
                <c:pt idx="10">
                  <c:v>자료총서</c:v>
                </c:pt>
                <c:pt idx="11">
                  <c:v>近世文学研究叢書</c:v>
                </c:pt>
                <c:pt idx="12">
                  <c:v>国史大系ei zōho : 1998) ; 第 58-60, 62卷</c:v>
                </c:pt>
                <c:pt idx="13">
                  <c:v>講談社選書メチエ</c:v>
                </c:pt>
                <c:pt idx="14">
                  <c:v>인문 과학 연구 총서</c:v>
                </c:pt>
                <c:pt idx="15">
                  <c:v>青木文庫</c:v>
                </c:pt>
                <c:pt idx="16">
                  <c:v>지식 을 만드는 지식 고전 선집</c:v>
                </c:pt>
                <c:pt idx="17">
                  <c:v>朝日ジュニアシリーズ</c:v>
                </c:pt>
                <c:pt idx="18">
                  <c:v>人文研究論集</c:v>
                </c:pt>
                <c:pt idx="19">
                  <c:v>NHKブックス</c:v>
                </c:pt>
                <c:pt idx="20">
                  <c:v>姜 吉云. Works. 2002</c:v>
                </c:pt>
                <c:pt idx="21">
                  <c:v>岩波現代文庫</c:v>
                </c:pt>
                <c:pt idx="22">
                  <c:v>韓國古代社會硏究所史料叢書; 2. 韓國古代社會硏究所史料叢書 ; 3</c:v>
                </c:pt>
                <c:pt idx="23">
                  <c:v>関西大学東西学術研究所資料集刊</c:v>
                </c:pt>
                <c:pt idx="24">
                  <c:v>高岡市萬葉歴史館叢書</c:v>
                </c:pt>
                <c:pt idx="25">
                  <c:v>シリーズ日本人の手習い</c:v>
                </c:pt>
                <c:pt idx="26">
                  <c:v>韓國語文學大系</c:v>
                </c:pt>
                <c:pt idx="27">
                  <c:v>岩波文庫</c:v>
                </c:pt>
                <c:pt idx="28">
                  <c:v>秋田文庫</c:v>
                </c:pt>
                <c:pt idx="29">
                  <c:v>にほんごよむよむ文庫</c:v>
                </c:pt>
                <c:pt idx="30">
                  <c:v>역사 속 에 살아 있는 인간 탐구</c:v>
                </c:pt>
                <c:pt idx="31">
                  <c:v>研文選書</c:v>
                </c:pt>
                <c:pt idx="32">
                  <c:v>국어사대계</c:v>
                </c:pt>
                <c:pt idx="33">
                  <c:v>中公文庫</c:v>
                </c:pt>
                <c:pt idx="34">
                  <c:v>성균 한국어문학 총서</c:v>
                </c:pt>
                <c:pt idx="35">
                  <c:v>東洋文庫</c:v>
                </c:pt>
              </c:strCache>
            </c:strRef>
          </c:cat>
          <c:val>
            <c:numRef>
              <c:f>'s-Series'!$U$2:$U$37</c:f>
              <c:numCache>
                <c:formatCode>General</c:formatCode>
                <c:ptCount val="3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2</c:v>
                </c:pt>
                <c:pt idx="30">
                  <c:v>2</c:v>
                </c:pt>
                <c:pt idx="31">
                  <c:v>2</c:v>
                </c:pt>
                <c:pt idx="32">
                  <c:v>2</c:v>
                </c:pt>
                <c:pt idx="33">
                  <c:v>2</c:v>
                </c:pt>
                <c:pt idx="34">
                  <c:v>2</c:v>
                </c:pt>
                <c:pt idx="35">
                  <c:v>2</c:v>
                </c:pt>
              </c:numCache>
            </c:numRef>
          </c:val>
          <c:extLst>
            <c:ext xmlns:c16="http://schemas.microsoft.com/office/drawing/2014/chart" uri="{C3380CC4-5D6E-409C-BE32-E72D297353CC}">
              <c16:uniqueId val="{00000000-C847-43B1-A3A4-7976B4A99827}"/>
            </c:ext>
          </c:extLst>
        </c:ser>
        <c:dLbls>
          <c:showLegendKey val="0"/>
          <c:showVal val="0"/>
          <c:showCatName val="0"/>
          <c:showSerName val="0"/>
          <c:showPercent val="0"/>
          <c:showBubbleSize val="0"/>
        </c:dLbls>
        <c:gapWidth val="182"/>
        <c:axId val="2092036432"/>
        <c:axId val="2092034992"/>
      </c:barChart>
      <c:catAx>
        <c:axId val="2092036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034992"/>
        <c:crosses val="autoZero"/>
        <c:auto val="1"/>
        <c:lblAlgn val="ctr"/>
        <c:lblOffset val="100"/>
        <c:noMultiLvlLbl val="0"/>
      </c:catAx>
      <c:valAx>
        <c:axId val="2092034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03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Template.xlsm]s-Series!SeriesRE</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Series Titles - Romanized/English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's-Series'!$E$1</c:f>
              <c:strCache>
                <c:ptCount val="1"/>
                <c:pt idx="0">
                  <c:v>Total</c:v>
                </c:pt>
              </c:strCache>
            </c:strRef>
          </c:tx>
          <c:spPr>
            <a:solidFill>
              <a:schemeClr val="accent1"/>
            </a:solidFill>
            <a:ln>
              <a:noFill/>
            </a:ln>
            <a:effectLst/>
          </c:spPr>
          <c:invertIfNegative val="0"/>
          <c:cat>
            <c:strRef>
              <c:f>'s-Series'!$D$2:$D$50</c:f>
              <c:strCache>
                <c:ptCount val="49"/>
                <c:pt idx="0">
                  <c:v>Akita bunko</c:v>
                </c:pt>
                <c:pt idx="1">
                  <c:v>Aoki bunko</c:v>
                </c:pt>
                <c:pt idx="2">
                  <c:v>Asahi junia shirizu</c:v>
                </c:pt>
                <c:pt idx="3">
                  <c:v>Asia past &amp; present</c:v>
                </c:pt>
                <c:pt idx="4">
                  <c:v>Brill's Korean studies library</c:v>
                </c:pt>
                <c:pt idx="5">
                  <c:v>Cambridge companions to music</c:v>
                </c:pt>
                <c:pt idx="6">
                  <c:v>Charyo ch'ongsŏ</c:v>
                </c:pt>
                <c:pt idx="7">
                  <c:v>Chikuma gakugei bunko</c:v>
                </c:pt>
                <c:pt idx="8">
                  <c:v>Chisik ŭl Mandŭnŭn Chisik kojŏn sŏnjip</c:v>
                </c:pt>
                <c:pt idx="9">
                  <c:v>Chūkō bunko</c:v>
                </c:pt>
                <c:pt idx="10">
                  <c:v>David A</c:v>
                </c:pt>
                <c:pt idx="11">
                  <c:v>Early Korea Project occasional series</c:v>
                </c:pt>
                <c:pt idx="12">
                  <c:v>Han'gugŏ munhak taegye</c:v>
                </c:pt>
                <c:pt idx="13">
                  <c:v>Hanʼguk Kodae Sahoe Yŏnʼguso saryo chʿongsŏ</c:v>
                </c:pt>
                <c:pt idx="14">
                  <c:v>Han'guk Mokkan Hakhoe ch'ongsŏ</c:v>
                </c:pt>
                <c:pt idx="15">
                  <c:v>Han'guk ŏnŏ, munhak, munhwa ch'ongsŏ</c:v>
                </c:pt>
                <c:pt idx="16">
                  <c:v>Inmun kwahak yŏn'gu ch'ongsŏ</c:v>
                </c:pt>
                <c:pt idx="17">
                  <c:v>Inmun yŏnʼgu nonjip</c:v>
                </c:pt>
                <c:pt idx="18">
                  <c:v>Iwanami bunko</c:v>
                </c:pt>
                <c:pt idx="19">
                  <c:v>Iwanami gendai bunko</c:v>
                </c:pt>
                <c:pt idx="20">
                  <c:v>Kadokawa bunko</c:v>
                </c:pt>
                <c:pt idx="21">
                  <c:v>Kadokawa sofia bunko</c:v>
                </c:pt>
                <c:pt idx="22">
                  <c:v>Kang, Kir-un</c:v>
                </c:pt>
                <c:pt idx="23">
                  <c:v>Kansai daigaku tōzai gakujutsu kenkyūjo shiryō shūkan</c:v>
                </c:pt>
                <c:pt idx="24">
                  <c:v>Kenbun sensho</c:v>
                </c:pt>
                <c:pt idx="25">
                  <c:v>Key issues in Asian studies</c:v>
                </c:pt>
                <c:pt idx="26">
                  <c:v>Kinsei bungaku kenkyū sōsho</c:v>
                </c:pt>
                <c:pt idx="27">
                  <c:v>Kodansha bunko</c:v>
                </c:pt>
                <c:pt idx="28">
                  <c:v>Kōdansha gakujutsu bunko</c:v>
                </c:pt>
                <c:pt idx="29">
                  <c:v>Kōdansha Sensho Mechie</c:v>
                </c:pt>
                <c:pt idx="30">
                  <c:v>Kokushi taikei (Shintei zōho : 1998) ;vdai 58-60, 62-kan</c:v>
                </c:pt>
                <c:pt idx="31">
                  <c:v>Kugŏsa taegye</c:v>
                </c:pt>
                <c:pt idx="32">
                  <c:v>Language, writing and literary culture in the sinographic cosmopolis</c:v>
                </c:pt>
                <c:pt idx="33">
                  <c:v>Manga kenkyū</c:v>
                </c:pt>
                <c:pt idx="34">
                  <c:v>Moon country Korean poetry series</c:v>
                </c:pt>
                <c:pt idx="35">
                  <c:v>New directions paperbook</c:v>
                </c:pt>
                <c:pt idx="36">
                  <c:v>New studies in modern Japan</c:v>
                </c:pt>
                <c:pt idx="37">
                  <c:v>NHK bukkusu</c:v>
                </c:pt>
                <c:pt idx="38">
                  <c:v>Nihon Shoshigaku Taikei</c:v>
                </c:pt>
                <c:pt idx="39">
                  <c:v>Nihongo yomu yomu bunko</c:v>
                </c:pt>
                <c:pt idx="40">
                  <c:v>Senchuri bukkusu</c:v>
                </c:pt>
                <c:pt idx="41">
                  <c:v>Shirīzu Nihonjin no tenarai</c:v>
                </c:pt>
                <c:pt idx="42">
                  <c:v>Societas Koreana</c:v>
                </c:pt>
                <c:pt idx="43">
                  <c:v>Sŏnggyun Han'gugŏ Munhak ch'ongsŏ</c:v>
                </c:pt>
                <c:pt idx="44">
                  <c:v>Takaokashi Man'yō Rekishikan Sōsho</c:v>
                </c:pt>
                <c:pt idx="45">
                  <c:v>Tōyō bunko</c:v>
                </c:pt>
                <c:pt idx="46">
                  <c:v>Trends in linguistics</c:v>
                </c:pt>
                <c:pt idx="47">
                  <c:v>Yŏksa sok e sara innŭn inʼgan tʿamgu</c:v>
                </c:pt>
                <c:pt idx="48">
                  <c:v>Yŏksa sok e sara innŭn inʼgan tʿamgu ;; 38</c:v>
                </c:pt>
              </c:strCache>
            </c:strRef>
          </c:cat>
          <c:val>
            <c:numRef>
              <c:f>'s-Series'!$E$2:$E$50</c:f>
              <c:numCache>
                <c:formatCode>General</c:formatCode>
                <c:ptCount val="49"/>
                <c:pt idx="0">
                  <c:v>1</c:v>
                </c:pt>
                <c:pt idx="1">
                  <c:v>1</c:v>
                </c:pt>
                <c:pt idx="2">
                  <c:v>1</c:v>
                </c:pt>
                <c:pt idx="3">
                  <c:v>1</c:v>
                </c:pt>
                <c:pt idx="4">
                  <c:v>1</c:v>
                </c:pt>
                <c:pt idx="5">
                  <c:v>1</c:v>
                </c:pt>
                <c:pt idx="6">
                  <c:v>1</c:v>
                </c:pt>
                <c:pt idx="7">
                  <c:v>1</c:v>
                </c:pt>
                <c:pt idx="8">
                  <c:v>1</c:v>
                </c:pt>
                <c:pt idx="9">
                  <c:v>2</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2</c:v>
                </c:pt>
                <c:pt idx="25">
                  <c:v>1</c:v>
                </c:pt>
                <c:pt idx="26">
                  <c:v>1</c:v>
                </c:pt>
                <c:pt idx="27">
                  <c:v>1</c:v>
                </c:pt>
                <c:pt idx="28">
                  <c:v>1</c:v>
                </c:pt>
                <c:pt idx="29">
                  <c:v>1</c:v>
                </c:pt>
                <c:pt idx="30">
                  <c:v>1</c:v>
                </c:pt>
                <c:pt idx="31">
                  <c:v>2</c:v>
                </c:pt>
                <c:pt idx="32">
                  <c:v>1</c:v>
                </c:pt>
                <c:pt idx="33">
                  <c:v>1</c:v>
                </c:pt>
                <c:pt idx="34">
                  <c:v>1</c:v>
                </c:pt>
                <c:pt idx="35">
                  <c:v>2</c:v>
                </c:pt>
                <c:pt idx="36">
                  <c:v>1</c:v>
                </c:pt>
                <c:pt idx="37">
                  <c:v>1</c:v>
                </c:pt>
                <c:pt idx="38">
                  <c:v>1</c:v>
                </c:pt>
                <c:pt idx="39">
                  <c:v>2</c:v>
                </c:pt>
                <c:pt idx="40">
                  <c:v>1</c:v>
                </c:pt>
                <c:pt idx="41">
                  <c:v>1</c:v>
                </c:pt>
                <c:pt idx="42">
                  <c:v>1</c:v>
                </c:pt>
                <c:pt idx="43">
                  <c:v>2</c:v>
                </c:pt>
                <c:pt idx="44">
                  <c:v>1</c:v>
                </c:pt>
                <c:pt idx="45">
                  <c:v>2</c:v>
                </c:pt>
                <c:pt idx="46">
                  <c:v>1</c:v>
                </c:pt>
                <c:pt idx="47">
                  <c:v>1</c:v>
                </c:pt>
                <c:pt idx="48">
                  <c:v>1</c:v>
                </c:pt>
              </c:numCache>
            </c:numRef>
          </c:val>
          <c:extLst>
            <c:ext xmlns:c16="http://schemas.microsoft.com/office/drawing/2014/chart" uri="{C3380CC4-5D6E-409C-BE32-E72D297353CC}">
              <c16:uniqueId val="{00000000-2F35-4659-BDA4-5E104D6B92CC}"/>
            </c:ext>
          </c:extLst>
        </c:ser>
        <c:dLbls>
          <c:showLegendKey val="0"/>
          <c:showVal val="0"/>
          <c:showCatName val="0"/>
          <c:showSerName val="0"/>
          <c:showPercent val="0"/>
          <c:showBubbleSize val="0"/>
        </c:dLbls>
        <c:gapWidth val="182"/>
        <c:axId val="10180576"/>
        <c:axId val="10175776"/>
      </c:barChart>
      <c:catAx>
        <c:axId val="10180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5776"/>
        <c:crosses val="autoZero"/>
        <c:auto val="1"/>
        <c:lblAlgn val="ctr"/>
        <c:lblOffset val="100"/>
        <c:noMultiLvlLbl val="0"/>
      </c:catAx>
      <c:valAx>
        <c:axId val="10175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Template.xlsm]s-Pub!pubRE</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Romanized/English</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cat>
            <c:strRef>
              <c:f>'s-Pub'!$A$2:$A$65</c:f>
              <c:strCache>
                <c:ptCount val="64"/>
                <c:pt idx="0">
                  <c:v>Kokubunsha</c:v>
                </c:pt>
                <c:pt idx="1">
                  <c:v>Kōseisha</c:v>
                </c:pt>
                <c:pt idx="2">
                  <c:v>Ariake Shobō</c:v>
                </c:pt>
                <c:pt idx="3">
                  <c:v>Aoki Shoten</c:v>
                </c:pt>
                <c:pt idx="4">
                  <c:v>Asahi Shinbun Shuppan</c:v>
                </c:pt>
                <c:pt idx="5">
                  <c:v>Benseisha</c:v>
                </c:pt>
                <c:pt idx="6">
                  <c:v>Cambridge University Press</c:v>
                </c:pt>
                <c:pt idx="7">
                  <c:v>Yŏngnak</c:v>
                </c:pt>
                <c:pt idx="8">
                  <c:v>Meicho Kankōkai</c:v>
                </c:pt>
                <c:pt idx="9">
                  <c:v>Chimmundang</c:v>
                </c:pt>
                <c:pt idx="10">
                  <c:v>Meiji Shoin</c:v>
                </c:pt>
                <c:pt idx="11">
                  <c:v>Gracewing</c:v>
                </c:pt>
                <c:pt idx="12">
                  <c:v>Mimunsa</c:v>
                </c:pt>
                <c:pt idx="13">
                  <c:v>Hatsubaimoto Kinokuniya Shoten</c:v>
                </c:pt>
                <c:pt idx="14">
                  <c:v>New Direction Books</c:v>
                </c:pt>
                <c:pt idx="15">
                  <c:v>Hōyū Shoten</c:v>
                </c:pt>
                <c:pt idx="16">
                  <c:v>New Directions</c:v>
                </c:pt>
                <c:pt idx="17">
                  <c:v>Hōzōkan</c:v>
                </c:pt>
                <c:pt idx="18">
                  <c:v>Nihonmangagakkai</c:v>
                </c:pt>
                <c:pt idx="19">
                  <c:v>Izumi Shoin</c:v>
                </c:pt>
                <c:pt idx="20">
                  <c:v>Niji Shobō</c:v>
                </c:pt>
                <c:pt idx="21">
                  <c:v>Kansai Daigaku Shuppan</c:v>
                </c:pt>
                <c:pt idx="22">
                  <c:v>Nippon Hōsō Shuppan Ky{229]okai</c:v>
                </c:pt>
                <c:pt idx="23">
                  <c:v>Kōbun Shuppan</c:v>
                </c:pt>
                <c:pt idx="24">
                  <c:v>Pogosa</c:v>
                </c:pt>
                <c:pt idx="25">
                  <c:v>Yūzankaku Shuppan</c:v>
                </c:pt>
                <c:pt idx="26">
                  <c:v>Popurasha</c:v>
                </c:pt>
                <c:pt idx="27">
                  <c:v>Chikuma Shobō</c:v>
                </c:pt>
                <c:pt idx="28">
                  <c:v>Pukt'ori</c:v>
                </c:pt>
                <c:pt idx="29">
                  <c:v>Hakusuisha</c:v>
                </c:pt>
                <c:pt idx="30">
                  <c:v>Riburopōto</c:v>
                </c:pt>
                <c:pt idx="31">
                  <c:v>Hōyūshoten</c:v>
                </c:pt>
                <c:pt idx="32">
                  <c:v>Seidosha</c:v>
                </c:pt>
                <c:pt idx="33">
                  <c:v>Kadokawa</c:v>
                </c:pt>
                <c:pt idx="34">
                  <c:v>Seishodō Shoten</c:v>
                </c:pt>
                <c:pt idx="35">
                  <c:v>Kōbundō</c:v>
                </c:pt>
                <c:pt idx="36">
                  <c:v>Shibunkaku Shuppan</c:v>
                </c:pt>
                <c:pt idx="37">
                  <c:v>Genbaku No Zu Maruki Bijutsukan</c:v>
                </c:pt>
                <c:pt idx="38">
                  <c:v>Shibunkaku Shuppsn</c:v>
                </c:pt>
                <c:pt idx="39">
                  <c:v>Hunmin Chŏngŭm</c:v>
                </c:pt>
                <c:pt idx="40">
                  <c:v>Shinpyōsha</c:v>
                </c:pt>
                <c:pt idx="41">
                  <c:v>Bungaku Tsūshin</c:v>
                </c:pt>
                <c:pt idx="42">
                  <c:v>Shōgakukan</c:v>
                </c:pt>
                <c:pt idx="43">
                  <c:v>Kŏbugi Puksŭ</c:v>
                </c:pt>
                <c:pt idx="44">
                  <c:v>Tōkyōdō Shuppan</c:v>
                </c:pt>
                <c:pt idx="45">
                  <c:v>Heirakuji Shoten</c:v>
                </c:pt>
                <c:pt idx="46">
                  <c:v>Wakakusa Shobō</c:v>
                </c:pt>
                <c:pt idx="47">
                  <c:v>Bensei Shuppan</c:v>
                </c:pt>
                <c:pt idx="48">
                  <c:v>Futabasha</c:v>
                </c:pt>
                <c:pt idx="49">
                  <c:v>Shinchōsha</c:v>
                </c:pt>
                <c:pt idx="50">
                  <c:v>Taishūkan Shoten</c:v>
                </c:pt>
                <c:pt idx="51">
                  <c:v>Heibonsha</c:v>
                </c:pt>
                <c:pt idx="52">
                  <c:v>Pangmunsa</c:v>
                </c:pt>
                <c:pt idx="53">
                  <c:v>T'aehaksa</c:v>
                </c:pt>
                <c:pt idx="54">
                  <c:v>Kenbun Shuppan</c:v>
                </c:pt>
                <c:pt idx="55">
                  <c:v>Yumani Shobō</c:v>
                </c:pt>
                <c:pt idx="56">
                  <c:v>Iwanami Shoten</c:v>
                </c:pt>
                <c:pt idx="57">
                  <c:v>Kashiwa Shobō</c:v>
                </c:pt>
                <c:pt idx="58">
                  <c:v>Kabushiki Kaisha Yūzankaku</c:v>
                </c:pt>
                <c:pt idx="59">
                  <c:v>Kōdansha</c:v>
                </c:pt>
                <c:pt idx="60">
                  <c:v>Shin Jinbutsu Ōraisha</c:v>
                </c:pt>
                <c:pt idx="61">
                  <c:v>Kyūko Shoin</c:v>
                </c:pt>
                <c:pt idx="62">
                  <c:v>Yoshikawa Kōbunkan</c:v>
                </c:pt>
                <c:pt idx="63">
                  <c:v>Shūfūsha</c:v>
                </c:pt>
              </c:strCache>
            </c:strRef>
          </c:cat>
          <c:val>
            <c:numRef>
              <c:f>'s-Pub'!$B$2:$B$65</c:f>
              <c:numCache>
                <c:formatCode>General</c:formatCode>
                <c:ptCount val="6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2</c:v>
                </c:pt>
                <c:pt idx="49">
                  <c:v>2</c:v>
                </c:pt>
                <c:pt idx="50">
                  <c:v>2</c:v>
                </c:pt>
                <c:pt idx="51">
                  <c:v>2</c:v>
                </c:pt>
                <c:pt idx="52">
                  <c:v>2</c:v>
                </c:pt>
                <c:pt idx="53">
                  <c:v>2</c:v>
                </c:pt>
                <c:pt idx="54">
                  <c:v>3</c:v>
                </c:pt>
                <c:pt idx="55">
                  <c:v>3</c:v>
                </c:pt>
                <c:pt idx="56">
                  <c:v>3</c:v>
                </c:pt>
                <c:pt idx="57">
                  <c:v>4</c:v>
                </c:pt>
                <c:pt idx="58">
                  <c:v>8</c:v>
                </c:pt>
                <c:pt idx="59">
                  <c:v>10</c:v>
                </c:pt>
                <c:pt idx="60">
                  <c:v>12</c:v>
                </c:pt>
                <c:pt idx="61">
                  <c:v>14</c:v>
                </c:pt>
                <c:pt idx="62">
                  <c:v>16</c:v>
                </c:pt>
                <c:pt idx="63">
                  <c:v>26</c:v>
                </c:pt>
              </c:numCache>
            </c:numRef>
          </c:val>
          <c:extLst>
            <c:ext xmlns:c16="http://schemas.microsoft.com/office/drawing/2014/chart" uri="{C3380CC4-5D6E-409C-BE32-E72D297353CC}">
              <c16:uniqueId val="{00000000-C524-4445-931F-34A1D67E1CA3}"/>
            </c:ext>
          </c:extLst>
        </c:ser>
        <c:dLbls>
          <c:showLegendKey val="0"/>
          <c:showVal val="0"/>
          <c:showCatName val="0"/>
          <c:showSerName val="0"/>
          <c:showPercent val="0"/>
          <c:showBubbleSize val="0"/>
        </c:dLbls>
        <c:gapWidth val="182"/>
        <c:axId val="2026325120"/>
        <c:axId val="2026324160"/>
      </c:barChart>
      <c:catAx>
        <c:axId val="2026325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324160"/>
        <c:crosses val="autoZero"/>
        <c:auto val="1"/>
        <c:lblAlgn val="ctr"/>
        <c:lblOffset val="100"/>
        <c:noMultiLvlLbl val="0"/>
      </c:catAx>
      <c:valAx>
        <c:axId val="2026324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325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Template.xlsm]s-Pub!PubN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Non-Romanized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's-Pub'!$N$1</c:f>
              <c:strCache>
                <c:ptCount val="1"/>
                <c:pt idx="0">
                  <c:v>Total</c:v>
                </c:pt>
              </c:strCache>
            </c:strRef>
          </c:tx>
          <c:spPr>
            <a:solidFill>
              <a:schemeClr val="accent2"/>
            </a:solidFill>
            <a:ln>
              <a:noFill/>
            </a:ln>
            <a:effectLst/>
          </c:spPr>
          <c:invertIfNegative val="0"/>
          <c:cat>
            <c:strRef>
              <c:f>'s-Pub'!$M$2:$M$60</c:f>
              <c:strCache>
                <c:ptCount val="59"/>
                <c:pt idx="0">
                  <c:v>弘文堂</c:v>
                </c:pt>
                <c:pt idx="1">
                  <c:v>青木書店</c:v>
                </c:pt>
                <c:pt idx="2">
                  <c:v>青裳堂書店</c:v>
                </c:pt>
                <c:pt idx="3">
                  <c:v>リブロポ-ト</c:v>
                </c:pt>
                <c:pt idx="4">
                  <c:v>新評社</c:v>
                </c:pt>
                <c:pt idx="5">
                  <c:v>미문사</c:v>
                </c:pt>
                <c:pt idx="6">
                  <c:v>日本マンガ学会</c:v>
                </c:pt>
                <c:pt idx="7">
                  <c:v>북토리</c:v>
                </c:pt>
                <c:pt idx="8">
                  <c:v>日本放送出版協会</c:v>
                </c:pt>
                <c:pt idx="9">
                  <c:v>亦樂</c:v>
                </c:pt>
                <c:pt idx="10">
                  <c:v>明治書院</c:v>
                </c:pt>
                <c:pt idx="11">
                  <c:v>勉誠社</c:v>
                </c:pt>
                <c:pt idx="12">
                  <c:v>有明書房</c:v>
                </c:pt>
                <c:pt idx="13">
                  <c:v>名著普及会</c:v>
                </c:pt>
                <c:pt idx="14">
                  <c:v>朝日新聞出版</c:v>
                </c:pt>
                <c:pt idx="15">
                  <c:v>和泉書院</c:v>
                </c:pt>
                <c:pt idx="16">
                  <c:v>東京堂出版</c:v>
                </c:pt>
                <c:pt idx="17">
                  <c:v>好文出版</c:v>
                </c:pt>
                <c:pt idx="18">
                  <c:v>法藏館</c:v>
                </c:pt>
                <c:pt idx="19">
                  <c:v>山本書店出版部研文出版</c:v>
                </c:pt>
                <c:pt idx="20">
                  <c:v>清水書院</c:v>
                </c:pt>
                <c:pt idx="21">
                  <c:v>ポプラ社</c:v>
                </c:pt>
                <c:pt idx="22">
                  <c:v>発売元紀伊國屋書店</c:v>
                </c:pt>
                <c:pt idx="23">
                  <c:v>보고사</c:v>
                </c:pt>
                <c:pt idx="24">
                  <c:v>白水社</c:v>
                </c:pt>
                <c:pt idx="25">
                  <c:v>勉誠出版</c:v>
                </c:pt>
                <c:pt idx="26">
                  <c:v>皓星社</c:v>
                </c:pt>
                <c:pt idx="27">
                  <c:v>名長官公開</c:v>
                </c:pt>
                <c:pt idx="28">
                  <c:v>筑摩書房</c:v>
                </c:pt>
                <c:pt idx="29">
                  <c:v>小学館</c:v>
                </c:pt>
                <c:pt idx="30">
                  <c:v>若草書房</c:v>
                </c:pt>
                <c:pt idx="31">
                  <c:v>거북이북스</c:v>
                </c:pt>
                <c:pt idx="32">
                  <c:v>長沢規矩也先生喜寿記念会</c:v>
                </c:pt>
                <c:pt idx="33">
                  <c:v>双葉社</c:v>
                </c:pt>
                <c:pt idx="34">
                  <c:v>関西大学出版</c:v>
                </c:pt>
                <c:pt idx="35">
                  <c:v>平楽寺書店</c:v>
                </c:pt>
                <c:pt idx="36">
                  <c:v>雄山閣出版</c:v>
                </c:pt>
                <c:pt idx="37">
                  <c:v>国文社</c:v>
                </c:pt>
                <c:pt idx="38">
                  <c:v>集文堂</c:v>
                </c:pt>
                <c:pt idx="39">
                  <c:v>훈민정음</c:v>
                </c:pt>
                <c:pt idx="40">
                  <c:v>青土社</c:v>
                </c:pt>
                <c:pt idx="41">
                  <c:v>思文閣出版</c:v>
                </c:pt>
                <c:pt idx="42">
                  <c:v>박문사</c:v>
                </c:pt>
                <c:pt idx="43">
                  <c:v>朋友書店</c:v>
                </c:pt>
                <c:pt idx="44">
                  <c:v>太學社</c:v>
                </c:pt>
                <c:pt idx="45">
                  <c:v>平凡社</c:v>
                </c:pt>
                <c:pt idx="46">
                  <c:v>新潮社</c:v>
                </c:pt>
                <c:pt idx="47">
                  <c:v>KADOKAWA</c:v>
                </c:pt>
                <c:pt idx="48">
                  <c:v>ゆまに書房</c:v>
                </c:pt>
                <c:pt idx="49">
                  <c:v>研文出版</c:v>
                </c:pt>
                <c:pt idx="50">
                  <c:v>岩波書店</c:v>
                </c:pt>
                <c:pt idx="51">
                  <c:v>大修館書店</c:v>
                </c:pt>
                <c:pt idx="52">
                  <c:v>柏書房</c:v>
                </c:pt>
                <c:pt idx="53">
                  <c:v>講談社</c:v>
                </c:pt>
                <c:pt idx="54">
                  <c:v>雄山閣</c:v>
                </c:pt>
                <c:pt idx="55">
                  <c:v>新人物往来社</c:v>
                </c:pt>
                <c:pt idx="56">
                  <c:v>汲古書院</c:v>
                </c:pt>
                <c:pt idx="57">
                  <c:v>吉川弘文館</c:v>
                </c:pt>
                <c:pt idx="58">
                  <c:v>柊風舎</c:v>
                </c:pt>
              </c:strCache>
            </c:strRef>
          </c:cat>
          <c:val>
            <c:numRef>
              <c:f>'s-Pub'!$N$2:$N$60</c:f>
              <c:numCache>
                <c:formatCode>General</c:formatCode>
                <c:ptCount val="5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2</c:v>
                </c:pt>
                <c:pt idx="42">
                  <c:v>2</c:v>
                </c:pt>
                <c:pt idx="43">
                  <c:v>2</c:v>
                </c:pt>
                <c:pt idx="44">
                  <c:v>2</c:v>
                </c:pt>
                <c:pt idx="45">
                  <c:v>2</c:v>
                </c:pt>
                <c:pt idx="46">
                  <c:v>2</c:v>
                </c:pt>
                <c:pt idx="47">
                  <c:v>2</c:v>
                </c:pt>
                <c:pt idx="48">
                  <c:v>3</c:v>
                </c:pt>
                <c:pt idx="49">
                  <c:v>3</c:v>
                </c:pt>
                <c:pt idx="50">
                  <c:v>3</c:v>
                </c:pt>
                <c:pt idx="51">
                  <c:v>3</c:v>
                </c:pt>
                <c:pt idx="52">
                  <c:v>4</c:v>
                </c:pt>
                <c:pt idx="53">
                  <c:v>8</c:v>
                </c:pt>
                <c:pt idx="54">
                  <c:v>8</c:v>
                </c:pt>
                <c:pt idx="55">
                  <c:v>12</c:v>
                </c:pt>
                <c:pt idx="56">
                  <c:v>13</c:v>
                </c:pt>
                <c:pt idx="57">
                  <c:v>16</c:v>
                </c:pt>
                <c:pt idx="58">
                  <c:v>26</c:v>
                </c:pt>
              </c:numCache>
            </c:numRef>
          </c:val>
          <c:extLst>
            <c:ext xmlns:c16="http://schemas.microsoft.com/office/drawing/2014/chart" uri="{C3380CC4-5D6E-409C-BE32-E72D297353CC}">
              <c16:uniqueId val="{00000000-3049-4F30-8BF6-967F52954DEC}"/>
            </c:ext>
          </c:extLst>
        </c:ser>
        <c:dLbls>
          <c:showLegendKey val="0"/>
          <c:showVal val="0"/>
          <c:showCatName val="0"/>
          <c:showSerName val="0"/>
          <c:showPercent val="0"/>
          <c:showBubbleSize val="0"/>
        </c:dLbls>
        <c:gapWidth val="182"/>
        <c:axId val="628202304"/>
        <c:axId val="2026930032"/>
      </c:barChart>
      <c:catAx>
        <c:axId val="628202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930032"/>
        <c:crosses val="autoZero"/>
        <c:auto val="1"/>
        <c:lblAlgn val="ctr"/>
        <c:lblOffset val="100"/>
        <c:noMultiLvlLbl val="0"/>
      </c:catAx>
      <c:valAx>
        <c:axId val="2026930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20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[Orders - 20xx-xx - Template.xlsm]s-Date!decades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Publications by Decade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's-Date'!$R$1</c:f>
              <c:strCache>
                <c:ptCount val="1"/>
                <c:pt idx="0">
                  <c:v>Total</c:v>
                </c:pt>
              </c:strCache>
            </c:strRef>
          </c:tx>
          <c:spPr>
            <a:solidFill>
              <a:schemeClr val="accent5"/>
            </a:solidFill>
            <a:ln>
              <a:noFill/>
            </a:ln>
            <a:effectLst/>
          </c:spPr>
          <c:invertIfNegative val="0"/>
          <c:cat>
            <c:strRef>
              <c:f>'s-Date'!$Q$2:$Q$9</c:f>
              <c:strCache>
                <c:ptCount val="8"/>
                <c:pt idx="0">
                  <c:v>1950-1959</c:v>
                </c:pt>
                <c:pt idx="1">
                  <c:v>1960-1969</c:v>
                </c:pt>
                <c:pt idx="2">
                  <c:v>1970-1979</c:v>
                </c:pt>
                <c:pt idx="3">
                  <c:v>1980-1989</c:v>
                </c:pt>
                <c:pt idx="4">
                  <c:v>1990-1999</c:v>
                </c:pt>
                <c:pt idx="5">
                  <c:v>2000-2009</c:v>
                </c:pt>
                <c:pt idx="6">
                  <c:v>2010-2019</c:v>
                </c:pt>
                <c:pt idx="7">
                  <c:v>2020-2029</c:v>
                </c:pt>
              </c:strCache>
            </c:strRef>
          </c:cat>
          <c:val>
            <c:numRef>
              <c:f>'s-Date'!$R$2:$R$9</c:f>
              <c:numCache>
                <c:formatCode>General</c:formatCode>
                <c:ptCount val="8"/>
                <c:pt idx="0">
                  <c:v>2</c:v>
                </c:pt>
                <c:pt idx="1">
                  <c:v>3</c:v>
                </c:pt>
                <c:pt idx="2">
                  <c:v>31</c:v>
                </c:pt>
                <c:pt idx="3">
                  <c:v>29</c:v>
                </c:pt>
                <c:pt idx="4">
                  <c:v>32</c:v>
                </c:pt>
                <c:pt idx="5">
                  <c:v>77</c:v>
                </c:pt>
                <c:pt idx="6">
                  <c:v>40</c:v>
                </c:pt>
                <c:pt idx="7">
                  <c:v>121</c:v>
                </c:pt>
              </c:numCache>
            </c:numRef>
          </c:val>
          <c:extLst>
            <c:ext xmlns:c16="http://schemas.microsoft.com/office/drawing/2014/chart" uri="{C3380CC4-5D6E-409C-BE32-E72D297353CC}">
              <c16:uniqueId val="{00000002-EEF5-458A-B6C5-965E6FE0B283}"/>
            </c:ext>
          </c:extLst>
        </c:ser>
        <c:dLbls>
          <c:showLegendKey val="0"/>
          <c:showVal val="0"/>
          <c:showCatName val="0"/>
          <c:showSerName val="0"/>
          <c:showPercent val="0"/>
          <c:showBubbleSize val="0"/>
        </c:dLbls>
        <c:gapWidth val="182"/>
        <c:axId val="1020287648"/>
        <c:axId val="1020285248"/>
      </c:barChart>
      <c:catAx>
        <c:axId val="1020287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285248"/>
        <c:crosses val="autoZero"/>
        <c:auto val="1"/>
        <c:lblAlgn val="ctr"/>
        <c:lblOffset val="100"/>
        <c:noMultiLvlLbl val="0"/>
      </c:catAx>
      <c:valAx>
        <c:axId val="1020285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28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Template.xlsm]s-Date!dates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Publications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's-Date'!$B$1</c:f>
              <c:strCache>
                <c:ptCount val="1"/>
                <c:pt idx="0">
                  <c:v>Total</c:v>
                </c:pt>
              </c:strCache>
            </c:strRef>
          </c:tx>
          <c:spPr>
            <a:solidFill>
              <a:schemeClr val="accent1"/>
            </a:solidFill>
            <a:ln>
              <a:noFill/>
            </a:ln>
            <a:effectLst/>
          </c:spPr>
          <c:invertIfNegative val="0"/>
          <c:cat>
            <c:strRef>
              <c:f>'s-Date'!$A$2:$A$50</c:f>
              <c:strCache>
                <c:ptCount val="49"/>
                <c:pt idx="0">
                  <c:v>2022</c:v>
                </c:pt>
                <c:pt idx="1">
                  <c:v>2023</c:v>
                </c:pt>
                <c:pt idx="2">
                  <c:v>1952</c:v>
                </c:pt>
                <c:pt idx="3">
                  <c:v>1959</c:v>
                </c:pt>
                <c:pt idx="4">
                  <c:v>1963</c:v>
                </c:pt>
                <c:pt idx="5">
                  <c:v>1966</c:v>
                </c:pt>
                <c:pt idx="6">
                  <c:v>1975</c:v>
                </c:pt>
                <c:pt idx="7">
                  <c:v>1976-1978</c:v>
                </c:pt>
                <c:pt idx="8">
                  <c:v>1978</c:v>
                </c:pt>
                <c:pt idx="9">
                  <c:v>1978- </c:v>
                </c:pt>
                <c:pt idx="10">
                  <c:v>1979</c:v>
                </c:pt>
                <c:pt idx="11">
                  <c:v>1979- </c:v>
                </c:pt>
                <c:pt idx="12">
                  <c:v>1979-1981</c:v>
                </c:pt>
                <c:pt idx="13">
                  <c:v>1980</c:v>
                </c:pt>
                <c:pt idx="14">
                  <c:v>1981</c:v>
                </c:pt>
                <c:pt idx="15">
                  <c:v>1982</c:v>
                </c:pt>
                <c:pt idx="16">
                  <c:v>1983</c:v>
                </c:pt>
                <c:pt idx="17">
                  <c:v>1986-1987</c:v>
                </c:pt>
                <c:pt idx="18">
                  <c:v>1987</c:v>
                </c:pt>
                <c:pt idx="19">
                  <c:v>1987- </c:v>
                </c:pt>
                <c:pt idx="20">
                  <c:v>1988</c:v>
                </c:pt>
                <c:pt idx="21">
                  <c:v>1989</c:v>
                </c:pt>
                <c:pt idx="22">
                  <c:v>1991</c:v>
                </c:pt>
                <c:pt idx="23">
                  <c:v>1992</c:v>
                </c:pt>
                <c:pt idx="24">
                  <c:v>1993</c:v>
                </c:pt>
                <c:pt idx="25">
                  <c:v>1995</c:v>
                </c:pt>
                <c:pt idx="26">
                  <c:v>1996</c:v>
                </c:pt>
                <c:pt idx="27">
                  <c:v>1997</c:v>
                </c:pt>
                <c:pt idx="28">
                  <c:v>1999</c:v>
                </c:pt>
                <c:pt idx="29">
                  <c:v>2001</c:v>
                </c:pt>
                <c:pt idx="30">
                  <c:v>2002</c:v>
                </c:pt>
                <c:pt idx="31">
                  <c:v>2003</c:v>
                </c:pt>
                <c:pt idx="32">
                  <c:v>2005</c:v>
                </c:pt>
                <c:pt idx="33">
                  <c:v>2006</c:v>
                </c:pt>
                <c:pt idx="34">
                  <c:v>2007</c:v>
                </c:pt>
                <c:pt idx="35">
                  <c:v>2009</c:v>
                </c:pt>
                <c:pt idx="36">
                  <c:v>2010</c:v>
                </c:pt>
                <c:pt idx="37">
                  <c:v>2011</c:v>
                </c:pt>
                <c:pt idx="38">
                  <c:v>2012</c:v>
                </c:pt>
                <c:pt idx="39">
                  <c:v>2013</c:v>
                </c:pt>
                <c:pt idx="40">
                  <c:v>2014</c:v>
                </c:pt>
                <c:pt idx="41">
                  <c:v>2015</c:v>
                </c:pt>
                <c:pt idx="42">
                  <c:v>2017</c:v>
                </c:pt>
                <c:pt idx="43">
                  <c:v>2018</c:v>
                </c:pt>
                <c:pt idx="44">
                  <c:v>2019</c:v>
                </c:pt>
                <c:pt idx="45">
                  <c:v>2020</c:v>
                </c:pt>
                <c:pt idx="46">
                  <c:v>2021</c:v>
                </c:pt>
                <c:pt idx="47">
                  <c:v>2022</c:v>
                </c:pt>
                <c:pt idx="48">
                  <c:v>2023</c:v>
                </c:pt>
              </c:strCache>
            </c:strRef>
          </c:cat>
          <c:val>
            <c:numRef>
              <c:f>'s-Date'!$B$2:$B$50</c:f>
              <c:numCache>
                <c:formatCode>General</c:formatCode>
                <c:ptCount val="49"/>
                <c:pt idx="0">
                  <c:v>1</c:v>
                </c:pt>
                <c:pt idx="1">
                  <c:v>24</c:v>
                </c:pt>
                <c:pt idx="2">
                  <c:v>1</c:v>
                </c:pt>
                <c:pt idx="3">
                  <c:v>1</c:v>
                </c:pt>
                <c:pt idx="4">
                  <c:v>1</c:v>
                </c:pt>
                <c:pt idx="5">
                  <c:v>1</c:v>
                </c:pt>
                <c:pt idx="6">
                  <c:v>4</c:v>
                </c:pt>
                <c:pt idx="7">
                  <c:v>1</c:v>
                </c:pt>
                <c:pt idx="8">
                  <c:v>2</c:v>
                </c:pt>
                <c:pt idx="9">
                  <c:v>13</c:v>
                </c:pt>
                <c:pt idx="10">
                  <c:v>1</c:v>
                </c:pt>
                <c:pt idx="11">
                  <c:v>7</c:v>
                </c:pt>
                <c:pt idx="12">
                  <c:v>1</c:v>
                </c:pt>
                <c:pt idx="13">
                  <c:v>5</c:v>
                </c:pt>
                <c:pt idx="14">
                  <c:v>1</c:v>
                </c:pt>
                <c:pt idx="15">
                  <c:v>1</c:v>
                </c:pt>
                <c:pt idx="16">
                  <c:v>4</c:v>
                </c:pt>
                <c:pt idx="17">
                  <c:v>4</c:v>
                </c:pt>
                <c:pt idx="18">
                  <c:v>1</c:v>
                </c:pt>
                <c:pt idx="19">
                  <c:v>7</c:v>
                </c:pt>
                <c:pt idx="20">
                  <c:v>1</c:v>
                </c:pt>
                <c:pt idx="21">
                  <c:v>2</c:v>
                </c:pt>
                <c:pt idx="22">
                  <c:v>2</c:v>
                </c:pt>
                <c:pt idx="23">
                  <c:v>2</c:v>
                </c:pt>
                <c:pt idx="24">
                  <c:v>2</c:v>
                </c:pt>
                <c:pt idx="25">
                  <c:v>1</c:v>
                </c:pt>
                <c:pt idx="26">
                  <c:v>2</c:v>
                </c:pt>
                <c:pt idx="27">
                  <c:v>3</c:v>
                </c:pt>
                <c:pt idx="28">
                  <c:v>4</c:v>
                </c:pt>
                <c:pt idx="29">
                  <c:v>1</c:v>
                </c:pt>
                <c:pt idx="30">
                  <c:v>2</c:v>
                </c:pt>
                <c:pt idx="31">
                  <c:v>2</c:v>
                </c:pt>
                <c:pt idx="32">
                  <c:v>1</c:v>
                </c:pt>
                <c:pt idx="33">
                  <c:v>1</c:v>
                </c:pt>
                <c:pt idx="34">
                  <c:v>2</c:v>
                </c:pt>
                <c:pt idx="35">
                  <c:v>26</c:v>
                </c:pt>
                <c:pt idx="36">
                  <c:v>4</c:v>
                </c:pt>
                <c:pt idx="37">
                  <c:v>2</c:v>
                </c:pt>
                <c:pt idx="38">
                  <c:v>1</c:v>
                </c:pt>
                <c:pt idx="39">
                  <c:v>5</c:v>
                </c:pt>
                <c:pt idx="40">
                  <c:v>1</c:v>
                </c:pt>
                <c:pt idx="41">
                  <c:v>13</c:v>
                </c:pt>
                <c:pt idx="42">
                  <c:v>2</c:v>
                </c:pt>
                <c:pt idx="43">
                  <c:v>5</c:v>
                </c:pt>
                <c:pt idx="44">
                  <c:v>5</c:v>
                </c:pt>
                <c:pt idx="45">
                  <c:v>7</c:v>
                </c:pt>
                <c:pt idx="46">
                  <c:v>4</c:v>
                </c:pt>
                <c:pt idx="47">
                  <c:v>52</c:v>
                </c:pt>
                <c:pt idx="48">
                  <c:v>20</c:v>
                </c:pt>
              </c:numCache>
            </c:numRef>
          </c:val>
          <c:extLst>
            <c:ext xmlns:c16="http://schemas.microsoft.com/office/drawing/2014/chart" uri="{C3380CC4-5D6E-409C-BE32-E72D297353CC}">
              <c16:uniqueId val="{00000000-3EB8-4482-BB48-C3089D0782EA}"/>
            </c:ext>
          </c:extLst>
        </c:ser>
        <c:dLbls>
          <c:showLegendKey val="0"/>
          <c:showVal val="0"/>
          <c:showCatName val="0"/>
          <c:showSerName val="0"/>
          <c:showPercent val="0"/>
          <c:showBubbleSize val="0"/>
        </c:dLbls>
        <c:gapWidth val="182"/>
        <c:axId val="373504688"/>
        <c:axId val="373505168"/>
      </c:barChart>
      <c:catAx>
        <c:axId val="373504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505168"/>
        <c:crosses val="autoZero"/>
        <c:auto val="1"/>
        <c:lblAlgn val="ctr"/>
        <c:lblOffset val="100"/>
        <c:noMultiLvlLbl val="0"/>
      </c:catAx>
      <c:valAx>
        <c:axId val="373505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504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Template.xlsm]s-Subjects!Subjects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Subject Headings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's-Subjects'!$C$4</c:f>
              <c:strCache>
                <c:ptCount val="1"/>
                <c:pt idx="0">
                  <c:v>Total</c:v>
                </c:pt>
              </c:strCache>
            </c:strRef>
          </c:tx>
          <c:spPr>
            <a:solidFill>
              <a:schemeClr val="accent1"/>
            </a:solidFill>
            <a:ln>
              <a:noFill/>
            </a:ln>
            <a:effectLst/>
          </c:spPr>
          <c:invertIfNegative val="0"/>
          <c:cat>
            <c:strRef>
              <c:f>'s-Subjects'!$B$5:$B$490</c:f>
              <c:strCache>
                <c:ptCount val="486"/>
                <c:pt idx="0">
                  <c:v>(blank)</c:v>
                </c:pt>
                <c:pt idx="1">
                  <c:v>Podcasts</c:v>
                </c:pt>
                <c:pt idx="2">
                  <c:v>Podcasts -- Fiction</c:v>
                </c:pt>
                <c:pt idx="3">
                  <c:v>1939-1945</c:v>
                </c:pt>
                <c:pt idx="4">
                  <c:v>Poems (texts)</c:v>
                </c:pt>
                <c:pt idx="5">
                  <c:v>Actors -- Japan -- Interviews</c:v>
                </c:pt>
                <c:pt idx="6">
                  <c:v>Poissons tropicaux -- Romans, nouvelles, etc</c:v>
                </c:pt>
                <c:pt idx="7">
                  <c:v>Animals -- Juvenile fiction</c:v>
                </c:pt>
                <c:pt idx="8">
                  <c:v>Popular music</c:v>
                </c:pt>
                <c:pt idx="9">
                  <c:v>Authors, Japanese -- 20th century -- Biography</c:v>
                </c:pt>
                <c:pt idx="10">
                  <c:v>Popular music -- Korea (South) -- History and criticism</c:v>
                </c:pt>
                <c:pt idx="11">
                  <c:v>Bibliographie -- Méthodologie</c:v>
                </c:pt>
                <c:pt idx="12">
                  <c:v>Popular music -- Production and direction -- Korea (South)</c:v>
                </c:pt>
                <c:pt idx="13">
                  <c:v>Bibliography -- Japan</c:v>
                </c:pt>
                <c:pt idx="14">
                  <c:v>Publishers and publishing</c:v>
                </c:pt>
                <c:pt idx="15">
                  <c:v>Bombe atomique dans l'art</c:v>
                </c:pt>
                <c:pt idx="16">
                  <c:v>Publishers and publishing -- Japan -- History</c:v>
                </c:pt>
                <c:pt idx="17">
                  <c:v>Book industries and trade -- Japan -- History</c:v>
                </c:pt>
                <c:pt idx="18">
                  <c:v>Rare books -- Expertising -- Japan</c:v>
                </c:pt>
                <c:pt idx="19">
                  <c:v>Buddhist priests -- Japan -- Biography -- Dictionaries -- Japanese</c:v>
                </c:pt>
                <c:pt idx="20">
                  <c:v>Relations industrielles -- Romans, nouvelles, etc</c:v>
                </c:pt>
                <c:pt idx="21">
                  <c:v>Buddhists -- Japan -- Biography -- Dictionaries -- Japanese</c:v>
                </c:pt>
                <c:pt idx="22">
                  <c:v>Romans familiaux</c:v>
                </c:pt>
                <c:pt idx="23">
                  <c:v>Célébrités</c:v>
                </c:pt>
                <c:pt idx="24">
                  <c:v>Romans psychologiques</c:v>
                </c:pt>
                <c:pt idx="25">
                  <c:v>China -- Civilization</c:v>
                </c:pt>
                <c:pt idx="26">
                  <c:v>Ruisho</c:v>
                </c:pt>
                <c:pt idx="27">
                  <c:v>China -- Dictionaries</c:v>
                </c:pt>
                <c:pt idx="28">
                  <c:v>Shinagaku -- Jisho</c:v>
                </c:pt>
                <c:pt idx="29">
                  <c:v>China -- Study and teaching -- Bibliography</c:v>
                </c:pt>
                <c:pt idx="30">
                  <c:v>Shoshigaku -- Jisho</c:v>
                </c:pt>
                <c:pt idx="31">
                  <c:v>Chinese imprints</c:v>
                </c:pt>
                <c:pt idx="32">
                  <c:v>Shunjū</c:v>
                </c:pt>
                <c:pt idx="33">
                  <c:v>Chinese language -- Cursive writing</c:v>
                </c:pt>
                <c:pt idx="34">
                  <c:v>Shunjū kokuryōden</c:v>
                </c:pt>
                <c:pt idx="35">
                  <c:v>Chinese literature</c:v>
                </c:pt>
                <c:pt idx="36">
                  <c:v>Shunjū kuyōden</c:v>
                </c:pt>
                <c:pt idx="37">
                  <c:v>Chosen -- Rekishi</c:v>
                </c:pt>
                <c:pt idx="38">
                  <c:v>shuppan -- nihon -- rekishi -- edojidai</c:v>
                </c:pt>
                <c:pt idx="39">
                  <c:v>Chugoku -- Rekishi</c:v>
                </c:pt>
                <c:pt idx="40">
                  <c:v>Sinologists</c:v>
                </c:pt>
                <c:pt idx="41">
                  <c:v>Chūgoku bungaku-Meibo</c:v>
                </c:pt>
                <c:pt idx="42">
                  <c:v>Sinologists -- Japan -- Biography</c:v>
                </c:pt>
                <c:pt idx="43">
                  <c:v>Chun qiu (Confucius)</c:v>
                </c:pt>
                <c:pt idx="44">
                  <c:v>Sound recording industry</c:v>
                </c:pt>
                <c:pt idx="45">
                  <c:v>Civil service</c:v>
                </c:pt>
                <c:pt idx="46">
                  <c:v>Sound recording industry -- Korea (South) -- History</c:v>
                </c:pt>
                <c:pt idx="47">
                  <c:v>Civilization</c:v>
                </c:pt>
                <c:pt idx="48">
                  <c:v>Takabatake, Ransen, 1838-1885 -- Criticism and interpretation</c:v>
                </c:pt>
                <c:pt idx="49">
                  <c:v>Collective memory</c:v>
                </c:pt>
                <c:pt idx="50">
                  <c:v>Takizawa, Bakin, 1767-1848 -- Criticism and interpretation</c:v>
                </c:pt>
                <c:pt idx="51">
                  <c:v>Confucius. Chun qiu</c:v>
                </c:pt>
                <c:pt idx="52">
                  <c:v>Theater -- Japan -- Interviews</c:v>
                </c:pt>
                <c:pt idx="53">
                  <c:v>Department stores -- Japan -- Management -- History</c:v>
                </c:pt>
                <c:pt idx="54">
                  <c:v>theater (discipline)</c:v>
                </c:pt>
                <c:pt idx="55">
                  <c:v>Diplomatics, Japanese</c:v>
                </c:pt>
                <c:pt idx="56">
                  <c:v>Théâtre</c:v>
                </c:pt>
                <c:pt idx="57">
                  <c:v>Directory</c:v>
                </c:pt>
                <c:pt idx="58">
                  <c:v>Theatrical producers and directors -- Japan -- Biography</c:v>
                </c:pt>
                <c:pt idx="59">
                  <c:v>Drama -- 20th century -- History and criticism</c:v>
                </c:pt>
                <c:pt idx="60">
                  <c:v>Theatrical producers and directors -- Japan -- Interviews</c:v>
                </c:pt>
                <c:pt idx="61">
                  <c:v>Dramatists, Japanese -- 20th century -- Interviews</c:v>
                </c:pt>
                <c:pt idx="62">
                  <c:v>To 1868</c:v>
                </c:pt>
                <c:pt idx="63">
                  <c:v>Early printed books -- Japan</c:v>
                </c:pt>
                <c:pt idx="64">
                  <c:v>Tokugawa (Famille)</c:v>
                </c:pt>
                <c:pt idx="65">
                  <c:v>Encyclopedias</c:v>
                </c:pt>
                <c:pt idx="66">
                  <c:v>Tōkyōto-Rekishi</c:v>
                </c:pt>
                <c:pt idx="67">
                  <c:v>Exhibition, pictorial works</c:v>
                </c:pt>
                <c:pt idx="68">
                  <c:v>Toyo igaku -- Shoshi</c:v>
                </c:pt>
                <c:pt idx="69">
                  <c:v>Factories -- Employees -- Fiction</c:v>
                </c:pt>
                <c:pt idx="70">
                  <c:v>Tōyō igaku-Shoshi</c:v>
                </c:pt>
                <c:pt idx="71">
                  <c:v>Families -- Fiction</c:v>
                </c:pt>
                <c:pt idx="72">
                  <c:v>Toyoshi --</c:v>
                </c:pt>
                <c:pt idx="73">
                  <c:v>Film criticism</c:v>
                </c:pt>
                <c:pt idx="74">
                  <c:v>Translations (form)</c:v>
                </c:pt>
                <c:pt idx="75">
                  <c:v>Fujin -- Denki</c:v>
                </c:pt>
                <c:pt idx="76">
                  <c:v>Travail -- Romans, nouvelles, etc</c:v>
                </c:pt>
                <c:pt idx="77">
                  <c:v>Gongyang, Gao. Gongyang zhuan</c:v>
                </c:pt>
                <c:pt idx="78">
                  <c:v>Tropical fish</c:v>
                </c:pt>
                <c:pt idx="79">
                  <c:v>Guerre dans l'art</c:v>
                </c:pt>
                <c:pt idx="80">
                  <c:v>Tropical fish -- Fiction</c:v>
                </c:pt>
                <c:pt idx="81">
                  <c:v>Guliang zhuan (Guliang, Chi)</c:v>
                </c:pt>
                <c:pt idx="82">
                  <c:v>Usines -- Personnel -- Romans, nouvelles, etc</c:v>
                </c:pt>
                <c:pt idx="83">
                  <c:v>Hayashi, Fumiko, 1904-1951</c:v>
                </c:pt>
                <c:pt idx="84">
                  <c:v>Vie rurale -- Romans, nouvelles, etc</c:v>
                </c:pt>
                <c:pt idx="85">
                  <c:v>Imprimés chinois -- Catalogues -- Japon</c:v>
                </c:pt>
                <c:pt idx="86">
                  <c:v>Women</c:v>
                </c:pt>
                <c:pt idx="87">
                  <c:v>Industrial relations -- Fiction</c:v>
                </c:pt>
                <c:pt idx="88">
                  <c:v>Women -- Fiction</c:v>
                </c:pt>
                <c:pt idx="89">
                  <c:v>Intellectual life</c:v>
                </c:pt>
                <c:pt idx="90">
                  <c:v>World War, 1939-1945</c:v>
                </c:pt>
                <c:pt idx="91">
                  <c:v>Japan -- Biography -- Indexes</c:v>
                </c:pt>
                <c:pt idx="92">
                  <c:v>World War, 1939-1945 -- Japan -- Hiroshima-shi -- Art and the war -- Exhibitions</c:v>
                </c:pt>
                <c:pt idx="93">
                  <c:v>Japan -- Imprints -- Catalogs</c:v>
                </c:pt>
                <c:pt idx="94">
                  <c:v>Zen Buddhism</c:v>
                </c:pt>
                <c:pt idx="95">
                  <c:v>Japan -- Social life and customs -- 1600-1868</c:v>
                </c:pt>
                <c:pt idx="96">
                  <c:v>Zen Buddhism -- Dictionaries -- Japanese</c:v>
                </c:pt>
                <c:pt idx="97">
                  <c:v>Japanese drama -- 20th century -- History and criticism</c:v>
                </c:pt>
                <c:pt idx="98">
                  <c:v>Zen priests</c:v>
                </c:pt>
                <c:pt idx="99">
                  <c:v>Japanese language -- Cursive writing</c:v>
                </c:pt>
                <c:pt idx="100">
                  <c:v>Zen priests -- Japan -- Biography -- Japanese</c:v>
                </c:pt>
                <c:pt idx="101">
                  <c:v>Japanese language -- To 1868 -- Dictionaries</c:v>
                </c:pt>
                <c:pt idx="102">
                  <c:v>丸木位里, 1901-1995. 原爆の図. 丸木俊, 1912-2000. 原爆の図</c:v>
                </c:pt>
                <c:pt idx="103">
                  <c:v>Japanese literature -- Indexes</c:v>
                </c:pt>
                <c:pt idx="104">
                  <c:v>寺山修司, 1936-1983</c:v>
                </c:pt>
                <c:pt idx="105">
                  <c:v>Jōhō kensaku</c:v>
                </c:pt>
                <c:pt idx="106">
                  <c:v>林, 芙美子, 1904-1951</c:v>
                </c:pt>
                <c:pt idx="107">
                  <c:v>Kanji-Jiten</c:v>
                </c:pt>
                <c:pt idx="108">
                  <c:v>漫画</c:v>
                </c:pt>
                <c:pt idx="109">
                  <c:v>Kanshi-Jiten</c:v>
                </c:pt>
                <c:pt idx="110">
                  <c:v>百貨店-歴史</c:v>
                </c:pt>
                <c:pt idx="111">
                  <c:v>Kōda, Rohan, 1867-1947 -- Criticism and interpretation</c:v>
                </c:pt>
                <c:pt idx="112">
                  <c:v>18.87 Japanese language and literature</c:v>
                </c:pt>
                <c:pt idx="113">
                  <c:v>Komonjo-Jiten</c:v>
                </c:pt>
                <c:pt idx="114">
                  <c:v>Japan -- Social life and customs</c:v>
                </c:pt>
                <c:pt idx="115">
                  <c:v>Kotowaza</c:v>
                </c:pt>
                <c:pt idx="116">
                  <c:v>Takizawa, Bakin, 1767-1848</c:v>
                </c:pt>
                <c:pt idx="117">
                  <c:v>Kunten</c:v>
                </c:pt>
                <c:pt idx="118">
                  <c:v>Humorous fiction</c:v>
                </c:pt>
                <c:pt idx="119">
                  <c:v>Labor -- Fiction</c:v>
                </c:pt>
                <c:pt idx="120">
                  <c:v>Hiroshima-shi (Japan) -- In art -- Exhibitions</c:v>
                </c:pt>
                <c:pt idx="121">
                  <c:v>Languages, Artificial -- Fiction</c:v>
                </c:pt>
                <c:pt idx="122">
                  <c:v>Interviews</c:v>
                </c:pt>
                <c:pt idx="123">
                  <c:v>Manga</c:v>
                </c:pt>
                <c:pt idx="124">
                  <c:v>Japan -- History -- Tokugawa period, 1600-1868 -- Biography</c:v>
                </c:pt>
                <c:pt idx="125">
                  <c:v>Maruki, Iri, 1901-1995</c:v>
                </c:pt>
                <c:pt idx="126">
                  <c:v>Nagai, Kafū, 1879-1959</c:v>
                </c:pt>
                <c:pt idx="127">
                  <c:v>Maruki, Iri, 1901-1995. Genbaku no zu</c:v>
                </c:pt>
                <c:pt idx="128">
                  <c:v>Rare books -- Expertising</c:v>
                </c:pt>
                <c:pt idx="129">
                  <c:v>Maruki, Toshi, 1912-2000 -- Exhibitions</c:v>
                </c:pt>
                <c:pt idx="130">
                  <c:v>Hiroshima-shi (Japan) -- History -- Bombardment, 1945 -- Pictorial works -- Exhibitions</c:v>
                </c:pt>
                <c:pt idx="131">
                  <c:v>Materia medica</c:v>
                </c:pt>
                <c:pt idx="132">
                  <c:v>Art</c:v>
                </c:pt>
                <c:pt idx="133">
                  <c:v>Medicine, Chinese -- Japan -- Bibliography</c:v>
                </c:pt>
                <c:pt idx="134">
                  <c:v>Mori, Ōgai, 1862-1922</c:v>
                </c:pt>
                <c:pt idx="135">
                  <c:v>Medicine, Chinese Traditional -- history</c:v>
                </c:pt>
                <c:pt idx="136">
                  <c:v>Japanisch</c:v>
                </c:pt>
                <c:pt idx="137">
                  <c:v>Mori, Ōgai, 1862-1922 -- Criticism and interpretation</c:v>
                </c:pt>
                <c:pt idx="138">
                  <c:v>Kōda, Rohan, 1867-1947</c:v>
                </c:pt>
                <c:pt idx="139">
                  <c:v>Mothers and sons -- Fiction</c:v>
                </c:pt>
                <c:pt idx="140">
                  <c:v>Literatur</c:v>
                </c:pt>
                <c:pt idx="141">
                  <c:v>Murder -- Investigation</c:v>
                </c:pt>
                <c:pt idx="142">
                  <c:v>Pictorial works</c:v>
                </c:pt>
                <c:pt idx="143">
                  <c:v>Nagai, Kafū, 1879-1959 -- Criticism and interpretation</c:v>
                </c:pt>
                <c:pt idx="144">
                  <c:v>Ishikawa, Jun, 1899-1987</c:v>
                </c:pt>
                <c:pt idx="145">
                  <c:v>Nakahara, Chūya -- Translations into English</c:v>
                </c:pt>
                <c:pt idx="146">
                  <c:v>Bibliographie</c:v>
                </c:pt>
                <c:pt idx="147">
                  <c:v>Nengō</c:v>
                </c:pt>
                <c:pt idx="148">
                  <c:v>Japan -- Fiction</c:v>
                </c:pt>
                <c:pt idx="149">
                  <c:v>Nihon -- Shakai -- Rekishi -- Edojidai</c:v>
                </c:pt>
                <c:pt idx="150">
                  <c:v>Geschichte</c:v>
                </c:pt>
                <c:pt idx="151">
                  <c:v>nihon shoki</c:v>
                </c:pt>
                <c:pt idx="152">
                  <c:v>広島市 (Japan); In art.; 広島市 (Japan); History; Bombardment, 1945; Pictorial works</c:v>
                </c:pt>
                <c:pt idx="153">
                  <c:v>Nihon-Rekishi-Edo jidai</c:v>
                </c:pt>
                <c:pt idx="154">
                  <c:v>Tokyo (Japan) -- Social life and customs -- 1600-1868</c:v>
                </c:pt>
                <c:pt idx="155">
                  <c:v>Nihon-Rekishi-Shoshi</c:v>
                </c:pt>
                <c:pt idx="156">
                  <c:v>Hiroshima-shi (Japan) -- In art</c:v>
                </c:pt>
                <c:pt idx="157">
                  <c:v>Ōbaku (Sect)</c:v>
                </c:pt>
                <c:pt idx="158">
                  <c:v>Tōkyō (Japon) -- Mœurs et coutumes -- 1600-1868</c:v>
                </c:pt>
                <c:pt idx="159">
                  <c:v>Ocean travel</c:v>
                </c:pt>
                <c:pt idx="160">
                  <c:v>Hiroshima-shi (Japan) -- History -- Bombardment, 1945 -- Pictorial works</c:v>
                </c:pt>
                <c:pt idx="161">
                  <c:v>Painting, Japanese -- 20th century</c:v>
                </c:pt>
                <c:pt idx="162">
                  <c:v>Nagasaki-shi (Japan) -- History -- Bombardment, 1945 -- Pictorial works</c:v>
                </c:pt>
                <c:pt idx="163">
                  <c:v>Paleography, Japanese -- Dictionaries</c:v>
                </c:pt>
                <c:pt idx="164">
                  <c:v>Japan -- Tokyo</c:v>
                </c:pt>
                <c:pt idx="165">
                  <c:v>People with disabilities</c:v>
                </c:pt>
                <c:pt idx="166">
                  <c:v>Japan -- Nagasaki-shi</c:v>
                </c:pt>
                <c:pt idx="167">
                  <c:v>Philologists</c:v>
                </c:pt>
                <c:pt idx="168">
                  <c:v>日本詩歌</c:v>
                </c:pt>
                <c:pt idx="169">
                  <c:v>Philosophers -- Japan -- Biography</c:v>
                </c:pt>
                <c:pt idx="170">
                  <c:v>Korean poetry -- 21st century -- Translations into English</c:v>
                </c:pt>
                <c:pt idx="171">
                  <c:v>Philosophy, Japanese</c:v>
                </c:pt>
                <c:pt idx="172">
                  <c:v>Inscriptions, Korean -- Korea -- History</c:v>
                </c:pt>
                <c:pt idx="173">
                  <c:v>1800-1999</c:v>
                </c:pt>
                <c:pt idx="174">
                  <c:v>難波宮.; 都城</c:v>
                </c:pt>
                <c:pt idx="175">
                  <c:v>Adaptations</c:v>
                </c:pt>
                <c:pt idx="176">
                  <c:v>Japanese poetry -- Shōwa period, 1926-1989</c:v>
                </c:pt>
                <c:pt idx="177">
                  <c:v>Bibliographie -- Japon</c:v>
                </c:pt>
                <c:pt idx="178">
                  <c:v>Poetry</c:v>
                </c:pt>
                <c:pt idx="179">
                  <c:v>Biobibliography</c:v>
                </c:pt>
                <c:pt idx="180">
                  <c:v>Writing -- Korea -- History -- To 1500</c:v>
                </c:pt>
                <c:pt idx="181">
                  <c:v>Buddhist priests</c:v>
                </c:pt>
                <c:pt idx="182">
                  <c:v>City planning -- Japan -- History -- To 1500</c:v>
                </c:pt>
                <c:pt idx="183">
                  <c:v>Bungaku chiri-Chūgoku</c:v>
                </c:pt>
                <c:pt idx="184">
                  <c:v>Japanese poetry -- Shōwa period</c:v>
                </c:pt>
                <c:pt idx="185">
                  <c:v>China -- Civilization -- Study and teaching</c:v>
                </c:pt>
                <c:pt idx="186">
                  <c:v>Written communication -- Korea -- History -- To 1500</c:v>
                </c:pt>
                <c:pt idx="187">
                  <c:v>China -- Study and teaching -- Japan</c:v>
                </c:pt>
                <c:pt idx="188">
                  <c:v>Capitals (Cities)</c:v>
                </c:pt>
                <c:pt idx="189">
                  <c:v>Chinese language -- Cursive writing -- Handbooks, manuals, etc</c:v>
                </c:pt>
                <c:pt idx="190">
                  <c:v>1926-1989</c:v>
                </c:pt>
                <c:pt idx="191">
                  <c:v>Chōsen -- Rekishi</c:v>
                </c:pt>
                <c:pt idx="192">
                  <c:v>Antiquities</c:v>
                </c:pt>
                <c:pt idx="193">
                  <c:v>Chūgokugo -- Bunpō</c:v>
                </c:pt>
                <c:pt idx="194">
                  <c:v>City planning</c:v>
                </c:pt>
                <c:pt idx="195">
                  <c:v>Civil service -- Japan</c:v>
                </c:pt>
                <c:pt idx="196">
                  <c:v>Inscriptions, Korean</c:v>
                </c:pt>
                <c:pt idx="197">
                  <c:v>Collective memory -- Japan</c:v>
                </c:pt>
                <c:pt idx="198">
                  <c:v>Naniwanomiya</c:v>
                </c:pt>
                <c:pt idx="199">
                  <c:v>Department stores -- Management</c:v>
                </c:pt>
                <c:pt idx="200">
                  <c:v>Writing</c:v>
                </c:pt>
                <c:pt idx="201">
                  <c:v>Drama</c:v>
                </c:pt>
                <c:pt idx="202">
                  <c:v>Tojō</c:v>
                </c:pt>
                <c:pt idx="203">
                  <c:v>Early printed books</c:v>
                </c:pt>
                <c:pt idx="204">
                  <c:v>Written communication</c:v>
                </c:pt>
                <c:pt idx="205">
                  <c:v>Exhibition catalogs</c:v>
                </c:pt>
                <c:pt idx="206">
                  <c:v>難波宮 (Osaka, Japan)</c:v>
                </c:pt>
                <c:pt idx="207">
                  <c:v>Families</c:v>
                </c:pt>
                <c:pt idx="208">
                  <c:v>新羅 (Kingdom); Antiquities</c:v>
                </c:pt>
                <c:pt idx="209">
                  <c:v>Film criticism -- Japan -- History -- 20th century</c:v>
                </c:pt>
                <c:pt idx="210">
                  <c:v>Silla (Kingdom) -- Antiquities</c:v>
                </c:pt>
                <c:pt idx="211">
                  <c:v>Grammatik</c:v>
                </c:pt>
                <c:pt idx="212">
                  <c:v>Japan -- Capital and capitol</c:v>
                </c:pt>
                <c:pt idx="213">
                  <c:v>Guliang, Chi. Guliang zhuan</c:v>
                </c:pt>
                <c:pt idx="214">
                  <c:v>Japan -- Capital and capitol -- History -- To 1500</c:v>
                </c:pt>
                <c:pt idx="215">
                  <c:v>Industrial relations</c:v>
                </c:pt>
                <c:pt idx="216">
                  <c:v>茶道-辞典</c:v>
                </c:pt>
                <c:pt idx="217">
                  <c:v>Ishikawa, Jun, 1899-1987 -- Criticism and interpretation</c:v>
                </c:pt>
                <c:pt idx="218">
                  <c:v>Chadō-Jiten</c:v>
                </c:pt>
                <c:pt idx="219">
                  <c:v>Japan -- Intellectual life -- Encyclopedias</c:v>
                </c:pt>
                <c:pt idx="220">
                  <c:v>ウズベキスタン人 (日本在留)</c:v>
                </c:pt>
                <c:pt idx="221">
                  <c:v>Japanese fiction -- 21st century</c:v>
                </c:pt>
                <c:pt idx="222">
                  <c:v>Women -- Japan -- Social life and customs -- 19th century</c:v>
                </c:pt>
                <c:pt idx="223">
                  <c:v>Japanese literature -- 1600-1868 -- History and criticism</c:v>
                </c:pt>
                <c:pt idx="224">
                  <c:v>Antiquarian booksellers -- Fiction</c:v>
                </c:pt>
                <c:pt idx="225">
                  <c:v>Kangakusha</c:v>
                </c:pt>
                <c:pt idx="226">
                  <c:v>朝鮮-歴史-新羅時代</c:v>
                </c:pt>
                <c:pt idx="227">
                  <c:v>Klassisches Japanisch</c:v>
                </c:pt>
                <c:pt idx="228">
                  <c:v>Civilization -- Japanese influences</c:v>
                </c:pt>
                <c:pt idx="229">
                  <c:v>Korea (South)</c:v>
                </c:pt>
                <c:pt idx="230">
                  <c:v>Posters -- Japan -- 20th century</c:v>
                </c:pt>
                <c:pt idx="231">
                  <c:v>Labor</c:v>
                </c:pt>
                <c:pt idx="232">
                  <c:v>Political science -- Study and teaching -- Japan</c:v>
                </c:pt>
                <c:pt idx="233">
                  <c:v>Livres anciens -- Japon</c:v>
                </c:pt>
                <c:pt idx="234">
                  <c:v>Uzubekisutanjin (Nihon zairyu)</c:v>
                </c:pt>
                <c:pt idx="235">
                  <c:v>Maruki, Iri, 1901-1995 -- Exhibitions</c:v>
                </c:pt>
                <c:pt idx="236">
                  <c:v>Japanese language -- Synonyms and antonyms -- Dictionaries</c:v>
                </c:pt>
                <c:pt idx="237">
                  <c:v>Maruki, Toshi, 1912-2000. Genbaku no zu</c:v>
                </c:pt>
                <c:pt idx="238">
                  <c:v>Samurai -- Social life and customs -- 19th century</c:v>
                </c:pt>
                <c:pt idx="239">
                  <c:v>Medicine, Chinese Traditional</c:v>
                </c:pt>
                <c:pt idx="240">
                  <c:v>Antiquarian booksellers</c:v>
                </c:pt>
                <c:pt idx="241">
                  <c:v>Mothers and sons</c:v>
                </c:pt>
                <c:pt idx="242">
                  <c:v>Chōsen-Rekishi-Shiragi jidai</c:v>
                </c:pt>
                <c:pt idx="243">
                  <c:v>Murder -- Investigation -- Fiction</c:v>
                </c:pt>
                <c:pt idx="244">
                  <c:v>Civilization -- Korean influences</c:v>
                </c:pt>
                <c:pt idx="245">
                  <c:v>Nengo</c:v>
                </c:pt>
                <c:pt idx="246">
                  <c:v>Commercial art -- Japan -- History -- 20th century</c:v>
                </c:pt>
                <c:pt idx="247">
                  <c:v>Nihon bungaku-Rekishi-Edo jidai</c:v>
                </c:pt>
                <c:pt idx="248">
                  <c:v>Democracy -- Study and teaching -- Japan</c:v>
                </c:pt>
                <c:pt idx="249">
                  <c:v>Nihon-Rekishi-Kinsei-Jiten</c:v>
                </c:pt>
                <c:pt idx="250">
                  <c:v>Japanese language -- Synonyms and antonyms</c:v>
                </c:pt>
                <c:pt idx="251">
                  <c:v>Ōbaku (Sect) -- Dictionaries -- Japanese</c:v>
                </c:pt>
                <c:pt idx="252">
                  <c:v>Kawai, Koume, 1804-1889</c:v>
                </c:pt>
                <c:pt idx="253">
                  <c:v>Painting, Japanese -- 20th century -- Exhibitions</c:v>
                </c:pt>
                <c:pt idx="254">
                  <c:v>Commerce</c:v>
                </c:pt>
                <c:pt idx="255">
                  <c:v>People with disabilities -- Fiction</c:v>
                </c:pt>
                <c:pt idx="256">
                  <c:v>Posters -- Japan -- 20th century -- Catalogs</c:v>
                </c:pt>
                <c:pt idx="257">
                  <c:v>Philosophers -- Japan -- Encyclopedias</c:v>
                </c:pt>
                <c:pt idx="258">
                  <c:v>Civil society -- Study and teaching -- Japan</c:v>
                </c:pt>
                <c:pt idx="259">
                  <c:v>Actors</c:v>
                </c:pt>
                <c:pt idx="260">
                  <c:v>Kawai, Koume, 1804-1889 -- Diaries</c:v>
                </c:pt>
                <c:pt idx="261">
                  <c:v>Bibliography -- China -- History</c:v>
                </c:pt>
                <c:pt idx="262">
                  <c:v>Silla (Kingdom) -- Politics and government</c:v>
                </c:pt>
                <c:pt idx="263">
                  <c:v>Buddhists</c:v>
                </c:pt>
                <c:pt idx="264">
                  <c:v>Commercial art -- Japan -- History -- 20th century -- Catalogs</c:v>
                </c:pt>
                <c:pt idx="265">
                  <c:v>China -- Study and teaching</c:v>
                </c:pt>
                <c:pt idx="266">
                  <c:v>Democracy -- Study and teaching</c:v>
                </c:pt>
                <c:pt idx="267">
                  <c:v>Chinese literature -- Adaptations</c:v>
                </c:pt>
                <c:pt idx="268">
                  <c:v>Wakayama-ken (Japan) -- History</c:v>
                </c:pt>
                <c:pt idx="269">
                  <c:v>Cinéma -- Esthétique</c:v>
                </c:pt>
                <c:pt idx="270">
                  <c:v>International relations</c:v>
                </c:pt>
                <c:pt idx="271">
                  <c:v>Denki -- Nihon</c:v>
                </c:pt>
                <c:pt idx="272">
                  <c:v>Commercial art</c:v>
                </c:pt>
                <c:pt idx="273">
                  <c:v>Dramatists, Japanese</c:v>
                </c:pt>
                <c:pt idx="274">
                  <c:v>Japan -- Civilization -- 1600-1868</c:v>
                </c:pt>
                <c:pt idx="275">
                  <c:v>Factories -- Employees</c:v>
                </c:pt>
                <c:pt idx="276">
                  <c:v>Posters</c:v>
                </c:pt>
                <c:pt idx="277">
                  <c:v>Gongyang zhuan (Gongyang, Gao)</c:v>
                </c:pt>
                <c:pt idx="278">
                  <c:v>Political science -- Study and teaching</c:v>
                </c:pt>
                <c:pt idx="279">
                  <c:v>Hyakkaten-Rekishi</c:v>
                </c:pt>
                <c:pt idx="280">
                  <c:v>Japan -- Civilization -- 1868-1912</c:v>
                </c:pt>
                <c:pt idx="281">
                  <c:v>Japan -- History -- Bibliography</c:v>
                </c:pt>
                <c:pt idx="282">
                  <c:v>Posutā-Rekishi</c:v>
                </c:pt>
                <c:pt idx="283">
                  <c:v>Japanese language -- Cursive writing -- Handbooks, manuals, etc</c:v>
                </c:pt>
                <c:pt idx="284">
                  <c:v>Korea -- Relations -- Japan</c:v>
                </c:pt>
                <c:pt idx="285">
                  <c:v>Kanshi</c:v>
                </c:pt>
                <c:pt idx="286">
                  <c:v>Catalog</c:v>
                </c:pt>
                <c:pt idx="287">
                  <c:v>Koyomi</c:v>
                </c:pt>
                <c:pt idx="288">
                  <c:v>Japan -- Relations -- Korea</c:v>
                </c:pt>
                <c:pt idx="289">
                  <c:v>Manshu -- Meibo</c:v>
                </c:pt>
                <c:pt idx="290">
                  <c:v>catalogs (documents)</c:v>
                </c:pt>
                <c:pt idx="291">
                  <c:v>Materia medica -- Japan -- Bibliography</c:v>
                </c:pt>
                <c:pt idx="292">
                  <c:v>Japan -- Politics and government -- History</c:v>
                </c:pt>
                <c:pt idx="293">
                  <c:v>Motion pictures -- Japan -- History -- 20th century</c:v>
                </c:pt>
                <c:pt idx="294">
                  <c:v>Korea -- Civilization -- Japanese influences</c:v>
                </c:pt>
                <c:pt idx="295">
                  <c:v>Nihon -- Rekishi -- Shoshi</c:v>
                </c:pt>
                <c:pt idx="296">
                  <c:v>Japan -- Foreign relations</c:v>
                </c:pt>
                <c:pt idx="297">
                  <c:v>Nouvelles</c:v>
                </c:pt>
                <c:pt idx="298">
                  <c:v>Japan -- Civilization -- Korean influences</c:v>
                </c:pt>
                <c:pt idx="299">
                  <c:v>Paleography, Japanese -- Handbooks, manuals, etc</c:v>
                </c:pt>
                <c:pt idx="300">
                  <c:v>Korea -- Commerce -- Japan</c:v>
                </c:pt>
                <c:pt idx="301">
                  <c:v>Philosophy, Japanese -- History -- Encyclopedias</c:v>
                </c:pt>
                <c:pt idx="302">
                  <c:v>Japan -- Commerce -- Korea</c:v>
                </c:pt>
                <c:pt idx="303">
                  <c:v>Book industries and trade</c:v>
                </c:pt>
                <c:pt idx="304">
                  <c:v>Catalogues</c:v>
                </c:pt>
                <c:pt idx="305">
                  <c:v>Chinese imprints -- Japan -- Catalogs</c:v>
                </c:pt>
                <c:pt idx="306">
                  <c:v>Japan -- History -- To 794</c:v>
                </c:pt>
                <c:pt idx="307">
                  <c:v>collective biographies</c:v>
                </c:pt>
                <c:pt idx="308">
                  <c:v>Korea -- Foreign relations -- To 935</c:v>
                </c:pt>
                <c:pt idx="309">
                  <c:v>edo</c:v>
                </c:pt>
                <c:pt idx="310">
                  <c:v>Japan -- Foreign relations -- To 794</c:v>
                </c:pt>
                <c:pt idx="311">
                  <c:v>Guerre mondiale, 1939-1945</c:v>
                </c:pt>
                <c:pt idx="312">
                  <c:v>Libraries -- East Asia</c:v>
                </c:pt>
                <c:pt idx="313">
                  <c:v>Japanese drama</c:v>
                </c:pt>
                <c:pt idx="314">
                  <c:v>Japanologists -- United States</c:v>
                </c:pt>
                <c:pt idx="315">
                  <c:v>Komonjogaku</c:v>
                </c:pt>
                <c:pt idx="316">
                  <c:v>Kimonos in literature</c:v>
                </c:pt>
                <c:pt idx="317">
                  <c:v>Maruki, Toshi, 1912-2000</c:v>
                </c:pt>
                <c:pt idx="318">
                  <c:v>Libraries</c:v>
                </c:pt>
                <c:pt idx="319">
                  <c:v>Nakahara, Chūya</c:v>
                </c:pt>
                <c:pt idx="320">
                  <c:v>Women college teachers -- United States</c:v>
                </c:pt>
                <c:pt idx="321">
                  <c:v>Ocean travel -- Fiction</c:v>
                </c:pt>
                <c:pt idx="322">
                  <c:v>Kimonos in motion pictures</c:v>
                </c:pt>
                <c:pt idx="323">
                  <c:v>Authors, Japanese</c:v>
                </c:pt>
                <c:pt idx="324">
                  <c:v>East Asia</c:v>
                </c:pt>
                <c:pt idx="325">
                  <c:v>Chūgoku -- Rekishi</c:v>
                </c:pt>
                <c:pt idx="326">
                  <c:v>Professeures (Enseignement supérieur) -- États-Unis</c:v>
                </c:pt>
                <c:pt idx="327">
                  <c:v>Famous Persons</c:v>
                </c:pt>
                <c:pt idx="328">
                  <c:v>Prostitution</c:v>
                </c:pt>
                <c:pt idx="329">
                  <c:v>Japanologists</c:v>
                </c:pt>
                <c:pt idx="330">
                  <c:v>Japanese fiction -- 20th century -- History and criticism</c:v>
                </c:pt>
                <c:pt idx="331">
                  <c:v>Monstres -- Romans, nouvelles, etc</c:v>
                </c:pt>
                <c:pt idx="332">
                  <c:v>Social conditions</c:v>
                </c:pt>
                <c:pt idx="333">
                  <c:v>Philologists -- Japan -- Biography</c:v>
                </c:pt>
                <c:pt idx="334">
                  <c:v>Motion pictures -- Japan -- 20th century</c:v>
                </c:pt>
                <c:pt idx="335">
                  <c:v>Diplomatics, Japanese -- Dictionaries</c:v>
                </c:pt>
                <c:pt idx="336">
                  <c:v>Women -- Social conditions</c:v>
                </c:pt>
                <c:pt idx="337">
                  <c:v>Languages, Artificial</c:v>
                </c:pt>
                <c:pt idx="338">
                  <c:v>LITERARY CRITICISM / Asian / Japanese</c:v>
                </c:pt>
                <c:pt idx="339">
                  <c:v>Celebrities</c:v>
                </c:pt>
                <c:pt idx="340">
                  <c:v>Women college teachers</c:v>
                </c:pt>
                <c:pt idx="341">
                  <c:v>Nihongo -- Gairaigo -- Jisho</c:v>
                </c:pt>
                <c:pt idx="342">
                  <c:v>Japan -- Study and teaching -- United States</c:v>
                </c:pt>
                <c:pt idx="343">
                  <c:v>Intānetto</c:v>
                </c:pt>
                <c:pt idx="344">
                  <c:v>United States</c:v>
                </c:pt>
                <c:pt idx="345">
                  <c:v>Philosophers</c:v>
                </c:pt>
                <c:pt idx="346">
                  <c:v>Motion pictures -- Aesthetics</c:v>
                </c:pt>
                <c:pt idx="347">
                  <c:v>Japan -- Social conditions</c:v>
                </c:pt>
                <c:pt idx="348">
                  <c:v>Japan -- History</c:v>
                </c:pt>
                <c:pt idx="349">
                  <c:v>Hallucinations and illusions</c:v>
                </c:pt>
                <c:pt idx="350">
                  <c:v>Tosho kaidai</c:v>
                </c:pt>
                <c:pt idx="351">
                  <c:v>Manners and customs</c:v>
                </c:pt>
                <c:pt idx="352">
                  <c:v>Interpersonal relations -- Fiction</c:v>
                </c:pt>
                <c:pt idx="353">
                  <c:v>Man-woman relationships</c:v>
                </c:pt>
                <c:pt idx="354">
                  <c:v>Japan -- Politics and government -- 1600-1868</c:v>
                </c:pt>
                <c:pt idx="355">
                  <c:v>Man-woman relationships -- Fiction</c:v>
                </c:pt>
                <c:pt idx="356">
                  <c:v>Music and transnationalism</c:v>
                </c:pt>
                <c:pt idx="357">
                  <c:v>Short stories, Japanese -- 21st century</c:v>
                </c:pt>
                <c:pt idx="358">
                  <c:v>Translations</c:v>
                </c:pt>
                <c:pt idx="359">
                  <c:v>Buddhism -- Dictionaries</c:v>
                </c:pt>
                <c:pt idx="360">
                  <c:v>Diplomatic relations</c:v>
                </c:pt>
                <c:pt idx="361">
                  <c:v>To 1500</c:v>
                </c:pt>
                <c:pt idx="362">
                  <c:v>Bukkyō -- Jisho</c:v>
                </c:pt>
                <c:pt idx="363">
                  <c:v>Atomic bomb in art</c:v>
                </c:pt>
                <c:pt idx="364">
                  <c:v>Japanese drama (Comedy)</c:v>
                </c:pt>
                <c:pt idx="365">
                  <c:v>Bibliography -- Methodology</c:v>
                </c:pt>
                <c:pt idx="366">
                  <c:v>Femmes botanistes -- Romans, nouvelles, etc</c:v>
                </c:pt>
                <c:pt idx="367">
                  <c:v>日本語-類語-辞典</c:v>
                </c:pt>
                <c:pt idx="368">
                  <c:v>Silla (Kingdom) -- History</c:v>
                </c:pt>
                <c:pt idx="369">
                  <c:v>Nihongo-Ruigo-Jiten</c:v>
                </c:pt>
                <c:pt idx="370">
                  <c:v>War in art</c:v>
                </c:pt>
                <c:pt idx="371">
                  <c:v>Chūgokugo-Bunpō</c:v>
                </c:pt>
                <c:pt idx="372">
                  <c:v>Interpersonal relations</c:v>
                </c:pt>
                <c:pt idx="373">
                  <c:v>Kundoku</c:v>
                </c:pt>
                <c:pt idx="374">
                  <c:v>Nihon -- Rekishi</c:v>
                </c:pt>
                <c:pt idx="375">
                  <c:v>Motion pictures</c:v>
                </c:pt>
                <c:pt idx="376">
                  <c:v>Women botanists</c:v>
                </c:pt>
                <c:pt idx="377">
                  <c:v>Hallucinations and illusions -- Fiction</c:v>
                </c:pt>
                <c:pt idx="378">
                  <c:v>Nihon shisō-Rekishi-Benran</c:v>
                </c:pt>
                <c:pt idx="379">
                  <c:v>Satirical literature</c:v>
                </c:pt>
                <c:pt idx="380">
                  <c:v>Japanese language -- Grammar, Classical</c:v>
                </c:pt>
                <c:pt idx="381">
                  <c:v>Shoshigaku</c:v>
                </c:pt>
                <c:pt idx="382">
                  <c:v>Nihongo-Bunpō</c:v>
                </c:pt>
                <c:pt idx="383">
                  <c:v>Buddhism -- Japan</c:v>
                </c:pt>
                <c:pt idx="384">
                  <c:v>Japanese literature</c:v>
                </c:pt>
                <c:pt idx="385">
                  <c:v>Japanese language -- Readers</c:v>
                </c:pt>
                <c:pt idx="386">
                  <c:v>Japanese literature -- Chinese influences</c:v>
                </c:pt>
                <c:pt idx="387">
                  <c:v>Terayama, Shūji, 1936-1983</c:v>
                </c:pt>
                <c:pt idx="388">
                  <c:v>Painting, Japanese</c:v>
                </c:pt>
                <c:pt idx="389">
                  <c:v>Women botanists -- Fiction</c:v>
                </c:pt>
                <c:pt idx="390">
                  <c:v>Illustrated works</c:v>
                </c:pt>
                <c:pt idx="391">
                  <c:v>Manuscripts, Japanese</c:v>
                </c:pt>
                <c:pt idx="392">
                  <c:v>Prostitution -- Japan -- History -- 19th century</c:v>
                </c:pt>
                <c:pt idx="393">
                  <c:v>Naniwa Kyū (Osaka, Japan)</c:v>
                </c:pt>
                <c:pt idx="394">
                  <c:v>Paleography, Japanese</c:v>
                </c:pt>
                <c:pt idx="395">
                  <c:v>Medicine, Chinese</c:v>
                </c:pt>
                <c:pt idx="396">
                  <c:v>Prostitution -- Japan -- History -- 20th century</c:v>
                </c:pt>
                <c:pt idx="397">
                  <c:v>Detective and mystery fiction</c:v>
                </c:pt>
                <c:pt idx="398">
                  <c:v>Keisho</c:v>
                </c:pt>
                <c:pt idx="399">
                  <c:v>Chūgokugaku</c:v>
                </c:pt>
                <c:pt idx="400">
                  <c:v>Japan -- Hiroshima-shi</c:v>
                </c:pt>
                <c:pt idx="401">
                  <c:v>Short stories, Japanese</c:v>
                </c:pt>
                <c:pt idx="402">
                  <c:v>Bibliography</c:v>
                </c:pt>
                <c:pt idx="403">
                  <c:v>Theatrical producers and directors</c:v>
                </c:pt>
                <c:pt idx="404">
                  <c:v>Chinese literature -- Study and teaching</c:v>
                </c:pt>
                <c:pt idx="405">
                  <c:v>Tokugawa family</c:v>
                </c:pt>
                <c:pt idx="406">
                  <c:v>Readers (Publications)</c:v>
                </c:pt>
                <c:pt idx="407">
                  <c:v>Bibliographies</c:v>
                </c:pt>
                <c:pt idx="408">
                  <c:v>百濟 (Kingdom); History</c:v>
                </c:pt>
                <c:pt idx="409">
                  <c:v>Theater</c:v>
                </c:pt>
                <c:pt idx="410">
                  <c:v>Paekche (Kingdom) -- History</c:v>
                </c:pt>
                <c:pt idx="411">
                  <c:v>Biography</c:v>
                </c:pt>
                <c:pt idx="412">
                  <c:v>Asia -- Paekche (Kingdom)</c:v>
                </c:pt>
                <c:pt idx="413">
                  <c:v>Catalogs</c:v>
                </c:pt>
                <c:pt idx="414">
                  <c:v>Asia -- Silla (Kingdom)</c:v>
                </c:pt>
                <c:pt idx="415">
                  <c:v>Japanese language</c:v>
                </c:pt>
                <c:pt idx="416">
                  <c:v>Kanbun</c:v>
                </c:pt>
                <c:pt idx="417">
                  <c:v>Japan -- Biography</c:v>
                </c:pt>
                <c:pt idx="418">
                  <c:v>2000-2099</c:v>
                </c:pt>
                <c:pt idx="419">
                  <c:v>Relations entre hommes et femmes -- Romans, nouvelles, etc</c:v>
                </c:pt>
                <c:pt idx="420">
                  <c:v>Kokugaku</c:v>
                </c:pt>
                <c:pt idx="421">
                  <c:v>Education</c:v>
                </c:pt>
                <c:pt idx="422">
                  <c:v>China -- Civilization -- Study and teaching -- Japan -- Bibliography</c:v>
                </c:pt>
                <c:pt idx="423">
                  <c:v>Japanese language materials</c:v>
                </c:pt>
                <c:pt idx="424">
                  <c:v>中国思想; 書目.; シナ学; 書目</c:v>
                </c:pt>
                <c:pt idx="425">
                  <c:v>Romance fiction</c:v>
                </c:pt>
                <c:pt idx="426">
                  <c:v>Tales</c:v>
                </c:pt>
                <c:pt idx="427">
                  <c:v>Legends</c:v>
                </c:pt>
                <c:pt idx="428">
                  <c:v>Setsuwa bungaku-Sakuin</c:v>
                </c:pt>
                <c:pt idx="429">
                  <c:v>說話文学-索引</c:v>
                </c:pt>
                <c:pt idx="430">
                  <c:v>Domestic fiction</c:v>
                </c:pt>
                <c:pt idx="431">
                  <c:v>Daimyo</c:v>
                </c:pt>
                <c:pt idx="432">
                  <c:v>indexes (reference sources)</c:v>
                </c:pt>
                <c:pt idx="433">
                  <c:v>Daimyō -- Biographies</c:v>
                </c:pt>
                <c:pt idx="434">
                  <c:v>Legends -- Japan -- Indexes</c:v>
                </c:pt>
                <c:pt idx="435">
                  <c:v>Daimyo -- Biography</c:v>
                </c:pt>
                <c:pt idx="436">
                  <c:v>China -- Civilization -- Study and teaching -- Japan</c:v>
                </c:pt>
                <c:pt idx="437">
                  <c:v>Japanese language -- Study and teaching</c:v>
                </c:pt>
                <c:pt idx="438">
                  <c:v>Tales -- Japan -- Indexes</c:v>
                </c:pt>
                <c:pt idx="439">
                  <c:v>Civilization -- Study and teaching</c:v>
                </c:pt>
                <c:pt idx="440">
                  <c:v>Nihon -- denki -- jisho</c:v>
                </c:pt>
                <c:pt idx="441">
                  <c:v>Nihon -- Jinmeijiten</c:v>
                </c:pt>
                <c:pt idx="442">
                  <c:v>Criticism, interpretation, etc</c:v>
                </c:pt>
                <c:pt idx="443">
                  <c:v>To 935</c:v>
                </c:pt>
                <c:pt idx="444">
                  <c:v>Korea -- History -- To 935</c:v>
                </c:pt>
                <c:pt idx="445">
                  <c:v>Japan -- History -- Tokugawa period, 1600-1868 -- Biography -- Dictionaries -- Japanese</c:v>
                </c:pt>
                <c:pt idx="446">
                  <c:v>Chinese language -- Particles</c:v>
                </c:pt>
                <c:pt idx="447">
                  <c:v>Chinese language -- Particles -- Dictionaries -- Japanese</c:v>
                </c:pt>
                <c:pt idx="448">
                  <c:v>Psychological fiction</c:v>
                </c:pt>
                <c:pt idx="449">
                  <c:v>Chinese language</c:v>
                </c:pt>
                <c:pt idx="450">
                  <c:v>Chinese language -- Dictionaries -- Japanese</c:v>
                </c:pt>
                <c:pt idx="451">
                  <c:v>Fiefs -- Japan -- Dictionaries -- Japanese</c:v>
                </c:pt>
                <c:pt idx="452">
                  <c:v>Korea</c:v>
                </c:pt>
                <c:pt idx="453">
                  <c:v>Short stories</c:v>
                </c:pt>
                <c:pt idx="454">
                  <c:v>1900-1999</c:v>
                </c:pt>
                <c:pt idx="455">
                  <c:v>Japanese fiction</c:v>
                </c:pt>
                <c:pt idx="456">
                  <c:v>Japan -- Politics and government -- 1600-1868 -- Handbooks, manuals, etc</c:v>
                </c:pt>
                <c:pt idx="457">
                  <c:v>Index</c:v>
                </c:pt>
                <c:pt idx="458">
                  <c:v>Folk literature, Japanese</c:v>
                </c:pt>
                <c:pt idx="459">
                  <c:v>Tokugawa period, Japan, 1600-1868</c:v>
                </c:pt>
                <c:pt idx="460">
                  <c:v>Fiefs -- Japan -- History -- Handbooks, manuals, etc</c:v>
                </c:pt>
                <c:pt idx="461">
                  <c:v>Japan -- Biography -- Dictionaries -- Japanese</c:v>
                </c:pt>
                <c:pt idx="462">
                  <c:v>China</c:v>
                </c:pt>
                <c:pt idx="463">
                  <c:v>Fiction</c:v>
                </c:pt>
                <c:pt idx="464">
                  <c:v>Handbooks and manuals</c:v>
                </c:pt>
                <c:pt idx="465">
                  <c:v>Politics and government</c:v>
                </c:pt>
                <c:pt idx="466">
                  <c:v>Indexes</c:v>
                </c:pt>
                <c:pt idx="467">
                  <c:v>Emperors</c:v>
                </c:pt>
                <c:pt idx="468">
                  <c:v>Royal households -- Japan -- History -- Sources</c:v>
                </c:pt>
                <c:pt idx="469">
                  <c:v>Sources</c:v>
                </c:pt>
                <c:pt idx="470">
                  <c:v>Emperors -- Japan -- History -- Sources</c:v>
                </c:pt>
                <c:pt idx="471">
                  <c:v>Courts and courtiers</c:v>
                </c:pt>
                <c:pt idx="472">
                  <c:v>Royal households</c:v>
                </c:pt>
                <c:pt idx="473">
                  <c:v>Japan -- Court and courtiers -- History -- Sources</c:v>
                </c:pt>
                <c:pt idx="474">
                  <c:v>Fiefs</c:v>
                </c:pt>
                <c:pt idx="475">
                  <c:v>1600-1868</c:v>
                </c:pt>
                <c:pt idx="476">
                  <c:v>Biographies</c:v>
                </c:pt>
                <c:pt idx="477">
                  <c:v>Nobility</c:v>
                </c:pt>
                <c:pt idx="478">
                  <c:v>Nobility -- Japan -- History -- 19th century -- Registers</c:v>
                </c:pt>
                <c:pt idx="479">
                  <c:v>Nobility -- Japan -- History -- 17th century -- Registers</c:v>
                </c:pt>
                <c:pt idx="480">
                  <c:v>Registers (Lists)</c:v>
                </c:pt>
                <c:pt idx="481">
                  <c:v>Nobility -- Japan -- History -- 18th century -- Registers</c:v>
                </c:pt>
                <c:pt idx="482">
                  <c:v>1600-1899</c:v>
                </c:pt>
                <c:pt idx="483">
                  <c:v>Dictionaries</c:v>
                </c:pt>
                <c:pt idx="484">
                  <c:v>History</c:v>
                </c:pt>
                <c:pt idx="485">
                  <c:v>Japan</c:v>
                </c:pt>
              </c:strCache>
            </c:strRef>
          </c:cat>
          <c:val>
            <c:numRef>
              <c:f>'s-Subjects'!$C$5:$C$490</c:f>
              <c:numCache>
                <c:formatCode>General</c:formatCode>
                <c:ptCount val="486"/>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2</c:v>
                </c:pt>
                <c:pt idx="346">
                  <c:v>2</c:v>
                </c:pt>
                <c:pt idx="347">
                  <c:v>2</c:v>
                </c:pt>
                <c:pt idx="348">
                  <c:v>2</c:v>
                </c:pt>
                <c:pt idx="349">
                  <c:v>2</c:v>
                </c:pt>
                <c:pt idx="350">
                  <c:v>2</c:v>
                </c:pt>
                <c:pt idx="351">
                  <c:v>2</c:v>
                </c:pt>
                <c:pt idx="352">
                  <c:v>2</c:v>
                </c:pt>
                <c:pt idx="353">
                  <c:v>2</c:v>
                </c:pt>
                <c:pt idx="354">
                  <c:v>2</c:v>
                </c:pt>
                <c:pt idx="355">
                  <c:v>2</c:v>
                </c:pt>
                <c:pt idx="356">
                  <c:v>2</c:v>
                </c:pt>
                <c:pt idx="357">
                  <c:v>2</c:v>
                </c:pt>
                <c:pt idx="358">
                  <c:v>2</c:v>
                </c:pt>
                <c:pt idx="359">
                  <c:v>2</c:v>
                </c:pt>
                <c:pt idx="360">
                  <c:v>2</c:v>
                </c:pt>
                <c:pt idx="361">
                  <c:v>2</c:v>
                </c:pt>
                <c:pt idx="362">
                  <c:v>2</c:v>
                </c:pt>
                <c:pt idx="363">
                  <c:v>2</c:v>
                </c:pt>
                <c:pt idx="364">
                  <c:v>2</c:v>
                </c:pt>
                <c:pt idx="365">
                  <c:v>2</c:v>
                </c:pt>
                <c:pt idx="366">
                  <c:v>2</c:v>
                </c:pt>
                <c:pt idx="367">
                  <c:v>2</c:v>
                </c:pt>
                <c:pt idx="368">
                  <c:v>2</c:v>
                </c:pt>
                <c:pt idx="369">
                  <c:v>2</c:v>
                </c:pt>
                <c:pt idx="370">
                  <c:v>2</c:v>
                </c:pt>
                <c:pt idx="371">
                  <c:v>2</c:v>
                </c:pt>
                <c:pt idx="372">
                  <c:v>2</c:v>
                </c:pt>
                <c:pt idx="373">
                  <c:v>2</c:v>
                </c:pt>
                <c:pt idx="374">
                  <c:v>2</c:v>
                </c:pt>
                <c:pt idx="375">
                  <c:v>2</c:v>
                </c:pt>
                <c:pt idx="376">
                  <c:v>2</c:v>
                </c:pt>
                <c:pt idx="377">
                  <c:v>2</c:v>
                </c:pt>
                <c:pt idx="378">
                  <c:v>2</c:v>
                </c:pt>
                <c:pt idx="379">
                  <c:v>2</c:v>
                </c:pt>
                <c:pt idx="380">
                  <c:v>2</c:v>
                </c:pt>
                <c:pt idx="381">
                  <c:v>2</c:v>
                </c:pt>
                <c:pt idx="382">
                  <c:v>2</c:v>
                </c:pt>
                <c:pt idx="383">
                  <c:v>2</c:v>
                </c:pt>
                <c:pt idx="384">
                  <c:v>2</c:v>
                </c:pt>
                <c:pt idx="385">
                  <c:v>2</c:v>
                </c:pt>
                <c:pt idx="386">
                  <c:v>2</c:v>
                </c:pt>
                <c:pt idx="387">
                  <c:v>2</c:v>
                </c:pt>
                <c:pt idx="388">
                  <c:v>2</c:v>
                </c:pt>
                <c:pt idx="389">
                  <c:v>2</c:v>
                </c:pt>
                <c:pt idx="390">
                  <c:v>2</c:v>
                </c:pt>
                <c:pt idx="391">
                  <c:v>2</c:v>
                </c:pt>
                <c:pt idx="392">
                  <c:v>2</c:v>
                </c:pt>
                <c:pt idx="393">
                  <c:v>2</c:v>
                </c:pt>
                <c:pt idx="394">
                  <c:v>2</c:v>
                </c:pt>
                <c:pt idx="395">
                  <c:v>2</c:v>
                </c:pt>
                <c:pt idx="396">
                  <c:v>2</c:v>
                </c:pt>
                <c:pt idx="397">
                  <c:v>2</c:v>
                </c:pt>
                <c:pt idx="398">
                  <c:v>2</c:v>
                </c:pt>
                <c:pt idx="399">
                  <c:v>2</c:v>
                </c:pt>
                <c:pt idx="400">
                  <c:v>2</c:v>
                </c:pt>
                <c:pt idx="401">
                  <c:v>2</c:v>
                </c:pt>
                <c:pt idx="402">
                  <c:v>2</c:v>
                </c:pt>
                <c:pt idx="403">
                  <c:v>2</c:v>
                </c:pt>
                <c:pt idx="404">
                  <c:v>2</c:v>
                </c:pt>
                <c:pt idx="405">
                  <c:v>3</c:v>
                </c:pt>
                <c:pt idx="406">
                  <c:v>3</c:v>
                </c:pt>
                <c:pt idx="407">
                  <c:v>3</c:v>
                </c:pt>
                <c:pt idx="408">
                  <c:v>3</c:v>
                </c:pt>
                <c:pt idx="409">
                  <c:v>3</c:v>
                </c:pt>
                <c:pt idx="410">
                  <c:v>3</c:v>
                </c:pt>
                <c:pt idx="411">
                  <c:v>3</c:v>
                </c:pt>
                <c:pt idx="412">
                  <c:v>3</c:v>
                </c:pt>
                <c:pt idx="413">
                  <c:v>3</c:v>
                </c:pt>
                <c:pt idx="414">
                  <c:v>3</c:v>
                </c:pt>
                <c:pt idx="415">
                  <c:v>3</c:v>
                </c:pt>
                <c:pt idx="416">
                  <c:v>3</c:v>
                </c:pt>
                <c:pt idx="417">
                  <c:v>3</c:v>
                </c:pt>
                <c:pt idx="418">
                  <c:v>3</c:v>
                </c:pt>
                <c:pt idx="419">
                  <c:v>3</c:v>
                </c:pt>
                <c:pt idx="420">
                  <c:v>3</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5</c:v>
                </c:pt>
                <c:pt idx="440">
                  <c:v>5</c:v>
                </c:pt>
                <c:pt idx="441">
                  <c:v>5</c:v>
                </c:pt>
                <c:pt idx="442">
                  <c:v>6</c:v>
                </c:pt>
                <c:pt idx="443">
                  <c:v>6</c:v>
                </c:pt>
                <c:pt idx="444">
                  <c:v>6</c:v>
                </c:pt>
                <c:pt idx="445">
                  <c:v>7</c:v>
                </c:pt>
                <c:pt idx="446">
                  <c:v>7</c:v>
                </c:pt>
                <c:pt idx="447">
                  <c:v>7</c:v>
                </c:pt>
                <c:pt idx="448">
                  <c:v>7</c:v>
                </c:pt>
                <c:pt idx="449">
                  <c:v>7</c:v>
                </c:pt>
                <c:pt idx="450">
                  <c:v>7</c:v>
                </c:pt>
                <c:pt idx="451">
                  <c:v>7</c:v>
                </c:pt>
                <c:pt idx="452">
                  <c:v>7</c:v>
                </c:pt>
                <c:pt idx="453">
                  <c:v>7</c:v>
                </c:pt>
                <c:pt idx="454">
                  <c:v>7</c:v>
                </c:pt>
                <c:pt idx="455">
                  <c:v>7</c:v>
                </c:pt>
                <c:pt idx="456">
                  <c:v>8</c:v>
                </c:pt>
                <c:pt idx="457">
                  <c:v>8</c:v>
                </c:pt>
                <c:pt idx="458">
                  <c:v>8</c:v>
                </c:pt>
                <c:pt idx="459">
                  <c:v>8</c:v>
                </c:pt>
                <c:pt idx="460">
                  <c:v>8</c:v>
                </c:pt>
                <c:pt idx="461">
                  <c:v>8</c:v>
                </c:pt>
                <c:pt idx="462">
                  <c:v>9</c:v>
                </c:pt>
                <c:pt idx="463">
                  <c:v>10</c:v>
                </c:pt>
                <c:pt idx="464">
                  <c:v>10</c:v>
                </c:pt>
                <c:pt idx="465">
                  <c:v>11</c:v>
                </c:pt>
                <c:pt idx="466">
                  <c:v>11</c:v>
                </c:pt>
                <c:pt idx="467">
                  <c:v>13</c:v>
                </c:pt>
                <c:pt idx="468">
                  <c:v>13</c:v>
                </c:pt>
                <c:pt idx="469">
                  <c:v>13</c:v>
                </c:pt>
                <c:pt idx="470">
                  <c:v>13</c:v>
                </c:pt>
                <c:pt idx="471">
                  <c:v>13</c:v>
                </c:pt>
                <c:pt idx="472">
                  <c:v>13</c:v>
                </c:pt>
                <c:pt idx="473">
                  <c:v>13</c:v>
                </c:pt>
                <c:pt idx="474">
                  <c:v>15</c:v>
                </c:pt>
                <c:pt idx="475">
                  <c:v>19</c:v>
                </c:pt>
                <c:pt idx="476">
                  <c:v>21</c:v>
                </c:pt>
                <c:pt idx="477">
                  <c:v>26</c:v>
                </c:pt>
                <c:pt idx="478">
                  <c:v>26</c:v>
                </c:pt>
                <c:pt idx="479">
                  <c:v>26</c:v>
                </c:pt>
                <c:pt idx="480">
                  <c:v>26</c:v>
                </c:pt>
                <c:pt idx="481">
                  <c:v>26</c:v>
                </c:pt>
                <c:pt idx="482">
                  <c:v>26</c:v>
                </c:pt>
                <c:pt idx="483">
                  <c:v>29</c:v>
                </c:pt>
                <c:pt idx="484">
                  <c:v>75</c:v>
                </c:pt>
                <c:pt idx="485">
                  <c:v>91</c:v>
                </c:pt>
              </c:numCache>
            </c:numRef>
          </c:val>
          <c:extLst>
            <c:ext xmlns:c16="http://schemas.microsoft.com/office/drawing/2014/chart" uri="{C3380CC4-5D6E-409C-BE32-E72D297353CC}">
              <c16:uniqueId val="{00000000-3690-46F8-B273-FC9B2082F1DB}"/>
            </c:ext>
          </c:extLst>
        </c:ser>
        <c:dLbls>
          <c:showLegendKey val="0"/>
          <c:showVal val="0"/>
          <c:showCatName val="0"/>
          <c:showSerName val="0"/>
          <c:showPercent val="0"/>
          <c:showBubbleSize val="0"/>
        </c:dLbls>
        <c:gapWidth val="182"/>
        <c:axId val="1376675824"/>
        <c:axId val="1376674864"/>
      </c:barChart>
      <c:catAx>
        <c:axId val="1376675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674864"/>
        <c:crosses val="autoZero"/>
        <c:auto val="1"/>
        <c:lblAlgn val="ctr"/>
        <c:lblOffset val="100"/>
        <c:noMultiLvlLbl val="0"/>
      </c:catAx>
      <c:valAx>
        <c:axId val="1376674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675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[Orders - 20xx-xx - Template.xlsm]s-Subjects!SubSubjects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Subject</a:t>
            </a:r>
            <a:r>
              <a:rPr lang="en-US" baseline="0"/>
              <a:t> Heading Facets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's-Subjects'!$P$4</c:f>
              <c:strCache>
                <c:ptCount val="1"/>
                <c:pt idx="0">
                  <c:v>Total</c:v>
                </c:pt>
              </c:strCache>
            </c:strRef>
          </c:tx>
          <c:spPr>
            <a:solidFill>
              <a:schemeClr val="accent5"/>
            </a:solidFill>
            <a:ln>
              <a:noFill/>
            </a:ln>
            <a:effectLst/>
          </c:spPr>
          <c:invertIfNegative val="0"/>
          <c:cat>
            <c:strRef>
              <c:f>'s-Subjects'!$O$5:$O$350</c:f>
              <c:strCache>
                <c:ptCount val="346"/>
                <c:pt idx="0">
                  <c:v>Mœurs et coutumes</c:v>
                </c:pt>
                <c:pt idx="1">
                  <c:v>Monstres</c:v>
                </c:pt>
                <c:pt idx="2">
                  <c:v>18.87 Japanese language and literature</c:v>
                </c:pt>
                <c:pt idx="3">
                  <c:v>Nagasaki-shi (Japan)</c:v>
                </c:pt>
                <c:pt idx="4">
                  <c:v>1800-1999</c:v>
                </c:pt>
                <c:pt idx="5">
                  <c:v>Nengo</c:v>
                </c:pt>
                <c:pt idx="6">
                  <c:v>Aesthetics</c:v>
                </c:pt>
                <c:pt idx="7">
                  <c:v>Nengō</c:v>
                </c:pt>
                <c:pt idx="8">
                  <c:v>Art</c:v>
                </c:pt>
                <c:pt idx="9">
                  <c:v>Nihon bungaku-Rekishi-Edo jidai</c:v>
                </c:pt>
                <c:pt idx="10">
                  <c:v>Benran</c:v>
                </c:pt>
                <c:pt idx="11">
                  <c:v>nihon shoki</c:v>
                </c:pt>
                <c:pt idx="12">
                  <c:v>Bombe atomique dans l'art</c:v>
                </c:pt>
                <c:pt idx="13">
                  <c:v>Nihongo</c:v>
                </c:pt>
                <c:pt idx="14">
                  <c:v>Catalogues</c:v>
                </c:pt>
                <c:pt idx="15">
                  <c:v>Nihon-Rekishi-Edo jidai</c:v>
                </c:pt>
                <c:pt idx="16">
                  <c:v>Celebrities</c:v>
                </c:pt>
                <c:pt idx="17">
                  <c:v>Nihon-Rekishi-Kinsei-Jiten</c:v>
                </c:pt>
                <c:pt idx="18">
                  <c:v>Chosen</c:v>
                </c:pt>
                <c:pt idx="19">
                  <c:v>Nihon-Rekishi-Shoshi</c:v>
                </c:pt>
                <c:pt idx="20">
                  <c:v>Chugoku</c:v>
                </c:pt>
                <c:pt idx="21">
                  <c:v>Nouvelles</c:v>
                </c:pt>
                <c:pt idx="22">
                  <c:v>Chūgoku bungaku-Meibo</c:v>
                </c:pt>
                <c:pt idx="23">
                  <c:v>Personnel</c:v>
                </c:pt>
                <c:pt idx="24">
                  <c:v>Chun qiu (Confucius)</c:v>
                </c:pt>
                <c:pt idx="25">
                  <c:v>Poems (texts)</c:v>
                </c:pt>
                <c:pt idx="26">
                  <c:v>collective biographies</c:v>
                </c:pt>
                <c:pt idx="27">
                  <c:v>Poissons tropicaux</c:v>
                </c:pt>
                <c:pt idx="28">
                  <c:v>Court and courtiers</c:v>
                </c:pt>
                <c:pt idx="29">
                  <c:v>Relations industrielles</c:v>
                </c:pt>
                <c:pt idx="30">
                  <c:v>Denki</c:v>
                </c:pt>
                <c:pt idx="31">
                  <c:v>Romans familiaux</c:v>
                </c:pt>
                <c:pt idx="32">
                  <c:v>Directory</c:v>
                </c:pt>
                <c:pt idx="33">
                  <c:v>Romans psychologiques</c:v>
                </c:pt>
                <c:pt idx="34">
                  <c:v>Edo jidai</c:v>
                </c:pt>
                <c:pt idx="35">
                  <c:v>Ruisho</c:v>
                </c:pt>
                <c:pt idx="36">
                  <c:v>Exhibition catalogs</c:v>
                </c:pt>
                <c:pt idx="37">
                  <c:v>Shinagaku</c:v>
                </c:pt>
                <c:pt idx="38">
                  <c:v>Expertising</c:v>
                </c:pt>
                <c:pt idx="39">
                  <c:v>Shunjū</c:v>
                </c:pt>
                <c:pt idx="40">
                  <c:v>Fujin</c:v>
                </c:pt>
                <c:pt idx="41">
                  <c:v>Shunjū kokuryōden</c:v>
                </c:pt>
                <c:pt idx="42">
                  <c:v>Gongyang zhuan (Gongyang, Gao)</c:v>
                </c:pt>
                <c:pt idx="43">
                  <c:v>Shunjū kuyōden</c:v>
                </c:pt>
                <c:pt idx="44">
                  <c:v>Grammatik</c:v>
                </c:pt>
                <c:pt idx="45">
                  <c:v>shuppan</c:v>
                </c:pt>
                <c:pt idx="46">
                  <c:v>Guerre mondiale, 1939-1945</c:v>
                </c:pt>
                <c:pt idx="47">
                  <c:v>Takabatake, Ransen, 1838-1885</c:v>
                </c:pt>
                <c:pt idx="48">
                  <c:v>Guliang, Chi. Guliang zhuan</c:v>
                </c:pt>
                <c:pt idx="49">
                  <c:v>theater (discipline)</c:v>
                </c:pt>
                <c:pt idx="50">
                  <c:v>historia</c:v>
                </c:pt>
                <c:pt idx="51">
                  <c:v>Théâtre</c:v>
                </c:pt>
                <c:pt idx="52">
                  <c:v>Hyakkaten-Rekishi</c:v>
                </c:pt>
                <c:pt idx="53">
                  <c:v>Tokugawa (Famille)</c:v>
                </c:pt>
                <c:pt idx="54">
                  <c:v>Intānetto</c:v>
                </c:pt>
                <c:pt idx="55">
                  <c:v>Tokyo</c:v>
                </c:pt>
                <c:pt idx="56">
                  <c:v>Jōhō kensaku</c:v>
                </c:pt>
                <c:pt idx="57">
                  <c:v>Tokyo (Japan)</c:v>
                </c:pt>
                <c:pt idx="58">
                  <c:v>Kanji-Jiten</c:v>
                </c:pt>
                <c:pt idx="59">
                  <c:v>Tōkyō (Japon)</c:v>
                </c:pt>
                <c:pt idx="60">
                  <c:v>Kanshi-Jiten</c:v>
                </c:pt>
                <c:pt idx="61">
                  <c:v>Tōkyōto-Rekishi</c:v>
                </c:pt>
                <c:pt idx="62">
                  <c:v>Komonjogaku</c:v>
                </c:pt>
                <c:pt idx="63">
                  <c:v>Toyo igaku</c:v>
                </c:pt>
                <c:pt idx="64">
                  <c:v>Kotowaza</c:v>
                </c:pt>
                <c:pt idx="65">
                  <c:v>Tōyō igaku-Shoshi</c:v>
                </c:pt>
                <c:pt idx="66">
                  <c:v>Kunten</c:v>
                </c:pt>
                <c:pt idx="67">
                  <c:v>Toyoshi --</c:v>
                </c:pt>
                <c:pt idx="68">
                  <c:v>Literatur</c:v>
                </c:pt>
                <c:pt idx="69">
                  <c:v>Translations (form)</c:v>
                </c:pt>
                <c:pt idx="70">
                  <c:v>Management</c:v>
                </c:pt>
                <c:pt idx="71">
                  <c:v>Travail</c:v>
                </c:pt>
                <c:pt idx="72">
                  <c:v>Manshu</c:v>
                </c:pt>
                <c:pt idx="73">
                  <c:v>Usines</c:v>
                </c:pt>
                <c:pt idx="74">
                  <c:v>Maruki, Toshi, 1912-2000. Genbaku no zu</c:v>
                </c:pt>
                <c:pt idx="75">
                  <c:v>Vie rurale</c:v>
                </c:pt>
                <c:pt idx="76">
                  <c:v>Méthodologie</c:v>
                </c:pt>
                <c:pt idx="77">
                  <c:v>Zhu shi</c:v>
                </c:pt>
                <c:pt idx="78">
                  <c:v>Nagasaki-shi</c:v>
                </c:pt>
                <c:pt idx="79">
                  <c:v>丸木位里, 1901-1995. 原爆の図. 丸木俊, 1912-2000. 原爆の図</c:v>
                </c:pt>
                <c:pt idx="80">
                  <c:v>Animals</c:v>
                </c:pt>
                <c:pt idx="81">
                  <c:v>寺山修司, 1936-1983</c:v>
                </c:pt>
                <c:pt idx="82">
                  <c:v>Biobibliography</c:v>
                </c:pt>
                <c:pt idx="83">
                  <c:v>広島市 (Japan); In art.; 広島市 (Japan); History; Bombardment, 1945; Pictorial works</c:v>
                </c:pt>
                <c:pt idx="84">
                  <c:v>Célébrités</c:v>
                </c:pt>
                <c:pt idx="85">
                  <c:v>林, 芙美子, 1904-1951</c:v>
                </c:pt>
                <c:pt idx="86">
                  <c:v>Chōsen</c:v>
                </c:pt>
                <c:pt idx="87">
                  <c:v>漫画</c:v>
                </c:pt>
                <c:pt idx="88">
                  <c:v>Chūgokugo</c:v>
                </c:pt>
                <c:pt idx="89">
                  <c:v>百貨店-歴史</c:v>
                </c:pt>
                <c:pt idx="90">
                  <c:v>Confucius. Chun qiu</c:v>
                </c:pt>
                <c:pt idx="91">
                  <c:v>日本詩歌</c:v>
                </c:pt>
                <c:pt idx="92">
                  <c:v>Dictionaries. Japanese</c:v>
                </c:pt>
                <c:pt idx="93">
                  <c:v>Korean poetry</c:v>
                </c:pt>
                <c:pt idx="94">
                  <c:v>Employees</c:v>
                </c:pt>
                <c:pt idx="95">
                  <c:v>難波宮.; 都城</c:v>
                </c:pt>
                <c:pt idx="96">
                  <c:v>Famous Persons</c:v>
                </c:pt>
                <c:pt idx="97">
                  <c:v>Poetry</c:v>
                </c:pt>
                <c:pt idx="98">
                  <c:v>Gongyang, Gao. Gongyang zhuan</c:v>
                </c:pt>
                <c:pt idx="99">
                  <c:v>Capitals (Cities)</c:v>
                </c:pt>
                <c:pt idx="100">
                  <c:v>Guliang zhuan (Guliang, Chi)</c:v>
                </c:pt>
                <c:pt idx="101">
                  <c:v>1926-1989</c:v>
                </c:pt>
                <c:pt idx="102">
                  <c:v>Humorous fiction</c:v>
                </c:pt>
                <c:pt idx="103">
                  <c:v>Antiquities</c:v>
                </c:pt>
                <c:pt idx="104">
                  <c:v>Japanisch</c:v>
                </c:pt>
                <c:pt idx="105">
                  <c:v>Naniwanomiya</c:v>
                </c:pt>
                <c:pt idx="106">
                  <c:v>Kanshi</c:v>
                </c:pt>
                <c:pt idx="107">
                  <c:v>Tojō</c:v>
                </c:pt>
                <c:pt idx="108">
                  <c:v>Komonjo-Jiten</c:v>
                </c:pt>
                <c:pt idx="109">
                  <c:v>難波宮 (Osaka, Japan)</c:v>
                </c:pt>
                <c:pt idx="110">
                  <c:v>lexikon</c:v>
                </c:pt>
                <c:pt idx="111">
                  <c:v>新羅 (Kingdom); Antiquities</c:v>
                </c:pt>
                <c:pt idx="112">
                  <c:v>Manga</c:v>
                </c:pt>
                <c:pt idx="113">
                  <c:v>茶道-辞典</c:v>
                </c:pt>
                <c:pt idx="114">
                  <c:v>Meiji period</c:v>
                </c:pt>
                <c:pt idx="115">
                  <c:v>Chadō-Jiten</c:v>
                </c:pt>
                <c:pt idx="116">
                  <c:v>Adaptations</c:v>
                </c:pt>
                <c:pt idx="117">
                  <c:v>ウズベキスタン人 (日本在留)</c:v>
                </c:pt>
                <c:pt idx="118">
                  <c:v>Bungaku chiri-Chūgoku</c:v>
                </c:pt>
                <c:pt idx="119">
                  <c:v>朝鮮-歴史-新羅時代</c:v>
                </c:pt>
                <c:pt idx="120">
                  <c:v>Chūgoku</c:v>
                </c:pt>
                <c:pt idx="121">
                  <c:v>Uzubekisutanjin (Nihon zairyu)</c:v>
                </c:pt>
                <c:pt idx="122">
                  <c:v>Cursive writing</c:v>
                </c:pt>
                <c:pt idx="123">
                  <c:v>Samurai</c:v>
                </c:pt>
                <c:pt idx="124">
                  <c:v>Exhibition, pictorial works</c:v>
                </c:pt>
                <c:pt idx="125">
                  <c:v>Chōsen-Rekishi-Shiragi jidai</c:v>
                </c:pt>
                <c:pt idx="126">
                  <c:v>Guerre dans l'art</c:v>
                </c:pt>
                <c:pt idx="127">
                  <c:v>Commerce</c:v>
                </c:pt>
                <c:pt idx="128">
                  <c:v>Imprimés chinois</c:v>
                </c:pt>
                <c:pt idx="129">
                  <c:v>Civil society</c:v>
                </c:pt>
                <c:pt idx="130">
                  <c:v>Klassisches Japanisch</c:v>
                </c:pt>
                <c:pt idx="131">
                  <c:v>Wakayama-ken (Japan)</c:v>
                </c:pt>
                <c:pt idx="132">
                  <c:v>Livres anciens</c:v>
                </c:pt>
                <c:pt idx="133">
                  <c:v>International relations</c:v>
                </c:pt>
                <c:pt idx="134">
                  <c:v>1939-1945</c:v>
                </c:pt>
                <c:pt idx="135">
                  <c:v>Posutā-Rekishi</c:v>
                </c:pt>
                <c:pt idx="136">
                  <c:v>Chinese influences</c:v>
                </c:pt>
                <c:pt idx="137">
                  <c:v>Catalog</c:v>
                </c:pt>
                <c:pt idx="138">
                  <c:v>edo</c:v>
                </c:pt>
                <c:pt idx="139">
                  <c:v>catalogs (documents)</c:v>
                </c:pt>
                <c:pt idx="140">
                  <c:v>Hayashi, Fumiko, 1904-1951</c:v>
                </c:pt>
                <c:pt idx="141">
                  <c:v>Kimonos in literature</c:v>
                </c:pt>
                <c:pt idx="142">
                  <c:v>Koyomi</c:v>
                </c:pt>
                <c:pt idx="143">
                  <c:v>Kimonos in motion pictures</c:v>
                </c:pt>
                <c:pt idx="144">
                  <c:v>Art and the war</c:v>
                </c:pt>
                <c:pt idx="145">
                  <c:v>East Asia</c:v>
                </c:pt>
                <c:pt idx="146">
                  <c:v>Geschichte</c:v>
                </c:pt>
                <c:pt idx="147">
                  <c:v>Professeures (Enseignement supérieur)</c:v>
                </c:pt>
                <c:pt idx="148">
                  <c:v>Maruki, Iri, 1901-1995. Genbaku no zu</c:v>
                </c:pt>
                <c:pt idx="149">
                  <c:v>Social conditions</c:v>
                </c:pt>
                <c:pt idx="150">
                  <c:v>Kangakusha</c:v>
                </c:pt>
                <c:pt idx="151">
                  <c:v>LITERARY CRITICISM / Asian / Japanese</c:v>
                </c:pt>
                <c:pt idx="152">
                  <c:v>Cinéma</c:v>
                </c:pt>
                <c:pt idx="153">
                  <c:v>United States</c:v>
                </c:pt>
                <c:pt idx="154">
                  <c:v>Mori, Ōgai, 1862-1922</c:v>
                </c:pt>
                <c:pt idx="155">
                  <c:v>20th century</c:v>
                </c:pt>
                <c:pt idx="156">
                  <c:v>Tosho kaidai</c:v>
                </c:pt>
                <c:pt idx="157">
                  <c:v>Civil service</c:v>
                </c:pt>
                <c:pt idx="158">
                  <c:v>Manners and customs</c:v>
                </c:pt>
                <c:pt idx="159">
                  <c:v>Illustrated works</c:v>
                </c:pt>
                <c:pt idx="160">
                  <c:v>Manuscripts, Japanese</c:v>
                </c:pt>
                <c:pt idx="161">
                  <c:v>Translations</c:v>
                </c:pt>
                <c:pt idx="162">
                  <c:v>Early printed books</c:v>
                </c:pt>
                <c:pt idx="163">
                  <c:v>Book industries and trade</c:v>
                </c:pt>
                <c:pt idx="164">
                  <c:v>Atomic bomb in art</c:v>
                </c:pt>
                <c:pt idx="165">
                  <c:v>In art</c:v>
                </c:pt>
                <c:pt idx="166">
                  <c:v>Medicine, Chinese Traditional</c:v>
                </c:pt>
                <c:pt idx="167">
                  <c:v>Tropical fish</c:v>
                </c:pt>
                <c:pt idx="168">
                  <c:v>Meiji period, 1868-1912</c:v>
                </c:pt>
                <c:pt idx="169">
                  <c:v>Industrial relations</c:v>
                </c:pt>
                <c:pt idx="170">
                  <c:v>Methodology</c:v>
                </c:pt>
                <c:pt idx="171">
                  <c:v>War in art</c:v>
                </c:pt>
                <c:pt idx="172">
                  <c:v>Murder</c:v>
                </c:pt>
                <c:pt idx="173">
                  <c:v>World War, 1939-1945</c:v>
                </c:pt>
                <c:pt idx="174">
                  <c:v>Nagai, Kafū, 1879-1959</c:v>
                </c:pt>
                <c:pt idx="175">
                  <c:v>Zen Buddhism</c:v>
                </c:pt>
                <c:pt idx="176">
                  <c:v>Nakahara, Chūya</c:v>
                </c:pt>
                <c:pt idx="177">
                  <c:v>Zen priests</c:v>
                </c:pt>
                <c:pt idx="178">
                  <c:v>Nihon shisō-Rekishi-Benran</c:v>
                </c:pt>
                <c:pt idx="179">
                  <c:v>Collective memory</c:v>
                </c:pt>
                <c:pt idx="180">
                  <c:v>Factories</c:v>
                </c:pt>
                <c:pt idx="181">
                  <c:v>Intellectual life</c:v>
                </c:pt>
                <c:pt idx="182">
                  <c:v>Ōbaku (Sect)</c:v>
                </c:pt>
                <c:pt idx="183">
                  <c:v>Ishikawa, Jun, 1899-1987</c:v>
                </c:pt>
                <c:pt idx="184">
                  <c:v>People with disabilities</c:v>
                </c:pt>
                <c:pt idx="185">
                  <c:v>Japanese drama</c:v>
                </c:pt>
                <c:pt idx="186">
                  <c:v>Philosophy, Japanese</c:v>
                </c:pt>
                <c:pt idx="187">
                  <c:v>Japanese drama (Comedy)</c:v>
                </c:pt>
                <c:pt idx="188">
                  <c:v>Film criticism</c:v>
                </c:pt>
                <c:pt idx="189">
                  <c:v>Inscriptions, Korean</c:v>
                </c:pt>
                <c:pt idx="190">
                  <c:v>Rare books</c:v>
                </c:pt>
                <c:pt idx="191">
                  <c:v>Writing</c:v>
                </c:pt>
                <c:pt idx="192">
                  <c:v>Shoshi</c:v>
                </c:pt>
                <c:pt idx="193">
                  <c:v>City planning</c:v>
                </c:pt>
                <c:pt idx="194">
                  <c:v>Chūgokugo-Bunpō</c:v>
                </c:pt>
                <c:pt idx="195">
                  <c:v>Written communication</c:v>
                </c:pt>
                <c:pt idx="196">
                  <c:v>Sound recording industry</c:v>
                </c:pt>
                <c:pt idx="197">
                  <c:v>Japanese poetry</c:v>
                </c:pt>
                <c:pt idx="198">
                  <c:v>Terayama, Shūji, 1936-1983</c:v>
                </c:pt>
                <c:pt idx="199">
                  <c:v>Japanologists</c:v>
                </c:pt>
                <c:pt idx="200">
                  <c:v>Drama</c:v>
                </c:pt>
                <c:pt idx="201">
                  <c:v>Naniwa Kyū (Osaka, Japan)</c:v>
                </c:pt>
                <c:pt idx="202">
                  <c:v>Dramatists, Japanese</c:v>
                </c:pt>
                <c:pt idx="203">
                  <c:v>To 1500</c:v>
                </c:pt>
                <c:pt idx="204">
                  <c:v>Maruki, Toshi, 1912-2000</c:v>
                </c:pt>
                <c:pt idx="205">
                  <c:v>Buddhist priests</c:v>
                </c:pt>
                <c:pt idx="206">
                  <c:v>Authors, Japanese</c:v>
                </c:pt>
                <c:pt idx="207">
                  <c:v>日本語-類語-辞典</c:v>
                </c:pt>
                <c:pt idx="208">
                  <c:v>Mothers and sons</c:v>
                </c:pt>
                <c:pt idx="209">
                  <c:v>Nihongo-Ruigo-Jiten</c:v>
                </c:pt>
                <c:pt idx="210">
                  <c:v>Actors</c:v>
                </c:pt>
                <c:pt idx="211">
                  <c:v>Antiquarian booksellers</c:v>
                </c:pt>
                <c:pt idx="212">
                  <c:v>Nihongo-Bunpō</c:v>
                </c:pt>
                <c:pt idx="213">
                  <c:v>Political science</c:v>
                </c:pt>
                <c:pt idx="214">
                  <c:v>Ocean travel</c:v>
                </c:pt>
                <c:pt idx="215">
                  <c:v>Buddhists</c:v>
                </c:pt>
                <c:pt idx="216">
                  <c:v>Podcasts</c:v>
                </c:pt>
                <c:pt idx="217">
                  <c:v>Keisho</c:v>
                </c:pt>
                <c:pt idx="218">
                  <c:v>Satirical literature</c:v>
                </c:pt>
                <c:pt idx="219">
                  <c:v>Democracy</c:v>
                </c:pt>
                <c:pt idx="220">
                  <c:v>Sinologists</c:v>
                </c:pt>
                <c:pt idx="221">
                  <c:v>Kawai, Koume, 1804-1889</c:v>
                </c:pt>
                <c:pt idx="222">
                  <c:v>Diplomatics, Japanese</c:v>
                </c:pt>
                <c:pt idx="223">
                  <c:v>Kōda, Rohan, 1867-1947</c:v>
                </c:pt>
                <c:pt idx="224">
                  <c:v>Maruki, Iri, 1901-1995</c:v>
                </c:pt>
                <c:pt idx="225">
                  <c:v>Diplomatic relations</c:v>
                </c:pt>
                <c:pt idx="226">
                  <c:v>Edojidai</c:v>
                </c:pt>
                <c:pt idx="227">
                  <c:v>Femmes botanistes</c:v>
                </c:pt>
                <c:pt idx="228">
                  <c:v>Chinese imprints</c:v>
                </c:pt>
                <c:pt idx="229">
                  <c:v>Bukkyō</c:v>
                </c:pt>
                <c:pt idx="230">
                  <c:v>Philologists</c:v>
                </c:pt>
                <c:pt idx="231">
                  <c:v>Korea (South)</c:v>
                </c:pt>
                <c:pt idx="232">
                  <c:v>Chūgokugaku</c:v>
                </c:pt>
                <c:pt idx="233">
                  <c:v>Department stores</c:v>
                </c:pt>
                <c:pt idx="234">
                  <c:v>Lexicography</c:v>
                </c:pt>
                <c:pt idx="235">
                  <c:v>Detective and mystery fiction</c:v>
                </c:pt>
                <c:pt idx="236">
                  <c:v>Music and transnationalism</c:v>
                </c:pt>
                <c:pt idx="237">
                  <c:v>Libraries</c:v>
                </c:pt>
                <c:pt idx="238">
                  <c:v>Publishers and publishing</c:v>
                </c:pt>
                <c:pt idx="239">
                  <c:v>Kundoku</c:v>
                </c:pt>
                <c:pt idx="240">
                  <c:v>Materia medica</c:v>
                </c:pt>
                <c:pt idx="241">
                  <c:v>Women college teachers</c:v>
                </c:pt>
                <c:pt idx="242">
                  <c:v>Takizawa, Bakin, 1767-1848</c:v>
                </c:pt>
                <c:pt idx="243">
                  <c:v>Labor</c:v>
                </c:pt>
                <c:pt idx="244">
                  <c:v>Families</c:v>
                </c:pt>
                <c:pt idx="245">
                  <c:v>Languages, Artificial</c:v>
                </c:pt>
                <c:pt idx="246">
                  <c:v>Tokugawa period, 1600-1868</c:v>
                </c:pt>
                <c:pt idx="247">
                  <c:v>Medicine, Chinese</c:v>
                </c:pt>
                <c:pt idx="248">
                  <c:v>2000-2099</c:v>
                </c:pt>
                <c:pt idx="249">
                  <c:v>Shoshigaku</c:v>
                </c:pt>
                <c:pt idx="250">
                  <c:v>Commercial art</c:v>
                </c:pt>
                <c:pt idx="251">
                  <c:v>Kanbun</c:v>
                </c:pt>
                <c:pt idx="252">
                  <c:v>Bombardment, 1945</c:v>
                </c:pt>
                <c:pt idx="253">
                  <c:v>百濟 (Kingdom); History</c:v>
                </c:pt>
                <c:pt idx="254">
                  <c:v>Kokugaku</c:v>
                </c:pt>
                <c:pt idx="255">
                  <c:v>Paekche (Kingdom)</c:v>
                </c:pt>
                <c:pt idx="256">
                  <c:v>Japon</c:v>
                </c:pt>
                <c:pt idx="257">
                  <c:v>Bibliographie</c:v>
                </c:pt>
                <c:pt idx="258">
                  <c:v>Bio-bibliography</c:v>
                </c:pt>
                <c:pt idx="259">
                  <c:v>Relations entre hommes et femmes</c:v>
                </c:pt>
                <c:pt idx="260">
                  <c:v>To 1868</c:v>
                </c:pt>
                <c:pt idx="261">
                  <c:v>Readers (Publications)</c:v>
                </c:pt>
                <c:pt idx="262">
                  <c:v>Tokugawa family</c:v>
                </c:pt>
                <c:pt idx="263">
                  <c:v>Bibliographies</c:v>
                </c:pt>
                <c:pt idx="264">
                  <c:v>Hiroshima-shi</c:v>
                </c:pt>
                <c:pt idx="265">
                  <c:v>Posters</c:v>
                </c:pt>
                <c:pt idx="266">
                  <c:v>Popular music</c:v>
                </c:pt>
                <c:pt idx="267">
                  <c:v>Social life and customs</c:v>
                </c:pt>
                <c:pt idx="268">
                  <c:v>Domestic fiction</c:v>
                </c:pt>
                <c:pt idx="269">
                  <c:v>Chinese literature</c:v>
                </c:pt>
                <c:pt idx="270">
                  <c:v>Theater</c:v>
                </c:pt>
                <c:pt idx="271">
                  <c:v>Short stories, Japanese</c:v>
                </c:pt>
                <c:pt idx="272">
                  <c:v>Handbooks, manuals, etc</c:v>
                </c:pt>
                <c:pt idx="273">
                  <c:v>說話文学-索引</c:v>
                </c:pt>
                <c:pt idx="274">
                  <c:v>Paleography, Japanese</c:v>
                </c:pt>
                <c:pt idx="275">
                  <c:v>indexes (reference sources)</c:v>
                </c:pt>
                <c:pt idx="276">
                  <c:v>Theatrical producers and directors</c:v>
                </c:pt>
                <c:pt idx="277">
                  <c:v>Hallucinations and illusions</c:v>
                </c:pt>
                <c:pt idx="278">
                  <c:v>Man-woman relationships</c:v>
                </c:pt>
                <c:pt idx="279">
                  <c:v>Pictorial works</c:v>
                </c:pt>
                <c:pt idx="280">
                  <c:v>Women botanists</c:v>
                </c:pt>
                <c:pt idx="281">
                  <c:v>Education</c:v>
                </c:pt>
                <c:pt idx="282">
                  <c:v>Hiroshima-shi (Japan)</c:v>
                </c:pt>
                <c:pt idx="283">
                  <c:v>中国思想; 書目.; シナ学; 書目</c:v>
                </c:pt>
                <c:pt idx="284">
                  <c:v>Interpersonal relations</c:v>
                </c:pt>
                <c:pt idx="285">
                  <c:v>Japanese language materials</c:v>
                </c:pt>
                <c:pt idx="286">
                  <c:v>Daimyō</c:v>
                </c:pt>
                <c:pt idx="287">
                  <c:v>Buddhism</c:v>
                </c:pt>
                <c:pt idx="288">
                  <c:v>Romance fiction</c:v>
                </c:pt>
                <c:pt idx="289">
                  <c:v>Setsuwa bungaku-Sakuin</c:v>
                </c:pt>
                <c:pt idx="290">
                  <c:v>Romans, nouvelles, etc</c:v>
                </c:pt>
                <c:pt idx="291">
                  <c:v>Silla (Kingdom)</c:v>
                </c:pt>
                <c:pt idx="292">
                  <c:v>Women</c:v>
                </c:pt>
                <c:pt idx="293">
                  <c:v>Philosophers</c:v>
                </c:pt>
                <c:pt idx="294">
                  <c:v>Painting, Japanese</c:v>
                </c:pt>
                <c:pt idx="295">
                  <c:v>Catalogs</c:v>
                </c:pt>
                <c:pt idx="296">
                  <c:v>Interviews</c:v>
                </c:pt>
                <c:pt idx="297">
                  <c:v>Prostitution</c:v>
                </c:pt>
                <c:pt idx="298">
                  <c:v>Exhibitions</c:v>
                </c:pt>
                <c:pt idx="299">
                  <c:v>Study and teaching</c:v>
                </c:pt>
                <c:pt idx="300">
                  <c:v>Encyclopedias</c:v>
                </c:pt>
                <c:pt idx="301">
                  <c:v>History and criticism</c:v>
                </c:pt>
                <c:pt idx="302">
                  <c:v>Criticism, interpretation, etc</c:v>
                </c:pt>
                <c:pt idx="303">
                  <c:v>To 935</c:v>
                </c:pt>
                <c:pt idx="304">
                  <c:v>Japanese literature</c:v>
                </c:pt>
                <c:pt idx="305">
                  <c:v>Criticism and interpretation</c:v>
                </c:pt>
                <c:pt idx="306">
                  <c:v>Motion pictures</c:v>
                </c:pt>
                <c:pt idx="307">
                  <c:v>Asia</c:v>
                </c:pt>
                <c:pt idx="308">
                  <c:v>Rekishi</c:v>
                </c:pt>
                <c:pt idx="309">
                  <c:v>1900-1999</c:v>
                </c:pt>
                <c:pt idx="310">
                  <c:v>Psychological fiction</c:v>
                </c:pt>
                <c:pt idx="311">
                  <c:v>Short stories</c:v>
                </c:pt>
                <c:pt idx="312">
                  <c:v>Tokugawa period, Japan, 1600-1868</c:v>
                </c:pt>
                <c:pt idx="313">
                  <c:v>Folk literature, Japanese</c:v>
                </c:pt>
                <c:pt idx="314">
                  <c:v>Legends</c:v>
                </c:pt>
                <c:pt idx="315">
                  <c:v>Daimyo</c:v>
                </c:pt>
                <c:pt idx="316">
                  <c:v>Index</c:v>
                </c:pt>
                <c:pt idx="317">
                  <c:v>Tales</c:v>
                </c:pt>
                <c:pt idx="318">
                  <c:v>Jisho</c:v>
                </c:pt>
                <c:pt idx="319">
                  <c:v>Japanese fiction</c:v>
                </c:pt>
                <c:pt idx="320">
                  <c:v>Bibliography</c:v>
                </c:pt>
                <c:pt idx="321">
                  <c:v>Handbooks and manuals</c:v>
                </c:pt>
                <c:pt idx="322">
                  <c:v>Civilization</c:v>
                </c:pt>
                <c:pt idx="323">
                  <c:v>Indexes</c:v>
                </c:pt>
                <c:pt idx="324">
                  <c:v>Courts and courtiers</c:v>
                </c:pt>
                <c:pt idx="325">
                  <c:v>Nihon</c:v>
                </c:pt>
                <c:pt idx="326">
                  <c:v>Politics and government</c:v>
                </c:pt>
                <c:pt idx="327">
                  <c:v>Japanese language</c:v>
                </c:pt>
                <c:pt idx="328">
                  <c:v>Sources</c:v>
                </c:pt>
                <c:pt idx="329">
                  <c:v>Fiction</c:v>
                </c:pt>
                <c:pt idx="330">
                  <c:v>Korea</c:v>
                </c:pt>
                <c:pt idx="331">
                  <c:v>Biographies</c:v>
                </c:pt>
                <c:pt idx="332">
                  <c:v>Japanese</c:v>
                </c:pt>
                <c:pt idx="333">
                  <c:v>China</c:v>
                </c:pt>
                <c:pt idx="334">
                  <c:v>Biography</c:v>
                </c:pt>
                <c:pt idx="335">
                  <c:v>Royal households</c:v>
                </c:pt>
                <c:pt idx="336">
                  <c:v>1600-1868</c:v>
                </c:pt>
                <c:pt idx="337">
                  <c:v>Registers (Lists)</c:v>
                </c:pt>
                <c:pt idx="338">
                  <c:v>1600-1899</c:v>
                </c:pt>
                <c:pt idx="339">
                  <c:v>Emperors</c:v>
                </c:pt>
                <c:pt idx="340">
                  <c:v>Chinese language</c:v>
                </c:pt>
                <c:pt idx="341">
                  <c:v>Fiefs</c:v>
                </c:pt>
                <c:pt idx="342">
                  <c:v>Dictionaries</c:v>
                </c:pt>
                <c:pt idx="343">
                  <c:v>History</c:v>
                </c:pt>
                <c:pt idx="344">
                  <c:v>Nobility</c:v>
                </c:pt>
                <c:pt idx="345">
                  <c:v>Japan</c:v>
                </c:pt>
              </c:strCache>
            </c:strRef>
          </c:cat>
          <c:val>
            <c:numRef>
              <c:f>'s-Subjects'!$P$5:$P$350</c:f>
              <c:numCache>
                <c:formatCode>General</c:formatCode>
                <c:ptCount val="34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pt idx="173">
                  <c:v>2</c:v>
                </c:pt>
                <c:pt idx="174">
                  <c:v>2</c:v>
                </c:pt>
                <c:pt idx="175">
                  <c:v>2</c:v>
                </c:pt>
                <c:pt idx="176">
                  <c:v>2</c:v>
                </c:pt>
                <c:pt idx="177">
                  <c:v>2</c:v>
                </c:pt>
                <c:pt idx="178">
                  <c:v>2</c:v>
                </c:pt>
                <c:pt idx="179">
                  <c:v>2</c:v>
                </c:pt>
                <c:pt idx="180">
                  <c:v>2</c:v>
                </c:pt>
                <c:pt idx="181">
                  <c:v>2</c:v>
                </c:pt>
                <c:pt idx="182">
                  <c:v>2</c:v>
                </c:pt>
                <c:pt idx="183">
                  <c:v>2</c:v>
                </c:pt>
                <c:pt idx="184">
                  <c:v>2</c:v>
                </c:pt>
                <c:pt idx="185">
                  <c:v>2</c:v>
                </c:pt>
                <c:pt idx="186">
                  <c:v>2</c:v>
                </c:pt>
                <c:pt idx="187">
                  <c:v>2</c:v>
                </c:pt>
                <c:pt idx="188">
                  <c:v>2</c:v>
                </c:pt>
                <c:pt idx="189">
                  <c:v>2</c:v>
                </c:pt>
                <c:pt idx="190">
                  <c:v>2</c:v>
                </c:pt>
                <c:pt idx="191">
                  <c:v>2</c:v>
                </c:pt>
                <c:pt idx="192">
                  <c:v>2</c:v>
                </c:pt>
                <c:pt idx="193">
                  <c:v>2</c:v>
                </c:pt>
                <c:pt idx="194">
                  <c:v>2</c:v>
                </c:pt>
                <c:pt idx="195">
                  <c:v>2</c:v>
                </c:pt>
                <c:pt idx="196">
                  <c:v>2</c:v>
                </c:pt>
                <c:pt idx="197">
                  <c:v>2</c:v>
                </c:pt>
                <c:pt idx="198">
                  <c:v>2</c:v>
                </c:pt>
                <c:pt idx="199">
                  <c:v>2</c:v>
                </c:pt>
                <c:pt idx="200">
                  <c:v>2</c:v>
                </c:pt>
                <c:pt idx="201">
                  <c:v>2</c:v>
                </c:pt>
                <c:pt idx="202">
                  <c:v>2</c:v>
                </c:pt>
                <c:pt idx="203">
                  <c:v>2</c:v>
                </c:pt>
                <c:pt idx="204">
                  <c:v>2</c:v>
                </c:pt>
                <c:pt idx="205">
                  <c:v>2</c:v>
                </c:pt>
                <c:pt idx="206">
                  <c:v>2</c:v>
                </c:pt>
                <c:pt idx="207">
                  <c:v>2</c:v>
                </c:pt>
                <c:pt idx="208">
                  <c:v>2</c:v>
                </c:pt>
                <c:pt idx="209">
                  <c:v>2</c:v>
                </c:pt>
                <c:pt idx="210">
                  <c:v>2</c:v>
                </c:pt>
                <c:pt idx="211">
                  <c:v>2</c:v>
                </c:pt>
                <c:pt idx="212">
                  <c:v>2</c:v>
                </c:pt>
                <c:pt idx="213">
                  <c:v>2</c:v>
                </c:pt>
                <c:pt idx="214">
                  <c:v>2</c:v>
                </c:pt>
                <c:pt idx="215">
                  <c:v>2</c:v>
                </c:pt>
                <c:pt idx="216">
                  <c:v>2</c:v>
                </c:pt>
                <c:pt idx="217">
                  <c:v>2</c:v>
                </c:pt>
                <c:pt idx="218">
                  <c:v>2</c:v>
                </c:pt>
                <c:pt idx="219">
                  <c:v>2</c:v>
                </c:pt>
                <c:pt idx="220">
                  <c:v>2</c:v>
                </c:pt>
                <c:pt idx="221">
                  <c:v>2</c:v>
                </c:pt>
                <c:pt idx="222">
                  <c:v>2</c:v>
                </c:pt>
                <c:pt idx="223">
                  <c:v>2</c:v>
                </c:pt>
                <c:pt idx="224">
                  <c:v>2</c:v>
                </c:pt>
                <c:pt idx="225">
                  <c:v>2</c:v>
                </c:pt>
                <c:pt idx="226">
                  <c:v>2</c:v>
                </c:pt>
                <c:pt idx="227">
                  <c:v>2</c:v>
                </c:pt>
                <c:pt idx="228">
                  <c:v>2</c:v>
                </c:pt>
                <c:pt idx="229">
                  <c:v>2</c:v>
                </c:pt>
                <c:pt idx="230">
                  <c:v>2</c:v>
                </c:pt>
                <c:pt idx="231">
                  <c:v>2</c:v>
                </c:pt>
                <c:pt idx="232">
                  <c:v>2</c:v>
                </c:pt>
                <c:pt idx="233">
                  <c:v>2</c:v>
                </c:pt>
                <c:pt idx="234">
                  <c:v>2</c:v>
                </c:pt>
                <c:pt idx="235">
                  <c:v>2</c:v>
                </c:pt>
                <c:pt idx="236">
                  <c:v>2</c:v>
                </c:pt>
                <c:pt idx="237">
                  <c:v>2</c:v>
                </c:pt>
                <c:pt idx="238">
                  <c:v>2</c:v>
                </c:pt>
                <c:pt idx="239">
                  <c:v>2</c:v>
                </c:pt>
                <c:pt idx="240">
                  <c:v>2</c:v>
                </c:pt>
                <c:pt idx="241">
                  <c:v>2</c:v>
                </c:pt>
                <c:pt idx="242">
                  <c:v>2</c:v>
                </c:pt>
                <c:pt idx="243">
                  <c:v>2</c:v>
                </c:pt>
                <c:pt idx="244">
                  <c:v>2</c:v>
                </c:pt>
                <c:pt idx="245">
                  <c:v>2</c:v>
                </c:pt>
                <c:pt idx="246">
                  <c:v>3</c:v>
                </c:pt>
                <c:pt idx="247">
                  <c:v>3</c:v>
                </c:pt>
                <c:pt idx="248">
                  <c:v>3</c:v>
                </c:pt>
                <c:pt idx="249">
                  <c:v>3</c:v>
                </c:pt>
                <c:pt idx="250">
                  <c:v>3</c:v>
                </c:pt>
                <c:pt idx="251">
                  <c:v>3</c:v>
                </c:pt>
                <c:pt idx="252">
                  <c:v>3</c:v>
                </c:pt>
                <c:pt idx="253">
                  <c:v>3</c:v>
                </c:pt>
                <c:pt idx="254">
                  <c:v>3</c:v>
                </c:pt>
                <c:pt idx="255">
                  <c:v>3</c:v>
                </c:pt>
                <c:pt idx="256">
                  <c:v>3</c:v>
                </c:pt>
                <c:pt idx="257">
                  <c:v>3</c:v>
                </c:pt>
                <c:pt idx="258">
                  <c:v>3</c:v>
                </c:pt>
                <c:pt idx="259">
                  <c:v>3</c:v>
                </c:pt>
                <c:pt idx="260">
                  <c:v>3</c:v>
                </c:pt>
                <c:pt idx="261">
                  <c:v>3</c:v>
                </c:pt>
                <c:pt idx="262">
                  <c:v>3</c:v>
                </c:pt>
                <c:pt idx="263">
                  <c:v>3</c:v>
                </c:pt>
                <c:pt idx="264">
                  <c:v>3</c:v>
                </c:pt>
                <c:pt idx="265">
                  <c:v>3</c:v>
                </c:pt>
                <c:pt idx="266">
                  <c:v>3</c:v>
                </c:pt>
                <c:pt idx="267">
                  <c:v>3</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4</c:v>
                </c:pt>
                <c:pt idx="289">
                  <c:v>4</c:v>
                </c:pt>
                <c:pt idx="290">
                  <c:v>4</c:v>
                </c:pt>
                <c:pt idx="291">
                  <c:v>4</c:v>
                </c:pt>
                <c:pt idx="292">
                  <c:v>4</c:v>
                </c:pt>
                <c:pt idx="293">
                  <c:v>4</c:v>
                </c:pt>
                <c:pt idx="294">
                  <c:v>4</c:v>
                </c:pt>
                <c:pt idx="295">
                  <c:v>5</c:v>
                </c:pt>
                <c:pt idx="296">
                  <c:v>5</c:v>
                </c:pt>
                <c:pt idx="297">
                  <c:v>5</c:v>
                </c:pt>
                <c:pt idx="298">
                  <c:v>5</c:v>
                </c:pt>
                <c:pt idx="299">
                  <c:v>5</c:v>
                </c:pt>
                <c:pt idx="300">
                  <c:v>5</c:v>
                </c:pt>
                <c:pt idx="301">
                  <c:v>6</c:v>
                </c:pt>
                <c:pt idx="302">
                  <c:v>6</c:v>
                </c:pt>
                <c:pt idx="303">
                  <c:v>6</c:v>
                </c:pt>
                <c:pt idx="304">
                  <c:v>6</c:v>
                </c:pt>
                <c:pt idx="305">
                  <c:v>6</c:v>
                </c:pt>
                <c:pt idx="306">
                  <c:v>6</c:v>
                </c:pt>
                <c:pt idx="307">
                  <c:v>6</c:v>
                </c:pt>
                <c:pt idx="308">
                  <c:v>7</c:v>
                </c:pt>
                <c:pt idx="309">
                  <c:v>7</c:v>
                </c:pt>
                <c:pt idx="310">
                  <c:v>7</c:v>
                </c:pt>
                <c:pt idx="311">
                  <c:v>7</c:v>
                </c:pt>
                <c:pt idx="312">
                  <c:v>8</c:v>
                </c:pt>
                <c:pt idx="313">
                  <c:v>8</c:v>
                </c:pt>
                <c:pt idx="314">
                  <c:v>8</c:v>
                </c:pt>
                <c:pt idx="315">
                  <c:v>8</c:v>
                </c:pt>
                <c:pt idx="316">
                  <c:v>8</c:v>
                </c:pt>
                <c:pt idx="317">
                  <c:v>8</c:v>
                </c:pt>
                <c:pt idx="318">
                  <c:v>8</c:v>
                </c:pt>
                <c:pt idx="319">
                  <c:v>9</c:v>
                </c:pt>
                <c:pt idx="320">
                  <c:v>10</c:v>
                </c:pt>
                <c:pt idx="321">
                  <c:v>10</c:v>
                </c:pt>
                <c:pt idx="322">
                  <c:v>11</c:v>
                </c:pt>
                <c:pt idx="323">
                  <c:v>12</c:v>
                </c:pt>
                <c:pt idx="324">
                  <c:v>13</c:v>
                </c:pt>
                <c:pt idx="325">
                  <c:v>14</c:v>
                </c:pt>
                <c:pt idx="326">
                  <c:v>14</c:v>
                </c:pt>
                <c:pt idx="327">
                  <c:v>16</c:v>
                </c:pt>
                <c:pt idx="328">
                  <c:v>16</c:v>
                </c:pt>
                <c:pt idx="329">
                  <c:v>16</c:v>
                </c:pt>
                <c:pt idx="330">
                  <c:v>17</c:v>
                </c:pt>
                <c:pt idx="331">
                  <c:v>21</c:v>
                </c:pt>
                <c:pt idx="332">
                  <c:v>23</c:v>
                </c:pt>
                <c:pt idx="333">
                  <c:v>23</c:v>
                </c:pt>
                <c:pt idx="334">
                  <c:v>24</c:v>
                </c:pt>
                <c:pt idx="335">
                  <c:v>26</c:v>
                </c:pt>
                <c:pt idx="336">
                  <c:v>26</c:v>
                </c:pt>
                <c:pt idx="337">
                  <c:v>26</c:v>
                </c:pt>
                <c:pt idx="338">
                  <c:v>26</c:v>
                </c:pt>
                <c:pt idx="339">
                  <c:v>26</c:v>
                </c:pt>
                <c:pt idx="340">
                  <c:v>30</c:v>
                </c:pt>
                <c:pt idx="341">
                  <c:v>30</c:v>
                </c:pt>
                <c:pt idx="342">
                  <c:v>55</c:v>
                </c:pt>
                <c:pt idx="343">
                  <c:v>96</c:v>
                </c:pt>
                <c:pt idx="344">
                  <c:v>104</c:v>
                </c:pt>
                <c:pt idx="345">
                  <c:v>167</c:v>
                </c:pt>
              </c:numCache>
            </c:numRef>
          </c:val>
          <c:extLst>
            <c:ext xmlns:c16="http://schemas.microsoft.com/office/drawing/2014/chart" uri="{C3380CC4-5D6E-409C-BE32-E72D297353CC}">
              <c16:uniqueId val="{00000000-5B08-4C8E-870F-A4FCDF10D4AE}"/>
            </c:ext>
          </c:extLst>
        </c:ser>
        <c:dLbls>
          <c:showLegendKey val="0"/>
          <c:showVal val="0"/>
          <c:showCatName val="0"/>
          <c:showSerName val="0"/>
          <c:showPercent val="0"/>
          <c:showBubbleSize val="0"/>
        </c:dLbls>
        <c:gapWidth val="182"/>
        <c:axId val="1586467968"/>
        <c:axId val="1586455968"/>
      </c:barChart>
      <c:catAx>
        <c:axId val="1586467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455968"/>
        <c:crosses val="autoZero"/>
        <c:auto val="1"/>
        <c:lblAlgn val="ctr"/>
        <c:lblOffset val="100"/>
        <c:noMultiLvlLbl val="0"/>
      </c:catAx>
      <c:valAx>
        <c:axId val="15864559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46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485775</xdr:colOff>
          <xdr:row>0</xdr:row>
          <xdr:rowOff>133350</xdr:rowOff>
        </xdr:from>
        <xdr:to>
          <xdr:col>34</xdr:col>
          <xdr:colOff>723900</xdr:colOff>
          <xdr:row>1</xdr:row>
          <xdr:rowOff>123825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0</xdr:rowOff>
    </xdr:from>
    <xdr:to>
      <xdr:col>11</xdr:col>
      <xdr:colOff>0</xdr:colOff>
      <xdr:row>23</xdr:row>
      <xdr:rowOff>0</xdr:rowOff>
    </xdr:to>
    <xdr:graphicFrame macro="">
      <xdr:nvGraphicFramePr>
        <xdr:cNvPr id="4" name="Chart_Collection">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0</xdr:colOff>
      <xdr:row>2</xdr:row>
      <xdr:rowOff>190499</xdr:rowOff>
    </xdr:from>
    <xdr:to>
      <xdr:col>29</xdr:col>
      <xdr:colOff>606552</xdr:colOff>
      <xdr:row>31</xdr:row>
      <xdr:rowOff>21093</xdr:rowOff>
    </xdr:to>
    <xdr:graphicFrame macro="">
      <xdr:nvGraphicFramePr>
        <xdr:cNvPr id="3" name="Chart_Series_Title_N">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0</xdr:colOff>
          <xdr:row>0</xdr:row>
          <xdr:rowOff>200025</xdr:rowOff>
        </xdr:from>
        <xdr:to>
          <xdr:col>7</xdr:col>
          <xdr:colOff>304800</xdr:colOff>
          <xdr:row>2</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6</xdr:col>
      <xdr:colOff>0</xdr:colOff>
      <xdr:row>2</xdr:row>
      <xdr:rowOff>190495</xdr:rowOff>
    </xdr:from>
    <xdr:to>
      <xdr:col>14</xdr:col>
      <xdr:colOff>0</xdr:colOff>
      <xdr:row>31</xdr:row>
      <xdr:rowOff>188446</xdr:rowOff>
    </xdr:to>
    <xdr:graphicFrame macro="">
      <xdr:nvGraphicFramePr>
        <xdr:cNvPr id="5" name="Chart_Series_Title_RE">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457200</xdr:colOff>
          <xdr:row>4</xdr:row>
          <xdr:rowOff>0</xdr:rowOff>
        </xdr:from>
        <xdr:to>
          <xdr:col>5</xdr:col>
          <xdr:colOff>1371600</xdr:colOff>
          <xdr:row>5</xdr:row>
          <xdr:rowOff>47625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2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6</xdr:row>
          <xdr:rowOff>0</xdr:rowOff>
        </xdr:from>
        <xdr:to>
          <xdr:col>6</xdr:col>
          <xdr:colOff>0</xdr:colOff>
          <xdr:row>7</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4</xdr:row>
          <xdr:rowOff>0</xdr:rowOff>
        </xdr:from>
        <xdr:to>
          <xdr:col>22</xdr:col>
          <xdr:colOff>0</xdr:colOff>
          <xdr:row>5</xdr:row>
          <xdr:rowOff>47625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2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6</xdr:row>
          <xdr:rowOff>0</xdr:rowOff>
        </xdr:from>
        <xdr:to>
          <xdr:col>22</xdr:col>
          <xdr:colOff>0</xdr:colOff>
          <xdr:row>7</xdr:row>
          <xdr:rowOff>47625</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190495</xdr:rowOff>
    </xdr:from>
    <xdr:to>
      <xdr:col>11</xdr:col>
      <xdr:colOff>0</xdr:colOff>
      <xdr:row>77</xdr:row>
      <xdr:rowOff>158259</xdr:rowOff>
    </xdr:to>
    <xdr:graphicFrame macro="">
      <xdr:nvGraphicFramePr>
        <xdr:cNvPr id="2" name="Chart_Publishers_R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xdr:row>
      <xdr:rowOff>1</xdr:rowOff>
    </xdr:from>
    <xdr:to>
      <xdr:col>23</xdr:col>
      <xdr:colOff>0</xdr:colOff>
      <xdr:row>79</xdr:row>
      <xdr:rowOff>126800</xdr:rowOff>
    </xdr:to>
    <xdr:graphicFrame macro="">
      <xdr:nvGraphicFramePr>
        <xdr:cNvPr id="3" name="Chart_Publishers_N">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9525</xdr:colOff>
          <xdr:row>0</xdr:row>
          <xdr:rowOff>200025</xdr:rowOff>
        </xdr:from>
        <xdr:to>
          <xdr:col>4</xdr:col>
          <xdr:colOff>314325</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4</xdr:row>
          <xdr:rowOff>0</xdr:rowOff>
        </xdr:from>
        <xdr:to>
          <xdr:col>15</xdr:col>
          <xdr:colOff>0</xdr:colOff>
          <xdr:row>5</xdr:row>
          <xdr:rowOff>47625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6</xdr:row>
          <xdr:rowOff>0</xdr:rowOff>
        </xdr:from>
        <xdr:to>
          <xdr:col>15</xdr:col>
          <xdr:colOff>0</xdr:colOff>
          <xdr:row>7</xdr:row>
          <xdr:rowOff>47625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300-00000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19</xdr:col>
      <xdr:colOff>0</xdr:colOff>
      <xdr:row>3</xdr:row>
      <xdr:rowOff>1</xdr:rowOff>
    </xdr:from>
    <xdr:to>
      <xdr:col>27</xdr:col>
      <xdr:colOff>0</xdr:colOff>
      <xdr:row>14</xdr:row>
      <xdr:rowOff>55147</xdr:rowOff>
    </xdr:to>
    <xdr:graphicFrame macro="">
      <xdr:nvGraphicFramePr>
        <xdr:cNvPr id="8" name="Chart_Decades">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3</xdr:col>
      <xdr:colOff>0</xdr:colOff>
      <xdr:row>2</xdr:row>
      <xdr:rowOff>190499</xdr:rowOff>
    </xdr:from>
    <xdr:to>
      <xdr:col>11</xdr:col>
      <xdr:colOff>0</xdr:colOff>
      <xdr:row>44</xdr:row>
      <xdr:rowOff>16173</xdr:rowOff>
    </xdr:to>
    <xdr:graphicFrame macro="">
      <xdr:nvGraphicFramePr>
        <xdr:cNvPr id="2" name="Chart_Years">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4</xdr:row>
          <xdr:rowOff>0</xdr:rowOff>
        </xdr:from>
        <xdr:to>
          <xdr:col>19</xdr:col>
          <xdr:colOff>0</xdr:colOff>
          <xdr:row>5</xdr:row>
          <xdr:rowOff>47625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6</xdr:row>
          <xdr:rowOff>0</xdr:rowOff>
        </xdr:from>
        <xdr:to>
          <xdr:col>19</xdr:col>
          <xdr:colOff>0</xdr:colOff>
          <xdr:row>7</xdr:row>
          <xdr:rowOff>47625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0</xdr:colOff>
      <xdr:row>3</xdr:row>
      <xdr:rowOff>0</xdr:rowOff>
    </xdr:from>
    <xdr:to>
      <xdr:col>12</xdr:col>
      <xdr:colOff>0</xdr:colOff>
      <xdr:row>407</xdr:row>
      <xdr:rowOff>128779</xdr:rowOff>
    </xdr:to>
    <xdr:graphicFrame macro="">
      <xdr:nvGraphicFramePr>
        <xdr:cNvPr id="3" name="Chart_Subjects">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466725</xdr:colOff>
          <xdr:row>4</xdr:row>
          <xdr:rowOff>0</xdr:rowOff>
        </xdr:from>
        <xdr:to>
          <xdr:col>4</xdr:col>
          <xdr:colOff>0</xdr:colOff>
          <xdr:row>5</xdr:row>
          <xdr:rowOff>47625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6</xdr:row>
          <xdr:rowOff>0</xdr:rowOff>
        </xdr:from>
        <xdr:to>
          <xdr:col>4</xdr:col>
          <xdr:colOff>0</xdr:colOff>
          <xdr:row>7</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5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200025</xdr:rowOff>
        </xdr:from>
        <xdr:to>
          <xdr:col>5</xdr:col>
          <xdr:colOff>304800</xdr:colOff>
          <xdr:row>2</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5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4</xdr:row>
          <xdr:rowOff>0</xdr:rowOff>
        </xdr:from>
        <xdr:to>
          <xdr:col>17</xdr:col>
          <xdr:colOff>0</xdr:colOff>
          <xdr:row>5</xdr:row>
          <xdr:rowOff>47625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5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6</xdr:row>
          <xdr:rowOff>0</xdr:rowOff>
        </xdr:from>
        <xdr:to>
          <xdr:col>17</xdr:col>
          <xdr:colOff>0</xdr:colOff>
          <xdr:row>7</xdr:row>
          <xdr:rowOff>47625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5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17</xdr:col>
      <xdr:colOff>0</xdr:colOff>
      <xdr:row>2</xdr:row>
      <xdr:rowOff>190492</xdr:rowOff>
    </xdr:from>
    <xdr:to>
      <xdr:col>25</xdr:col>
      <xdr:colOff>0</xdr:colOff>
      <xdr:row>307</xdr:row>
      <xdr:rowOff>7366</xdr:rowOff>
    </xdr:to>
    <xdr:graphicFrame macro="">
      <xdr:nvGraphicFramePr>
        <xdr:cNvPr id="6" name="Chart_Sub-Subjects">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16.578064467591" createdVersion="8" refreshedVersion="8" minRefreshableVersion="3" recordCount="2000" xr:uid="{554B0184-5F34-4481-8B30-59E49884B9B8}">
  <cacheSource type="worksheet">
    <worksheetSource ref="A1:A1048576" sheet="s-Subjects"/>
  </cacheSource>
  <cacheFields count="1">
    <cacheField name="Subjects" numFmtId="0">
      <sharedItems containsBlank="1" count="584">
        <s v="History"/>
        <s v="Libraries -- East Asia"/>
        <s v="Japanologists -- United States"/>
        <s v="Prostitution -- Japan -- History -- 19th century"/>
        <s v="Film criticism -- Japan -- History -- 20th century"/>
        <s v="Podcasts -- Fiction"/>
        <s v="Murder -- Investigation -- Fiction"/>
        <s v="Mothers and sons -- Fiction"/>
        <s v="Women -- Fiction"/>
        <s v="Short stories, Japanese -- 21st century"/>
        <s v="百貨店-歴史"/>
        <s v="漫画"/>
        <s v="Popular music -- Korea (South) -- History and criticism"/>
        <s v="Japanese fiction"/>
        <s v="Factories -- Employees -- Fiction"/>
        <s v="Relations entre hommes et femmes -- Romans, nouvelles, etc"/>
        <s v="World War, 1939-1945"/>
        <s v="Painting, Japanese -- 20th century -- Exhibitions"/>
        <s v="Theater"/>
        <s v="Authors, Japanese -- 20th century -- Biography"/>
        <s v="Theater -- Japan -- Interviews"/>
        <s v="18.87 Japanese language and literature"/>
        <s v="Japanese drama (Comedy)"/>
        <s v="林, 芙美子, 1904-1951"/>
        <s v="War in art"/>
        <s v="說話文学-索引"/>
        <s v="日本詩歌"/>
        <s v="Inscriptions, Korean -- Korea -- History"/>
        <s v="難波宮.; 都城"/>
        <s v="Korean poetry -- 21st century -- Translations into English"/>
        <s v="ウズベキスタン人 (日本在留)"/>
        <s v="茶道-辞典"/>
        <s v="日本語-類語-辞典"/>
        <s v="Japanese language -- Readers"/>
        <s v="Ocean travel -- Fiction"/>
        <s v="Women -- Japan -- Social life and customs -- 19th century"/>
        <s v="Antiquarian booksellers -- Fiction"/>
        <s v="Man-woman relationships -- Fiction"/>
        <s v="朝鮮-歴史-新羅時代"/>
        <s v="Politics and government"/>
        <s v="Civilization -- Japanese influences"/>
        <s v="Japanese literature -- Indexes"/>
        <s v="Manners and customs"/>
        <s v="Shinagaku -- Jisho"/>
        <s v="Civilization -- Study and teaching"/>
        <s v="Celebrities"/>
        <s v="Kokugaku"/>
        <s v="Royal households -- Japan -- History -- Sources"/>
        <s v="Sinologists -- Japan -- Biography"/>
        <s v="Chinese language -- Particles -- Dictionaries -- Japanese"/>
        <s v="Nihon -- Jinmeijiten"/>
        <s v="Bukkyō -- Jisho"/>
        <s v="Civil service -- Japan"/>
        <s v="Daimyo -- Biography"/>
        <s v="Fiefs -- Japan -- Dictionaries -- Japanese"/>
        <s v="Zen priests -- Japan -- Biography -- Japanese"/>
        <s v="Kotowaza"/>
        <s v="Publishers and publishing -- Japan -- History"/>
        <s v="Zen Buddhism -- Dictionaries -- Japanese"/>
        <s v="Buddhist priests -- Japan -- Biography -- Dictionaries -- Japanese"/>
        <s v="Koyomi"/>
        <s v="Shoshigaku -- Jisho"/>
        <s v="Nengō"/>
        <s v="Nihongo -- Gairaigo -- Jisho"/>
        <s v="Chūgokugo -- Bunpō"/>
        <s v="Medicine, Chinese -- Japan -- Bibliography"/>
        <s v="Denki -- Nihon"/>
        <s v="Japanese literature -- 1600-1868 -- History and criticism"/>
        <s v="Shunjū"/>
        <s v="Paleography, Japanese -- Handbooks, manuals, etc"/>
        <s v="Tosho kaidai"/>
        <s v="Kanshi"/>
        <s v="Chinese imprints -- Japan -- Catalogs"/>
        <s v="Biography"/>
        <s v="Nihon -- Shakai -- Rekishi -- Edojidai"/>
        <s v="Rare books -- Expertising -- Japan"/>
        <s v="Kunten"/>
        <s v="Japanese language -- To 1868 -- Dictionaries"/>
        <s v="Bibliography -- China -- History"/>
        <s v="Chūgokugo-Bunpō"/>
        <s v="Philosophy, Japanese -- History -- Encyclopedias"/>
        <s v="Keisho"/>
        <s v="Fiefs -- Japan -- History -- Handbooks, manuals, etc"/>
        <s v="Kanshi-Jiten"/>
        <s v="Japanese language -- Grammar, Classical"/>
        <s v="shuppan -- nihon -- rekishi -- edojidai"/>
        <s v="Chinese literature -- Study and teaching"/>
        <s v="Collective memory -- Japan"/>
        <s v="Nihongo-Bunpō"/>
        <s v="Civilization"/>
        <s v="Kanji-Jiten"/>
        <s v="Posters -- Japan -- 20th century"/>
        <s v="Political science -- Study and teaching -- Japan"/>
        <s v="Nobility -- Japan -- History -- 17th century -- Registers"/>
        <s v="Kimonos in literature"/>
        <s v="To 935"/>
        <s v="Libraries"/>
        <s v="Women college teachers -- United States"/>
        <s v="Prostitution -- Japan -- History -- 20th century"/>
        <s v="Motion pictures -- Aesthetics"/>
        <s v="Murder -- Investigation"/>
        <s v="Families -- Fiction"/>
        <s v="People with disabilities -- Fiction"/>
        <s v="Short stories, Japanese"/>
        <s v="Department stores -- Japan -- Management -- History"/>
        <s v="Manga"/>
        <s v="Sound recording industry -- Korea (South) -- History"/>
        <s v="Labor -- Fiction"/>
        <s v="Industrial relations -- Fiction"/>
        <s v="Vie rurale -- Romans, nouvelles, etc"/>
        <s v="Guerre mondiale, 1939-1945"/>
        <s v="World War, 1939-1945 -- Japan -- Hiroshima-shi -- Art and the war -- Exhibitions"/>
        <s v="Drama -- 20th century -- History and criticism"/>
        <s v="Theatrical producers and directors -- Japan -- Biography"/>
        <s v="Japanese drama -- 20th century -- History and criticism"/>
        <s v="Nakahara, Chūya -- Translations into English"/>
        <s v="Hayashi, Fumiko, 1904-1951"/>
        <s v="Painting, Japanese -- 20th century"/>
        <s v="Folk literature, Japanese"/>
        <s v="Japanese poetry -- Shōwa period, 1926-1989"/>
        <s v="Writing -- Korea -- History -- To 1500"/>
        <s v="City planning -- Japan -- History -- To 1500"/>
        <s v="Poetry"/>
        <s v="Uzubekisutanjin (Nihon zairyu)"/>
        <s v="Chadō-Jiten"/>
        <s v="Nihongo-Ruigo-Jiten"/>
        <s v="Japanese language -- Synonyms and antonyms -- Dictionaries"/>
        <s v="Japanese language -- Study and teaching"/>
        <s v="Languages, Artificial -- Fiction"/>
        <s v="Samurai -- Social life and customs -- 19th century"/>
        <s v="Antiquarian booksellers"/>
        <s v="Women botanists -- Fiction"/>
        <s v="Chōsen-Rekishi-Shiragi jidai"/>
        <s v="Civilization -- Korean influences"/>
        <s v="Japanese literature"/>
        <s v="Dictionaries"/>
        <s v="China -- Civilization -- Study and teaching -- Japan"/>
        <s v="Famous Persons"/>
        <s v="Philosophers -- Japan -- Biography"/>
        <s v="Emperors -- Japan -- History -- Sources"/>
        <s v="Sinologists"/>
        <s v="Chinese language -- Dictionaries -- Japanese"/>
        <s v="Nihon -- denki -- jisho"/>
        <s v="Civil service"/>
        <s v="Daimyō -- Biographies"/>
        <s v="Tokugawa period, Japan, 1600-1868"/>
        <s v="Ōbaku (Sect) -- Dictionaries -- Japanese"/>
        <s v="Book industries and trade -- Japan -- History"/>
        <s v="Zen Buddhism"/>
        <s v="Buddhists -- Japan -- Biography -- Dictionaries -- Japanese"/>
        <s v="nihon shoki"/>
        <s v="Chūgoku -- Rekishi"/>
        <s v="Kanbun"/>
        <s v="Materia medica -- Japan -- Bibliography"/>
        <s v="Fujin -- Denki"/>
        <s v="Japanese literature -- Chinese influences"/>
        <s v="Shunjū kuyōden"/>
        <s v="Japanese language -- Cursive writing -- Handbooks, manuals, etc"/>
        <s v="Nihon-Rekishi-Shoshi"/>
        <s v="Imprimés chinois -- Catalogues -- Japon"/>
        <s v="edo"/>
        <s v="Early printed books -- Japan"/>
        <s v="Kundoku"/>
        <s v="Diplomatics, Japanese -- Dictionaries"/>
        <s v="Bibliography"/>
        <s v="Philosophers -- Japan -- Encyclopedias"/>
        <s v="Fiefs"/>
        <s v="Bungaku chiri-Chūgoku"/>
        <s v="Collective memory"/>
        <s v="Education"/>
        <s v="Commercial art -- Japan -- History -- 20th century"/>
        <s v="Democracy -- Study and teaching -- Japan"/>
        <s v="Nobility -- Japan -- History -- 18th century -- Registers"/>
        <s v="Kimonos in motion pictures"/>
        <s v="百濟 (Kingdom); History"/>
        <s v="East Asia"/>
        <s v="Professeures (Enseignement supérieur) -- États-Unis"/>
        <s v="Prostitution"/>
        <s v="Motion pictures -- Japan -- History -- 20th century"/>
        <s v="Podcasts"/>
        <s v="Detective and mystery fiction"/>
        <s v="Families"/>
        <s v="Japanese fiction -- 21st century"/>
        <s v="Short stories"/>
        <s v="Department stores -- Management"/>
        <s v="Popular music -- Production and direction -- Korea (South)"/>
        <s v="Tropical fish -- Fiction"/>
        <s v="Hallucinations and illusions -- Fiction"/>
        <s v="Monstres -- Romans, nouvelles, etc"/>
        <s v="1939-1945"/>
        <s v="Painting, Japanese"/>
        <s v="Théâtre"/>
        <s v="Authors, Japanese"/>
        <s v="Theatrical producers and directors -- Japan -- Interviews"/>
        <s v="Nakahara, Chūya"/>
        <s v="Atomic bomb in art"/>
        <s v="Tales -- Japan -- Indexes"/>
        <s v="Japanese poetry -- Shōwa period"/>
        <s v="Written communication -- Korea -- History -- To 1500"/>
        <s v="Capitals (Cities)"/>
        <s v="Translations"/>
        <s v="Japanese language -- Synonyms and antonyms"/>
        <s v="Japanese language"/>
        <s v="Languages, Artificial"/>
        <s v="Kawai, Koume, 1804-1889"/>
        <s v="Interpersonal relations -- Fiction"/>
        <s v="Commerce"/>
        <s v="Indexes"/>
        <s v="Tokugawa family"/>
        <s v="China -- Dictionaries"/>
        <s v="China -- Civilization -- Study and teaching -- Japan -- Bibliography"/>
        <s v="Célébrités"/>
        <s v="Philologists -- Japan -- Biography"/>
        <s v="Courts and courtiers"/>
        <s v="Chinese language"/>
        <s v="Japan"/>
        <s v="Daimyo"/>
        <s v="Ōbaku (Sect)"/>
        <s v="Book industries and trade"/>
        <s v="Buddhism -- Dictionaries"/>
        <s v="Nihon -- Rekishi"/>
        <s v="Medicine, Chinese"/>
        <s v="Manshu -- Meibo"/>
        <s v="Chinese literature -- Adaptations"/>
        <s v="Shunjū kokuryōden"/>
        <s v="Chinese language -- Cursive writing -- Handbooks, manuals, etc"/>
        <s v="Chinese imprints"/>
        <s v="Biographies"/>
        <s v="Manuscripts, Japanese"/>
        <s v="Paleography, Japanese -- Dictionaries"/>
        <s v="Shoshigaku"/>
        <s v="Nihon shisō-Rekishi-Benran"/>
        <s v="Chūgokugaku"/>
        <s v="Posters -- Japan -- 20th century -- Catalogs"/>
        <s v="Civil society -- Study and teaching -- Japan"/>
        <s v="Nobility -- Japan -- History -- 19th century -- Registers"/>
        <s v="Japanese fiction -- 20th century -- History and criticism"/>
        <s v="Paekche (Kingdom) -- History"/>
        <s v="Social conditions"/>
        <s v="Cinéma -- Esthétique"/>
        <s v="Fiction"/>
        <s v="Mothers and sons"/>
        <s v="Hyakkaten-Rekishi"/>
        <s v="Music and transnationalism"/>
        <s v="Animals -- Juvenile fiction"/>
        <s v="Domestic fiction"/>
        <s v="Maruki, Iri, 1901-1995 -- Exhibitions"/>
        <s v="theater (discipline)"/>
        <s v="Theatrical producers and directors"/>
        <s v="Dramatists, Japanese -- 20th century -- Interviews"/>
        <s v="Guerre dans l'art"/>
        <s v="Legends -- Japan -- Indexes"/>
        <s v="1926-1989"/>
        <s v="Antiquities"/>
        <s v="City planning"/>
        <s v="Ocean travel"/>
        <s v="Kawai, Koume, 1804-1889 -- Diaries"/>
        <s v="Silla (Kingdom) -- Politics and government"/>
        <s v="Diplomatic relations"/>
        <s v="Tokugawa (Famille)"/>
        <s v="China"/>
        <s v="Emperors"/>
        <s v="Chūgoku bungaku-Meibo"/>
        <s v="Chinese language -- Particles"/>
        <s v="Zen priests"/>
        <s v="Publishers and publishing"/>
        <s v="Buddhism -- Japan"/>
        <s v="Chōsen -- Rekishi"/>
        <s v="Medicine, Chinese Traditional -- history"/>
        <s v="Chinese literature"/>
        <s v="Confucius. Chun qiu"/>
        <s v="Komonjogaku"/>
        <s v="Bibliographies"/>
        <s v="Catalogs"/>
        <s v="Bibliography -- Japan"/>
        <s v="Nihon-Rekishi-Kinsei-Jiten"/>
        <s v="Intellectual life"/>
        <s v="Handbooks and manuals"/>
        <s v="Grammatik"/>
        <s v="Tōkyōto-Rekishi"/>
        <s v="Jōhō kensaku"/>
        <s v="Commercial art -- Japan -- History -- 20th century -- Catalogs"/>
        <s v="Democracy -- Study and teaching"/>
        <s v="Nobility"/>
        <s v="Motion pictures -- Japan -- 20th century"/>
        <s v="Korea -- History -- To 935"/>
        <s v="Japanologists"/>
        <s v="Women -- Social conditions"/>
        <s v="Film criticism"/>
        <s v="Japanese language materials"/>
        <s v="Psychological fiction"/>
        <s v="People with disabilities"/>
        <s v="2000-2099"/>
        <s v="Travail -- Romans, nouvelles, etc"/>
        <s v="Usines -- Personnel -- Romans, nouvelles, etc"/>
        <s v="Maruki, Toshi, 1912-2000 -- Exhibitions"/>
        <s v="寺山修司, 1936-1983"/>
        <s v="Actors -- Japan -- Interviews"/>
        <s v="Translations (form)"/>
        <s v="Bombe atomique dans l'art"/>
        <s v="Inscriptions, Korean"/>
        <s v="Naniwanomiya"/>
        <s v="Readers (Publications)"/>
        <s v="Wakayama-ken (Japan) -- History"/>
        <s v="Femmes botanistes -- Romans, nouvelles, etc"/>
        <s v="Silla (Kingdom) -- History"/>
        <s v="International relations"/>
        <s v="Directory"/>
        <s v="Royal households"/>
        <s v="Kangakusha"/>
        <s v="Buddhist priests"/>
        <s v="Toyoshi --"/>
        <s v="Medicine, Chinese Traditional"/>
        <s v="Gongyang, Gao. Gongyang zhuan"/>
        <s v="Chinese language -- Cursive writing"/>
        <s v="Japan -- Imprints -- Catalogs"/>
        <s v="Bibliography -- Methodology"/>
        <s v="Komonjo-Jiten"/>
        <s v="Philosophers"/>
        <s v="Klassisches Japanisch"/>
        <s v="Nihon-Rekishi-Edo jidai"/>
        <s v="Intānetto"/>
        <s v="Commercial art"/>
        <s v="LITERARY CRITICISM / Asian / Japanese"/>
        <s v="Asia -- Paekche (Kingdom)"/>
        <s v="Women college teachers"/>
        <s v="Motion pictures"/>
        <s v="Women"/>
        <s v="Popular music"/>
        <s v="Poissons tropicaux -- Romans, nouvelles, etc"/>
        <s v="Relations industrielles -- Romans, nouvelles, etc"/>
        <s v="Maruki, Iri, 1901-1995"/>
        <s v="Drama"/>
        <s v="Terayama, Shūji, 1936-1983"/>
        <s v="Actors"/>
        <s v="Poems (texts)"/>
        <s v="Legends"/>
        <s v="Writing"/>
        <s v="Tojō"/>
        <s v="Japan -- Civilization -- 1600-1868"/>
        <s v="Interpersonal relations"/>
        <s v="中国思想; 書目.; シナ学; 書目"/>
        <s v="Philologists"/>
        <s v="Buddhists"/>
        <s v="Nengo"/>
        <s v="Materia medica"/>
        <s v="Guliang, Chi. Guliang zhuan"/>
        <s v="Japanese language -- Cursive writing"/>
        <s v="Japan -- History -- Bibliography"/>
        <s v="Japan -- Biography -- Indexes"/>
        <s v="Livres anciens -- Japon"/>
        <s v="Diplomatics, Japanese"/>
        <s v="Philosophy, Japanese"/>
        <s v="1600-1868"/>
        <s v="Takizawa, Bakin, 1767-1848 -- Criticism and interpretation"/>
        <s v="China -- Study and teaching"/>
        <s v="Posters"/>
        <s v="Political science -- Study and teaching"/>
        <s v="Registers (Lists)"/>
        <s v="Korea"/>
        <s v="Japan -- Study and teaching -- United States"/>
        <s v="Sound recording industry"/>
        <s v="Hallucinations and illusions"/>
        <s v="Factories -- Employees"/>
        <s v="Maruki, Toshi, 1912-2000"/>
        <s v="Criticism, interpretation, etc"/>
        <s v="Dramatists, Japanese"/>
        <s v="Tales"/>
        <s v="Written communication"/>
        <s v="難波宮 (Osaka, Japan)"/>
        <s v="Japan -- Civilization -- 1868-1912"/>
        <s v="Man-woman relationships"/>
        <s v="Asia -- Silla (Kingdom)"/>
        <s v="collective biographies"/>
        <s v="Sources"/>
        <s v="China -- Study and teaching -- Japan"/>
        <s v="Chugoku -- Rekishi"/>
        <s v="Nihon bungaku-Rekishi-Edo jidai"/>
        <s v="Chun qiu (Confucius)"/>
        <s v="Paleography, Japanese"/>
        <s v="Japan -- Biography -- Dictionaries -- Japanese"/>
        <s v="Bibliographie -- Japon"/>
        <s v="Japan -- Politics and government -- 1600-1868 -- Handbooks, manuals, etc"/>
        <s v="Kōda, Rohan, 1867-1947 -- Criticism and interpretation"/>
        <s v="China -- Civilization"/>
        <s v="Posutā-Rekishi"/>
        <s v="1600-1899"/>
        <s v="Romans psychologiques"/>
        <s v="Exhibition catalogs"/>
        <s v="1900-1999"/>
        <s v="Japanese drama"/>
        <s v="Setsuwa bungaku-Sakuin"/>
        <s v="Naniwa Kyū (Osaka, Japan)"/>
        <s v="Women botanists"/>
        <s v="Korea -- Relations -- Japan"/>
        <s v="Japan -- Politics and government -- 1600-1868"/>
        <s v="Japan -- Court and courtiers -- History -- Sources"/>
        <s v="Toyo igaku -- Shoshi"/>
        <s v="Ruisho"/>
        <s v="Gongyang zhuan (Gongyang, Gao)"/>
        <s v="Nihon -- Rekishi -- Shoshi"/>
        <s v="Bibliographie -- Méthodologie"/>
        <s v="Encyclopedias"/>
        <s v="China -- Civilization -- Study and teaching"/>
        <s v="Mori, Ōgai, 1862-1922 -- Criticism and interpretation"/>
        <s v="Catalog"/>
        <s v="United States"/>
        <s v="1800-1999"/>
        <s v="Labor"/>
        <s v="Industrial relations"/>
        <s v="Romans familiaux"/>
        <s v="Exhibition, pictorial works"/>
        <s v="丸木位里, 1901-1995. 原爆の図. 丸木俊, 1912-2000. 原爆の図"/>
        <s v="Index"/>
        <s v="To 1500"/>
        <s v="Japan -- Relations -- Korea"/>
        <s v="Japan -- Social life and customs -- 1600-1868"/>
        <s v="Japan -- History -- Tokugawa period, 1600-1868 -- Biography -- Dictionaries -- Japanese"/>
        <s v="Chosen -- Rekishi"/>
        <s v="Tōyō igaku-Shoshi"/>
        <s v="Adaptations"/>
        <s v="Guliang zhuan (Guliang, Chi)"/>
        <s v="China -- Study and teaching -- Bibliography"/>
        <s v="Takabatake, Ransen, 1838-1885 -- Criticism and interpretation"/>
        <s v="catalogs (documents)"/>
        <s v="Japan -- Politics and government -- History"/>
        <s v="Japan -- Social conditions"/>
        <s v="Korea (South)"/>
        <s v="Tropical fish"/>
        <s v="Maruki, Iri, 1901-1995. Genbaku no zu"/>
        <s v="indexes (reference sources)"/>
        <s v="新羅 (Kingdom); Antiquities"/>
        <s v="Korea -- Civilization -- Japanese influences"/>
        <s v="Biobibliography"/>
        <s v="To 1868"/>
        <s v="Japan -- Intellectual life -- Encyclopedias"/>
        <s v="Nagai, Kafū, 1879-1959 -- Criticism and interpretation"/>
        <s v="Japan -- Foreign relations"/>
        <s v="Japan -- History"/>
        <s v="Satirical literature"/>
        <s v="Maruki, Toshi, 1912-2000. Genbaku no zu"/>
        <s v="Silla (Kingdom) -- Antiquities"/>
        <s v="Japan -- Civilization -- Korean influences"/>
        <s v="Japan -- Biography"/>
        <s v="Early printed books"/>
        <s v="Ishikawa, Jun, 1899-1987 -- Criticism and interpretation"/>
        <s v="Humorous fiction"/>
        <s v="Hiroshima-shi (Japan) -- In art -- Exhibitions"/>
        <s v="Interviews"/>
        <s v="Illustrated works"/>
        <s v="Japan -- Capital and capitol"/>
        <s v="Romance fiction"/>
        <s v="Korea -- Commerce -- Japan"/>
        <s v="Japan -- Social life and customs"/>
        <s v="Takizawa, Bakin, 1767-1848"/>
        <s v="Hiroshima-shi (Japan) -- History -- Bombardment, 1945 -- Pictorial works -- Exhibitions"/>
        <s v="Art"/>
        <s v="Japan -- Commerce -- Korea"/>
        <s v="Japan -- History -- Tokugawa period, 1600-1868 -- Biography"/>
        <s v="Rare books -- Expertising"/>
        <s v="Nagai, Kafū, 1879-1959"/>
        <s v="Catalogues"/>
        <s v="Japan -- Hiroshima-shi"/>
        <s v="Japan -- Capital and capitol -- History -- To 1500"/>
        <s v="Japanisch"/>
        <s v="Mori, Ōgai, 1862-1922"/>
        <s v="Nouvelles"/>
        <s v="Pictorial works"/>
        <s v="Japan -- History -- To 794"/>
        <s v="Literatur"/>
        <s v="Kōda, Rohan, 1867-1947"/>
        <s v="Korea -- Foreign relations -- To 935"/>
        <s v="Ishikawa, Jun, 1899-1987"/>
        <s v="Japan -- Fiction"/>
        <s v="Japan -- Foreign relations -- To 794"/>
        <s v="Bibliographie"/>
        <s v="広島市 (Japan); In art.; 広島市 (Japan); History; Bombardment, 1945; Pictorial works"/>
        <s v="Geschichte"/>
        <s v="Hiroshima-shi (Japan) -- In art"/>
        <s v="Tokyo (Japan) -- Social life and customs -- 1600-1868"/>
        <s v="Hiroshima-shi (Japan) -- History -- Bombardment, 1945 -- Pictorial works"/>
        <s v="Tōkyō (Japon) -- Mœurs et coutumes -- 1600-1868"/>
        <s v="Nagasaki-shi (Japan) -- History -- Bombardment, 1945 -- Pictorial works"/>
        <s v="Japan -- Tokyo"/>
        <s v="Japan -- Nagasaki-shi"/>
        <m/>
        <s v="Bombings" u="1"/>
        <s v="1868-1912" u="1"/>
        <s v="Edo-Zeit" u="1"/>
        <s v="Shoshigaku-Rekishi" u="1"/>
        <s v="Tang shi -- Ci yu -- Zhu shi" u="1"/>
        <s v="Questioning -- Japan -- Fiction" u="1"/>
        <s v="Bombings -- Japan -- Fiction" u="1"/>
        <s v="Japanese language -- Meiji period, 1868-1912 -- Lexicography" u="1"/>
        <s v="Translating and interpreting -- Japan" u="1"/>
        <s v="Japan -- History -- Tokugawa period, 1600-1868" u="1"/>
        <s v="Cataloging -- China -- History" u="1"/>
        <s v="Waka -- Dictionaries -- Japanese" u="1"/>
        <s v="Cataloging" u="1"/>
        <s v="Printing" u="1"/>
        <s v="To 1600" u="1"/>
        <s v="Geschichte 1868-1912" u="1"/>
        <s v="Chugoku shiso -- Benran" u="1"/>
        <s v="Japanese philology -- Dictionaries" u="1"/>
        <s v="Shui hu zhuan -- Dictionaries" u="1"/>
        <s v="Chinese language -- Conversation and phrase books -- Japanese" u="1"/>
        <s v="Japanese poetry -- To 1600 -- Dictionaries -- Japanese" u="1"/>
        <s v="Literature, Modern" u="1"/>
        <s v="Shoshigaku-Jiten" u="1"/>
        <s v="Xi xiang ji" u="1"/>
        <s v="Waka" u="1"/>
        <s v="Novels" u="1"/>
        <s v="Japanese poetry" u="1"/>
        <s v="Waka-Sahō-Jiten" u="1"/>
        <s v="Shui hu zhuan" u="1"/>
        <s v="Jinmeijiten -- Nihon" u="1"/>
        <s v="Police -- Japan -- Fiction" u="1"/>
        <s v="Chugokushiso -- Shomoku" u="1"/>
        <s v="HISTORY -- Asia -- Japan" u="1"/>
        <s v="Chūgoku shisō-Benran" u="1"/>
        <s v="Wörterbuch" u="1"/>
        <s v="Liu, Xiang, 77 B.C.-6 B.C" u="1"/>
        <s v="puppies" u="1"/>
        <s v="Buddhism -- Dictionaries -- Japanese" u="1"/>
        <s v="Japan -- Bio-bibliography -- Dictionaries -- Japanese" u="1"/>
        <s v="Police" u="1"/>
        <s v="Dysfunctional families -- Fiction" u="1"/>
        <s v="China -- Study and teaching -- Biography" u="1"/>
        <s v="Bukkyō-Jiten" u="1"/>
        <s v="Sinologists -- Japan -- Bio-bibliography" u="1"/>
        <s v="Japanese philology" u="1"/>
        <s v="Words, New" u="1"/>
        <s v="Japan -- historia -- lexikon" u="1"/>
        <s v="Chinese poetry -- Tang dynasty, 618-907 -- Dictionaries" u="1"/>
        <s v="Utamakura -- Dictionaries -- Japanese" u="1"/>
        <s v="Nihon-Rekishi-Edo jidai-Benran" u="1"/>
        <s v="Dictionary" u="1"/>
        <s v="618-907" u="1"/>
        <s v="Japan -- Social life and customs -- 1600-1868 -- Encyclopedias" u="1"/>
        <s v="Dysfunctional families" u="1"/>
        <s v="Chinese poetry" u="1"/>
        <s v="Female friendship" u="1"/>
        <s v="Literature, Medieval" u="1"/>
        <s v="Utamakura" u="1"/>
        <s v="Conversation and phrase books" u="1"/>
        <s v="Tang Dynasty (China)" u="1"/>
        <s v="Words, New -- Japan" u="1"/>
        <s v="Japanese language -- Edo period" u="1"/>
        <s v="Television quiz shows" u="1"/>
        <s v="Young women -- Fiction" u="1"/>
        <s v="Japanese language -- Meiji period, 1868-1912 -- Dictionaries" u="1"/>
        <s v="Japanese literature -- To 1868 -- History and criticism -- Dictionaries" u="1"/>
        <s v="Female friendship -- Fiction" u="1"/>
        <s v="Chugokugaku -- Shomoku" u="1"/>
        <s v="Scholars -- Japan -- Bio-bibliography" u="1"/>
        <s v="Thrillers (Fiction)" u="1"/>
        <s v="Buddhism" u="1"/>
        <s v="Chūgokushisō -- Shomoku" u="1"/>
        <s v="Kokusho sōmokuroku -- Dictionaries. Japanese" u="1"/>
        <s v="Early printed books -- Japan -- Dictionaries -- Japanese" u="1"/>
        <s v="Néologismes" u="1"/>
        <s v="Young women" u="1"/>
        <s v="Kuge -- meibo" u="1"/>
        <s v="Japanese language -- Edo period, 1600-1868 -- Dictionaries" u="1"/>
        <s v="Scholars" u="1"/>
        <s v="Printing -- Japan -- Dictionaries -- Japanese" u="1"/>
        <s v="日本 -- 伝記 -- 辞書" u="1"/>
        <s v="Encyclopedias and dictionaries -- Japan -- History" u="1"/>
        <s v="Japan -- History -- Dictionaries -- Japanese" u="1"/>
        <s v="Bibliography -- Japan -- Dictionaries -- Japanese" u="1"/>
        <s v="人名辞典-日本.; 武士.; 日本; 伝記; 辞書.; 日本; 歴史; 江戸時代" u="1"/>
        <s v="Japanese literature -- Dictionaries" u="1"/>
        <s v="Japanologists -- Japan -- Biography -- Dictionaries" u="1"/>
        <s v="Japanese language -- Meiji period" u="1"/>
        <s v="Shinagaku -- Shomoku" u="1"/>
        <s v="Encyclopedias and dictionaries" u="1"/>
        <s v="Nihon -- Rekishi -- Edo jidai -- Benran" u="1"/>
        <s v="Translating and interpreting" u="1"/>
        <s v="Densetsu -- Nihon -- Jisho" u="1"/>
        <s v="Television quiz shows -- Fiction" u="1"/>
        <s v="中國詩.; 唐代" u="1"/>
        <s v="日本" u="1"/>
        <s v="Honʼyaku iin shachū Japan" u="1"/>
        <s v="Bio-bibliography"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16.578064583337" createdVersion="8" refreshedVersion="8" minRefreshableVersion="3" recordCount="1529" xr:uid="{BFE66394-CE71-453B-B617-8E49EA7FF141}">
  <cacheSource type="worksheet">
    <worksheetSource ref="N1:N1530" sheet="s-Subjects"/>
  </cacheSource>
  <cacheFields count="1">
    <cacheField name="Sub-Subjects" numFmtId="0">
      <sharedItems count="418">
        <s v="History"/>
        <s v="Libraries"/>
        <s v="Japanologists"/>
        <s v="Prostitution"/>
        <s v="Film criticism"/>
        <s v="Podcasts"/>
        <s v="Murder"/>
        <s v="Mothers and sons"/>
        <s v="Women"/>
        <s v="Short stories, Japanese"/>
        <s v="百貨店-歴史"/>
        <s v="漫画"/>
        <s v="Popular music"/>
        <s v="Japanese fiction"/>
        <s v="Factories"/>
        <s v="Relations entre hommes et femmes"/>
        <s v="World War, 1939-1945"/>
        <s v="Painting, Japanese"/>
        <s v="Theater"/>
        <s v="Authors, Japanese"/>
        <s v="18.87 Japanese language and literature"/>
        <s v="Japanese drama (Comedy)"/>
        <s v="林, 芙美子, 1904-1951"/>
        <s v="War in art"/>
        <s v="說話文学-索引"/>
        <s v="日本詩歌"/>
        <s v="Inscriptions, Korean"/>
        <s v="難波宮.; 都城"/>
        <s v="Korean poetry"/>
        <s v="ウズベキスタン人 (日本在留)"/>
        <s v="茶道-辞典"/>
        <s v="日本語-類語-辞典"/>
        <s v="Japanese language"/>
        <s v="Ocean travel"/>
        <s v="Antiquarian booksellers"/>
        <s v="Man-woman relationships"/>
        <s v="朝鮮-歴史-新羅時代"/>
        <s v="Politics and government"/>
        <s v="Civilization"/>
        <s v="Japanese literature"/>
        <s v="Manners and customs"/>
        <s v="Shinagaku"/>
        <s v="Celebrities"/>
        <s v="Kokugaku"/>
        <s v="Royal households"/>
        <s v="Sinologists"/>
        <s v="Chinese language"/>
        <s v="Nihon"/>
        <s v="Bukkyō"/>
        <s v="Civil service"/>
        <s v="Daimyo"/>
        <s v="Fiefs"/>
        <s v="Zen priests"/>
        <s v="Kotowaza"/>
        <s v="Publishers and publishing"/>
        <s v="Zen Buddhism"/>
        <s v="Buddhist priests"/>
        <s v="Koyomi"/>
        <s v="Shoshigaku"/>
        <s v="Nengō"/>
        <s v="Nihongo"/>
        <s v="Chūgokugo"/>
        <s v="Medicine, Chinese"/>
        <s v="Denki"/>
        <s v="Shunjū"/>
        <s v="Paleography, Japanese"/>
        <s v="Tosho kaidai"/>
        <s v="Kanshi"/>
        <s v="Chinese imprints"/>
        <s v="Biography"/>
        <s v="Rare books"/>
        <s v="Kunten"/>
        <s v="Bibliography"/>
        <s v="Chūgokugo-Bunpō"/>
        <s v="Philosophy, Japanese"/>
        <s v="Keisho"/>
        <s v="Kanshi-Jiten"/>
        <s v="shuppan"/>
        <s v="Chinese literature"/>
        <s v="Collective memory"/>
        <s v="Nihongo-Bunpō"/>
        <s v="Kanji-Jiten"/>
        <s v="Posters"/>
        <s v="Political science"/>
        <s v="Nobility"/>
        <s v="Kimonos in literature"/>
        <s v="To 935"/>
        <s v="Women college teachers"/>
        <s v="Motion pictures"/>
        <s v="Families"/>
        <s v="People with disabilities"/>
        <s v="Department stores"/>
        <s v="Manga"/>
        <s v="Sound recording industry"/>
        <s v="Labor"/>
        <s v="Industrial relations"/>
        <s v="Vie rurale"/>
        <s v="Guerre mondiale, 1939-1945"/>
        <s v="Drama"/>
        <s v="Theatrical producers and directors"/>
        <s v="Japanese drama"/>
        <s v="Nakahara, Chūya"/>
        <s v="Hayashi, Fumiko, 1904-1951"/>
        <s v="Folk literature, Japanese"/>
        <s v="Japanese poetry"/>
        <s v="Writing"/>
        <s v="City planning"/>
        <s v="Poetry"/>
        <s v="Uzubekisutanjin (Nihon zairyu)"/>
        <s v="Chadō-Jiten"/>
        <s v="Nihongo-Ruigo-Jiten"/>
        <s v="Languages, Artificial"/>
        <s v="Samurai"/>
        <s v="Women botanists"/>
        <s v="Chōsen-Rekishi-Shiragi jidai"/>
        <s v="Dictionaries"/>
        <s v="China"/>
        <s v="Famous Persons"/>
        <s v="Philosophers"/>
        <s v="Emperors"/>
        <s v="Daimyō"/>
        <s v="Tokugawa period, Japan, 1600-1868"/>
        <s v="Ōbaku (Sect)"/>
        <s v="Book industries and trade"/>
        <s v="Buddhists"/>
        <s v="nihon shoki"/>
        <s v="Chūgoku"/>
        <s v="Kanbun"/>
        <s v="Materia medica"/>
        <s v="Fujin"/>
        <s v="Shunjū kuyōden"/>
        <s v="Nihon-Rekishi-Shoshi"/>
        <s v="Imprimés chinois"/>
        <s v="edo"/>
        <s v="Early printed books"/>
        <s v="Kundoku"/>
        <s v="Diplomatics, Japanese"/>
        <s v="Bungaku chiri-Chūgoku"/>
        <s v="Education"/>
        <s v="Commercial art"/>
        <s v="Democracy"/>
        <s v="Kimonos in motion pictures"/>
        <s v="百濟 (Kingdom); History"/>
        <s v="East Asia"/>
        <s v="Professeures (Enseignement supérieur)"/>
        <s v="Detective and mystery fiction"/>
        <s v="Short stories"/>
        <s v="Tropical fish"/>
        <s v="Hallucinations and illusions"/>
        <s v="Monstres"/>
        <s v="1939-1945"/>
        <s v="Théâtre"/>
        <s v="Atomic bomb in art"/>
        <s v="Tales"/>
        <s v="Written communication"/>
        <s v="Capitals (Cities)"/>
        <s v="Translations"/>
        <s v="Kawai, Koume, 1804-1889"/>
        <s v="Interpersonal relations"/>
        <s v="Commerce"/>
        <s v="Indexes"/>
        <s v="Tokugawa family"/>
        <s v="Célébrités"/>
        <s v="Philologists"/>
        <s v="Courts and courtiers"/>
        <s v="Japan"/>
        <s v="Buddhism"/>
        <s v="Manshu"/>
        <s v="Shunjū kokuryōden"/>
        <s v="Biographies"/>
        <s v="Manuscripts, Japanese"/>
        <s v="Nihon shisō-Rekishi-Benran"/>
        <s v="Chūgokugaku"/>
        <s v="Civil society"/>
        <s v="Paekche (Kingdom)"/>
        <s v="Social conditions"/>
        <s v="Cinéma"/>
        <s v="Fiction"/>
        <s v="Hyakkaten-Rekishi"/>
        <s v="Music and transnationalism"/>
        <s v="Animals"/>
        <s v="Domestic fiction"/>
        <s v="Maruki, Iri, 1901-1995"/>
        <s v="theater (discipline)"/>
        <s v="Dramatists, Japanese"/>
        <s v="Guerre dans l'art"/>
        <s v="Legends"/>
        <s v="1926-1989"/>
        <s v="Antiquities"/>
        <s v="Silla (Kingdom)"/>
        <s v="Diplomatic relations"/>
        <s v="Tokugawa (Famille)"/>
        <s v="Chūgoku bungaku-Meibo"/>
        <s v="Chōsen"/>
        <s v="Medicine, Chinese Traditional"/>
        <s v="Confucius. Chun qiu"/>
        <s v="Komonjogaku"/>
        <s v="Bibliographies"/>
        <s v="Catalogs"/>
        <s v="Nihon-Rekishi-Kinsei-Jiten"/>
        <s v="Intellectual life"/>
        <s v="Handbooks and manuals"/>
        <s v="Grammatik"/>
        <s v="Tōkyōto-Rekishi"/>
        <s v="Jōhō kensaku"/>
        <s v="Korea"/>
        <s v="Japanese language materials"/>
        <s v="Psychological fiction"/>
        <s v="2000-2099"/>
        <s v="Travail"/>
        <s v="Usines"/>
        <s v="Maruki, Toshi, 1912-2000"/>
        <s v="寺山修司, 1936-1983"/>
        <s v="Actors"/>
        <s v="Translations (form)"/>
        <s v="Bombe atomique dans l'art"/>
        <s v="Naniwanomiya"/>
        <s v="Readers (Publications)"/>
        <s v="Wakayama-ken (Japan)"/>
        <s v="Femmes botanistes"/>
        <s v="International relations"/>
        <s v="Directory"/>
        <s v="Kangakusha"/>
        <s v="Toyoshi --"/>
        <s v="Gongyang, Gao. Gongyang zhuan"/>
        <s v="Komonjo-Jiten"/>
        <s v="Klassisches Japanisch"/>
        <s v="Nihon-Rekishi-Edo jidai"/>
        <s v="Intānetto"/>
        <s v="LITERARY CRITICISM / Asian / Japanese"/>
        <s v="Asia"/>
        <s v="Poissons tropicaux"/>
        <s v="Relations industrielles"/>
        <s v="Terayama, Shūji, 1936-1983"/>
        <s v="Poems (texts)"/>
        <s v="Tojō"/>
        <s v="中国思想; 書目.; シナ学; 書目"/>
        <s v="Nengo"/>
        <s v="Guliang, Chi. Guliang zhuan"/>
        <s v="Livres anciens"/>
        <s v="1600-1868"/>
        <s v="Takizawa, Bakin, 1767-1848"/>
        <s v="Registers (Lists)"/>
        <s v="Criticism, interpretation, etc"/>
        <s v="難波宮 (Osaka, Japan)"/>
        <s v="collective biographies"/>
        <s v="Sources"/>
        <s v="Chugoku"/>
        <s v="Nihon bungaku-Rekishi-Edo jidai"/>
        <s v="Chun qiu (Confucius)"/>
        <s v="Bibliographie"/>
        <s v="Kōda, Rohan, 1867-1947"/>
        <s v="Posutā-Rekishi"/>
        <s v="1600-1899"/>
        <s v="Romans psychologiques"/>
        <s v="Exhibition catalogs"/>
        <s v="1900-1999"/>
        <s v="Setsuwa bungaku-Sakuin"/>
        <s v="Naniwa Kyū (Osaka, Japan)"/>
        <s v="Toyo igaku"/>
        <s v="Ruisho"/>
        <s v="Gongyang zhuan (Gongyang, Gao)"/>
        <s v="Encyclopedias"/>
        <s v="Mori, Ōgai, 1862-1922"/>
        <s v="Catalog"/>
        <s v="United States"/>
        <s v="1800-1999"/>
        <s v="Romans familiaux"/>
        <s v="Exhibition, pictorial works"/>
        <s v="丸木位里, 1901-1995. 原爆の図. 丸木俊, 1912-2000. 原爆の図"/>
        <s v="Index"/>
        <s v="To 1500"/>
        <s v="Chosen"/>
        <s v="Tōyō igaku-Shoshi"/>
        <s v="Adaptations"/>
        <s v="Guliang zhuan (Guliang, Chi)"/>
        <s v="Takabatake, Ransen, 1838-1885"/>
        <s v="catalogs (documents)"/>
        <s v="Korea (South)"/>
        <s v="Maruki, Iri, 1901-1995. Genbaku no zu"/>
        <s v="indexes (reference sources)"/>
        <s v="新羅 (Kingdom); Antiquities"/>
        <s v="Biobibliography"/>
        <s v="To 1868"/>
        <s v="Nagai, Kafū, 1879-1959"/>
        <s v="Satirical literature"/>
        <s v="Maruki, Toshi, 1912-2000. Genbaku no zu"/>
        <s v="Ishikawa, Jun, 1899-1987"/>
        <s v="Humorous fiction"/>
        <s v="Hiroshima-shi (Japan)"/>
        <s v="Interviews"/>
        <s v="Illustrated works"/>
        <s v="Romance fiction"/>
        <s v="Art"/>
        <s v="Catalogues"/>
        <s v="Japanisch"/>
        <s v="Nouvelles"/>
        <s v="Pictorial works"/>
        <s v="Literatur"/>
        <s v="広島市 (Japan); In art.; 広島市 (Japan); History; Bombardment, 1945; Pictorial works"/>
        <s v="Geschichte"/>
        <s v="Tokyo (Japan)"/>
        <s v="Tōkyō (Japon)"/>
        <s v="Nagasaki-shi (Japan)"/>
        <s v="Methodology"/>
        <s v="Meiji period, 1868-1912"/>
        <s v="Romans, nouvelles, etc"/>
        <s v="Personnel"/>
        <s v="Exhibitions"/>
        <s v="Study and teaching"/>
        <s v="Criticism and interpretation"/>
        <s v="Cursive writing"/>
        <s v="Chinese influences"/>
        <s v="Japon"/>
        <s v="Rekishi"/>
        <s v="Employees"/>
        <s v="Aesthetics"/>
        <s v="Shoshi"/>
        <s v="Court and courtiers"/>
        <s v="Méthodologie"/>
        <s v="Social life and customs"/>
        <s v="historia"/>
        <s v="Meiji period"/>
        <s v="In art"/>
        <s v="Expertising"/>
        <s v="Hiroshima-shi"/>
        <s v="Bio-bibliography"/>
        <s v="Mœurs et coutumes"/>
        <s v="Dictionaries. Japanese"/>
        <s v="Tokyo"/>
        <s v="Nagasaki-shi"/>
        <s v="Jisho"/>
        <s v="Japanese"/>
        <s v="History and criticism"/>
        <s v="Handbooks, manuals, etc"/>
        <s v="Zhu shi"/>
        <s v="Lexicography"/>
        <s v="Management"/>
        <s v="Tokugawa period, 1600-1868"/>
        <s v="Edo jidai"/>
        <s v="lexikon"/>
        <s v="Bombardment, 1945"/>
        <s v="Edojidai"/>
        <s v="20th century"/>
        <s v="Art and the war"/>
        <s v="Benran"/>
        <s v="21st century" u="1"/>
        <s v="Production and direction" u="1"/>
        <s v="Jinmeijiten" u="1"/>
        <s v="Particles" u="1"/>
        <s v="Shomoku" u="1"/>
        <s v="Juvenile fiction" u="1"/>
        <s v="Esthétique" u="1"/>
        <s v="Imprints" u="1"/>
        <s v="Bombings" u="1"/>
        <s v="1868-1912" u="1"/>
        <s v="Tang shi" u="1"/>
        <s v="Edo-Zeit" u="1"/>
        <s v="Shoshigaku-Rekishi" u="1"/>
        <s v="Kokusho sōmokuroku" u="1"/>
        <s v="Edo period" u="1"/>
        <s v="Ci yu" u="1"/>
        <s v="Densetsu" u="1"/>
        <s v="Cataloging" u="1"/>
        <s v="Printing" u="1"/>
        <s v="Grammar, Classical" u="1"/>
        <s v="Shakai" u="1"/>
        <s v="To 1600" u="1"/>
        <s v="Tang dynasty, 618-907" u="1"/>
        <s v="Geschichte 1868-1912" u="1"/>
        <s v="Kuge" u="1"/>
        <s v="Literature, Modern" u="1"/>
        <s v="Shoshigaku-Jiten" u="1"/>
        <s v="Xi xiang ji" u="1"/>
        <s v="Questioning" u="1"/>
        <s v="Waka" u="1"/>
        <s v="Novels" u="1"/>
        <s v="Edo period, 1600-1868" u="1"/>
        <s v="Waka-Sahō-Jiten" u="1"/>
        <s v="Shui hu zhuan" u="1"/>
        <s v="Translations into English" u="1"/>
        <s v="Chūgoku shisō-Benran" u="1"/>
        <s v="Wörterbuch" u="1"/>
        <s v="Liu, Xiang, 77 B.C.-6 B.C" u="1"/>
        <s v="puppies" u="1"/>
        <s v="Police" u="1"/>
        <s v="Chugoku shiso" u="1"/>
        <s v="Meibo" u="1"/>
        <s v="Bukkyō-Jiten" u="1"/>
        <s v="Japanese philology" u="1"/>
        <s v="Words, New" u="1"/>
        <s v="Investigation" u="1"/>
        <s v="Nihon-Rekishi-Edo jidai-Benran" u="1"/>
        <s v="Dictionary" u="1"/>
        <s v="618-907" u="1"/>
        <s v="Dysfunctional families" u="1"/>
        <s v="Chinese poetry" u="1"/>
        <s v="Female friendship" u="1"/>
        <s v="Literature, Medieval" u="1"/>
        <s v="Utamakura" u="1"/>
        <s v="Conversation and phrase books" u="1"/>
        <s v="Chūgokushisō" u="1"/>
        <s v="Tang Dynasty (China)" u="1"/>
        <s v="Television quiz shows" u="1"/>
        <s v="Thrillers (Fiction)" u="1"/>
        <s v="Néologismes" u="1"/>
        <s v="Young women" u="1"/>
        <s v="Scholars" u="1"/>
        <s v="Gairaigo" u="1"/>
        <s v="人名辞典-日本.; 武士.; 日本; 伝記; 辞書.; 日本; 歴史; 江戸時代" u="1"/>
        <s v="Encyclopedias and dictionaries" u="1"/>
        <s v="Translating and interpreting" u="1"/>
        <s v="中國詩.; 唐代" u="1"/>
        <s v="日本" u="1"/>
        <s v="Bunpō" u="1"/>
        <s v="Chugokugaku" u="1"/>
        <s v="Honʼyaku iin shachū Japan" u="1"/>
        <s v="Chugokushiso"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359.485962268518" createdVersion="8" refreshedVersion="8" minRefreshableVersion="3" recordCount="352" xr:uid="{BE117315-8B33-4BA4-AC4C-BA9A19684448}">
  <cacheSource type="worksheet">
    <worksheetSource ref="B1:B1048576" sheet="s-Series"/>
  </cacheSource>
  <cacheFields count="1">
    <cacheField name="Source - ST (RE)" numFmtId="0">
      <sharedItems containsBlank="1" containsMixedTypes="1" containsNumber="1" containsInteger="1" minValue="0" maxValue="0" count="52">
        <s v="Key issues in Asian studies"/>
        <s v="n/a"/>
        <s v="Han'guk Mokkan Hakhoe ch'ongsŏ"/>
        <s v="Charyo ch'ongsŏ"/>
        <s v="Kōdansha gakujutsu bunko"/>
        <s v="Kinsei bungaku kenkyū sōsho"/>
        <s v="Kenbun sensho"/>
        <s v="Shirīzu Nihonjin no tenarai"/>
        <s v="Iwanami bunko"/>
        <s v="NHK bukkusu"/>
        <s v="Nihon Shoshigaku Taikei"/>
        <s v="Kōdansha Sensho Mechie"/>
        <s v="Tōyō bunko"/>
        <s v="Iwanami gendai bunko"/>
        <s v="Kansai daigaku tōzai gakujutsu kenkyūjo shiryō shūkan"/>
        <s v="Chikuma gakugei bunko"/>
        <s v="Kadokawa sofia bunko"/>
        <s v="Societas Koreana"/>
        <s v="Early Korea Project occasional series"/>
        <s v="Kadokawa bunko"/>
        <s v="Nihongo yomu yomu bunko"/>
        <s v="Moon country Korean poetry series"/>
        <s v="Chūkō bunko"/>
        <s v="New directions paperbook"/>
        <s v="Aoki bunko"/>
        <s v="Senchuri bukkusu"/>
        <s v="Cambridge companions to music"/>
        <s v="Sŏnggyun Han'gugŏ Munhak ch'ongsŏ"/>
        <n v="0"/>
        <s v="Kugŏsa taegye"/>
        <s v="Han'guk ŏnŏ, munhak, munhwa ch'ongsŏ"/>
        <s v="Manga kenkyū"/>
        <s v="Kodansha bunko"/>
        <s v="David A"/>
        <s v="Brill's Korean studies library"/>
        <s v="Trends in linguistics"/>
        <s v="Kokushi taikei (Shintei zōho : 1998) ;vdai 58-60, 62-kan"/>
        <s v="Yŏksa sok e sara innŭn inʼgan tʿamgu"/>
        <s v="Inmun kwahak yŏn'gu ch'ongsŏ"/>
        <s v="Chisik ŭl Mandŭnŭn Chisik kojŏn sŏnjip"/>
        <s v="Inmun yŏnʼgu nonjip"/>
        <s v="Kang, Kir-un"/>
        <s v="Hanʼguk Kodae Sahoe Yŏnʼguso saryo chʿongsŏ"/>
        <s v="Takaokashi Man'yō Rekishikan Sōsho"/>
        <s v="Han'gugŏ munhak taegye"/>
        <s v="Akita bunko"/>
        <s v="Asahi junia shirizu"/>
        <s v="New studies in modern Japan"/>
        <s v="Asia past &amp; present"/>
        <s v="Language, writing and literary culture in the sinographic cosmopolis"/>
        <s v="Yŏksa sok e sara innŭn inʼgan tʿamgu ;; 38"/>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359.485962615741" createdVersion="8" refreshedVersion="8" minRefreshableVersion="3" recordCount="2000" xr:uid="{733520C1-8C91-49A7-A229-A80ED98DAAAB}">
  <cacheSource type="worksheet">
    <worksheetSource ref="R1:R1048576" sheet="s-Series"/>
  </cacheSource>
  <cacheFields count="1">
    <cacheField name="Source - ST (N)" numFmtId="0">
      <sharedItems containsBlank="1" containsMixedTypes="1" containsNumber="1" containsInteger="1" minValue="0" maxValue="0" count="39">
        <s v="n/a"/>
        <s v="한국목간학회총서"/>
        <s v="자료총서"/>
        <s v="講談社学術文庫"/>
        <s v="近世文学研究叢書"/>
        <s v="研文選書"/>
        <s v="シリーズ日本人の手習い"/>
        <s v="岩波文庫"/>
        <s v="NHKブックス"/>
        <s v="日本書誌学大系"/>
        <s v="講談社選書メチエ"/>
        <s v="東洋文庫"/>
        <s v="岩波現代文庫"/>
        <s v="関西大学東西学術研究所資料集刊"/>
        <s v="ちくま学芸文庫"/>
        <s v="角川ソフィア文庫"/>
        <s v="角川文庫"/>
        <s v="にほんごよむよむ文庫"/>
        <s v="中公文庫"/>
        <s v="青木文庫"/>
        <s v="Century Books. 人と作品"/>
        <s v="성균 한국어문학 총서"/>
        <n v="0"/>
        <s v="국어사대계"/>
        <s v="한국 언어, 문학, 문화 총서"/>
        <s v="マンガ研究"/>
        <s v="講談社文庫"/>
        <s v="国史大系ei zōho : 1998) ; 第 58-60, 62卷"/>
        <s v="역사 속 에 살아 있는 인간 탐구"/>
        <s v="인문 과학 연구 총서"/>
        <s v="지식 을 만드는 지식 고전 선집"/>
        <s v="人文研究論集"/>
        <s v="姜 吉云. Works. 2002"/>
        <s v="韓國古代社會硏究所史料叢書; 2. 韓國古代社會硏究所史料叢書 ; 3"/>
        <s v="高岡市萬葉歴史館叢書"/>
        <s v="韓國語文學大系"/>
        <s v="秋田文庫"/>
        <s v="朝日ジュニアシリーズ"/>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359.488759143518" createdVersion="8" refreshedVersion="8" minRefreshableVersion="3" recordCount="340" xr:uid="{D9A36F74-5D5A-4A73-9898-51DF7AD69759}">
  <cacheSource type="worksheet">
    <worksheetSource name="Orders"/>
  </cacheSource>
  <cacheFields count="38">
    <cacheField name="PO#" numFmtId="49">
      <sharedItems containsBlank="1"/>
    </cacheField>
    <cacheField name="Priority / Rush" numFmtId="49">
      <sharedItems containsBlank="1"/>
    </cacheField>
    <cacheField name="Requester" numFmtId="49">
      <sharedItems containsBlank="1"/>
    </cacheField>
    <cacheField name="To Circ for Pickup" numFmtId="49">
      <sharedItems containsBlank="1"/>
    </cacheField>
    <cacheField name="Prof. Dev Funds?" numFmtId="49">
      <sharedItems containsBlank="1"/>
    </cacheField>
    <cacheField name="Pref. Vendor" numFmtId="49">
      <sharedItems containsBlank="1"/>
    </cacheField>
    <cacheField name="Note for Acq" numFmtId="49">
      <sharedItems containsBlank="1"/>
    </cacheField>
    <cacheField name="URL for Price Check" numFmtId="49">
      <sharedItems containsBlank="1" longText="1"/>
    </cacheField>
    <cacheField name="Collection" numFmtId="49">
      <sharedItems containsBlank="1" count="16">
        <s v="norst"/>
        <s v="asnst"/>
        <s v="asnref"/>
        <s v="need to see"/>
        <s v="dupe"/>
        <s v="web"/>
        <m/>
        <s v="norref"/>
        <s v="dvd?"/>
        <s v="n/a"/>
        <s v="see note"/>
        <s v="1"/>
        <s v="2"/>
        <s v="ebook"/>
        <s v="dupe?" u="1"/>
        <s v="asnsref" u="1"/>
      </sharedItems>
    </cacheField>
    <cacheField name="Volume" numFmtId="49">
      <sharedItems containsBlank="1" containsMixedTypes="1" containsNumber="1" containsInteger="1" minValue="1" maxValue="18"/>
    </cacheField>
    <cacheField name="上中下" numFmtId="49">
      <sharedItems containsNonDate="0" containsString="0" containsBlank="1"/>
    </cacheField>
    <cacheField name="Issue" numFmtId="49">
      <sharedItems containsNonDate="0" containsString="0" containsBlank="1"/>
    </cacheField>
    <cacheField name="Total_x000a_Vols." numFmtId="49">
      <sharedItems containsBlank="1"/>
    </cacheField>
    <cacheField name="Dupe_x000a_ISBN_x000a_Check" numFmtId="0">
      <sharedItems containsBlank="1"/>
    </cacheField>
    <cacheField name="Dupe_x000a_Title_x000a_Check" numFmtId="0">
      <sharedItems containsBlank="1"/>
    </cacheField>
    <cacheField name="Dupe Check in WC / FS" numFmtId="49">
      <sharedItems containsBlank="1"/>
    </cacheField>
    <cacheField name="Libraries with Item" numFmtId="49">
      <sharedItems containsBlank="1"/>
    </cacheField>
    <cacheField name="ISBN13#/_x000a_ISSN#" numFmtId="1">
      <sharedItems containsBlank="1" containsMixedTypes="1" containsNumber="1" containsInteger="1" minValue="897878122" maxValue="9791198216113"/>
    </cacheField>
    <cacheField name="ISBN10#/_x000a_ISSN#" numFmtId="49">
      <sharedItems containsBlank="1"/>
    </cacheField>
    <cacheField name="OCLC#" numFmtId="1">
      <sharedItems containsBlank="1" containsMixedTypes="1" containsNumber="1" containsInteger="1" minValue="4341823" maxValue="1411815810"/>
    </cacheField>
    <cacheField name="Language" numFmtId="49">
      <sharedItems containsBlank="1"/>
    </cacheField>
    <cacheField name="Translated Title (Unofficial)" numFmtId="49">
      <sharedItems containsBlank="1"/>
    </cacheField>
    <cacheField name="Title (R/E)" numFmtId="0">
      <sharedItems containsBlank="1"/>
    </cacheField>
    <cacheField name="Title (N)" numFmtId="49">
      <sharedItems containsBlank="1"/>
    </cacheField>
    <cacheField name="Pub Date (RE)" numFmtId="49">
      <sharedItems containsBlank="1" containsMixedTypes="1" containsNumber="1" containsInteger="1" minValue="1969" maxValue="2023" count="75">
        <s v="2023"/>
        <n v="2023"/>
        <s v="2019"/>
        <s v="1976-1978"/>
        <s v="1986-1987"/>
        <s v="1983"/>
        <s v="1987- "/>
        <s v="1978- "/>
        <s v="1988"/>
        <s v="1975"/>
        <s v="1963"/>
        <s v="1991"/>
        <s v="1992"/>
        <s v="1966"/>
        <s v="1979"/>
        <s v="1979- "/>
        <s v="1999"/>
        <s v="2001"/>
        <s v="2002"/>
        <s v="2003"/>
        <s v="2005"/>
        <s v="2006"/>
        <s v="2007"/>
        <s v="1989"/>
        <s v="2010"/>
        <s v="1981"/>
        <s v="1969"/>
        <s v="1987"/>
        <s v="1996"/>
        <s v="1997"/>
        <s v="1995"/>
        <s v="1980"/>
        <s v="2011"/>
        <s v="2013"/>
        <s v="2014"/>
        <s v="2015"/>
        <s v="1979-1981"/>
        <s v="1978"/>
        <s v="2018"/>
        <s v="2012"/>
        <s v="2020"/>
        <s v="2021"/>
        <s v="2017-2019"/>
        <s v="2004"/>
        <s v="2017"/>
        <s v="2022"/>
        <s v="2017-"/>
        <s v="2009-"/>
        <s v="2020-"/>
        <s v="1993"/>
        <s v="1959"/>
        <s v="1982"/>
        <s v="1952"/>
        <n v="2022"/>
        <s v="2024"/>
        <s v="2001-"/>
        <s v="1998"/>
        <s v="2008"/>
        <s v="1972"/>
        <s v="2002-"/>
        <s v="1998-2005"/>
        <s v="1974"/>
        <s v="2022-"/>
        <s v="2000"/>
        <s v="1984"/>
        <s v="1985"/>
        <s v="2009"/>
        <m/>
        <n v="2003" u="1"/>
        <n v="2013" u="1"/>
        <n v="1999" u="1"/>
        <n v="2021" u="1"/>
        <n v="1969" u="1"/>
        <n v="2007" u="1"/>
        <n v="2019" u="1"/>
      </sharedItems>
    </cacheField>
    <cacheField name="Pub Date (N)" numFmtId="49">
      <sharedItems containsBlank="1"/>
    </cacheField>
    <cacheField name="Creator (R/E)" numFmtId="49">
      <sharedItems containsBlank="1" longText="1"/>
    </cacheField>
    <cacheField name="Creator (N)" numFmtId="49">
      <sharedItems containsBlank="1" longText="1"/>
    </cacheField>
    <cacheField name="Series (R/E)" numFmtId="49">
      <sharedItems containsBlank="1"/>
    </cacheField>
    <cacheField name="Series (N)" numFmtId="49">
      <sharedItems containsBlank="1"/>
    </cacheField>
    <cacheField name="Publisher (R/E)" numFmtId="49">
      <sharedItems containsBlank="1" count="142">
        <s v="Association For Asian Studies"/>
        <s v="Kyemyŏng Taehakkyo Ch'ulp'anbu"/>
        <s v="Churyusŏng"/>
        <s v="Hagyŏn Munhwasa"/>
        <s v="Tongbuga Yŏksa Chaedan"/>
        <s v="Kokusho Kankōkai"/>
        <s v="Benseisha"/>
        <s v="Shin Jinbutsu Ōraisha"/>
        <s v="Kōdansha"/>
        <s v="Yoshikawa Kōbunkan"/>
        <s v="Shibunkaku Shuppan"/>
        <s v="Kyūko Shoin"/>
        <s v="Iwanami Shoten"/>
        <s v="Shibunkaku Shuppsn"/>
        <s v="Hōzōkan"/>
        <s v="Kashiwa Shobō"/>
        <s v="Taishūkan Shoten"/>
        <s v="Wakakusa Shobō"/>
        <s v="Kenbun Shuppan"/>
        <s v="Kōbundō"/>
        <s v="Hatsubaimoto Kinokuniya Shoten"/>
        <s v="Nippon Hōsō Shuppan Ky{229]okai"/>
        <s v="Bensei Shuppan"/>
        <s v="Seishodō Shoten"/>
        <s v="n/a"/>
        <s v="Ariake Shobō"/>
        <s v="Yūzankaku Shuppan"/>
        <s v="Heirakuji Shoten"/>
        <s v="Hōyū Shoten"/>
        <s v="Meiji Shoin"/>
        <s v="Hōyūshoten"/>
        <s v="Heibonsha"/>
        <s v="Tōkyōdō Shuppan"/>
        <s v="Izumi Shoin"/>
        <s v="Kabushiki Kaisha Yūzankaku"/>
        <s v="Kōseisha"/>
        <s v="Kansai Daigaku Shuppan"/>
        <s v="Meicho Kankōkai"/>
        <s v="Chikuma Shobō"/>
        <s v="Bungaku Tsūshin"/>
        <s v="Kōbun Shuppan"/>
        <s v="Kadokawa"/>
        <s v="Academy Of Korean Studies Press"/>
        <s v="Early Korea Project"/>
        <s v="Gungnip Gyeongju Bangmulgwan"/>
        <s v="Kadokawa Shoten"/>
        <s v="Black Ocean"/>
        <s v="Chūō Kōron Shinsha"/>
        <s v="Taishūkanshoten"/>
        <s v="Kungnip Kyŏngju Pangmulgwan"/>
        <s v="Dōseisha"/>
        <s v="Yumani Shobō"/>
        <s v="Seibundō"/>
        <s v="Gracewing"/>
        <s v="Niji Shobō"/>
        <s v="Riburopōto"/>
        <s v="Shinpyōsha"/>
        <s v="New Direction Books"/>
        <s v="Seidosha"/>
        <s v="Aoki Shoten"/>
        <s v="Shinchōsha"/>
        <s v="New Directions"/>
        <s v="Hakusuisha"/>
        <s v="Kokubunsha"/>
        <s v="Genbaku No Zu Maruki Bijutsukan"/>
        <s v="Cambridge University Press"/>
        <s v="Shōgakukan"/>
        <s v="Pukt'ori"/>
        <s v="Pangmunsa"/>
        <s v="Kŏbugi Puksŭ"/>
        <s v="Hunmin Chŏngŭm"/>
        <s v="Chimmundang"/>
        <s v="T'aehaksa"/>
        <s v="Mimunsa"/>
        <s v="Pogosa"/>
        <s v="Yŏngnak"/>
        <s v="Futabasha"/>
        <s v="Popurasha"/>
        <s v="Nihonmangagakkai"/>
        <s v="Oxford University Press"/>
        <s v="University Of Florida Press"/>
        <s v="Somyong Pub."/>
        <s v="Brill"/>
        <s v="De Gruyter Mouton"/>
        <s v="Bloomsbury Academic"/>
        <s v="Columbia University Press"/>
        <s v="Kungnip Kyŏngju Munhwajae Yŏn'guso"/>
        <s v="Chisik Sanŏpsa"/>
        <s v="Churyusŏng"/>
        <s v="Pagijŏng"/>
        <s v="Yŏngnam Taehakkyo Ch'ulp'anbu"/>
        <s v="Chisik Ŭl Mandŭnŭn Chisik"/>
        <s v="Sŏgang Taehakkyo Inmun Kwahak Yŏn'guso"/>
        <s v="Han'guk Munhwasa"/>
        <s v="Karakkuk Sajŏk Kaebal Yŏn'guwŏn"/>
        <s v="Women Make Movies"/>
        <s v="Hatsubaimoto Kadokawa Gurūpu Paburisshingu"/>
        <s v="Takaoka Shimin Bunka Shinkō Jigyōdan Takaokashi Man'yō Rekishikan"/>
        <s v="Ch'ŏngmyŏng Munhwa Chaedan"/>
        <s v="Ihoe Munhwasa"/>
        <s v="Hyŏngsŏl Ch'ulp'ansa"/>
        <s v="Minŭmsa"/>
        <s v="Munyewŏn"/>
        <s v="Chogyejong Ch'ulp'ansa"/>
        <s v="Pungnaep"/>
        <s v="Munhwa Ch'eyuk Kwan'gwangbu Kungnip Kugŏwŏn"/>
        <s v="Kong &amp; Park"/>
        <s v="Ep'isŭt'eme"/>
        <s v="Kyŏngin Munhwasa"/>
        <s v="Arimal"/>
        <s v="Chisik ŭl Mandŭnŭn Chisik"/>
        <s v="Choŭn Ttang"/>
        <s v="Sŏul Taehakkyo Ch'ulp'an Munhwawŏn"/>
        <s v="Akita Shoten"/>
        <s v="Asahi Shinbun Shuppan"/>
        <s v="Lexington Books"/>
        <s v="Nonhyŏng"/>
        <s v="Assn For Asian Studies"/>
        <s v="Cambridge Scholars Publishing"/>
        <s v="University Of Hawaiʻi Press"/>
        <s v="Asuku Shuppan"/>
        <s v="Martino Pub."/>
        <s v="Distributed By Random House"/>
        <s v="Henry Holt &amp; Co."/>
        <s v="Holt"/>
        <s v="Ronsōsha"/>
        <s v="Princeton University Press"/>
        <s v="Shūfūsha"/>
        <m/>
        <s v="Time-life Books" u="1"/>
        <s v="Rinsen Shoten" u="1"/>
        <s v="Sekai Seiten Kankō Kyōkai" u="1"/>
        <s v="青木書店" u="1"/>
        <s v="test" u="1"/>
        <s v="Azuma Shuppan" u="1"/>
        <s v="Tōkyō Daigaku Shuppankai" u="1"/>
        <s v="ztest" u="1"/>
        <s v="Bungei Shunjū" u="1"/>
        <s v="Kasama Shoin" u="1"/>
        <s v="Kadokawa Gakugei Shuppan" u="1"/>
        <s v="Anhui Da Xue Chu Ban She" u="1"/>
        <s v="Tōkyō Shoseki" u="1"/>
      </sharedItems>
    </cacheField>
    <cacheField name="Publisher (N)" numFmtId="49">
      <sharedItems containsBlank="1" count="100">
        <s v="n/a"/>
        <s v="啓明大學校 出版部"/>
        <s v="주류성"/>
        <s v="學硏文化社"/>
        <s v="동북아역사재단"/>
        <s v="国書刊行会"/>
        <s v="勉誠社"/>
        <s v="新人物往来社"/>
        <s v="講談社"/>
        <s v="吉川弘文館"/>
        <s v="思文閣出版"/>
        <s v="汲古書院"/>
        <s v="岩波書店"/>
        <s v="法藏館"/>
        <s v="柏書房"/>
        <s v="大修館書店"/>
        <s v="若草書房"/>
        <s v="研文出版"/>
        <s v="弘文堂"/>
        <s v="発売元紀伊國屋書店"/>
        <s v="日本放送出版協会"/>
        <s v="勉誠出版"/>
        <s v="青裳堂書店"/>
        <s v="名著普及会"/>
        <s v="有明書房"/>
        <s v="山本書店出版部研文出版"/>
        <s v="雄山閣出版"/>
        <s v="平楽寺書店"/>
        <s v="朋友書店"/>
        <s v="長沢規矩也先生喜寿記念会"/>
        <s v="明治書院"/>
        <s v="平凡社"/>
        <s v="東京堂出版"/>
        <s v="和泉書院"/>
        <s v="雄山閣"/>
        <s v="皓星社"/>
        <s v="関西大学出版"/>
        <s v="名長官公開"/>
        <s v="筑摩書房"/>
        <s v="好文出版"/>
        <s v="KADOKAWA"/>
        <s v="국립경주박물관"/>
        <s v="ゆまに書房"/>
        <s v="清文堂"/>
        <s v="リブロポ-ト"/>
        <s v="新評社"/>
        <s v="青土社"/>
        <s v="青木書店"/>
        <s v="新潮社"/>
        <s v="清水書院"/>
        <s v="白水社"/>
        <s v="国文社"/>
        <s v="小学館"/>
        <s v="북토리"/>
        <s v="박문사"/>
        <s v="거북이북스"/>
        <s v="훈민정음"/>
        <s v="集文堂"/>
        <s v="太學社"/>
        <s v="미문사"/>
        <s v="보고사"/>
        <s v="亦樂"/>
        <s v="双葉社"/>
        <s v="ポプラ社"/>
        <s v="日本マンガ学会"/>
        <s v="소명 Pub."/>
        <s v="박이정"/>
        <s v="西江 大學校 人文 科學 研究所"/>
        <s v="한국 문화사"/>
        <s v="駕洛國史蹟開發硏究院"/>
        <s v="発売元角川グループパブリッシング"/>
        <s v="高岡市民文化振興事業団高岡市万葉歴史館"/>
        <s v="靑溟 文化 財團"/>
        <s v="以會 文化社"/>
        <s v="螢雪出版社"/>
        <s v="민음사"/>
        <s v="문예원"/>
        <s v="조계종출판사"/>
        <s v="북랩"/>
        <s v="에피스테메"/>
        <s v="景仁文化社"/>
        <s v="韓國文化社"/>
        <s v="아리말"/>
        <s v="지식을만드는지식"/>
        <s v="좋은땅"/>
        <s v="서울대학교출판문화원"/>
        <s v="朝日新聞出版"/>
        <s v="アスク出版"/>
        <s v="柊風舎"/>
        <s v="横山吉原家"/>
        <m/>
        <s v="臨川書店" u="1"/>
        <s v="文藝春秋" u="1"/>
        <s v="世界聖典刋行協會" u="1"/>
        <s v="東京大学出版会" u="1"/>
        <s v="ztest" u="1"/>
        <s v="東出版" u="1"/>
        <s v="角川学芸出版" u="1"/>
        <s v="笠間書院" u="1"/>
        <s v="東京書籍" u="1"/>
      </sharedItems>
    </cacheField>
    <cacheField name="Edition (RE)" numFmtId="49">
      <sharedItems containsBlank="1"/>
    </cacheField>
    <cacheField name="Edition (N)" numFmtId="49">
      <sharedItems containsBlank="1"/>
    </cacheField>
    <cacheField name="Subject Headings" numFmtId="49">
      <sharedItems containsBlank="1" longText="1"/>
    </cacheField>
    <cacheField name="USD Estimate" numFmtId="44">
      <sharedItems containsBlank="1" containsMixedTypes="1" containsNumber="1" minValue="0" maxValue="2244.66"/>
    </cacheField>
    <cacheField name="Currency" numFmtId="49">
      <sharedItems containsBlank="1"/>
    </cacheField>
    <cacheField name="Local Value Estimate" numFmtId="1">
      <sharedItems containsString="0" containsBlank="1" containsNumber="1" minValue="16.829999999999998" maxValue="330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359.488759953703" createdVersion="8" refreshedVersion="8" minRefreshableVersion="3" recordCount="500" xr:uid="{CEB44860-6220-46B8-A07C-B22E178F8DBA}">
  <cacheSource type="worksheet">
    <worksheetSource ref="N1:N1048576" sheet="s-Date"/>
  </cacheSource>
  <cacheFields count="1">
    <cacheField name="Dates Reformatted" numFmtId="0">
      <sharedItems containsString="0" containsBlank="1" containsNumber="1" containsInteger="1" minValue="1952" maxValue="2024" count="54">
        <n v="2023"/>
        <n v="2019"/>
        <n v="1976"/>
        <n v="1986"/>
        <n v="1983"/>
        <n v="1987"/>
        <n v="1978"/>
        <n v="1988"/>
        <n v="1975"/>
        <n v="1963"/>
        <n v="1991"/>
        <n v="1992"/>
        <n v="1966"/>
        <n v="1979"/>
        <n v="1999"/>
        <n v="2001"/>
        <n v="2002"/>
        <n v="2003"/>
        <n v="2005"/>
        <n v="2006"/>
        <n v="2007"/>
        <n v="1989"/>
        <n v="2010"/>
        <n v="1981"/>
        <n v="1969"/>
        <n v="1996"/>
        <n v="1997"/>
        <n v="1995"/>
        <n v="1980"/>
        <n v="2011"/>
        <n v="2013"/>
        <n v="2014"/>
        <n v="2015"/>
        <n v="2018"/>
        <n v="2012"/>
        <n v="2020"/>
        <n v="2021"/>
        <n v="2017"/>
        <n v="2004"/>
        <n v="2022"/>
        <n v="2009"/>
        <n v="1993"/>
        <n v="1959"/>
        <n v="1982"/>
        <n v="1952"/>
        <n v="2024"/>
        <n v="1998"/>
        <n v="2008"/>
        <n v="1972"/>
        <n v="1974"/>
        <n v="2000"/>
        <n v="1984"/>
        <n v="1985"/>
        <m/>
      </sharedItems>
      <fieldGroup base="0">
        <rangePr autoStart="0" autoEnd="0" startNum="0" endNum="3000" groupInterval="10"/>
        <groupItems count="302">
          <s v="&lt;0 or (blank)"/>
          <s v="0-9"/>
          <s v="10-19"/>
          <s v="20-29"/>
          <s v="30-39"/>
          <s v="40-49"/>
          <s v="50-59"/>
          <s v="60-69"/>
          <s v="70-79"/>
          <s v="80-89"/>
          <s v="90-99"/>
          <s v="100-109"/>
          <s v="110-119"/>
          <s v="120-129"/>
          <s v="130-139"/>
          <s v="140-149"/>
          <s v="150-159"/>
          <s v="160-169"/>
          <s v="170-179"/>
          <s v="180-189"/>
          <s v="190-199"/>
          <s v="200-209"/>
          <s v="210-219"/>
          <s v="220-229"/>
          <s v="230-239"/>
          <s v="240-249"/>
          <s v="250-259"/>
          <s v="260-269"/>
          <s v="270-279"/>
          <s v="280-289"/>
          <s v="290-299"/>
          <s v="300-309"/>
          <s v="310-319"/>
          <s v="320-329"/>
          <s v="330-339"/>
          <s v="340-349"/>
          <s v="350-359"/>
          <s v="360-369"/>
          <s v="370-379"/>
          <s v="380-389"/>
          <s v="390-399"/>
          <s v="400-409"/>
          <s v="410-419"/>
          <s v="420-429"/>
          <s v="430-439"/>
          <s v="440-449"/>
          <s v="450-459"/>
          <s v="460-469"/>
          <s v="470-479"/>
          <s v="480-489"/>
          <s v="490-499"/>
          <s v="500-509"/>
          <s v="510-519"/>
          <s v="520-529"/>
          <s v="530-539"/>
          <s v="540-549"/>
          <s v="550-559"/>
          <s v="560-569"/>
          <s v="570-579"/>
          <s v="580-589"/>
          <s v="590-599"/>
          <s v="600-609"/>
          <s v="610-619"/>
          <s v="620-629"/>
          <s v="630-639"/>
          <s v="640-649"/>
          <s v="650-659"/>
          <s v="660-669"/>
          <s v="670-679"/>
          <s v="680-689"/>
          <s v="690-699"/>
          <s v="700-709"/>
          <s v="710-719"/>
          <s v="720-729"/>
          <s v="730-739"/>
          <s v="740-749"/>
          <s v="750-759"/>
          <s v="760-769"/>
          <s v="770-779"/>
          <s v="780-789"/>
          <s v="790-799"/>
          <s v="800-809"/>
          <s v="810-819"/>
          <s v="820-829"/>
          <s v="830-839"/>
          <s v="840-849"/>
          <s v="850-859"/>
          <s v="860-869"/>
          <s v="870-879"/>
          <s v="880-889"/>
          <s v="890-899"/>
          <s v="900-909"/>
          <s v="910-919"/>
          <s v="920-929"/>
          <s v="930-939"/>
          <s v="940-949"/>
          <s v="950-959"/>
          <s v="960-969"/>
          <s v="970-979"/>
          <s v="980-989"/>
          <s v="990-999"/>
          <s v="1000-1009"/>
          <s v="1010-1019"/>
          <s v="1020-1029"/>
          <s v="1030-1039"/>
          <s v="1040-1049"/>
          <s v="1050-1059"/>
          <s v="1060-1069"/>
          <s v="1070-1079"/>
          <s v="1080-1089"/>
          <s v="1090-1099"/>
          <s v="1100-1109"/>
          <s v="1110-1119"/>
          <s v="1120-1129"/>
          <s v="1130-1139"/>
          <s v="1140-1149"/>
          <s v="1150-1159"/>
          <s v="1160-1169"/>
          <s v="1170-1179"/>
          <s v="1180-1189"/>
          <s v="1190-1199"/>
          <s v="1200-1209"/>
          <s v="1210-1219"/>
          <s v="1220-1229"/>
          <s v="1230-1239"/>
          <s v="1240-1249"/>
          <s v="1250-1259"/>
          <s v="1260-1269"/>
          <s v="1270-1279"/>
          <s v="1280-1289"/>
          <s v="1290-1299"/>
          <s v="1300-1309"/>
          <s v="1310-1319"/>
          <s v="1320-1329"/>
          <s v="1330-1339"/>
          <s v="1340-1349"/>
          <s v="1350-1359"/>
          <s v="1360-1369"/>
          <s v="1370-1379"/>
          <s v="1380-1389"/>
          <s v="1390-1399"/>
          <s v="1400-1409"/>
          <s v="1410-1419"/>
          <s v="1420-1429"/>
          <s v="1430-1439"/>
          <s v="1440-1449"/>
          <s v="1450-1459"/>
          <s v="1460-1469"/>
          <s v="1470-1479"/>
          <s v="1480-1489"/>
          <s v="1490-1499"/>
          <s v="1500-1509"/>
          <s v="1510-1519"/>
          <s v="1520-1529"/>
          <s v="1530-1539"/>
          <s v="1540-1549"/>
          <s v="1550-1559"/>
          <s v="1560-1569"/>
          <s v="1570-1579"/>
          <s v="1580-1589"/>
          <s v="1590-1599"/>
          <s v="1600-1609"/>
          <s v="1610-1619"/>
          <s v="1620-1629"/>
          <s v="1630-1639"/>
          <s v="1640-1649"/>
          <s v="1650-1659"/>
          <s v="1660-1669"/>
          <s v="1670-1679"/>
          <s v="1680-1689"/>
          <s v="1690-1699"/>
          <s v="1700-1709"/>
          <s v="1710-1719"/>
          <s v="1720-1729"/>
          <s v="1730-1739"/>
          <s v="1740-1749"/>
          <s v="1750-1759"/>
          <s v="1760-1769"/>
          <s v="1770-1779"/>
          <s v="1780-1789"/>
          <s v="1790-1799"/>
          <s v="1800-1809"/>
          <s v="1810-1819"/>
          <s v="1820-1829"/>
          <s v="1830-1839"/>
          <s v="1840-1849"/>
          <s v="1850-1859"/>
          <s v="1860-1869"/>
          <s v="1870-1879"/>
          <s v="1880-1889"/>
          <s v="1890-1899"/>
          <s v="1900-1909"/>
          <s v="1910-1919"/>
          <s v="1920-1929"/>
          <s v="1930-1939"/>
          <s v="1940-1949"/>
          <s v="1950-1959"/>
          <s v="1960-1969"/>
          <s v="1970-1979"/>
          <s v="1980-1989"/>
          <s v="1990-1999"/>
          <s v="2000-2009"/>
          <s v="2010-2019"/>
          <s v="2020-2029"/>
          <s v="2030-2039"/>
          <s v="2040-2049"/>
          <s v="2050-2059"/>
          <s v="2060-2069"/>
          <s v="2070-2079"/>
          <s v="2080-2089"/>
          <s v="2090-2099"/>
          <s v="2100-2109"/>
          <s v="2110-2119"/>
          <s v="2120-2129"/>
          <s v="2130-2139"/>
          <s v="2140-2149"/>
          <s v="2150-2159"/>
          <s v="2160-2169"/>
          <s v="2170-2179"/>
          <s v="2180-2189"/>
          <s v="2190-2199"/>
          <s v="2200-2209"/>
          <s v="2210-2219"/>
          <s v="2220-2229"/>
          <s v="2230-2239"/>
          <s v="2240-2249"/>
          <s v="2250-2259"/>
          <s v="2260-2269"/>
          <s v="2270-2279"/>
          <s v="2280-2289"/>
          <s v="2290-2299"/>
          <s v="2300-2309"/>
          <s v="2310-2319"/>
          <s v="2320-2329"/>
          <s v="2330-2339"/>
          <s v="2340-2349"/>
          <s v="2350-2359"/>
          <s v="2360-2369"/>
          <s v="2370-2379"/>
          <s v="2380-2389"/>
          <s v="2390-2399"/>
          <s v="2400-2409"/>
          <s v="2410-2419"/>
          <s v="2420-2429"/>
          <s v="2430-2439"/>
          <s v="2440-2449"/>
          <s v="2450-2459"/>
          <s v="2460-2469"/>
          <s v="2470-2479"/>
          <s v="2480-2489"/>
          <s v="2490-2499"/>
          <s v="2500-2509"/>
          <s v="2510-2519"/>
          <s v="2520-2529"/>
          <s v="2530-2539"/>
          <s v="2540-2549"/>
          <s v="2550-2559"/>
          <s v="2560-2569"/>
          <s v="2570-2579"/>
          <s v="2580-2589"/>
          <s v="2590-2599"/>
          <s v="2600-2609"/>
          <s v="2610-2619"/>
          <s v="2620-2629"/>
          <s v="2630-2639"/>
          <s v="2640-2649"/>
          <s v="2650-2659"/>
          <s v="2660-2669"/>
          <s v="2670-2679"/>
          <s v="2680-2689"/>
          <s v="2690-2699"/>
          <s v="2700-2709"/>
          <s v="2710-2719"/>
          <s v="2720-2729"/>
          <s v="2730-2739"/>
          <s v="2740-2749"/>
          <s v="2750-2759"/>
          <s v="2760-2769"/>
          <s v="2770-2779"/>
          <s v="2780-2789"/>
          <s v="2790-2799"/>
          <s v="2800-2809"/>
          <s v="2810-2819"/>
          <s v="2820-2829"/>
          <s v="2830-2839"/>
          <s v="2840-2849"/>
          <s v="2850-2859"/>
          <s v="2860-2869"/>
          <s v="2870-2879"/>
          <s v="2880-2889"/>
          <s v="2890-2899"/>
          <s v="2900-2909"/>
          <s v="2910-2919"/>
          <s v="2920-2929"/>
          <s v="2930-2939"/>
          <s v="2940-2949"/>
          <s v="2950-2959"/>
          <s v="2960-2969"/>
          <s v="2970-2979"/>
          <s v="2980-2989"/>
          <s v="2990-3000"/>
          <s v="&gt;30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r>
  <r>
    <x v="0"/>
  </r>
  <r>
    <x v="0"/>
  </r>
  <r>
    <x v="1"/>
  </r>
  <r>
    <x v="2"/>
  </r>
  <r>
    <x v="3"/>
  </r>
  <r>
    <x v="4"/>
  </r>
  <r>
    <x v="5"/>
  </r>
  <r>
    <x v="6"/>
  </r>
  <r>
    <x v="7"/>
  </r>
  <r>
    <x v="8"/>
  </r>
  <r>
    <x v="9"/>
  </r>
  <r>
    <x v="10"/>
  </r>
  <r>
    <x v="11"/>
  </r>
  <r>
    <x v="12"/>
  </r>
  <r>
    <x v="13"/>
  </r>
  <r>
    <x v="14"/>
  </r>
  <r>
    <x v="15"/>
  </r>
  <r>
    <x v="16"/>
  </r>
  <r>
    <x v="17"/>
  </r>
  <r>
    <x v="18"/>
  </r>
  <r>
    <x v="19"/>
  </r>
  <r>
    <x v="20"/>
  </r>
  <r>
    <x v="21"/>
  </r>
  <r>
    <x v="22"/>
  </r>
  <r>
    <x v="23"/>
  </r>
  <r>
    <x v="24"/>
  </r>
  <r>
    <x v="25"/>
  </r>
  <r>
    <x v="25"/>
  </r>
  <r>
    <x v="25"/>
  </r>
  <r>
    <x v="25"/>
  </r>
  <r>
    <x v="26"/>
  </r>
  <r>
    <x v="27"/>
  </r>
  <r>
    <x v="28"/>
  </r>
  <r>
    <x v="29"/>
  </r>
  <r>
    <x v="30"/>
  </r>
  <r>
    <x v="31"/>
  </r>
  <r>
    <x v="32"/>
  </r>
  <r>
    <x v="32"/>
  </r>
  <r>
    <x v="33"/>
  </r>
  <r>
    <x v="33"/>
  </r>
  <r>
    <x v="34"/>
  </r>
  <r>
    <x v="35"/>
  </r>
  <r>
    <x v="36"/>
  </r>
  <r>
    <x v="37"/>
  </r>
  <r>
    <x v="37"/>
  </r>
  <r>
    <x v="38"/>
  </r>
  <r>
    <x v="39"/>
  </r>
  <r>
    <x v="40"/>
  </r>
  <r>
    <x v="41"/>
  </r>
  <r>
    <x v="42"/>
  </r>
  <r>
    <x v="43"/>
  </r>
  <r>
    <x v="44"/>
  </r>
  <r>
    <x v="44"/>
  </r>
  <r>
    <x v="44"/>
  </r>
  <r>
    <x v="44"/>
  </r>
  <r>
    <x v="45"/>
  </r>
  <r>
    <x v="46"/>
  </r>
  <r>
    <x v="47"/>
  </r>
  <r>
    <x v="47"/>
  </r>
  <r>
    <x v="47"/>
  </r>
  <r>
    <x v="47"/>
  </r>
  <r>
    <x v="47"/>
  </r>
  <r>
    <x v="47"/>
  </r>
  <r>
    <x v="47"/>
  </r>
  <r>
    <x v="47"/>
  </r>
  <r>
    <x v="47"/>
  </r>
  <r>
    <x v="47"/>
  </r>
  <r>
    <x v="47"/>
  </r>
  <r>
    <x v="47"/>
  </r>
  <r>
    <x v="47"/>
  </r>
  <r>
    <x v="48"/>
  </r>
  <r>
    <x v="49"/>
  </r>
  <r>
    <x v="49"/>
  </r>
  <r>
    <x v="49"/>
  </r>
  <r>
    <x v="49"/>
  </r>
  <r>
    <x v="49"/>
  </r>
  <r>
    <x v="49"/>
  </r>
  <r>
    <x v="49"/>
  </r>
  <r>
    <x v="50"/>
  </r>
  <r>
    <x v="50"/>
  </r>
  <r>
    <x v="50"/>
  </r>
  <r>
    <x v="50"/>
  </r>
  <r>
    <x v="50"/>
  </r>
  <r>
    <x v="51"/>
  </r>
  <r>
    <x v="52"/>
  </r>
  <r>
    <x v="53"/>
  </r>
  <r>
    <x v="53"/>
  </r>
  <r>
    <x v="53"/>
  </r>
  <r>
    <x v="53"/>
  </r>
  <r>
    <x v="54"/>
  </r>
  <r>
    <x v="54"/>
  </r>
  <r>
    <x v="54"/>
  </r>
  <r>
    <x v="54"/>
  </r>
  <r>
    <x v="54"/>
  </r>
  <r>
    <x v="54"/>
  </r>
  <r>
    <x v="54"/>
  </r>
  <r>
    <x v="55"/>
  </r>
  <r>
    <x v="56"/>
  </r>
  <r>
    <x v="57"/>
  </r>
  <r>
    <x v="58"/>
  </r>
  <r>
    <x v="59"/>
  </r>
  <r>
    <x v="60"/>
  </r>
  <r>
    <x v="61"/>
  </r>
  <r>
    <x v="62"/>
  </r>
  <r>
    <x v="63"/>
  </r>
  <r>
    <x v="64"/>
  </r>
  <r>
    <x v="65"/>
  </r>
  <r>
    <x v="66"/>
  </r>
  <r>
    <x v="67"/>
  </r>
  <r>
    <x v="68"/>
  </r>
  <r>
    <x v="69"/>
  </r>
  <r>
    <x v="70"/>
  </r>
  <r>
    <x v="71"/>
  </r>
  <r>
    <x v="72"/>
  </r>
  <r>
    <x v="73"/>
  </r>
  <r>
    <x v="74"/>
  </r>
  <r>
    <x v="75"/>
  </r>
  <r>
    <x v="76"/>
  </r>
  <r>
    <x v="77"/>
  </r>
  <r>
    <x v="78"/>
  </r>
  <r>
    <x v="79"/>
  </r>
  <r>
    <x v="80"/>
  </r>
  <r>
    <x v="81"/>
  </r>
  <r>
    <x v="82"/>
  </r>
  <r>
    <x v="82"/>
  </r>
  <r>
    <x v="82"/>
  </r>
  <r>
    <x v="82"/>
  </r>
  <r>
    <x v="82"/>
  </r>
  <r>
    <x v="82"/>
  </r>
  <r>
    <x v="82"/>
  </r>
  <r>
    <x v="82"/>
  </r>
  <r>
    <x v="83"/>
  </r>
  <r>
    <x v="84"/>
  </r>
  <r>
    <x v="85"/>
  </r>
  <r>
    <x v="86"/>
  </r>
  <r>
    <x v="87"/>
  </r>
  <r>
    <x v="88"/>
  </r>
  <r>
    <x v="89"/>
  </r>
  <r>
    <x v="90"/>
  </r>
  <r>
    <x v="79"/>
  </r>
  <r>
    <x v="91"/>
  </r>
  <r>
    <x v="92"/>
  </r>
  <r>
    <x v="93"/>
  </r>
  <r>
    <x v="93"/>
  </r>
  <r>
    <x v="93"/>
  </r>
  <r>
    <x v="93"/>
  </r>
  <r>
    <x v="93"/>
  </r>
  <r>
    <x v="93"/>
  </r>
  <r>
    <x v="93"/>
  </r>
  <r>
    <x v="93"/>
  </r>
  <r>
    <x v="93"/>
  </r>
  <r>
    <x v="93"/>
  </r>
  <r>
    <x v="93"/>
  </r>
  <r>
    <x v="93"/>
  </r>
  <r>
    <x v="93"/>
  </r>
  <r>
    <x v="93"/>
  </r>
  <r>
    <x v="93"/>
  </r>
  <r>
    <x v="93"/>
  </r>
  <r>
    <x v="93"/>
  </r>
  <r>
    <x v="93"/>
  </r>
  <r>
    <x v="93"/>
  </r>
  <r>
    <x v="93"/>
  </r>
  <r>
    <x v="93"/>
  </r>
  <r>
    <x v="93"/>
  </r>
  <r>
    <x v="93"/>
  </r>
  <r>
    <x v="93"/>
  </r>
  <r>
    <x v="93"/>
  </r>
  <r>
    <x v="93"/>
  </r>
  <r>
    <x v="94"/>
  </r>
  <r>
    <x v="95"/>
  </r>
  <r>
    <x v="95"/>
  </r>
  <r>
    <x v="95"/>
  </r>
  <r>
    <x v="96"/>
  </r>
  <r>
    <x v="97"/>
  </r>
  <r>
    <x v="98"/>
  </r>
  <r>
    <x v="99"/>
  </r>
  <r>
    <x v="9"/>
  </r>
  <r>
    <x v="100"/>
  </r>
  <r>
    <x v="101"/>
  </r>
  <r>
    <x v="102"/>
  </r>
  <r>
    <x v="103"/>
  </r>
  <r>
    <x v="104"/>
  </r>
  <r>
    <x v="105"/>
  </r>
  <r>
    <x v="106"/>
  </r>
  <r>
    <x v="107"/>
  </r>
  <r>
    <x v="108"/>
  </r>
  <r>
    <x v="109"/>
  </r>
  <r>
    <x v="110"/>
  </r>
  <r>
    <x v="111"/>
  </r>
  <r>
    <x v="112"/>
  </r>
  <r>
    <x v="113"/>
  </r>
  <r>
    <x v="114"/>
  </r>
  <r>
    <x v="115"/>
  </r>
  <r>
    <x v="22"/>
  </r>
  <r>
    <x v="116"/>
  </r>
  <r>
    <x v="117"/>
  </r>
  <r>
    <x v="118"/>
  </r>
  <r>
    <x v="118"/>
  </r>
  <r>
    <x v="118"/>
  </r>
  <r>
    <x v="118"/>
  </r>
  <r>
    <x v="119"/>
  </r>
  <r>
    <x v="120"/>
  </r>
  <r>
    <x v="121"/>
  </r>
  <r>
    <x v="122"/>
  </r>
  <r>
    <x v="123"/>
  </r>
  <r>
    <x v="124"/>
  </r>
  <r>
    <x v="125"/>
  </r>
  <r>
    <x v="126"/>
  </r>
  <r>
    <x v="127"/>
  </r>
  <r>
    <x v="127"/>
  </r>
  <r>
    <x v="128"/>
  </r>
  <r>
    <x v="129"/>
  </r>
  <r>
    <x v="130"/>
  </r>
  <r>
    <x v="131"/>
  </r>
  <r>
    <x v="131"/>
  </r>
  <r>
    <x v="132"/>
  </r>
  <r>
    <x v="0"/>
  </r>
  <r>
    <x v="133"/>
  </r>
  <r>
    <x v="134"/>
  </r>
  <r>
    <x v="39"/>
  </r>
  <r>
    <x v="135"/>
  </r>
  <r>
    <x v="136"/>
  </r>
  <r>
    <x v="136"/>
  </r>
  <r>
    <x v="136"/>
  </r>
  <r>
    <x v="136"/>
  </r>
  <r>
    <x v="137"/>
  </r>
  <r>
    <x v="138"/>
  </r>
  <r>
    <x v="139"/>
  </r>
  <r>
    <x v="139"/>
  </r>
  <r>
    <x v="139"/>
  </r>
  <r>
    <x v="139"/>
  </r>
  <r>
    <x v="139"/>
  </r>
  <r>
    <x v="139"/>
  </r>
  <r>
    <x v="139"/>
  </r>
  <r>
    <x v="139"/>
  </r>
  <r>
    <x v="139"/>
  </r>
  <r>
    <x v="139"/>
  </r>
  <r>
    <x v="139"/>
  </r>
  <r>
    <x v="139"/>
  </r>
  <r>
    <x v="139"/>
  </r>
  <r>
    <x v="140"/>
  </r>
  <r>
    <x v="141"/>
  </r>
  <r>
    <x v="141"/>
  </r>
  <r>
    <x v="141"/>
  </r>
  <r>
    <x v="141"/>
  </r>
  <r>
    <x v="141"/>
  </r>
  <r>
    <x v="141"/>
  </r>
  <r>
    <x v="141"/>
  </r>
  <r>
    <x v="142"/>
  </r>
  <r>
    <x v="142"/>
  </r>
  <r>
    <x v="142"/>
  </r>
  <r>
    <x v="142"/>
  </r>
  <r>
    <x v="142"/>
  </r>
  <r>
    <x v="51"/>
  </r>
  <r>
    <x v="143"/>
  </r>
  <r>
    <x v="144"/>
  </r>
  <r>
    <x v="144"/>
  </r>
  <r>
    <x v="144"/>
  </r>
  <r>
    <x v="144"/>
  </r>
  <r>
    <x v="145"/>
  </r>
  <r>
    <x v="145"/>
  </r>
  <r>
    <x v="145"/>
  </r>
  <r>
    <x v="145"/>
  </r>
  <r>
    <x v="145"/>
  </r>
  <r>
    <x v="145"/>
  </r>
  <r>
    <x v="145"/>
  </r>
  <r>
    <x v="146"/>
  </r>
  <r>
    <x v="147"/>
  </r>
  <r>
    <x v="148"/>
  </r>
  <r>
    <x v="149"/>
  </r>
  <r>
    <x v="150"/>
  </r>
  <r>
    <x v="151"/>
  </r>
  <r>
    <x v="152"/>
  </r>
  <r>
    <x v="153"/>
  </r>
  <r>
    <x v="154"/>
  </r>
  <r>
    <x v="155"/>
  </r>
  <r>
    <x v="156"/>
  </r>
  <r>
    <x v="157"/>
  </r>
  <r>
    <x v="158"/>
  </r>
  <r>
    <x v="159"/>
  </r>
  <r>
    <x v="135"/>
  </r>
  <r>
    <x v="160"/>
  </r>
  <r>
    <x v="161"/>
  </r>
  <r>
    <x v="162"/>
  </r>
  <r>
    <x v="163"/>
  </r>
  <r>
    <x v="164"/>
  </r>
  <r>
    <x v="165"/>
  </r>
  <r>
    <x v="81"/>
  </r>
  <r>
    <x v="166"/>
  </r>
  <r>
    <x v="166"/>
  </r>
  <r>
    <x v="166"/>
  </r>
  <r>
    <x v="166"/>
  </r>
  <r>
    <x v="166"/>
  </r>
  <r>
    <x v="166"/>
  </r>
  <r>
    <x v="166"/>
  </r>
  <r>
    <x v="166"/>
  </r>
  <r>
    <x v="167"/>
  </r>
  <r>
    <x v="84"/>
  </r>
  <r>
    <x v="86"/>
  </r>
  <r>
    <x v="168"/>
  </r>
  <r>
    <x v="169"/>
  </r>
  <r>
    <x v="152"/>
  </r>
  <r>
    <x v="170"/>
  </r>
  <r>
    <x v="171"/>
  </r>
  <r>
    <x v="172"/>
  </r>
  <r>
    <x v="172"/>
  </r>
  <r>
    <x v="172"/>
  </r>
  <r>
    <x v="172"/>
  </r>
  <r>
    <x v="172"/>
  </r>
  <r>
    <x v="172"/>
  </r>
  <r>
    <x v="172"/>
  </r>
  <r>
    <x v="172"/>
  </r>
  <r>
    <x v="172"/>
  </r>
  <r>
    <x v="172"/>
  </r>
  <r>
    <x v="172"/>
  </r>
  <r>
    <x v="172"/>
  </r>
  <r>
    <x v="172"/>
  </r>
  <r>
    <x v="172"/>
  </r>
  <r>
    <x v="172"/>
  </r>
  <r>
    <x v="172"/>
  </r>
  <r>
    <x v="172"/>
  </r>
  <r>
    <x v="172"/>
  </r>
  <r>
    <x v="172"/>
  </r>
  <r>
    <x v="172"/>
  </r>
  <r>
    <x v="172"/>
  </r>
  <r>
    <x v="172"/>
  </r>
  <r>
    <x v="172"/>
  </r>
  <r>
    <x v="172"/>
  </r>
  <r>
    <x v="172"/>
  </r>
  <r>
    <x v="172"/>
  </r>
  <r>
    <x v="173"/>
  </r>
  <r>
    <x v="174"/>
  </r>
  <r>
    <x v="174"/>
  </r>
  <r>
    <x v="174"/>
  </r>
  <r>
    <x v="175"/>
  </r>
  <r>
    <x v="176"/>
  </r>
  <r>
    <x v="177"/>
  </r>
  <r>
    <x v="178"/>
  </r>
  <r>
    <x v="179"/>
  </r>
  <r>
    <x v="180"/>
  </r>
  <r>
    <x v="181"/>
  </r>
  <r>
    <x v="182"/>
  </r>
  <r>
    <x v="183"/>
  </r>
  <r>
    <x v="184"/>
  </r>
  <r>
    <x v="185"/>
  </r>
  <r>
    <x v="186"/>
  </r>
  <r>
    <x v="187"/>
  </r>
  <r>
    <x v="188"/>
  </r>
  <r>
    <x v="189"/>
  </r>
  <r>
    <x v="190"/>
  </r>
  <r>
    <x v="191"/>
  </r>
  <r>
    <x v="192"/>
  </r>
  <r>
    <x v="193"/>
  </r>
  <r>
    <x v="194"/>
  </r>
  <r>
    <x v="195"/>
  </r>
  <r>
    <x v="196"/>
  </r>
  <r>
    <x v="196"/>
  </r>
  <r>
    <x v="196"/>
  </r>
  <r>
    <x v="196"/>
  </r>
  <r>
    <x v="197"/>
  </r>
  <r>
    <x v="198"/>
  </r>
  <r>
    <x v="199"/>
  </r>
  <r>
    <x v="200"/>
  </r>
  <r>
    <x v="201"/>
  </r>
  <r>
    <x v="202"/>
  </r>
  <r>
    <x v="202"/>
  </r>
  <r>
    <x v="203"/>
  </r>
  <r>
    <x v="204"/>
  </r>
  <r>
    <x v="13"/>
  </r>
  <r>
    <x v="205"/>
  </r>
  <r>
    <x v="205"/>
  </r>
  <r>
    <x v="0"/>
  </r>
  <r>
    <x v="95"/>
  </r>
  <r>
    <x v="206"/>
  </r>
  <r>
    <x v="207"/>
  </r>
  <r>
    <x v="208"/>
  </r>
  <r>
    <x v="209"/>
  </r>
  <r>
    <x v="210"/>
  </r>
  <r>
    <x v="210"/>
  </r>
  <r>
    <x v="210"/>
  </r>
  <r>
    <x v="210"/>
  </r>
  <r>
    <x v="211"/>
  </r>
  <r>
    <x v="212"/>
  </r>
  <r>
    <x v="213"/>
  </r>
  <r>
    <x v="213"/>
  </r>
  <r>
    <x v="213"/>
  </r>
  <r>
    <x v="213"/>
  </r>
  <r>
    <x v="213"/>
  </r>
  <r>
    <x v="213"/>
  </r>
  <r>
    <x v="213"/>
  </r>
  <r>
    <x v="213"/>
  </r>
  <r>
    <x v="213"/>
  </r>
  <r>
    <x v="213"/>
  </r>
  <r>
    <x v="213"/>
  </r>
  <r>
    <x v="213"/>
  </r>
  <r>
    <x v="213"/>
  </r>
  <r>
    <x v="169"/>
  </r>
  <r>
    <x v="214"/>
  </r>
  <r>
    <x v="214"/>
  </r>
  <r>
    <x v="214"/>
  </r>
  <r>
    <x v="214"/>
  </r>
  <r>
    <x v="214"/>
  </r>
  <r>
    <x v="214"/>
  </r>
  <r>
    <x v="214"/>
  </r>
  <r>
    <x v="215"/>
  </r>
  <r>
    <x v="216"/>
  </r>
  <r>
    <x v="216"/>
  </r>
  <r>
    <x v="216"/>
  </r>
  <r>
    <x v="216"/>
  </r>
  <r>
    <x v="166"/>
  </r>
  <r>
    <x v="166"/>
  </r>
  <r>
    <x v="166"/>
  </r>
  <r>
    <x v="166"/>
  </r>
  <r>
    <x v="166"/>
  </r>
  <r>
    <x v="166"/>
  </r>
  <r>
    <x v="166"/>
  </r>
  <r>
    <x v="217"/>
  </r>
  <r>
    <x v="218"/>
  </r>
  <r>
    <x v="135"/>
  </r>
  <r>
    <x v="219"/>
  </r>
  <r>
    <x v="220"/>
  </r>
  <r>
    <x v="221"/>
  </r>
  <r>
    <x v="222"/>
  </r>
  <r>
    <x v="223"/>
  </r>
  <r>
    <x v="224"/>
  </r>
  <r>
    <x v="225"/>
  </r>
  <r>
    <x v="70"/>
  </r>
  <r>
    <x v="226"/>
  </r>
  <r>
    <x v="227"/>
  </r>
  <r>
    <x v="228"/>
  </r>
  <r>
    <x v="162"/>
  </r>
  <r>
    <x v="229"/>
  </r>
  <r>
    <x v="230"/>
  </r>
  <r>
    <x v="231"/>
  </r>
  <r>
    <x v="39"/>
  </r>
  <r>
    <x v="39"/>
  </r>
  <r>
    <x v="39"/>
  </r>
  <r>
    <x v="39"/>
  </r>
  <r>
    <x v="39"/>
  </r>
  <r>
    <x v="39"/>
  </r>
  <r>
    <x v="39"/>
  </r>
  <r>
    <x v="39"/>
  </r>
  <r>
    <x v="88"/>
  </r>
  <r>
    <x v="44"/>
  </r>
  <r>
    <x v="42"/>
  </r>
  <r>
    <x v="232"/>
  </r>
  <r>
    <x v="233"/>
  </r>
  <r>
    <x v="234"/>
  </r>
  <r>
    <x v="235"/>
  </r>
  <r>
    <x v="235"/>
  </r>
  <r>
    <x v="235"/>
  </r>
  <r>
    <x v="235"/>
  </r>
  <r>
    <x v="235"/>
  </r>
  <r>
    <x v="235"/>
  </r>
  <r>
    <x v="235"/>
  </r>
  <r>
    <x v="235"/>
  </r>
  <r>
    <x v="235"/>
  </r>
  <r>
    <x v="235"/>
  </r>
  <r>
    <x v="235"/>
  </r>
  <r>
    <x v="235"/>
  </r>
  <r>
    <x v="235"/>
  </r>
  <r>
    <x v="235"/>
  </r>
  <r>
    <x v="235"/>
  </r>
  <r>
    <x v="235"/>
  </r>
  <r>
    <x v="235"/>
  </r>
  <r>
    <x v="235"/>
  </r>
  <r>
    <x v="235"/>
  </r>
  <r>
    <x v="235"/>
  </r>
  <r>
    <x v="235"/>
  </r>
  <r>
    <x v="235"/>
  </r>
  <r>
    <x v="235"/>
  </r>
  <r>
    <x v="235"/>
  </r>
  <r>
    <x v="235"/>
  </r>
  <r>
    <x v="235"/>
  </r>
  <r>
    <x v="236"/>
  </r>
  <r>
    <x v="237"/>
  </r>
  <r>
    <x v="237"/>
  </r>
  <r>
    <x v="237"/>
  </r>
  <r>
    <x v="169"/>
  </r>
  <r>
    <x v="238"/>
  </r>
  <r>
    <x v="239"/>
  </r>
  <r>
    <x v="103"/>
  </r>
  <r>
    <x v="240"/>
  </r>
  <r>
    <x v="241"/>
  </r>
  <r>
    <x v="13"/>
  </r>
  <r>
    <x v="183"/>
  </r>
  <r>
    <x v="242"/>
  </r>
  <r>
    <x v="243"/>
  </r>
  <r>
    <x v="187"/>
  </r>
  <r>
    <x v="244"/>
  </r>
  <r>
    <x v="245"/>
  </r>
  <r>
    <x v="246"/>
  </r>
  <r>
    <x v="247"/>
  </r>
  <r>
    <x v="248"/>
  </r>
  <r>
    <x v="249"/>
  </r>
  <r>
    <x v="200"/>
  </r>
  <r>
    <x v="250"/>
  </r>
  <r>
    <x v="251"/>
  </r>
  <r>
    <x v="251"/>
  </r>
  <r>
    <x v="251"/>
  </r>
  <r>
    <x v="251"/>
  </r>
  <r>
    <x v="252"/>
  </r>
  <r>
    <x v="253"/>
  </r>
  <r>
    <x v="254"/>
  </r>
  <r>
    <x v="125"/>
  </r>
  <r>
    <x v="127"/>
  </r>
  <r>
    <x v="127"/>
  </r>
  <r>
    <x v="255"/>
  </r>
  <r>
    <x v="256"/>
  </r>
  <r>
    <x v="240"/>
  </r>
  <r>
    <x v="15"/>
  </r>
  <r>
    <x v="15"/>
  </r>
  <r>
    <x v="95"/>
  </r>
  <r>
    <x v="257"/>
  </r>
  <r>
    <x v="258"/>
  </r>
  <r>
    <x v="259"/>
  </r>
  <r>
    <x v="260"/>
  </r>
  <r>
    <x v="215"/>
  </r>
  <r>
    <x v="215"/>
  </r>
  <r>
    <x v="215"/>
  </r>
  <r>
    <x v="215"/>
  </r>
  <r>
    <x v="145"/>
  </r>
  <r>
    <x v="46"/>
  </r>
  <r>
    <x v="261"/>
  </r>
  <r>
    <x v="261"/>
  </r>
  <r>
    <x v="261"/>
  </r>
  <r>
    <x v="261"/>
  </r>
  <r>
    <x v="261"/>
  </r>
  <r>
    <x v="261"/>
  </r>
  <r>
    <x v="261"/>
  </r>
  <r>
    <x v="261"/>
  </r>
  <r>
    <x v="261"/>
  </r>
  <r>
    <x v="261"/>
  </r>
  <r>
    <x v="261"/>
  </r>
  <r>
    <x v="261"/>
  </r>
  <r>
    <x v="261"/>
  </r>
  <r>
    <x v="262"/>
  </r>
  <r>
    <x v="263"/>
  </r>
  <r>
    <x v="263"/>
  </r>
  <r>
    <x v="263"/>
  </r>
  <r>
    <x v="263"/>
  </r>
  <r>
    <x v="263"/>
  </r>
  <r>
    <x v="263"/>
  </r>
  <r>
    <x v="263"/>
  </r>
  <r>
    <x v="227"/>
  </r>
  <r>
    <x v="227"/>
  </r>
  <r>
    <x v="227"/>
  </r>
  <r>
    <x v="227"/>
  </r>
  <r>
    <x v="227"/>
  </r>
  <r>
    <x v="227"/>
  </r>
  <r>
    <x v="227"/>
  </r>
  <r>
    <x v="227"/>
  </r>
  <r>
    <x v="227"/>
  </r>
  <r>
    <x v="227"/>
  </r>
  <r>
    <x v="227"/>
  </r>
  <r>
    <x v="264"/>
  </r>
  <r>
    <x v="265"/>
  </r>
  <r>
    <x v="266"/>
  </r>
  <r>
    <x v="267"/>
  </r>
  <r>
    <x v="268"/>
  </r>
  <r>
    <x v="269"/>
  </r>
  <r>
    <x v="270"/>
  </r>
  <r>
    <x v="271"/>
  </r>
  <r>
    <x v="272"/>
  </r>
  <r>
    <x v="273"/>
  </r>
  <r>
    <x v="207"/>
  </r>
  <r>
    <x v="274"/>
  </r>
  <r>
    <x v="275"/>
  </r>
  <r>
    <x v="0"/>
  </r>
  <r>
    <x v="276"/>
  </r>
  <r>
    <x v="277"/>
  </r>
  <r>
    <x v="277"/>
  </r>
  <r>
    <x v="277"/>
  </r>
  <r>
    <x v="277"/>
  </r>
  <r>
    <x v="277"/>
  </r>
  <r>
    <x v="277"/>
  </r>
  <r>
    <x v="277"/>
  </r>
  <r>
    <x v="277"/>
  </r>
  <r>
    <x v="278"/>
  </r>
  <r>
    <x v="169"/>
  </r>
  <r>
    <x v="279"/>
  </r>
  <r>
    <x v="280"/>
  </r>
  <r>
    <x v="281"/>
  </r>
  <r>
    <x v="282"/>
  </r>
  <r>
    <x v="283"/>
  </r>
  <r>
    <x v="283"/>
  </r>
  <r>
    <x v="283"/>
  </r>
  <r>
    <x v="283"/>
  </r>
  <r>
    <x v="283"/>
  </r>
  <r>
    <x v="283"/>
  </r>
  <r>
    <x v="283"/>
  </r>
  <r>
    <x v="283"/>
  </r>
  <r>
    <x v="283"/>
  </r>
  <r>
    <x v="283"/>
  </r>
  <r>
    <x v="283"/>
  </r>
  <r>
    <x v="283"/>
  </r>
  <r>
    <x v="283"/>
  </r>
  <r>
    <x v="283"/>
  </r>
  <r>
    <x v="283"/>
  </r>
  <r>
    <x v="283"/>
  </r>
  <r>
    <x v="283"/>
  </r>
  <r>
    <x v="283"/>
  </r>
  <r>
    <x v="283"/>
  </r>
  <r>
    <x v="283"/>
  </r>
  <r>
    <x v="283"/>
  </r>
  <r>
    <x v="283"/>
  </r>
  <r>
    <x v="283"/>
  </r>
  <r>
    <x v="283"/>
  </r>
  <r>
    <x v="283"/>
  </r>
  <r>
    <x v="283"/>
  </r>
  <r>
    <x v="284"/>
  </r>
  <r>
    <x v="285"/>
  </r>
  <r>
    <x v="285"/>
  </r>
  <r>
    <x v="285"/>
  </r>
  <r>
    <x v="286"/>
  </r>
  <r>
    <x v="287"/>
  </r>
  <r>
    <x v="288"/>
  </r>
  <r>
    <x v="289"/>
  </r>
  <r>
    <x v="180"/>
  </r>
  <r>
    <x v="290"/>
  </r>
  <r>
    <x v="291"/>
  </r>
  <r>
    <x v="292"/>
  </r>
  <r>
    <x v="0"/>
  </r>
  <r>
    <x v="243"/>
  </r>
  <r>
    <x v="293"/>
  </r>
  <r>
    <x v="294"/>
  </r>
  <r>
    <x v="290"/>
  </r>
  <r>
    <x v="295"/>
  </r>
  <r>
    <x v="18"/>
  </r>
  <r>
    <x v="296"/>
  </r>
  <r>
    <x v="297"/>
  </r>
  <r>
    <x v="298"/>
  </r>
  <r>
    <x v="299"/>
  </r>
  <r>
    <x v="118"/>
  </r>
  <r>
    <x v="118"/>
  </r>
  <r>
    <x v="118"/>
  </r>
  <r>
    <x v="118"/>
  </r>
  <r>
    <x v="300"/>
  </r>
  <r>
    <x v="301"/>
  </r>
  <r>
    <x v="135"/>
  </r>
  <r>
    <x v="302"/>
  </r>
  <r>
    <x v="302"/>
  </r>
  <r>
    <x v="240"/>
  </r>
  <r>
    <x v="303"/>
  </r>
  <r>
    <x v="304"/>
  </r>
  <r>
    <x v="304"/>
  </r>
  <r>
    <x v="305"/>
  </r>
  <r>
    <x v="305"/>
  </r>
  <r>
    <x v="306"/>
  </r>
  <r>
    <x v="208"/>
  </r>
  <r>
    <x v="260"/>
  </r>
  <r>
    <x v="260"/>
  </r>
  <r>
    <x v="260"/>
  </r>
  <r>
    <x v="260"/>
  </r>
  <r>
    <x v="307"/>
  </r>
  <r>
    <x v="46"/>
  </r>
  <r>
    <x v="308"/>
  </r>
  <r>
    <x v="308"/>
  </r>
  <r>
    <x v="308"/>
  </r>
  <r>
    <x v="308"/>
  </r>
  <r>
    <x v="308"/>
  </r>
  <r>
    <x v="308"/>
  </r>
  <r>
    <x v="308"/>
  </r>
  <r>
    <x v="308"/>
  </r>
  <r>
    <x v="308"/>
  </r>
  <r>
    <x v="308"/>
  </r>
  <r>
    <x v="308"/>
  </r>
  <r>
    <x v="308"/>
  </r>
  <r>
    <x v="308"/>
  </r>
  <r>
    <x v="309"/>
  </r>
  <r>
    <x v="135"/>
  </r>
  <r>
    <x v="135"/>
  </r>
  <r>
    <x v="135"/>
  </r>
  <r>
    <x v="135"/>
  </r>
  <r>
    <x v="135"/>
  </r>
  <r>
    <x v="135"/>
  </r>
  <r>
    <x v="135"/>
  </r>
  <r>
    <x v="135"/>
  </r>
  <r>
    <x v="135"/>
  </r>
  <r>
    <x v="135"/>
  </r>
  <r>
    <x v="135"/>
  </r>
  <r>
    <x v="135"/>
  </r>
  <r>
    <x v="135"/>
  </r>
  <r>
    <x v="135"/>
  </r>
  <r>
    <x v="135"/>
  </r>
  <r>
    <x v="0"/>
  </r>
  <r>
    <x v="310"/>
  </r>
  <r>
    <x v="311"/>
  </r>
  <r>
    <x v="312"/>
  </r>
  <r>
    <x v="134"/>
  </r>
  <r>
    <x v="313"/>
  </r>
  <r>
    <x v="314"/>
  </r>
  <r>
    <x v="0"/>
  </r>
  <r>
    <x v="315"/>
  </r>
  <r>
    <x v="207"/>
  </r>
  <r>
    <x v="316"/>
  </r>
  <r>
    <x v="317"/>
  </r>
  <r>
    <x v="260"/>
  </r>
  <r>
    <x v="318"/>
  </r>
  <r>
    <x v="0"/>
  </r>
  <r>
    <x v="0"/>
  </r>
  <r>
    <x v="0"/>
  </r>
  <r>
    <x v="0"/>
  </r>
  <r>
    <x v="0"/>
  </r>
  <r>
    <x v="0"/>
  </r>
  <r>
    <x v="0"/>
  </r>
  <r>
    <x v="0"/>
  </r>
  <r>
    <x v="319"/>
  </r>
  <r>
    <x v="232"/>
  </r>
  <r>
    <x v="320"/>
  </r>
  <r>
    <x v="321"/>
  </r>
  <r>
    <x v="322"/>
  </r>
  <r>
    <x v="258"/>
  </r>
  <r>
    <x v="0"/>
  </r>
  <r>
    <x v="0"/>
  </r>
  <r>
    <x v="0"/>
  </r>
  <r>
    <x v="0"/>
  </r>
  <r>
    <x v="0"/>
  </r>
  <r>
    <x v="0"/>
  </r>
  <r>
    <x v="0"/>
  </r>
  <r>
    <x v="0"/>
  </r>
  <r>
    <x v="0"/>
  </r>
  <r>
    <x v="0"/>
  </r>
  <r>
    <x v="0"/>
  </r>
  <r>
    <x v="0"/>
  </r>
  <r>
    <x v="0"/>
  </r>
  <r>
    <x v="0"/>
  </r>
  <r>
    <x v="0"/>
  </r>
  <r>
    <x v="0"/>
  </r>
  <r>
    <x v="0"/>
  </r>
  <r>
    <x v="0"/>
  </r>
  <r>
    <x v="0"/>
  </r>
  <r>
    <x v="0"/>
  </r>
  <r>
    <x v="0"/>
  </r>
  <r>
    <x v="0"/>
  </r>
  <r>
    <x v="0"/>
  </r>
  <r>
    <x v="0"/>
  </r>
  <r>
    <x v="0"/>
  </r>
  <r>
    <x v="0"/>
  </r>
  <r>
    <x v="323"/>
  </r>
  <r>
    <x v="324"/>
  </r>
  <r>
    <x v="324"/>
  </r>
  <r>
    <x v="324"/>
  </r>
  <r>
    <x v="325"/>
  </r>
  <r>
    <x v="3"/>
  </r>
  <r>
    <x v="326"/>
  </r>
  <r>
    <x v="240"/>
  </r>
  <r>
    <x v="245"/>
  </r>
  <r>
    <x v="327"/>
  </r>
  <r>
    <x v="215"/>
  </r>
  <r>
    <x v="328"/>
  </r>
  <r>
    <x v="329"/>
  </r>
  <r>
    <x v="330"/>
  </r>
  <r>
    <x v="290"/>
  </r>
  <r>
    <x v="331"/>
  </r>
  <r>
    <x v="332"/>
  </r>
  <r>
    <x v="333"/>
  </r>
  <r>
    <x v="334"/>
  </r>
  <r>
    <x v="335"/>
  </r>
  <r>
    <x v="195"/>
  </r>
  <r>
    <x v="336"/>
  </r>
  <r>
    <x v="336"/>
  </r>
  <r>
    <x v="336"/>
  </r>
  <r>
    <x v="336"/>
  </r>
  <r>
    <x v="337"/>
  </r>
  <r>
    <x v="338"/>
  </r>
  <r>
    <x v="135"/>
  </r>
  <r>
    <x v="302"/>
  </r>
  <r>
    <x v="339"/>
  </r>
  <r>
    <x v="340"/>
  </r>
  <r>
    <x v="340"/>
  </r>
  <r>
    <x v="285"/>
  </r>
  <r>
    <x v="285"/>
  </r>
  <r>
    <x v="0"/>
  </r>
  <r>
    <x v="208"/>
  </r>
  <r>
    <x v="341"/>
  </r>
  <r>
    <x v="341"/>
  </r>
  <r>
    <x v="341"/>
  </r>
  <r>
    <x v="341"/>
  </r>
  <r>
    <x v="73"/>
  </r>
  <r>
    <x v="342"/>
  </r>
  <r>
    <x v="0"/>
  </r>
  <r>
    <x v="0"/>
  </r>
  <r>
    <x v="0"/>
  </r>
  <r>
    <x v="0"/>
  </r>
  <r>
    <x v="0"/>
  </r>
  <r>
    <x v="0"/>
  </r>
  <r>
    <x v="0"/>
  </r>
  <r>
    <x v="0"/>
  </r>
  <r>
    <x v="0"/>
  </r>
  <r>
    <x v="0"/>
  </r>
  <r>
    <x v="0"/>
  </r>
  <r>
    <x v="0"/>
  </r>
  <r>
    <x v="0"/>
  </r>
  <r>
    <x v="227"/>
  </r>
  <r>
    <x v="0"/>
  </r>
  <r>
    <x v="0"/>
  </r>
  <r>
    <x v="0"/>
  </r>
  <r>
    <x v="0"/>
  </r>
  <r>
    <x v="0"/>
  </r>
  <r>
    <x v="0"/>
  </r>
  <r>
    <x v="0"/>
  </r>
  <r>
    <x v="215"/>
  </r>
  <r>
    <x v="215"/>
  </r>
  <r>
    <x v="343"/>
  </r>
  <r>
    <x v="344"/>
  </r>
  <r>
    <x v="345"/>
  </r>
  <r>
    <x v="155"/>
  </r>
  <r>
    <x v="346"/>
  </r>
  <r>
    <x v="347"/>
  </r>
  <r>
    <x v="348"/>
  </r>
  <r>
    <x v="215"/>
  </r>
  <r>
    <x v="349"/>
  </r>
  <r>
    <x v="350"/>
  </r>
  <r>
    <x v="351"/>
  </r>
  <r>
    <x v="352"/>
  </r>
  <r>
    <x v="353"/>
  </r>
  <r>
    <x v="353"/>
  </r>
  <r>
    <x v="353"/>
  </r>
  <r>
    <x v="353"/>
  </r>
  <r>
    <x v="353"/>
  </r>
  <r>
    <x v="353"/>
  </r>
  <r>
    <x v="353"/>
  </r>
  <r>
    <x v="353"/>
  </r>
  <r>
    <x v="152"/>
  </r>
  <r>
    <x v="354"/>
  </r>
  <r>
    <x v="355"/>
  </r>
  <r>
    <x v="356"/>
  </r>
  <r>
    <x v="357"/>
  </r>
  <r>
    <x v="358"/>
  </r>
  <r>
    <x v="358"/>
  </r>
  <r>
    <x v="358"/>
  </r>
  <r>
    <x v="358"/>
  </r>
  <r>
    <x v="358"/>
  </r>
  <r>
    <x v="358"/>
  </r>
  <r>
    <x v="358"/>
  </r>
  <r>
    <x v="358"/>
  </r>
  <r>
    <x v="358"/>
  </r>
  <r>
    <x v="358"/>
  </r>
  <r>
    <x v="358"/>
  </r>
  <r>
    <x v="358"/>
  </r>
  <r>
    <x v="358"/>
  </r>
  <r>
    <x v="358"/>
  </r>
  <r>
    <x v="358"/>
  </r>
  <r>
    <x v="358"/>
  </r>
  <r>
    <x v="358"/>
  </r>
  <r>
    <x v="358"/>
  </r>
  <r>
    <x v="358"/>
  </r>
  <r>
    <x v="358"/>
  </r>
  <r>
    <x v="358"/>
  </r>
  <r>
    <x v="358"/>
  </r>
  <r>
    <x v="358"/>
  </r>
  <r>
    <x v="358"/>
  </r>
  <r>
    <x v="358"/>
  </r>
  <r>
    <x v="358"/>
  </r>
  <r>
    <x v="13"/>
  </r>
  <r>
    <x v="359"/>
  </r>
  <r>
    <x v="359"/>
  </r>
  <r>
    <x v="359"/>
  </r>
  <r>
    <x v="360"/>
  </r>
  <r>
    <x v="98"/>
  </r>
  <r>
    <x v="99"/>
  </r>
  <r>
    <x v="183"/>
  </r>
  <r>
    <x v="289"/>
  </r>
  <r>
    <x v="240"/>
  </r>
  <r>
    <x v="361"/>
  </r>
  <r>
    <x v="362"/>
  </r>
  <r>
    <x v="363"/>
  </r>
  <r>
    <x v="245"/>
  </r>
  <r>
    <x v="364"/>
  </r>
  <r>
    <x v="365"/>
  </r>
  <r>
    <x v="333"/>
  </r>
  <r>
    <x v="366"/>
  </r>
  <r>
    <x v="190"/>
  </r>
  <r>
    <x v="367"/>
  </r>
  <r>
    <x v="367"/>
  </r>
  <r>
    <x v="367"/>
  </r>
  <r>
    <x v="367"/>
  </r>
  <r>
    <x v="368"/>
  </r>
  <r>
    <x v="369"/>
  </r>
  <r>
    <x v="370"/>
  </r>
  <r>
    <x v="371"/>
  </r>
  <r>
    <x v="371"/>
  </r>
  <r>
    <x v="372"/>
  </r>
  <r>
    <x v="372"/>
  </r>
  <r>
    <x v="95"/>
  </r>
  <r>
    <x v="353"/>
  </r>
  <r>
    <x v="373"/>
  </r>
  <r>
    <x v="318"/>
  </r>
  <r>
    <x v="374"/>
  </r>
  <r>
    <x v="374"/>
  </r>
  <r>
    <x v="374"/>
  </r>
  <r>
    <x v="374"/>
  </r>
  <r>
    <x v="374"/>
  </r>
  <r>
    <x v="374"/>
  </r>
  <r>
    <x v="374"/>
  </r>
  <r>
    <x v="374"/>
  </r>
  <r>
    <x v="374"/>
  </r>
  <r>
    <x v="374"/>
  </r>
  <r>
    <x v="374"/>
  </r>
  <r>
    <x v="374"/>
  </r>
  <r>
    <x v="374"/>
  </r>
  <r>
    <x v="375"/>
  </r>
  <r>
    <x v="135"/>
  </r>
  <r>
    <x v="135"/>
  </r>
  <r>
    <x v="135"/>
  </r>
  <r>
    <x v="135"/>
  </r>
  <r>
    <x v="135"/>
  </r>
  <r>
    <x v="135"/>
  </r>
  <r>
    <x v="135"/>
  </r>
  <r>
    <x v="219"/>
  </r>
  <r>
    <x v="376"/>
  </r>
  <r>
    <x v="221"/>
  </r>
  <r>
    <x v="377"/>
  </r>
  <r>
    <x v="378"/>
  </r>
  <r>
    <x v="379"/>
  </r>
  <r>
    <x v="215"/>
  </r>
  <r>
    <x v="380"/>
  </r>
  <r>
    <x v="381"/>
  </r>
  <r>
    <x v="202"/>
  </r>
  <r>
    <x v="231"/>
  </r>
  <r>
    <x v="382"/>
  </r>
  <r>
    <x v="382"/>
  </r>
  <r>
    <x v="382"/>
  </r>
  <r>
    <x v="382"/>
  </r>
  <r>
    <x v="382"/>
  </r>
  <r>
    <x v="382"/>
  </r>
  <r>
    <x v="382"/>
  </r>
  <r>
    <x v="382"/>
  </r>
  <r>
    <x v="272"/>
  </r>
  <r>
    <x v="383"/>
  </r>
  <r>
    <x v="384"/>
  </r>
  <r>
    <x v="385"/>
  </r>
  <r>
    <x v="39"/>
  </r>
  <r>
    <x v="386"/>
  </r>
  <r>
    <x v="386"/>
  </r>
  <r>
    <x v="386"/>
  </r>
  <r>
    <x v="386"/>
  </r>
  <r>
    <x v="386"/>
  </r>
  <r>
    <x v="386"/>
  </r>
  <r>
    <x v="386"/>
  </r>
  <r>
    <x v="386"/>
  </r>
  <r>
    <x v="386"/>
  </r>
  <r>
    <x v="386"/>
  </r>
  <r>
    <x v="386"/>
  </r>
  <r>
    <x v="386"/>
  </r>
  <r>
    <x v="386"/>
  </r>
  <r>
    <x v="386"/>
  </r>
  <r>
    <x v="386"/>
  </r>
  <r>
    <x v="386"/>
  </r>
  <r>
    <x v="386"/>
  </r>
  <r>
    <x v="386"/>
  </r>
  <r>
    <x v="386"/>
  </r>
  <r>
    <x v="386"/>
  </r>
  <r>
    <x v="386"/>
  </r>
  <r>
    <x v="386"/>
  </r>
  <r>
    <x v="386"/>
  </r>
  <r>
    <x v="386"/>
  </r>
  <r>
    <x v="386"/>
  </r>
  <r>
    <x v="386"/>
  </r>
  <r>
    <x v="326"/>
  </r>
  <r>
    <x v="215"/>
  </r>
  <r>
    <x v="0"/>
  </r>
  <r>
    <x v="0"/>
  </r>
  <r>
    <x v="183"/>
  </r>
  <r>
    <x v="240"/>
  </r>
  <r>
    <x v="292"/>
  </r>
  <r>
    <x v="365"/>
  </r>
  <r>
    <x v="13"/>
  </r>
  <r>
    <x v="362"/>
  </r>
  <r>
    <x v="387"/>
  </r>
  <r>
    <x v="388"/>
  </r>
  <r>
    <x v="389"/>
  </r>
  <r>
    <x v="227"/>
  </r>
  <r>
    <x v="390"/>
  </r>
  <r>
    <x v="24"/>
  </r>
  <r>
    <x v="391"/>
  </r>
  <r>
    <x v="391"/>
  </r>
  <r>
    <x v="391"/>
  </r>
  <r>
    <x v="391"/>
  </r>
  <r>
    <x v="0"/>
  </r>
  <r>
    <x v="392"/>
  </r>
  <r>
    <x v="393"/>
  </r>
  <r>
    <x v="393"/>
  </r>
  <r>
    <x v="359"/>
  </r>
  <r>
    <x v="359"/>
  </r>
  <r>
    <x v="394"/>
  </r>
  <r>
    <x v="395"/>
  </r>
  <r>
    <x v="227"/>
  </r>
  <r>
    <x v="73"/>
  </r>
  <r>
    <x v="396"/>
  </r>
  <r>
    <x v="396"/>
  </r>
  <r>
    <x v="396"/>
  </r>
  <r>
    <x v="396"/>
  </r>
  <r>
    <x v="396"/>
  </r>
  <r>
    <x v="396"/>
  </r>
  <r>
    <x v="396"/>
  </r>
  <r>
    <x v="396"/>
  </r>
  <r>
    <x v="396"/>
  </r>
  <r>
    <x v="396"/>
  </r>
  <r>
    <x v="396"/>
  </r>
  <r>
    <x v="396"/>
  </r>
  <r>
    <x v="396"/>
  </r>
  <r>
    <x v="260"/>
  </r>
  <r>
    <x v="353"/>
  </r>
  <r>
    <x v="353"/>
  </r>
  <r>
    <x v="353"/>
  </r>
  <r>
    <x v="353"/>
  </r>
  <r>
    <x v="353"/>
  </r>
  <r>
    <x v="353"/>
  </r>
  <r>
    <x v="353"/>
  </r>
  <r>
    <x v="266"/>
  </r>
  <r>
    <x v="220"/>
  </r>
  <r>
    <x v="397"/>
  </r>
  <r>
    <x v="398"/>
  </r>
  <r>
    <x v="399"/>
  </r>
  <r>
    <x v="277"/>
  </r>
  <r>
    <x v="400"/>
  </r>
  <r>
    <x v="215"/>
  </r>
  <r>
    <x v="401"/>
  </r>
  <r>
    <x v="379"/>
  </r>
  <r>
    <x v="402"/>
  </r>
  <r>
    <x v="215"/>
  </r>
  <r>
    <x v="215"/>
  </r>
  <r>
    <x v="215"/>
  </r>
  <r>
    <x v="215"/>
  </r>
  <r>
    <x v="215"/>
  </r>
  <r>
    <x v="215"/>
  </r>
  <r>
    <x v="215"/>
  </r>
  <r>
    <x v="215"/>
  </r>
  <r>
    <x v="403"/>
  </r>
  <r>
    <x v="404"/>
  </r>
  <r>
    <x v="260"/>
  </r>
  <r>
    <x v="405"/>
  </r>
  <r>
    <x v="0"/>
  </r>
  <r>
    <x v="215"/>
  </r>
  <r>
    <x v="215"/>
  </r>
  <r>
    <x v="215"/>
  </r>
  <r>
    <x v="215"/>
  </r>
  <r>
    <x v="215"/>
  </r>
  <r>
    <x v="215"/>
  </r>
  <r>
    <x v="215"/>
  </r>
  <r>
    <x v="215"/>
  </r>
  <r>
    <x v="215"/>
  </r>
  <r>
    <x v="215"/>
  </r>
  <r>
    <x v="215"/>
  </r>
  <r>
    <x v="215"/>
  </r>
  <r>
    <x v="215"/>
  </r>
  <r>
    <x v="215"/>
  </r>
  <r>
    <x v="215"/>
  </r>
  <r>
    <x v="215"/>
  </r>
  <r>
    <x v="215"/>
  </r>
  <r>
    <x v="215"/>
  </r>
  <r>
    <x v="215"/>
  </r>
  <r>
    <x v="215"/>
  </r>
  <r>
    <x v="215"/>
  </r>
  <r>
    <x v="215"/>
  </r>
  <r>
    <x v="215"/>
  </r>
  <r>
    <x v="215"/>
  </r>
  <r>
    <x v="215"/>
  </r>
  <r>
    <x v="215"/>
  </r>
  <r>
    <x v="365"/>
  </r>
  <r>
    <x v="406"/>
  </r>
  <r>
    <x v="407"/>
  </r>
  <r>
    <x v="389"/>
  </r>
  <r>
    <x v="292"/>
  </r>
  <r>
    <x v="290"/>
  </r>
  <r>
    <x v="0"/>
  </r>
  <r>
    <x v="408"/>
  </r>
  <r>
    <x v="409"/>
  </r>
  <r>
    <x v="410"/>
  </r>
  <r>
    <x v="411"/>
  </r>
  <r>
    <x v="389"/>
  </r>
  <r>
    <x v="18"/>
  </r>
  <r>
    <x v="412"/>
  </r>
  <r>
    <x v="413"/>
  </r>
  <r>
    <x v="413"/>
  </r>
  <r>
    <x v="413"/>
  </r>
  <r>
    <x v="413"/>
  </r>
  <r>
    <x v="414"/>
  </r>
  <r>
    <x v="392"/>
  </r>
  <r>
    <x v="289"/>
  </r>
  <r>
    <x v="289"/>
  </r>
  <r>
    <x v="415"/>
  </r>
  <r>
    <x v="416"/>
  </r>
  <r>
    <x v="0"/>
  </r>
  <r>
    <x v="227"/>
  </r>
  <r>
    <x v="215"/>
  </r>
  <r>
    <x v="215"/>
  </r>
  <r>
    <x v="215"/>
  </r>
  <r>
    <x v="215"/>
  </r>
  <r>
    <x v="215"/>
  </r>
  <r>
    <x v="215"/>
  </r>
  <r>
    <x v="215"/>
  </r>
  <r>
    <x v="215"/>
  </r>
  <r>
    <x v="215"/>
  </r>
  <r>
    <x v="215"/>
  </r>
  <r>
    <x v="215"/>
  </r>
  <r>
    <x v="215"/>
  </r>
  <r>
    <x v="215"/>
  </r>
  <r>
    <x v="215"/>
  </r>
  <r>
    <x v="417"/>
  </r>
  <r>
    <x v="417"/>
  </r>
  <r>
    <x v="417"/>
  </r>
  <r>
    <x v="417"/>
  </r>
  <r>
    <x v="417"/>
  </r>
  <r>
    <x v="417"/>
  </r>
  <r>
    <x v="417"/>
  </r>
  <r>
    <x v="135"/>
  </r>
  <r>
    <x v="418"/>
  </r>
  <r>
    <x v="419"/>
  </r>
  <r>
    <x v="420"/>
  </r>
  <r>
    <x v="421"/>
  </r>
  <r>
    <x v="277"/>
  </r>
  <r>
    <x v="164"/>
  </r>
  <r>
    <x v="135"/>
  </r>
  <r>
    <x v="0"/>
  </r>
  <r>
    <x v="422"/>
  </r>
  <r>
    <x v="423"/>
  </r>
  <r>
    <x v="424"/>
  </r>
  <r>
    <x v="425"/>
  </r>
  <r>
    <x v="215"/>
  </r>
  <r>
    <x v="426"/>
  </r>
  <r>
    <x v="215"/>
  </r>
  <r>
    <x v="245"/>
  </r>
  <r>
    <x v="427"/>
  </r>
  <r>
    <x v="428"/>
  </r>
  <r>
    <x v="290"/>
  </r>
  <r>
    <x v="0"/>
  </r>
  <r>
    <x v="215"/>
  </r>
  <r>
    <x v="248"/>
  </r>
  <r>
    <x v="429"/>
  </r>
  <r>
    <x v="430"/>
  </r>
  <r>
    <x v="430"/>
  </r>
  <r>
    <x v="430"/>
  </r>
  <r>
    <x v="430"/>
  </r>
  <r>
    <x v="431"/>
  </r>
  <r>
    <x v="0"/>
  </r>
  <r>
    <x v="13"/>
  </r>
  <r>
    <x v="13"/>
  </r>
  <r>
    <x v="432"/>
  </r>
  <r>
    <x v="215"/>
  </r>
  <r>
    <x v="227"/>
  </r>
  <r>
    <x v="227"/>
  </r>
  <r>
    <x v="380"/>
  </r>
  <r>
    <x v="380"/>
  </r>
  <r>
    <x v="380"/>
  </r>
  <r>
    <x v="380"/>
  </r>
  <r>
    <x v="380"/>
  </r>
  <r>
    <x v="380"/>
  </r>
  <r>
    <x v="380"/>
  </r>
  <r>
    <x v="227"/>
  </r>
  <r>
    <x v="433"/>
  </r>
  <r>
    <x v="365"/>
  </r>
  <r>
    <x v="316"/>
  </r>
  <r>
    <x v="434"/>
  </r>
  <r>
    <x v="435"/>
  </r>
  <r>
    <x v="260"/>
  </r>
  <r>
    <x v="436"/>
  </r>
  <r>
    <x v="273"/>
  </r>
  <r>
    <x v="437"/>
  </r>
  <r>
    <x v="438"/>
  </r>
  <r>
    <x v="183"/>
  </r>
  <r>
    <x v="439"/>
  </r>
  <r>
    <x v="389"/>
  </r>
  <r>
    <x v="365"/>
  </r>
  <r>
    <x v="440"/>
  </r>
  <r>
    <x v="207"/>
  </r>
  <r>
    <x v="207"/>
  </r>
  <r>
    <x v="207"/>
  </r>
  <r>
    <x v="207"/>
  </r>
  <r>
    <x v="441"/>
  </r>
  <r>
    <x v="414"/>
  </r>
  <r>
    <x v="240"/>
  </r>
  <r>
    <x v="240"/>
  </r>
  <r>
    <x v="442"/>
  </r>
  <r>
    <x v="395"/>
  </r>
  <r>
    <x v="227"/>
  </r>
  <r>
    <x v="227"/>
  </r>
  <r>
    <x v="215"/>
  </r>
  <r>
    <x v="215"/>
  </r>
  <r>
    <x v="215"/>
  </r>
  <r>
    <x v="215"/>
  </r>
  <r>
    <x v="215"/>
  </r>
  <r>
    <x v="215"/>
  </r>
  <r>
    <x v="215"/>
  </r>
  <r>
    <x v="443"/>
  </r>
  <r>
    <x v="272"/>
  </r>
  <r>
    <x v="353"/>
  </r>
  <r>
    <x v="444"/>
  </r>
  <r>
    <x v="215"/>
  </r>
  <r>
    <x v="445"/>
  </r>
  <r>
    <x v="0"/>
  </r>
  <r>
    <x v="215"/>
  </r>
  <r>
    <x v="215"/>
  </r>
  <r>
    <x v="183"/>
  </r>
  <r>
    <x v="446"/>
  </r>
  <r>
    <x v="447"/>
  </r>
  <r>
    <x v="448"/>
  </r>
  <r>
    <x v="449"/>
  </r>
  <r>
    <x v="207"/>
  </r>
  <r>
    <x v="207"/>
  </r>
  <r>
    <x v="207"/>
  </r>
  <r>
    <x v="207"/>
  </r>
  <r>
    <x v="372"/>
  </r>
  <r>
    <x v="450"/>
  </r>
  <r>
    <x v="451"/>
  </r>
  <r>
    <x v="451"/>
  </r>
  <r>
    <x v="452"/>
  </r>
  <r>
    <x v="453"/>
  </r>
  <r>
    <x v="353"/>
  </r>
  <r>
    <x v="215"/>
  </r>
  <r>
    <x v="215"/>
  </r>
  <r>
    <x v="215"/>
  </r>
  <r>
    <x v="228"/>
  </r>
  <r>
    <x v="454"/>
  </r>
  <r>
    <x v="273"/>
  </r>
  <r>
    <x v="426"/>
  </r>
  <r>
    <x v="240"/>
  </r>
  <r>
    <x v="240"/>
  </r>
  <r>
    <x v="455"/>
  </r>
  <r>
    <x v="389"/>
  </r>
  <r>
    <x v="456"/>
  </r>
  <r>
    <x v="413"/>
  </r>
  <r>
    <x v="413"/>
  </r>
  <r>
    <x v="413"/>
  </r>
  <r>
    <x v="413"/>
  </r>
  <r>
    <x v="359"/>
  </r>
  <r>
    <x v="215"/>
  </r>
  <r>
    <x v="451"/>
  </r>
  <r>
    <x v="451"/>
  </r>
  <r>
    <x v="457"/>
  </r>
  <r>
    <x v="458"/>
  </r>
  <r>
    <x v="443"/>
  </r>
  <r>
    <x v="215"/>
  </r>
  <r>
    <x v="459"/>
  </r>
  <r>
    <x v="460"/>
  </r>
  <r>
    <x v="461"/>
  </r>
  <r>
    <x v="438"/>
  </r>
  <r>
    <x v="183"/>
  </r>
  <r>
    <x v="290"/>
  </r>
  <r>
    <x v="462"/>
  </r>
  <r>
    <x v="215"/>
  </r>
  <r>
    <x v="0"/>
  </r>
  <r>
    <x v="215"/>
  </r>
  <r>
    <x v="215"/>
  </r>
  <r>
    <x v="215"/>
  </r>
  <r>
    <x v="215"/>
  </r>
  <r>
    <x v="463"/>
  </r>
  <r>
    <x v="285"/>
  </r>
  <r>
    <x v="443"/>
  </r>
  <r>
    <x v="464"/>
  </r>
  <r>
    <x v="465"/>
  </r>
  <r>
    <x v="389"/>
  </r>
  <r>
    <x v="466"/>
  </r>
  <r>
    <x v="290"/>
  </r>
  <r>
    <x v="467"/>
  </r>
  <r>
    <x v="468"/>
  </r>
  <r>
    <x v="215"/>
  </r>
  <r>
    <x v="469"/>
  </r>
  <r>
    <x v="470"/>
  </r>
  <r>
    <x v="215"/>
  </r>
  <r>
    <x v="439"/>
  </r>
  <r>
    <x v="449"/>
  </r>
  <r>
    <x v="471"/>
  </r>
  <r>
    <x v="215"/>
  </r>
  <r>
    <x v="230"/>
  </r>
  <r>
    <x v="472"/>
  </r>
  <r>
    <x v="473"/>
  </r>
  <r>
    <x v="389"/>
  </r>
  <r>
    <x v="474"/>
  </r>
  <r>
    <x v="475"/>
  </r>
  <r>
    <x v="365"/>
  </r>
  <r>
    <x v="215"/>
  </r>
  <r>
    <x v="476"/>
  </r>
  <r>
    <x v="215"/>
  </r>
  <r>
    <x v="477"/>
  </r>
  <r>
    <x v="353"/>
  </r>
  <r>
    <x v="478"/>
  </r>
  <r>
    <x v="359"/>
  </r>
  <r>
    <x v="215"/>
  </r>
  <r>
    <x v="479"/>
  </r>
  <r>
    <x v="480"/>
  </r>
  <r>
    <x v="481"/>
  </r>
  <r>
    <x v="482"/>
  </r>
  <r>
    <x v="215"/>
  </r>
  <r>
    <x v="462"/>
  </r>
  <r>
    <x v="483"/>
  </r>
  <r>
    <x v="484"/>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9">
  <r>
    <x v="0"/>
  </r>
  <r>
    <x v="0"/>
  </r>
  <r>
    <x v="0"/>
  </r>
  <r>
    <x v="1"/>
  </r>
  <r>
    <x v="2"/>
  </r>
  <r>
    <x v="3"/>
  </r>
  <r>
    <x v="4"/>
  </r>
  <r>
    <x v="5"/>
  </r>
  <r>
    <x v="6"/>
  </r>
  <r>
    <x v="7"/>
  </r>
  <r>
    <x v="8"/>
  </r>
  <r>
    <x v="9"/>
  </r>
  <r>
    <x v="10"/>
  </r>
  <r>
    <x v="11"/>
  </r>
  <r>
    <x v="12"/>
  </r>
  <r>
    <x v="13"/>
  </r>
  <r>
    <x v="14"/>
  </r>
  <r>
    <x v="15"/>
  </r>
  <r>
    <x v="16"/>
  </r>
  <r>
    <x v="17"/>
  </r>
  <r>
    <x v="18"/>
  </r>
  <r>
    <x v="19"/>
  </r>
  <r>
    <x v="18"/>
  </r>
  <r>
    <x v="20"/>
  </r>
  <r>
    <x v="21"/>
  </r>
  <r>
    <x v="22"/>
  </r>
  <r>
    <x v="23"/>
  </r>
  <r>
    <x v="24"/>
  </r>
  <r>
    <x v="24"/>
  </r>
  <r>
    <x v="24"/>
  </r>
  <r>
    <x v="24"/>
  </r>
  <r>
    <x v="25"/>
  </r>
  <r>
    <x v="26"/>
  </r>
  <r>
    <x v="27"/>
  </r>
  <r>
    <x v="28"/>
  </r>
  <r>
    <x v="29"/>
  </r>
  <r>
    <x v="30"/>
  </r>
  <r>
    <x v="31"/>
  </r>
  <r>
    <x v="31"/>
  </r>
  <r>
    <x v="32"/>
  </r>
  <r>
    <x v="32"/>
  </r>
  <r>
    <x v="33"/>
  </r>
  <r>
    <x v="8"/>
  </r>
  <r>
    <x v="34"/>
  </r>
  <r>
    <x v="35"/>
  </r>
  <r>
    <x v="35"/>
  </r>
  <r>
    <x v="36"/>
  </r>
  <r>
    <x v="37"/>
  </r>
  <r>
    <x v="38"/>
  </r>
  <r>
    <x v="39"/>
  </r>
  <r>
    <x v="40"/>
  </r>
  <r>
    <x v="41"/>
  </r>
  <r>
    <x v="38"/>
  </r>
  <r>
    <x v="38"/>
  </r>
  <r>
    <x v="38"/>
  </r>
  <r>
    <x v="38"/>
  </r>
  <r>
    <x v="42"/>
  </r>
  <r>
    <x v="43"/>
  </r>
  <r>
    <x v="44"/>
  </r>
  <r>
    <x v="44"/>
  </r>
  <r>
    <x v="44"/>
  </r>
  <r>
    <x v="44"/>
  </r>
  <r>
    <x v="44"/>
  </r>
  <r>
    <x v="44"/>
  </r>
  <r>
    <x v="44"/>
  </r>
  <r>
    <x v="44"/>
  </r>
  <r>
    <x v="44"/>
  </r>
  <r>
    <x v="44"/>
  </r>
  <r>
    <x v="44"/>
  </r>
  <r>
    <x v="44"/>
  </r>
  <r>
    <x v="44"/>
  </r>
  <r>
    <x v="45"/>
  </r>
  <r>
    <x v="46"/>
  </r>
  <r>
    <x v="46"/>
  </r>
  <r>
    <x v="46"/>
  </r>
  <r>
    <x v="46"/>
  </r>
  <r>
    <x v="46"/>
  </r>
  <r>
    <x v="46"/>
  </r>
  <r>
    <x v="46"/>
  </r>
  <r>
    <x v="47"/>
  </r>
  <r>
    <x v="47"/>
  </r>
  <r>
    <x v="47"/>
  </r>
  <r>
    <x v="47"/>
  </r>
  <r>
    <x v="47"/>
  </r>
  <r>
    <x v="48"/>
  </r>
  <r>
    <x v="49"/>
  </r>
  <r>
    <x v="50"/>
  </r>
  <r>
    <x v="50"/>
  </r>
  <r>
    <x v="50"/>
  </r>
  <r>
    <x v="50"/>
  </r>
  <r>
    <x v="51"/>
  </r>
  <r>
    <x v="51"/>
  </r>
  <r>
    <x v="51"/>
  </r>
  <r>
    <x v="51"/>
  </r>
  <r>
    <x v="51"/>
  </r>
  <r>
    <x v="51"/>
  </r>
  <r>
    <x v="51"/>
  </r>
  <r>
    <x v="52"/>
  </r>
  <r>
    <x v="53"/>
  </r>
  <r>
    <x v="54"/>
  </r>
  <r>
    <x v="55"/>
  </r>
  <r>
    <x v="56"/>
  </r>
  <r>
    <x v="57"/>
  </r>
  <r>
    <x v="58"/>
  </r>
  <r>
    <x v="59"/>
  </r>
  <r>
    <x v="60"/>
  </r>
  <r>
    <x v="61"/>
  </r>
  <r>
    <x v="62"/>
  </r>
  <r>
    <x v="63"/>
  </r>
  <r>
    <x v="39"/>
  </r>
  <r>
    <x v="64"/>
  </r>
  <r>
    <x v="65"/>
  </r>
  <r>
    <x v="66"/>
  </r>
  <r>
    <x v="67"/>
  </r>
  <r>
    <x v="68"/>
  </r>
  <r>
    <x v="69"/>
  </r>
  <r>
    <x v="47"/>
  </r>
  <r>
    <x v="70"/>
  </r>
  <r>
    <x v="71"/>
  </r>
  <r>
    <x v="32"/>
  </r>
  <r>
    <x v="72"/>
  </r>
  <r>
    <x v="73"/>
  </r>
  <r>
    <x v="74"/>
  </r>
  <r>
    <x v="75"/>
  </r>
  <r>
    <x v="51"/>
  </r>
  <r>
    <x v="51"/>
  </r>
  <r>
    <x v="51"/>
  </r>
  <r>
    <x v="51"/>
  </r>
  <r>
    <x v="51"/>
  </r>
  <r>
    <x v="51"/>
  </r>
  <r>
    <x v="51"/>
  </r>
  <r>
    <x v="51"/>
  </r>
  <r>
    <x v="76"/>
  </r>
  <r>
    <x v="32"/>
  </r>
  <r>
    <x v="77"/>
  </r>
  <r>
    <x v="78"/>
  </r>
  <r>
    <x v="79"/>
  </r>
  <r>
    <x v="80"/>
  </r>
  <r>
    <x v="38"/>
  </r>
  <r>
    <x v="81"/>
  </r>
  <r>
    <x v="73"/>
  </r>
  <r>
    <x v="82"/>
  </r>
  <r>
    <x v="83"/>
  </r>
  <r>
    <x v="84"/>
  </r>
  <r>
    <x v="84"/>
  </r>
  <r>
    <x v="84"/>
  </r>
  <r>
    <x v="84"/>
  </r>
  <r>
    <x v="84"/>
  </r>
  <r>
    <x v="84"/>
  </r>
  <r>
    <x v="84"/>
  </r>
  <r>
    <x v="84"/>
  </r>
  <r>
    <x v="84"/>
  </r>
  <r>
    <x v="84"/>
  </r>
  <r>
    <x v="84"/>
  </r>
  <r>
    <x v="84"/>
  </r>
  <r>
    <x v="84"/>
  </r>
  <r>
    <x v="84"/>
  </r>
  <r>
    <x v="84"/>
  </r>
  <r>
    <x v="84"/>
  </r>
  <r>
    <x v="84"/>
  </r>
  <r>
    <x v="84"/>
  </r>
  <r>
    <x v="84"/>
  </r>
  <r>
    <x v="84"/>
  </r>
  <r>
    <x v="84"/>
  </r>
  <r>
    <x v="84"/>
  </r>
  <r>
    <x v="84"/>
  </r>
  <r>
    <x v="84"/>
  </r>
  <r>
    <x v="84"/>
  </r>
  <r>
    <x v="84"/>
  </r>
  <r>
    <x v="85"/>
  </r>
  <r>
    <x v="86"/>
  </r>
  <r>
    <x v="86"/>
  </r>
  <r>
    <x v="86"/>
  </r>
  <r>
    <x v="1"/>
  </r>
  <r>
    <x v="87"/>
  </r>
  <r>
    <x v="3"/>
  </r>
  <r>
    <x v="88"/>
  </r>
  <r>
    <x v="9"/>
  </r>
  <r>
    <x v="6"/>
  </r>
  <r>
    <x v="89"/>
  </r>
  <r>
    <x v="90"/>
  </r>
  <r>
    <x v="9"/>
  </r>
  <r>
    <x v="91"/>
  </r>
  <r>
    <x v="92"/>
  </r>
  <r>
    <x v="93"/>
  </r>
  <r>
    <x v="94"/>
  </r>
  <r>
    <x v="95"/>
  </r>
  <r>
    <x v="96"/>
  </r>
  <r>
    <x v="97"/>
  </r>
  <r>
    <x v="16"/>
  </r>
  <r>
    <x v="98"/>
  </r>
  <r>
    <x v="99"/>
  </r>
  <r>
    <x v="100"/>
  </r>
  <r>
    <x v="101"/>
  </r>
  <r>
    <x v="21"/>
  </r>
  <r>
    <x v="102"/>
  </r>
  <r>
    <x v="17"/>
  </r>
  <r>
    <x v="103"/>
  </r>
  <r>
    <x v="103"/>
  </r>
  <r>
    <x v="103"/>
  </r>
  <r>
    <x v="103"/>
  </r>
  <r>
    <x v="104"/>
  </r>
  <r>
    <x v="105"/>
  </r>
  <r>
    <x v="106"/>
  </r>
  <r>
    <x v="107"/>
  </r>
  <r>
    <x v="108"/>
  </r>
  <r>
    <x v="109"/>
  </r>
  <r>
    <x v="110"/>
  </r>
  <r>
    <x v="32"/>
  </r>
  <r>
    <x v="32"/>
  </r>
  <r>
    <x v="32"/>
  </r>
  <r>
    <x v="111"/>
  </r>
  <r>
    <x v="112"/>
  </r>
  <r>
    <x v="34"/>
  </r>
  <r>
    <x v="113"/>
  </r>
  <r>
    <x v="113"/>
  </r>
  <r>
    <x v="114"/>
  </r>
  <r>
    <x v="0"/>
  </r>
  <r>
    <x v="38"/>
  </r>
  <r>
    <x v="39"/>
  </r>
  <r>
    <x v="37"/>
  </r>
  <r>
    <x v="115"/>
  </r>
  <r>
    <x v="116"/>
  </r>
  <r>
    <x v="116"/>
  </r>
  <r>
    <x v="116"/>
  </r>
  <r>
    <x v="116"/>
  </r>
  <r>
    <x v="117"/>
  </r>
  <r>
    <x v="118"/>
  </r>
  <r>
    <x v="119"/>
  </r>
  <r>
    <x v="119"/>
  </r>
  <r>
    <x v="119"/>
  </r>
  <r>
    <x v="119"/>
  </r>
  <r>
    <x v="119"/>
  </r>
  <r>
    <x v="119"/>
  </r>
  <r>
    <x v="119"/>
  </r>
  <r>
    <x v="119"/>
  </r>
  <r>
    <x v="119"/>
  </r>
  <r>
    <x v="119"/>
  </r>
  <r>
    <x v="119"/>
  </r>
  <r>
    <x v="119"/>
  </r>
  <r>
    <x v="119"/>
  </r>
  <r>
    <x v="45"/>
  </r>
  <r>
    <x v="46"/>
  </r>
  <r>
    <x v="46"/>
  </r>
  <r>
    <x v="46"/>
  </r>
  <r>
    <x v="46"/>
  </r>
  <r>
    <x v="46"/>
  </r>
  <r>
    <x v="46"/>
  </r>
  <r>
    <x v="46"/>
  </r>
  <r>
    <x v="47"/>
  </r>
  <r>
    <x v="47"/>
  </r>
  <r>
    <x v="47"/>
  </r>
  <r>
    <x v="47"/>
  </r>
  <r>
    <x v="47"/>
  </r>
  <r>
    <x v="48"/>
  </r>
  <r>
    <x v="49"/>
  </r>
  <r>
    <x v="120"/>
  </r>
  <r>
    <x v="120"/>
  </r>
  <r>
    <x v="120"/>
  </r>
  <r>
    <x v="120"/>
  </r>
  <r>
    <x v="121"/>
  </r>
  <r>
    <x v="121"/>
  </r>
  <r>
    <x v="121"/>
  </r>
  <r>
    <x v="121"/>
  </r>
  <r>
    <x v="121"/>
  </r>
  <r>
    <x v="121"/>
  </r>
  <r>
    <x v="121"/>
  </r>
  <r>
    <x v="122"/>
  </r>
  <r>
    <x v="123"/>
  </r>
  <r>
    <x v="55"/>
  </r>
  <r>
    <x v="124"/>
  </r>
  <r>
    <x v="125"/>
  </r>
  <r>
    <x v="126"/>
  </r>
  <r>
    <x v="127"/>
  </r>
  <r>
    <x v="128"/>
  </r>
  <r>
    <x v="129"/>
  </r>
  <r>
    <x v="39"/>
  </r>
  <r>
    <x v="130"/>
  </r>
  <r>
    <x v="32"/>
  </r>
  <r>
    <x v="131"/>
  </r>
  <r>
    <x v="132"/>
  </r>
  <r>
    <x v="115"/>
  </r>
  <r>
    <x v="133"/>
  </r>
  <r>
    <x v="134"/>
  </r>
  <r>
    <x v="135"/>
  </r>
  <r>
    <x v="136"/>
  </r>
  <r>
    <x v="72"/>
  </r>
  <r>
    <x v="118"/>
  </r>
  <r>
    <x v="75"/>
  </r>
  <r>
    <x v="51"/>
  </r>
  <r>
    <x v="51"/>
  </r>
  <r>
    <x v="51"/>
  </r>
  <r>
    <x v="51"/>
  </r>
  <r>
    <x v="51"/>
  </r>
  <r>
    <x v="51"/>
  </r>
  <r>
    <x v="51"/>
  </r>
  <r>
    <x v="51"/>
  </r>
  <r>
    <x v="137"/>
  </r>
  <r>
    <x v="32"/>
  </r>
  <r>
    <x v="78"/>
  </r>
  <r>
    <x v="79"/>
  </r>
  <r>
    <x v="138"/>
  </r>
  <r>
    <x v="127"/>
  </r>
  <r>
    <x v="139"/>
  </r>
  <r>
    <x v="140"/>
  </r>
  <r>
    <x v="84"/>
  </r>
  <r>
    <x v="84"/>
  </r>
  <r>
    <x v="84"/>
  </r>
  <r>
    <x v="84"/>
  </r>
  <r>
    <x v="84"/>
  </r>
  <r>
    <x v="84"/>
  </r>
  <r>
    <x v="84"/>
  </r>
  <r>
    <x v="84"/>
  </r>
  <r>
    <x v="84"/>
  </r>
  <r>
    <x v="84"/>
  </r>
  <r>
    <x v="84"/>
  </r>
  <r>
    <x v="84"/>
  </r>
  <r>
    <x v="84"/>
  </r>
  <r>
    <x v="84"/>
  </r>
  <r>
    <x v="84"/>
  </r>
  <r>
    <x v="84"/>
  </r>
  <r>
    <x v="84"/>
  </r>
  <r>
    <x v="84"/>
  </r>
  <r>
    <x v="84"/>
  </r>
  <r>
    <x v="84"/>
  </r>
  <r>
    <x v="84"/>
  </r>
  <r>
    <x v="84"/>
  </r>
  <r>
    <x v="84"/>
  </r>
  <r>
    <x v="84"/>
  </r>
  <r>
    <x v="84"/>
  </r>
  <r>
    <x v="84"/>
  </r>
  <r>
    <x v="141"/>
  </r>
  <r>
    <x v="142"/>
  </r>
  <r>
    <x v="142"/>
  </r>
  <r>
    <x v="142"/>
  </r>
  <r>
    <x v="143"/>
  </r>
  <r>
    <x v="144"/>
  </r>
  <r>
    <x v="3"/>
  </r>
  <r>
    <x v="88"/>
  </r>
  <r>
    <x v="5"/>
  </r>
  <r>
    <x v="145"/>
  </r>
  <r>
    <x v="89"/>
  </r>
  <r>
    <x v="13"/>
  </r>
  <r>
    <x v="146"/>
  </r>
  <r>
    <x v="91"/>
  </r>
  <r>
    <x v="12"/>
  </r>
  <r>
    <x v="147"/>
  </r>
  <r>
    <x v="148"/>
  </r>
  <r>
    <x v="149"/>
  </r>
  <r>
    <x v="150"/>
  </r>
  <r>
    <x v="17"/>
  </r>
  <r>
    <x v="151"/>
  </r>
  <r>
    <x v="19"/>
  </r>
  <r>
    <x v="99"/>
  </r>
  <r>
    <x v="101"/>
  </r>
  <r>
    <x v="152"/>
  </r>
  <r>
    <x v="153"/>
  </r>
  <r>
    <x v="153"/>
  </r>
  <r>
    <x v="153"/>
  </r>
  <r>
    <x v="153"/>
  </r>
  <r>
    <x v="104"/>
  </r>
  <r>
    <x v="154"/>
  </r>
  <r>
    <x v="155"/>
  </r>
  <r>
    <x v="156"/>
  </r>
  <r>
    <x v="32"/>
  </r>
  <r>
    <x v="32"/>
  </r>
  <r>
    <x v="32"/>
  </r>
  <r>
    <x v="111"/>
  </r>
  <r>
    <x v="157"/>
  </r>
  <r>
    <x v="13"/>
  </r>
  <r>
    <x v="158"/>
  </r>
  <r>
    <x v="158"/>
  </r>
  <r>
    <x v="0"/>
  </r>
  <r>
    <x v="86"/>
  </r>
  <r>
    <x v="159"/>
  </r>
  <r>
    <x v="160"/>
  </r>
  <r>
    <x v="161"/>
  </r>
  <r>
    <x v="116"/>
  </r>
  <r>
    <x v="116"/>
  </r>
  <r>
    <x v="116"/>
  </r>
  <r>
    <x v="116"/>
  </r>
  <r>
    <x v="116"/>
  </r>
  <r>
    <x v="162"/>
  </r>
  <r>
    <x v="163"/>
  </r>
  <r>
    <x v="164"/>
  </r>
  <r>
    <x v="164"/>
  </r>
  <r>
    <x v="164"/>
  </r>
  <r>
    <x v="164"/>
  </r>
  <r>
    <x v="164"/>
  </r>
  <r>
    <x v="164"/>
  </r>
  <r>
    <x v="164"/>
  </r>
  <r>
    <x v="164"/>
  </r>
  <r>
    <x v="164"/>
  </r>
  <r>
    <x v="164"/>
  </r>
  <r>
    <x v="164"/>
  </r>
  <r>
    <x v="164"/>
  </r>
  <r>
    <x v="164"/>
  </r>
  <r>
    <x v="138"/>
  </r>
  <r>
    <x v="46"/>
  </r>
  <r>
    <x v="46"/>
  </r>
  <r>
    <x v="46"/>
  </r>
  <r>
    <x v="46"/>
  </r>
  <r>
    <x v="46"/>
  </r>
  <r>
    <x v="46"/>
  </r>
  <r>
    <x v="46"/>
  </r>
  <r>
    <x v="165"/>
  </r>
  <r>
    <x v="50"/>
  </r>
  <r>
    <x v="50"/>
  </r>
  <r>
    <x v="50"/>
  </r>
  <r>
    <x v="50"/>
  </r>
  <r>
    <x v="51"/>
  </r>
  <r>
    <x v="51"/>
  </r>
  <r>
    <x v="51"/>
  </r>
  <r>
    <x v="51"/>
  </r>
  <r>
    <x v="51"/>
  </r>
  <r>
    <x v="51"/>
  </r>
  <r>
    <x v="51"/>
  </r>
  <r>
    <x v="122"/>
  </r>
  <r>
    <x v="123"/>
  </r>
  <r>
    <x v="115"/>
  </r>
  <r>
    <x v="166"/>
  </r>
  <r>
    <x v="47"/>
  </r>
  <r>
    <x v="62"/>
  </r>
  <r>
    <x v="167"/>
  </r>
  <r>
    <x v="78"/>
  </r>
  <r>
    <x v="168"/>
  </r>
  <r>
    <x v="46"/>
  </r>
  <r>
    <x v="66"/>
  </r>
  <r>
    <x v="68"/>
  </r>
  <r>
    <x v="169"/>
  </r>
  <r>
    <x v="170"/>
  </r>
  <r>
    <x v="135"/>
  </r>
  <r>
    <x v="65"/>
  </r>
  <r>
    <x v="58"/>
  </r>
  <r>
    <x v="171"/>
  </r>
  <r>
    <x v="37"/>
  </r>
  <r>
    <x v="37"/>
  </r>
  <r>
    <x v="37"/>
  </r>
  <r>
    <x v="37"/>
  </r>
  <r>
    <x v="37"/>
  </r>
  <r>
    <x v="37"/>
  </r>
  <r>
    <x v="37"/>
  </r>
  <r>
    <x v="37"/>
  </r>
  <r>
    <x v="80"/>
  </r>
  <r>
    <x v="38"/>
  </r>
  <r>
    <x v="40"/>
  </r>
  <r>
    <x v="172"/>
  </r>
  <r>
    <x v="82"/>
  </r>
  <r>
    <x v="173"/>
  </r>
  <r>
    <x v="84"/>
  </r>
  <r>
    <x v="84"/>
  </r>
  <r>
    <x v="84"/>
  </r>
  <r>
    <x v="84"/>
  </r>
  <r>
    <x v="84"/>
  </r>
  <r>
    <x v="84"/>
  </r>
  <r>
    <x v="84"/>
  </r>
  <r>
    <x v="84"/>
  </r>
  <r>
    <x v="84"/>
  </r>
  <r>
    <x v="84"/>
  </r>
  <r>
    <x v="84"/>
  </r>
  <r>
    <x v="84"/>
  </r>
  <r>
    <x v="84"/>
  </r>
  <r>
    <x v="84"/>
  </r>
  <r>
    <x v="84"/>
  </r>
  <r>
    <x v="84"/>
  </r>
  <r>
    <x v="84"/>
  </r>
  <r>
    <x v="84"/>
  </r>
  <r>
    <x v="84"/>
  </r>
  <r>
    <x v="84"/>
  </r>
  <r>
    <x v="84"/>
  </r>
  <r>
    <x v="84"/>
  </r>
  <r>
    <x v="84"/>
  </r>
  <r>
    <x v="84"/>
  </r>
  <r>
    <x v="84"/>
  </r>
  <r>
    <x v="84"/>
  </r>
  <r>
    <x v="13"/>
  </r>
  <r>
    <x v="174"/>
  </r>
  <r>
    <x v="174"/>
  </r>
  <r>
    <x v="174"/>
  </r>
  <r>
    <x v="138"/>
  </r>
  <r>
    <x v="175"/>
  </r>
  <r>
    <x v="176"/>
  </r>
  <r>
    <x v="9"/>
  </r>
  <r>
    <x v="177"/>
  </r>
  <r>
    <x v="7"/>
  </r>
  <r>
    <x v="13"/>
  </r>
  <r>
    <x v="146"/>
  </r>
  <r>
    <x v="178"/>
  </r>
  <r>
    <x v="179"/>
  </r>
  <r>
    <x v="148"/>
  </r>
  <r>
    <x v="180"/>
  </r>
  <r>
    <x v="181"/>
  </r>
  <r>
    <x v="182"/>
  </r>
  <r>
    <x v="183"/>
  </r>
  <r>
    <x v="99"/>
  </r>
  <r>
    <x v="184"/>
  </r>
  <r>
    <x v="156"/>
  </r>
  <r>
    <x v="185"/>
  </r>
  <r>
    <x v="186"/>
  </r>
  <r>
    <x v="186"/>
  </r>
  <r>
    <x v="186"/>
  </r>
  <r>
    <x v="186"/>
  </r>
  <r>
    <x v="187"/>
  </r>
  <r>
    <x v="188"/>
  </r>
  <r>
    <x v="106"/>
  </r>
  <r>
    <x v="110"/>
  </r>
  <r>
    <x v="32"/>
  </r>
  <r>
    <x v="32"/>
  </r>
  <r>
    <x v="33"/>
  </r>
  <r>
    <x v="157"/>
  </r>
  <r>
    <x v="177"/>
  </r>
  <r>
    <x v="15"/>
  </r>
  <r>
    <x v="15"/>
  </r>
  <r>
    <x v="86"/>
  </r>
  <r>
    <x v="189"/>
  </r>
  <r>
    <x v="190"/>
  </r>
  <r>
    <x v="191"/>
  </r>
  <r>
    <x v="116"/>
  </r>
  <r>
    <x v="165"/>
  </r>
  <r>
    <x v="165"/>
  </r>
  <r>
    <x v="165"/>
  </r>
  <r>
    <x v="165"/>
  </r>
  <r>
    <x v="121"/>
  </r>
  <r>
    <x v="43"/>
  </r>
  <r>
    <x v="119"/>
  </r>
  <r>
    <x v="119"/>
  </r>
  <r>
    <x v="119"/>
  </r>
  <r>
    <x v="119"/>
  </r>
  <r>
    <x v="119"/>
  </r>
  <r>
    <x v="119"/>
  </r>
  <r>
    <x v="119"/>
  </r>
  <r>
    <x v="119"/>
  </r>
  <r>
    <x v="119"/>
  </r>
  <r>
    <x v="119"/>
  </r>
  <r>
    <x v="119"/>
  </r>
  <r>
    <x v="119"/>
  </r>
  <r>
    <x v="119"/>
  </r>
  <r>
    <x v="192"/>
  </r>
  <r>
    <x v="46"/>
  </r>
  <r>
    <x v="46"/>
  </r>
  <r>
    <x v="46"/>
  </r>
  <r>
    <x v="46"/>
  </r>
  <r>
    <x v="46"/>
  </r>
  <r>
    <x v="46"/>
  </r>
  <r>
    <x v="46"/>
  </r>
  <r>
    <x v="169"/>
  </r>
  <r>
    <x v="169"/>
  </r>
  <r>
    <x v="169"/>
  </r>
  <r>
    <x v="169"/>
  </r>
  <r>
    <x v="169"/>
  </r>
  <r>
    <x v="169"/>
  </r>
  <r>
    <x v="169"/>
  </r>
  <r>
    <x v="169"/>
  </r>
  <r>
    <x v="169"/>
  </r>
  <r>
    <x v="169"/>
  </r>
  <r>
    <x v="169"/>
  </r>
  <r>
    <x v="52"/>
  </r>
  <r>
    <x v="54"/>
  </r>
  <r>
    <x v="166"/>
  </r>
  <r>
    <x v="193"/>
  </r>
  <r>
    <x v="194"/>
  </r>
  <r>
    <x v="78"/>
  </r>
  <r>
    <x v="195"/>
  </r>
  <r>
    <x v="196"/>
  </r>
  <r>
    <x v="197"/>
  </r>
  <r>
    <x v="198"/>
  </r>
  <r>
    <x v="160"/>
  </r>
  <r>
    <x v="72"/>
  </r>
  <r>
    <x v="199"/>
  </r>
  <r>
    <x v="0"/>
  </r>
  <r>
    <x v="200"/>
  </r>
  <r>
    <x v="201"/>
  </r>
  <r>
    <x v="201"/>
  </r>
  <r>
    <x v="201"/>
  </r>
  <r>
    <x v="201"/>
  </r>
  <r>
    <x v="201"/>
  </r>
  <r>
    <x v="201"/>
  </r>
  <r>
    <x v="201"/>
  </r>
  <r>
    <x v="201"/>
  </r>
  <r>
    <x v="202"/>
  </r>
  <r>
    <x v="138"/>
  </r>
  <r>
    <x v="203"/>
  </r>
  <r>
    <x v="204"/>
  </r>
  <r>
    <x v="139"/>
  </r>
  <r>
    <x v="140"/>
  </r>
  <r>
    <x v="84"/>
  </r>
  <r>
    <x v="84"/>
  </r>
  <r>
    <x v="84"/>
  </r>
  <r>
    <x v="84"/>
  </r>
  <r>
    <x v="84"/>
  </r>
  <r>
    <x v="84"/>
  </r>
  <r>
    <x v="84"/>
  </r>
  <r>
    <x v="84"/>
  </r>
  <r>
    <x v="84"/>
  </r>
  <r>
    <x v="84"/>
  </r>
  <r>
    <x v="84"/>
  </r>
  <r>
    <x v="84"/>
  </r>
  <r>
    <x v="84"/>
  </r>
  <r>
    <x v="84"/>
  </r>
  <r>
    <x v="84"/>
  </r>
  <r>
    <x v="84"/>
  </r>
  <r>
    <x v="84"/>
  </r>
  <r>
    <x v="84"/>
  </r>
  <r>
    <x v="84"/>
  </r>
  <r>
    <x v="84"/>
  </r>
  <r>
    <x v="84"/>
  </r>
  <r>
    <x v="84"/>
  </r>
  <r>
    <x v="84"/>
  </r>
  <r>
    <x v="84"/>
  </r>
  <r>
    <x v="84"/>
  </r>
  <r>
    <x v="84"/>
  </r>
  <r>
    <x v="88"/>
  </r>
  <r>
    <x v="205"/>
  </r>
  <r>
    <x v="205"/>
  </r>
  <r>
    <x v="205"/>
  </r>
  <r>
    <x v="2"/>
  </r>
  <r>
    <x v="8"/>
  </r>
  <r>
    <x v="4"/>
  </r>
  <r>
    <x v="206"/>
  </r>
  <r>
    <x v="145"/>
  </r>
  <r>
    <x v="207"/>
  </r>
  <r>
    <x v="90"/>
  </r>
  <r>
    <x v="208"/>
  </r>
  <r>
    <x v="0"/>
  </r>
  <r>
    <x v="179"/>
  </r>
  <r>
    <x v="209"/>
  </r>
  <r>
    <x v="210"/>
  </r>
  <r>
    <x v="207"/>
  </r>
  <r>
    <x v="211"/>
  </r>
  <r>
    <x v="18"/>
  </r>
  <r>
    <x v="212"/>
  </r>
  <r>
    <x v="213"/>
  </r>
  <r>
    <x v="214"/>
  </r>
  <r>
    <x v="215"/>
  </r>
  <r>
    <x v="103"/>
  </r>
  <r>
    <x v="103"/>
  </r>
  <r>
    <x v="103"/>
  </r>
  <r>
    <x v="103"/>
  </r>
  <r>
    <x v="26"/>
  </r>
  <r>
    <x v="216"/>
  </r>
  <r>
    <x v="115"/>
  </r>
  <r>
    <x v="217"/>
  </r>
  <r>
    <x v="217"/>
  </r>
  <r>
    <x v="177"/>
  </r>
  <r>
    <x v="218"/>
  </r>
  <r>
    <x v="219"/>
  </r>
  <r>
    <x v="219"/>
  </r>
  <r>
    <x v="189"/>
  </r>
  <r>
    <x v="189"/>
  </r>
  <r>
    <x v="220"/>
  </r>
  <r>
    <x v="161"/>
  </r>
  <r>
    <x v="116"/>
  </r>
  <r>
    <x v="116"/>
  </r>
  <r>
    <x v="116"/>
  </r>
  <r>
    <x v="116"/>
  </r>
  <r>
    <x v="221"/>
  </r>
  <r>
    <x v="43"/>
  </r>
  <r>
    <x v="44"/>
  </r>
  <r>
    <x v="44"/>
  </r>
  <r>
    <x v="44"/>
  </r>
  <r>
    <x v="44"/>
  </r>
  <r>
    <x v="44"/>
  </r>
  <r>
    <x v="44"/>
  </r>
  <r>
    <x v="44"/>
  </r>
  <r>
    <x v="44"/>
  </r>
  <r>
    <x v="44"/>
  </r>
  <r>
    <x v="44"/>
  </r>
  <r>
    <x v="44"/>
  </r>
  <r>
    <x v="44"/>
  </r>
  <r>
    <x v="44"/>
  </r>
  <r>
    <x v="222"/>
  </r>
  <r>
    <x v="115"/>
  </r>
  <r>
    <x v="115"/>
  </r>
  <r>
    <x v="115"/>
  </r>
  <r>
    <x v="115"/>
  </r>
  <r>
    <x v="115"/>
  </r>
  <r>
    <x v="115"/>
  </r>
  <r>
    <x v="115"/>
  </r>
  <r>
    <x v="115"/>
  </r>
  <r>
    <x v="115"/>
  </r>
  <r>
    <x v="115"/>
  </r>
  <r>
    <x v="115"/>
  </r>
  <r>
    <x v="115"/>
  </r>
  <r>
    <x v="115"/>
  </r>
  <r>
    <x v="115"/>
  </r>
  <r>
    <x v="115"/>
  </r>
  <r>
    <x v="0"/>
  </r>
  <r>
    <x v="56"/>
  </r>
  <r>
    <x v="223"/>
  </r>
  <r>
    <x v="194"/>
  </r>
  <r>
    <x v="39"/>
  </r>
  <r>
    <x v="224"/>
  </r>
  <r>
    <x v="46"/>
  </r>
  <r>
    <x v="0"/>
  </r>
  <r>
    <x v="165"/>
  </r>
  <r>
    <x v="160"/>
  </r>
  <r>
    <x v="72"/>
  </r>
  <r>
    <x v="225"/>
  </r>
  <r>
    <x v="116"/>
  </r>
  <r>
    <x v="118"/>
  </r>
  <r>
    <x v="0"/>
  </r>
  <r>
    <x v="0"/>
  </r>
  <r>
    <x v="0"/>
  </r>
  <r>
    <x v="0"/>
  </r>
  <r>
    <x v="0"/>
  </r>
  <r>
    <x v="0"/>
  </r>
  <r>
    <x v="0"/>
  </r>
  <r>
    <x v="0"/>
  </r>
  <r>
    <x v="226"/>
  </r>
  <r>
    <x v="172"/>
  </r>
  <r>
    <x v="227"/>
  </r>
  <r>
    <x v="228"/>
  </r>
  <r>
    <x v="139"/>
  </r>
  <r>
    <x v="190"/>
  </r>
  <r>
    <x v="0"/>
  </r>
  <r>
    <x v="0"/>
  </r>
  <r>
    <x v="0"/>
  </r>
  <r>
    <x v="0"/>
  </r>
  <r>
    <x v="0"/>
  </r>
  <r>
    <x v="0"/>
  </r>
  <r>
    <x v="0"/>
  </r>
  <r>
    <x v="0"/>
  </r>
  <r>
    <x v="0"/>
  </r>
  <r>
    <x v="0"/>
  </r>
  <r>
    <x v="0"/>
  </r>
  <r>
    <x v="0"/>
  </r>
  <r>
    <x v="0"/>
  </r>
  <r>
    <x v="0"/>
  </r>
  <r>
    <x v="0"/>
  </r>
  <r>
    <x v="0"/>
  </r>
  <r>
    <x v="0"/>
  </r>
  <r>
    <x v="0"/>
  </r>
  <r>
    <x v="0"/>
  </r>
  <r>
    <x v="0"/>
  </r>
  <r>
    <x v="0"/>
  </r>
  <r>
    <x v="0"/>
  </r>
  <r>
    <x v="0"/>
  </r>
  <r>
    <x v="0"/>
  </r>
  <r>
    <x v="0"/>
  </r>
  <r>
    <x v="0"/>
  </r>
  <r>
    <x v="229"/>
  </r>
  <r>
    <x v="230"/>
  </r>
  <r>
    <x v="230"/>
  </r>
  <r>
    <x v="230"/>
  </r>
  <r>
    <x v="87"/>
  </r>
  <r>
    <x v="3"/>
  </r>
  <r>
    <x v="88"/>
  </r>
  <r>
    <x v="177"/>
  </r>
  <r>
    <x v="181"/>
  </r>
  <r>
    <x v="8"/>
  </r>
  <r>
    <x v="165"/>
  </r>
  <r>
    <x v="12"/>
  </r>
  <r>
    <x v="231"/>
  </r>
  <r>
    <x v="232"/>
  </r>
  <r>
    <x v="207"/>
  </r>
  <r>
    <x v="182"/>
  </r>
  <r>
    <x v="98"/>
  </r>
  <r>
    <x v="233"/>
  </r>
  <r>
    <x v="213"/>
  </r>
  <r>
    <x v="234"/>
  </r>
  <r>
    <x v="152"/>
  </r>
  <r>
    <x v="186"/>
  </r>
  <r>
    <x v="186"/>
  </r>
  <r>
    <x v="186"/>
  </r>
  <r>
    <x v="186"/>
  </r>
  <r>
    <x v="105"/>
  </r>
  <r>
    <x v="235"/>
  </r>
  <r>
    <x v="115"/>
  </r>
  <r>
    <x v="217"/>
  </r>
  <r>
    <x v="165"/>
  </r>
  <r>
    <x v="158"/>
  </r>
  <r>
    <x v="158"/>
  </r>
  <r>
    <x v="205"/>
  </r>
  <r>
    <x v="205"/>
  </r>
  <r>
    <x v="0"/>
  </r>
  <r>
    <x v="161"/>
  </r>
  <r>
    <x v="236"/>
  </r>
  <r>
    <x v="236"/>
  </r>
  <r>
    <x v="236"/>
  </r>
  <r>
    <x v="236"/>
  </r>
  <r>
    <x v="69"/>
  </r>
  <r>
    <x v="163"/>
  </r>
  <r>
    <x v="0"/>
  </r>
  <r>
    <x v="0"/>
  </r>
  <r>
    <x v="0"/>
  </r>
  <r>
    <x v="0"/>
  </r>
  <r>
    <x v="0"/>
  </r>
  <r>
    <x v="0"/>
  </r>
  <r>
    <x v="0"/>
  </r>
  <r>
    <x v="0"/>
  </r>
  <r>
    <x v="0"/>
  </r>
  <r>
    <x v="0"/>
  </r>
  <r>
    <x v="0"/>
  </r>
  <r>
    <x v="0"/>
  </r>
  <r>
    <x v="0"/>
  </r>
  <r>
    <x v="169"/>
  </r>
  <r>
    <x v="0"/>
  </r>
  <r>
    <x v="0"/>
  </r>
  <r>
    <x v="0"/>
  </r>
  <r>
    <x v="0"/>
  </r>
  <r>
    <x v="0"/>
  </r>
  <r>
    <x v="0"/>
  </r>
  <r>
    <x v="0"/>
  </r>
  <r>
    <x v="165"/>
  </r>
  <r>
    <x v="165"/>
  </r>
  <r>
    <x v="124"/>
  </r>
  <r>
    <x v="237"/>
  </r>
  <r>
    <x v="128"/>
  </r>
  <r>
    <x v="39"/>
  </r>
  <r>
    <x v="238"/>
  </r>
  <r>
    <x v="32"/>
  </r>
  <r>
    <x v="165"/>
  </r>
  <r>
    <x v="165"/>
  </r>
  <r>
    <x v="165"/>
  </r>
  <r>
    <x v="239"/>
  </r>
  <r>
    <x v="136"/>
  </r>
  <r>
    <x v="74"/>
  </r>
  <r>
    <x v="240"/>
  </r>
  <r>
    <x v="240"/>
  </r>
  <r>
    <x v="240"/>
  </r>
  <r>
    <x v="240"/>
  </r>
  <r>
    <x v="240"/>
  </r>
  <r>
    <x v="240"/>
  </r>
  <r>
    <x v="240"/>
  </r>
  <r>
    <x v="240"/>
  </r>
  <r>
    <x v="127"/>
  </r>
  <r>
    <x v="241"/>
  </r>
  <r>
    <x v="116"/>
  </r>
  <r>
    <x v="82"/>
  </r>
  <r>
    <x v="83"/>
  </r>
  <r>
    <x v="242"/>
  </r>
  <r>
    <x v="242"/>
  </r>
  <r>
    <x v="242"/>
  </r>
  <r>
    <x v="242"/>
  </r>
  <r>
    <x v="242"/>
  </r>
  <r>
    <x v="242"/>
  </r>
  <r>
    <x v="242"/>
  </r>
  <r>
    <x v="242"/>
  </r>
  <r>
    <x v="242"/>
  </r>
  <r>
    <x v="242"/>
  </r>
  <r>
    <x v="242"/>
  </r>
  <r>
    <x v="242"/>
  </r>
  <r>
    <x v="242"/>
  </r>
  <r>
    <x v="242"/>
  </r>
  <r>
    <x v="242"/>
  </r>
  <r>
    <x v="242"/>
  </r>
  <r>
    <x v="242"/>
  </r>
  <r>
    <x v="242"/>
  </r>
  <r>
    <x v="242"/>
  </r>
  <r>
    <x v="242"/>
  </r>
  <r>
    <x v="242"/>
  </r>
  <r>
    <x v="242"/>
  </r>
  <r>
    <x v="242"/>
  </r>
  <r>
    <x v="242"/>
  </r>
  <r>
    <x v="242"/>
  </r>
  <r>
    <x v="242"/>
  </r>
  <r>
    <x v="13"/>
  </r>
  <r>
    <x v="205"/>
  </r>
  <r>
    <x v="205"/>
  </r>
  <r>
    <x v="205"/>
  </r>
  <r>
    <x v="165"/>
  </r>
  <r>
    <x v="3"/>
  </r>
  <r>
    <x v="88"/>
  </r>
  <r>
    <x v="146"/>
  </r>
  <r>
    <x v="206"/>
  </r>
  <r>
    <x v="177"/>
  </r>
  <r>
    <x v="93"/>
  </r>
  <r>
    <x v="148"/>
  </r>
  <r>
    <x v="14"/>
  </r>
  <r>
    <x v="181"/>
  </r>
  <r>
    <x v="211"/>
  </r>
  <r>
    <x v="243"/>
  </r>
  <r>
    <x v="233"/>
  </r>
  <r>
    <x v="184"/>
  </r>
  <r>
    <x v="17"/>
  </r>
  <r>
    <x v="153"/>
  </r>
  <r>
    <x v="153"/>
  </r>
  <r>
    <x v="153"/>
  </r>
  <r>
    <x v="153"/>
  </r>
  <r>
    <x v="154"/>
  </r>
  <r>
    <x v="244"/>
  </r>
  <r>
    <x v="165"/>
  </r>
  <r>
    <x v="35"/>
  </r>
  <r>
    <x v="35"/>
  </r>
  <r>
    <x v="230"/>
  </r>
  <r>
    <x v="230"/>
  </r>
  <r>
    <x v="86"/>
  </r>
  <r>
    <x v="240"/>
  </r>
  <r>
    <x v="245"/>
  </r>
  <r>
    <x v="118"/>
  </r>
  <r>
    <x v="246"/>
  </r>
  <r>
    <x v="246"/>
  </r>
  <r>
    <x v="246"/>
  </r>
  <r>
    <x v="246"/>
  </r>
  <r>
    <x v="246"/>
  </r>
  <r>
    <x v="246"/>
  </r>
  <r>
    <x v="246"/>
  </r>
  <r>
    <x v="246"/>
  </r>
  <r>
    <x v="246"/>
  </r>
  <r>
    <x v="246"/>
  </r>
  <r>
    <x v="246"/>
  </r>
  <r>
    <x v="246"/>
  </r>
  <r>
    <x v="246"/>
  </r>
  <r>
    <x v="116"/>
  </r>
  <r>
    <x v="115"/>
  </r>
  <r>
    <x v="115"/>
  </r>
  <r>
    <x v="115"/>
  </r>
  <r>
    <x v="115"/>
  </r>
  <r>
    <x v="115"/>
  </r>
  <r>
    <x v="115"/>
  </r>
  <r>
    <x v="115"/>
  </r>
  <r>
    <x v="166"/>
  </r>
  <r>
    <x v="247"/>
  </r>
  <r>
    <x v="62"/>
  </r>
  <r>
    <x v="248"/>
  </r>
  <r>
    <x v="249"/>
  </r>
  <r>
    <x v="65"/>
  </r>
  <r>
    <x v="165"/>
  </r>
  <r>
    <x v="165"/>
  </r>
  <r>
    <x v="250"/>
  </r>
  <r>
    <x v="32"/>
  </r>
  <r>
    <x v="171"/>
  </r>
  <r>
    <x v="165"/>
  </r>
  <r>
    <x v="165"/>
  </r>
  <r>
    <x v="165"/>
  </r>
  <r>
    <x v="165"/>
  </r>
  <r>
    <x v="165"/>
  </r>
  <r>
    <x v="165"/>
  </r>
  <r>
    <x v="165"/>
  </r>
  <r>
    <x v="165"/>
  </r>
  <r>
    <x v="197"/>
  </r>
  <r>
    <x v="251"/>
  </r>
  <r>
    <x v="116"/>
  </r>
  <r>
    <x v="252"/>
  </r>
  <r>
    <x v="37"/>
  </r>
  <r>
    <x v="253"/>
  </r>
  <r>
    <x v="253"/>
  </r>
  <r>
    <x v="253"/>
  </r>
  <r>
    <x v="253"/>
  </r>
  <r>
    <x v="253"/>
  </r>
  <r>
    <x v="253"/>
  </r>
  <r>
    <x v="253"/>
  </r>
  <r>
    <x v="253"/>
  </r>
  <r>
    <x v="253"/>
  </r>
  <r>
    <x v="253"/>
  </r>
  <r>
    <x v="253"/>
  </r>
  <r>
    <x v="253"/>
  </r>
  <r>
    <x v="253"/>
  </r>
  <r>
    <x v="253"/>
  </r>
  <r>
    <x v="253"/>
  </r>
  <r>
    <x v="253"/>
  </r>
  <r>
    <x v="253"/>
  </r>
  <r>
    <x v="253"/>
  </r>
  <r>
    <x v="253"/>
  </r>
  <r>
    <x v="253"/>
  </r>
  <r>
    <x v="253"/>
  </r>
  <r>
    <x v="253"/>
  </r>
  <r>
    <x v="253"/>
  </r>
  <r>
    <x v="253"/>
  </r>
  <r>
    <x v="253"/>
  </r>
  <r>
    <x v="253"/>
  </r>
  <r>
    <x v="88"/>
  </r>
  <r>
    <x v="165"/>
  </r>
  <r>
    <x v="0"/>
  </r>
  <r>
    <x v="0"/>
  </r>
  <r>
    <x v="146"/>
  </r>
  <r>
    <x v="177"/>
  </r>
  <r>
    <x v="208"/>
  </r>
  <r>
    <x v="243"/>
  </r>
  <r>
    <x v="13"/>
  </r>
  <r>
    <x v="148"/>
  </r>
  <r>
    <x v="254"/>
  </r>
  <r>
    <x v="255"/>
  </r>
  <r>
    <x v="256"/>
  </r>
  <r>
    <x v="169"/>
  </r>
  <r>
    <x v="100"/>
  </r>
  <r>
    <x v="23"/>
  </r>
  <r>
    <x v="257"/>
  </r>
  <r>
    <x v="257"/>
  </r>
  <r>
    <x v="257"/>
  </r>
  <r>
    <x v="257"/>
  </r>
  <r>
    <x v="0"/>
  </r>
  <r>
    <x v="258"/>
  </r>
  <r>
    <x v="113"/>
  </r>
  <r>
    <x v="113"/>
  </r>
  <r>
    <x v="205"/>
  </r>
  <r>
    <x v="205"/>
  </r>
  <r>
    <x v="205"/>
  </r>
  <r>
    <x v="165"/>
  </r>
  <r>
    <x v="169"/>
  </r>
  <r>
    <x v="69"/>
  </r>
  <r>
    <x v="165"/>
  </r>
  <r>
    <x v="165"/>
  </r>
  <r>
    <x v="165"/>
  </r>
  <r>
    <x v="165"/>
  </r>
  <r>
    <x v="165"/>
  </r>
  <r>
    <x v="165"/>
  </r>
  <r>
    <x v="165"/>
  </r>
  <r>
    <x v="165"/>
  </r>
  <r>
    <x v="165"/>
  </r>
  <r>
    <x v="165"/>
  </r>
  <r>
    <x v="165"/>
  </r>
  <r>
    <x v="165"/>
  </r>
  <r>
    <x v="165"/>
  </r>
  <r>
    <x v="116"/>
  </r>
  <r>
    <x v="240"/>
  </r>
  <r>
    <x v="240"/>
  </r>
  <r>
    <x v="240"/>
  </r>
  <r>
    <x v="240"/>
  </r>
  <r>
    <x v="240"/>
  </r>
  <r>
    <x v="240"/>
  </r>
  <r>
    <x v="240"/>
  </r>
  <r>
    <x v="166"/>
  </r>
  <r>
    <x v="47"/>
  </r>
  <r>
    <x v="259"/>
  </r>
  <r>
    <x v="260"/>
  </r>
  <r>
    <x v="261"/>
  </r>
  <r>
    <x v="201"/>
  </r>
  <r>
    <x v="47"/>
  </r>
  <r>
    <x v="165"/>
  </r>
  <r>
    <x v="250"/>
  </r>
  <r>
    <x v="65"/>
  </r>
  <r>
    <x v="262"/>
  </r>
  <r>
    <x v="165"/>
  </r>
  <r>
    <x v="165"/>
  </r>
  <r>
    <x v="165"/>
  </r>
  <r>
    <x v="165"/>
  </r>
  <r>
    <x v="165"/>
  </r>
  <r>
    <x v="165"/>
  </r>
  <r>
    <x v="165"/>
  </r>
  <r>
    <x v="165"/>
  </r>
  <r>
    <x v="116"/>
  </r>
  <r>
    <x v="263"/>
  </r>
  <r>
    <x v="116"/>
  </r>
  <r>
    <x v="264"/>
  </r>
  <r>
    <x v="0"/>
  </r>
  <r>
    <x v="165"/>
  </r>
  <r>
    <x v="165"/>
  </r>
  <r>
    <x v="165"/>
  </r>
  <r>
    <x v="165"/>
  </r>
  <r>
    <x v="165"/>
  </r>
  <r>
    <x v="165"/>
  </r>
  <r>
    <x v="165"/>
  </r>
  <r>
    <x v="165"/>
  </r>
  <r>
    <x v="165"/>
  </r>
  <r>
    <x v="165"/>
  </r>
  <r>
    <x v="165"/>
  </r>
  <r>
    <x v="165"/>
  </r>
  <r>
    <x v="165"/>
  </r>
  <r>
    <x v="165"/>
  </r>
  <r>
    <x v="165"/>
  </r>
  <r>
    <x v="165"/>
  </r>
  <r>
    <x v="165"/>
  </r>
  <r>
    <x v="165"/>
  </r>
  <r>
    <x v="165"/>
  </r>
  <r>
    <x v="165"/>
  </r>
  <r>
    <x v="165"/>
  </r>
  <r>
    <x v="165"/>
  </r>
  <r>
    <x v="165"/>
  </r>
  <r>
    <x v="165"/>
  </r>
  <r>
    <x v="165"/>
  </r>
  <r>
    <x v="165"/>
  </r>
  <r>
    <x v="243"/>
  </r>
  <r>
    <x v="265"/>
  </r>
  <r>
    <x v="266"/>
  </r>
  <r>
    <x v="256"/>
  </r>
  <r>
    <x v="208"/>
  </r>
  <r>
    <x v="207"/>
  </r>
  <r>
    <x v="0"/>
  </r>
  <r>
    <x v="94"/>
  </r>
  <r>
    <x v="95"/>
  </r>
  <r>
    <x v="267"/>
  </r>
  <r>
    <x v="268"/>
  </r>
  <r>
    <x v="256"/>
  </r>
  <r>
    <x v="18"/>
  </r>
  <r>
    <x v="269"/>
  </r>
  <r>
    <x v="270"/>
  </r>
  <r>
    <x v="270"/>
  </r>
  <r>
    <x v="270"/>
  </r>
  <r>
    <x v="270"/>
  </r>
  <r>
    <x v="271"/>
  </r>
  <r>
    <x v="258"/>
  </r>
  <r>
    <x v="206"/>
  </r>
  <r>
    <x v="206"/>
  </r>
  <r>
    <x v="165"/>
  </r>
  <r>
    <x v="165"/>
  </r>
  <r>
    <x v="0"/>
  </r>
  <r>
    <x v="169"/>
  </r>
  <r>
    <x v="165"/>
  </r>
  <r>
    <x v="165"/>
  </r>
  <r>
    <x v="165"/>
  </r>
  <r>
    <x v="165"/>
  </r>
  <r>
    <x v="165"/>
  </r>
  <r>
    <x v="165"/>
  </r>
  <r>
    <x v="165"/>
  </r>
  <r>
    <x v="165"/>
  </r>
  <r>
    <x v="165"/>
  </r>
  <r>
    <x v="165"/>
  </r>
  <r>
    <x v="165"/>
  </r>
  <r>
    <x v="165"/>
  </r>
  <r>
    <x v="165"/>
  </r>
  <r>
    <x v="165"/>
  </r>
  <r>
    <x v="165"/>
  </r>
  <r>
    <x v="165"/>
  </r>
  <r>
    <x v="165"/>
  </r>
  <r>
    <x v="165"/>
  </r>
  <r>
    <x v="165"/>
  </r>
  <r>
    <x v="165"/>
  </r>
  <r>
    <x v="165"/>
  </r>
  <r>
    <x v="115"/>
  </r>
  <r>
    <x v="272"/>
  </r>
  <r>
    <x v="273"/>
  </r>
  <r>
    <x v="274"/>
  </r>
  <r>
    <x v="275"/>
  </r>
  <r>
    <x v="201"/>
  </r>
  <r>
    <x v="72"/>
  </r>
  <r>
    <x v="115"/>
  </r>
  <r>
    <x v="0"/>
  </r>
  <r>
    <x v="116"/>
  </r>
  <r>
    <x v="276"/>
  </r>
  <r>
    <x v="277"/>
  </r>
  <r>
    <x v="165"/>
  </r>
  <r>
    <x v="165"/>
  </r>
  <r>
    <x v="165"/>
  </r>
  <r>
    <x v="165"/>
  </r>
  <r>
    <x v="181"/>
  </r>
  <r>
    <x v="278"/>
  </r>
  <r>
    <x v="147"/>
  </r>
  <r>
    <x v="207"/>
  </r>
  <r>
    <x v="0"/>
  </r>
  <r>
    <x v="165"/>
  </r>
  <r>
    <x v="99"/>
  </r>
  <r>
    <x v="279"/>
  </r>
  <r>
    <x v="280"/>
  </r>
  <r>
    <x v="280"/>
  </r>
  <r>
    <x v="280"/>
  </r>
  <r>
    <x v="280"/>
  </r>
  <r>
    <x v="281"/>
  </r>
  <r>
    <x v="0"/>
  </r>
  <r>
    <x v="13"/>
  </r>
  <r>
    <x v="13"/>
  </r>
  <r>
    <x v="205"/>
  </r>
  <r>
    <x v="165"/>
  </r>
  <r>
    <x v="169"/>
  </r>
  <r>
    <x v="169"/>
  </r>
  <r>
    <x v="165"/>
  </r>
  <r>
    <x v="165"/>
  </r>
  <r>
    <x v="165"/>
  </r>
  <r>
    <x v="165"/>
  </r>
  <r>
    <x v="165"/>
  </r>
  <r>
    <x v="165"/>
  </r>
  <r>
    <x v="165"/>
  </r>
  <r>
    <x v="169"/>
  </r>
  <r>
    <x v="282"/>
  </r>
  <r>
    <x v="243"/>
  </r>
  <r>
    <x v="72"/>
  </r>
  <r>
    <x v="283"/>
  </r>
  <r>
    <x v="165"/>
  </r>
  <r>
    <x v="116"/>
  </r>
  <r>
    <x v="284"/>
  </r>
  <r>
    <x v="198"/>
  </r>
  <r>
    <x v="165"/>
  </r>
  <r>
    <x v="165"/>
  </r>
  <r>
    <x v="146"/>
  </r>
  <r>
    <x v="285"/>
  </r>
  <r>
    <x v="256"/>
  </r>
  <r>
    <x v="243"/>
  </r>
  <r>
    <x v="286"/>
  </r>
  <r>
    <x v="160"/>
  </r>
  <r>
    <x v="160"/>
  </r>
  <r>
    <x v="160"/>
  </r>
  <r>
    <x v="160"/>
  </r>
  <r>
    <x v="189"/>
  </r>
  <r>
    <x v="271"/>
  </r>
  <r>
    <x v="177"/>
  </r>
  <r>
    <x v="177"/>
  </r>
  <r>
    <x v="165"/>
  </r>
  <r>
    <x v="165"/>
  </r>
  <r>
    <x v="169"/>
  </r>
  <r>
    <x v="169"/>
  </r>
  <r>
    <x v="165"/>
  </r>
  <r>
    <x v="165"/>
  </r>
  <r>
    <x v="165"/>
  </r>
  <r>
    <x v="165"/>
  </r>
  <r>
    <x v="165"/>
  </r>
  <r>
    <x v="165"/>
  </r>
  <r>
    <x v="165"/>
  </r>
  <r>
    <x v="165"/>
  </r>
  <r>
    <x v="197"/>
  </r>
  <r>
    <x v="240"/>
  </r>
  <r>
    <x v="134"/>
  </r>
  <r>
    <x v="165"/>
  </r>
  <r>
    <x v="287"/>
  </r>
  <r>
    <x v="0"/>
  </r>
  <r>
    <x v="165"/>
  </r>
  <r>
    <x v="165"/>
  </r>
  <r>
    <x v="146"/>
  </r>
  <r>
    <x v="288"/>
  </r>
  <r>
    <x v="289"/>
  </r>
  <r>
    <x v="290"/>
  </r>
  <r>
    <x v="291"/>
  </r>
  <r>
    <x v="160"/>
  </r>
  <r>
    <x v="160"/>
  </r>
  <r>
    <x v="160"/>
  </r>
  <r>
    <x v="160"/>
  </r>
  <r>
    <x v="230"/>
  </r>
  <r>
    <x v="165"/>
  </r>
  <r>
    <x v="292"/>
  </r>
  <r>
    <x v="292"/>
  </r>
  <r>
    <x v="205"/>
  </r>
  <r>
    <x v="165"/>
  </r>
  <r>
    <x v="240"/>
  </r>
  <r>
    <x v="165"/>
  </r>
  <r>
    <x v="165"/>
  </r>
  <r>
    <x v="165"/>
  </r>
  <r>
    <x v="170"/>
  </r>
  <r>
    <x v="241"/>
  </r>
  <r>
    <x v="198"/>
  </r>
  <r>
    <x v="165"/>
  </r>
  <r>
    <x v="177"/>
  </r>
  <r>
    <x v="177"/>
  </r>
  <r>
    <x v="289"/>
  </r>
  <r>
    <x v="256"/>
  </r>
  <r>
    <x v="293"/>
  </r>
  <r>
    <x v="270"/>
  </r>
  <r>
    <x v="270"/>
  </r>
  <r>
    <x v="270"/>
  </r>
  <r>
    <x v="270"/>
  </r>
  <r>
    <x v="205"/>
  </r>
  <r>
    <x v="165"/>
  </r>
  <r>
    <x v="292"/>
  </r>
  <r>
    <x v="292"/>
  </r>
  <r>
    <x v="165"/>
  </r>
  <r>
    <x v="165"/>
  </r>
  <r>
    <x v="165"/>
  </r>
  <r>
    <x v="165"/>
  </r>
  <r>
    <x v="70"/>
  </r>
  <r>
    <x v="284"/>
  </r>
  <r>
    <x v="294"/>
  </r>
  <r>
    <x v="165"/>
  </r>
  <r>
    <x v="146"/>
  </r>
  <r>
    <x v="207"/>
  </r>
  <r>
    <x v="165"/>
  </r>
  <r>
    <x v="165"/>
  </r>
  <r>
    <x v="0"/>
  </r>
  <r>
    <x v="165"/>
  </r>
  <r>
    <x v="165"/>
  </r>
  <r>
    <x v="165"/>
  </r>
  <r>
    <x v="165"/>
  </r>
  <r>
    <x v="165"/>
  </r>
  <r>
    <x v="205"/>
  </r>
  <r>
    <x v="165"/>
  </r>
  <r>
    <x v="295"/>
  </r>
  <r>
    <x v="263"/>
  </r>
  <r>
    <x v="256"/>
  </r>
  <r>
    <x v="296"/>
  </r>
  <r>
    <x v="207"/>
  </r>
  <r>
    <x v="297"/>
  </r>
  <r>
    <x v="165"/>
  </r>
  <r>
    <x v="165"/>
  </r>
  <r>
    <x v="298"/>
  </r>
  <r>
    <x v="251"/>
  </r>
  <r>
    <x v="165"/>
  </r>
  <r>
    <x v="285"/>
  </r>
  <r>
    <x v="291"/>
  </r>
  <r>
    <x v="205"/>
  </r>
  <r>
    <x v="165"/>
  </r>
  <r>
    <x v="58"/>
  </r>
  <r>
    <x v="287"/>
  </r>
  <r>
    <x v="165"/>
  </r>
  <r>
    <x v="256"/>
  </r>
  <r>
    <x v="165"/>
  </r>
  <r>
    <x v="250"/>
  </r>
  <r>
    <x v="243"/>
  </r>
  <r>
    <x v="165"/>
  </r>
  <r>
    <x v="299"/>
  </r>
  <r>
    <x v="165"/>
  </r>
  <r>
    <x v="300"/>
  </r>
  <r>
    <x v="240"/>
  </r>
  <r>
    <x v="289"/>
  </r>
  <r>
    <x v="205"/>
  </r>
  <r>
    <x v="165"/>
  </r>
  <r>
    <x v="301"/>
  </r>
  <r>
    <x v="289"/>
  </r>
  <r>
    <x v="302"/>
  </r>
  <r>
    <x v="303"/>
  </r>
  <r>
    <x v="165"/>
  </r>
  <r>
    <x v="165"/>
  </r>
  <r>
    <x v="165"/>
  </r>
  <r>
    <x v="165"/>
  </r>
  <r>
    <x v="304"/>
  </r>
  <r>
    <x v="283"/>
  </r>
  <r>
    <x v="305"/>
  </r>
  <r>
    <x v="306"/>
  </r>
  <r>
    <x v="307"/>
  </r>
  <r>
    <x v="308"/>
  </r>
  <r>
    <x v="165"/>
  </r>
  <r>
    <x v="309"/>
  </r>
  <r>
    <x v="0"/>
  </r>
  <r>
    <x v="69"/>
  </r>
  <r>
    <x v="310"/>
  </r>
  <r>
    <x v="311"/>
  </r>
  <r>
    <x v="312"/>
  </r>
  <r>
    <x v="313"/>
  </r>
  <r>
    <x v="38"/>
  </r>
  <r>
    <x v="305"/>
  </r>
  <r>
    <x v="306"/>
  </r>
  <r>
    <x v="306"/>
  </r>
  <r>
    <x v="38"/>
  </r>
  <r>
    <x v="69"/>
  </r>
  <r>
    <x v="309"/>
  </r>
  <r>
    <x v="37"/>
  </r>
  <r>
    <x v="115"/>
  </r>
  <r>
    <x v="310"/>
  </r>
  <r>
    <x v="314"/>
  </r>
  <r>
    <x v="313"/>
  </r>
  <r>
    <x v="0"/>
  </r>
  <r>
    <x v="165"/>
  </r>
  <r>
    <x v="115"/>
  </r>
  <r>
    <x v="315"/>
  </r>
  <r>
    <x v="316"/>
  </r>
  <r>
    <x v="38"/>
  </r>
  <r>
    <x v="0"/>
  </r>
  <r>
    <x v="317"/>
  </r>
  <r>
    <x v="314"/>
  </r>
  <r>
    <x v="318"/>
  </r>
  <r>
    <x v="165"/>
  </r>
  <r>
    <x v="37"/>
  </r>
  <r>
    <x v="310"/>
  </r>
  <r>
    <x v="314"/>
  </r>
  <r>
    <x v="319"/>
  </r>
  <r>
    <x v="165"/>
  </r>
  <r>
    <x v="309"/>
  </r>
  <r>
    <x v="0"/>
  </r>
  <r>
    <x v="320"/>
  </r>
  <r>
    <x v="310"/>
  </r>
  <r>
    <x v="314"/>
  </r>
  <r>
    <x v="115"/>
  </r>
  <r>
    <x v="314"/>
  </r>
  <r>
    <x v="115"/>
  </r>
  <r>
    <x v="321"/>
  </r>
  <r>
    <x v="69"/>
  </r>
  <r>
    <x v="310"/>
  </r>
  <r>
    <x v="304"/>
  </r>
  <r>
    <x v="200"/>
  </r>
  <r>
    <x v="283"/>
  </r>
  <r>
    <x v="309"/>
  </r>
  <r>
    <x v="69"/>
  </r>
  <r>
    <x v="37"/>
  </r>
  <r>
    <x v="310"/>
  </r>
  <r>
    <x v="322"/>
  </r>
  <r>
    <x v="320"/>
  </r>
  <r>
    <x v="323"/>
  </r>
  <r>
    <x v="0"/>
  </r>
  <r>
    <x v="69"/>
  </r>
  <r>
    <x v="324"/>
  </r>
  <r>
    <x v="0"/>
  </r>
  <r>
    <x v="69"/>
  </r>
  <r>
    <x v="325"/>
  </r>
  <r>
    <x v="326"/>
  </r>
  <r>
    <x v="69"/>
  </r>
  <r>
    <x v="177"/>
  </r>
  <r>
    <x v="69"/>
  </r>
  <r>
    <x v="320"/>
  </r>
  <r>
    <x v="323"/>
  </r>
  <r>
    <x v="327"/>
  </r>
  <r>
    <x v="69"/>
  </r>
  <r>
    <x v="0"/>
  </r>
  <r>
    <x v="328"/>
  </r>
  <r>
    <x v="0"/>
  </r>
  <r>
    <x v="329"/>
  </r>
  <r>
    <x v="325"/>
  </r>
  <r>
    <x v="330"/>
  </r>
  <r>
    <x v="198"/>
  </r>
  <r>
    <x v="0"/>
  </r>
  <r>
    <x v="0"/>
  </r>
  <r>
    <x v="72"/>
  </r>
  <r>
    <x v="331"/>
  </r>
  <r>
    <x v="69"/>
  </r>
  <r>
    <x v="69"/>
  </r>
  <r>
    <x v="326"/>
  </r>
  <r>
    <x v="115"/>
  </r>
  <r>
    <x v="0"/>
  </r>
  <r>
    <x v="0"/>
  </r>
  <r>
    <x v="69"/>
  </r>
  <r>
    <x v="69"/>
  </r>
  <r>
    <x v="165"/>
  </r>
  <r>
    <x v="314"/>
  </r>
  <r>
    <x v="115"/>
  </r>
  <r>
    <x v="331"/>
  </r>
  <r>
    <x v="115"/>
  </r>
  <r>
    <x v="115"/>
  </r>
  <r>
    <x v="332"/>
  </r>
  <r>
    <x v="333"/>
  </r>
  <r>
    <x v="314"/>
  </r>
  <r>
    <x v="165"/>
  </r>
  <r>
    <x v="0"/>
  </r>
  <r>
    <x v="262"/>
  </r>
  <r>
    <x v="0"/>
  </r>
  <r>
    <x v="115"/>
  </r>
  <r>
    <x v="332"/>
  </r>
  <r>
    <x v="115"/>
  </r>
  <r>
    <x v="332"/>
  </r>
  <r>
    <x v="332"/>
  </r>
  <r>
    <x v="115"/>
  </r>
  <r>
    <x v="177"/>
  </r>
  <r>
    <x v="177"/>
  </r>
  <r>
    <x v="177"/>
  </r>
  <r>
    <x v="333"/>
  </r>
  <r>
    <x v="0"/>
  </r>
  <r>
    <x v="308"/>
  </r>
  <r>
    <x v="69"/>
  </r>
  <r>
    <x v="290"/>
  </r>
  <r>
    <x v="313"/>
  </r>
  <r>
    <x v="72"/>
  </r>
  <r>
    <x v="331"/>
  </r>
  <r>
    <x v="331"/>
  </r>
  <r>
    <x v="331"/>
  </r>
  <r>
    <x v="331"/>
  </r>
  <r>
    <x v="331"/>
  </r>
  <r>
    <x v="69"/>
  </r>
  <r>
    <x v="326"/>
  </r>
  <r>
    <x v="0"/>
  </r>
  <r>
    <x v="69"/>
  </r>
  <r>
    <x v="332"/>
  </r>
  <r>
    <x v="334"/>
  </r>
  <r>
    <x v="335"/>
  </r>
  <r>
    <x v="332"/>
  </r>
  <r>
    <x v="0"/>
  </r>
  <r>
    <x v="262"/>
  </r>
  <r>
    <x v="332"/>
  </r>
  <r>
    <x v="336"/>
  </r>
  <r>
    <x v="332"/>
  </r>
  <r>
    <x v="115"/>
  </r>
  <r>
    <x v="177"/>
  </r>
  <r>
    <x v="0"/>
  </r>
  <r>
    <x v="337"/>
  </r>
  <r>
    <x v="325"/>
  </r>
  <r>
    <x v="333"/>
  </r>
  <r>
    <x v="69"/>
  </r>
  <r>
    <x v="333"/>
  </r>
  <r>
    <x v="331"/>
  </r>
  <r>
    <x v="69"/>
  </r>
  <r>
    <x v="334"/>
  </r>
  <r>
    <x v="115"/>
  </r>
  <r>
    <x v="115"/>
  </r>
  <r>
    <x v="177"/>
  </r>
  <r>
    <x v="278"/>
  </r>
  <r>
    <x v="0"/>
  </r>
  <r>
    <x v="290"/>
  </r>
  <r>
    <x v="290"/>
  </r>
  <r>
    <x v="198"/>
  </r>
  <r>
    <x v="240"/>
  </r>
  <r>
    <x v="333"/>
  </r>
  <r>
    <x v="115"/>
  </r>
  <r>
    <x v="306"/>
  </r>
  <r>
    <x v="290"/>
  </r>
  <r>
    <x v="72"/>
  </r>
  <r>
    <x v="160"/>
  </r>
  <r>
    <x v="336"/>
  </r>
  <r>
    <x v="115"/>
  </r>
  <r>
    <x v="165"/>
  </r>
  <r>
    <x v="240"/>
  </r>
  <r>
    <x v="338"/>
  </r>
  <r>
    <x v="309"/>
  </r>
  <r>
    <x v="115"/>
  </r>
  <r>
    <x v="317"/>
  </r>
  <r>
    <x v="0"/>
  </r>
  <r>
    <x v="240"/>
  </r>
  <r>
    <x v="72"/>
  </r>
  <r>
    <x v="338"/>
  </r>
  <r>
    <x v="240"/>
  </r>
  <r>
    <x v="339"/>
  </r>
  <r>
    <x v="340"/>
  </r>
  <r>
    <x v="115"/>
  </r>
  <r>
    <x v="262"/>
  </r>
  <r>
    <x v="333"/>
  </r>
  <r>
    <x v="69"/>
  </r>
  <r>
    <x v="240"/>
  </r>
  <r>
    <x v="308"/>
  </r>
  <r>
    <x v="338"/>
  </r>
  <r>
    <x v="341"/>
  </r>
  <r>
    <x v="115"/>
  </r>
  <r>
    <x v="115"/>
  </r>
  <r>
    <x v="240"/>
  </r>
  <r>
    <x v="240"/>
  </r>
  <r>
    <x v="341"/>
  </r>
  <r>
    <x v="341"/>
  </r>
  <r>
    <x v="115"/>
  </r>
  <r>
    <x v="332"/>
  </r>
  <r>
    <x v="334"/>
  </r>
  <r>
    <x v="246"/>
  </r>
  <r>
    <x v="115"/>
  </r>
  <r>
    <x v="332"/>
  </r>
  <r>
    <x v="342"/>
  </r>
  <r>
    <x v="332"/>
  </r>
  <r>
    <x v="342"/>
  </r>
  <r>
    <x v="332"/>
  </r>
  <r>
    <x v="343"/>
  </r>
  <r>
    <x v="246"/>
  </r>
  <r>
    <x v="115"/>
  </r>
  <r>
    <x v="332"/>
  </r>
  <r>
    <x v="0"/>
  </r>
  <r>
    <x v="344"/>
  </r>
  <r>
    <x v="332"/>
  </r>
  <r>
    <x v="332"/>
  </r>
  <r>
    <x v="343"/>
  </r>
  <r>
    <x v="262"/>
  </r>
  <r>
    <x v="115"/>
  </r>
  <r>
    <x v="332"/>
  </r>
  <r>
    <x v="334"/>
  </r>
  <r>
    <x v="332"/>
  </r>
  <r>
    <x v="246"/>
  </r>
  <r>
    <x v="69"/>
  </r>
  <r>
    <x v="345"/>
  </r>
  <r>
    <x v="332"/>
  </r>
  <r>
    <x v="115"/>
  </r>
  <r>
    <x v="69"/>
  </r>
  <r>
    <x v="297"/>
  </r>
  <r>
    <x v="332"/>
  </r>
  <r>
    <x v="332"/>
  </r>
  <r>
    <x v="297"/>
  </r>
  <r>
    <x v="297"/>
  </r>
  <r>
    <x v="332"/>
  </r>
  <r>
    <x v="332"/>
  </r>
  <r>
    <x v="308"/>
  </r>
  <r>
    <x v="115"/>
  </r>
  <r>
    <x v="308"/>
  </r>
  <r>
    <x v="33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2">
  <r>
    <x v="0"/>
  </r>
  <r>
    <x v="1"/>
  </r>
  <r>
    <x v="2"/>
  </r>
  <r>
    <x v="1"/>
  </r>
  <r>
    <x v="3"/>
  </r>
  <r>
    <x v="1"/>
  </r>
  <r>
    <x v="1"/>
  </r>
  <r>
    <x v="1"/>
  </r>
  <r>
    <x v="1"/>
  </r>
  <r>
    <x v="1"/>
  </r>
  <r>
    <x v="1"/>
  </r>
  <r>
    <x v="4"/>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5"/>
  </r>
  <r>
    <x v="6"/>
  </r>
  <r>
    <x v="7"/>
  </r>
  <r>
    <x v="1"/>
  </r>
  <r>
    <x v="8"/>
  </r>
  <r>
    <x v="1"/>
  </r>
  <r>
    <x v="1"/>
  </r>
  <r>
    <x v="9"/>
  </r>
  <r>
    <x v="1"/>
  </r>
  <r>
    <x v="10"/>
  </r>
  <r>
    <x v="1"/>
  </r>
  <r>
    <x v="1"/>
  </r>
  <r>
    <x v="1"/>
  </r>
  <r>
    <x v="1"/>
  </r>
  <r>
    <x v="1"/>
  </r>
  <r>
    <x v="1"/>
  </r>
  <r>
    <x v="1"/>
  </r>
  <r>
    <x v="11"/>
  </r>
  <r>
    <x v="1"/>
  </r>
  <r>
    <x v="1"/>
  </r>
  <r>
    <x v="1"/>
  </r>
  <r>
    <x v="1"/>
  </r>
  <r>
    <x v="1"/>
  </r>
  <r>
    <x v="1"/>
  </r>
  <r>
    <x v="1"/>
  </r>
  <r>
    <x v="1"/>
  </r>
  <r>
    <x v="12"/>
  </r>
  <r>
    <x v="1"/>
  </r>
  <r>
    <x v="6"/>
  </r>
  <r>
    <x v="1"/>
  </r>
  <r>
    <x v="1"/>
  </r>
  <r>
    <x v="13"/>
  </r>
  <r>
    <x v="1"/>
  </r>
  <r>
    <x v="1"/>
  </r>
  <r>
    <x v="1"/>
  </r>
  <r>
    <x v="1"/>
  </r>
  <r>
    <x v="1"/>
  </r>
  <r>
    <x v="1"/>
  </r>
  <r>
    <x v="1"/>
  </r>
  <r>
    <x v="1"/>
  </r>
  <r>
    <x v="1"/>
  </r>
  <r>
    <x v="14"/>
  </r>
  <r>
    <x v="1"/>
  </r>
  <r>
    <x v="12"/>
  </r>
  <r>
    <x v="1"/>
  </r>
  <r>
    <x v="15"/>
  </r>
  <r>
    <x v="1"/>
  </r>
  <r>
    <x v="1"/>
  </r>
  <r>
    <x v="1"/>
  </r>
  <r>
    <x v="16"/>
  </r>
  <r>
    <x v="17"/>
  </r>
  <r>
    <x v="18"/>
  </r>
  <r>
    <x v="1"/>
  </r>
  <r>
    <x v="19"/>
  </r>
  <r>
    <x v="20"/>
  </r>
  <r>
    <x v="1"/>
  </r>
  <r>
    <x v="21"/>
  </r>
  <r>
    <x v="22"/>
  </r>
  <r>
    <x v="1"/>
  </r>
  <r>
    <x v="22"/>
  </r>
  <r>
    <x v="20"/>
  </r>
  <r>
    <x v="1"/>
  </r>
  <r>
    <x v="1"/>
  </r>
  <r>
    <x v="1"/>
  </r>
  <r>
    <x v="1"/>
  </r>
  <r>
    <x v="1"/>
  </r>
  <r>
    <x v="1"/>
  </r>
  <r>
    <x v="1"/>
  </r>
  <r>
    <x v="1"/>
  </r>
  <r>
    <x v="1"/>
  </r>
  <r>
    <x v="1"/>
  </r>
  <r>
    <x v="1"/>
  </r>
  <r>
    <x v="1"/>
  </r>
  <r>
    <x v="1"/>
  </r>
  <r>
    <x v="1"/>
  </r>
  <r>
    <x v="1"/>
  </r>
  <r>
    <x v="1"/>
  </r>
  <r>
    <x v="1"/>
  </r>
  <r>
    <x v="23"/>
  </r>
  <r>
    <x v="1"/>
  </r>
  <r>
    <x v="24"/>
  </r>
  <r>
    <x v="1"/>
  </r>
  <r>
    <x v="23"/>
  </r>
  <r>
    <x v="25"/>
  </r>
  <r>
    <x v="1"/>
  </r>
  <r>
    <x v="1"/>
  </r>
  <r>
    <x v="1"/>
  </r>
  <r>
    <x v="1"/>
  </r>
  <r>
    <x v="26"/>
  </r>
  <r>
    <x v="1"/>
  </r>
  <r>
    <x v="1"/>
  </r>
  <r>
    <x v="1"/>
  </r>
  <r>
    <x v="1"/>
  </r>
  <r>
    <x v="1"/>
  </r>
  <r>
    <x v="27"/>
  </r>
  <r>
    <x v="27"/>
  </r>
  <r>
    <x v="1"/>
  </r>
  <r>
    <x v="1"/>
  </r>
  <r>
    <x v="28"/>
  </r>
  <r>
    <x v="29"/>
  </r>
  <r>
    <x v="29"/>
  </r>
  <r>
    <x v="1"/>
  </r>
  <r>
    <x v="30"/>
  </r>
  <r>
    <x v="1"/>
  </r>
  <r>
    <x v="1"/>
  </r>
  <r>
    <x v="1"/>
  </r>
  <r>
    <x v="1"/>
  </r>
  <r>
    <x v="31"/>
  </r>
  <r>
    <x v="32"/>
  </r>
  <r>
    <x v="1"/>
  </r>
  <r>
    <x v="33"/>
  </r>
  <r>
    <x v="1"/>
  </r>
  <r>
    <x v="34"/>
  </r>
  <r>
    <x v="35"/>
  </r>
  <r>
    <x v="1"/>
  </r>
  <r>
    <x v="36"/>
  </r>
  <r>
    <x v="1"/>
  </r>
  <r>
    <x v="1"/>
  </r>
  <r>
    <x v="37"/>
  </r>
  <r>
    <x v="1"/>
  </r>
  <r>
    <x v="1"/>
  </r>
  <r>
    <x v="38"/>
  </r>
  <r>
    <x v="39"/>
  </r>
  <r>
    <x v="40"/>
  </r>
  <r>
    <x v="41"/>
  </r>
  <r>
    <x v="42"/>
  </r>
  <r>
    <x v="1"/>
  </r>
  <r>
    <x v="1"/>
  </r>
  <r>
    <x v="43"/>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44"/>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45"/>
  </r>
  <r>
    <x v="46"/>
  </r>
  <r>
    <x v="47"/>
  </r>
  <r>
    <x v="1"/>
  </r>
  <r>
    <x v="1"/>
  </r>
  <r>
    <x v="1"/>
  </r>
  <r>
    <x v="48"/>
  </r>
  <r>
    <x v="1"/>
  </r>
  <r>
    <x v="1"/>
  </r>
  <r>
    <x v="1"/>
  </r>
  <r>
    <x v="1"/>
  </r>
  <r>
    <x v="1"/>
  </r>
  <r>
    <x v="1"/>
  </r>
  <r>
    <x v="1"/>
  </r>
  <r>
    <x v="1"/>
  </r>
  <r>
    <x v="1"/>
  </r>
  <r>
    <x v="1"/>
  </r>
  <r>
    <x v="1"/>
  </r>
  <r>
    <x v="1"/>
  </r>
  <r>
    <x v="1"/>
  </r>
  <r>
    <x v="49"/>
  </r>
  <r>
    <x v="1"/>
  </r>
  <r>
    <x v="1"/>
  </r>
  <r>
    <x v="1"/>
  </r>
  <r>
    <x v="1"/>
  </r>
  <r>
    <x v="1"/>
  </r>
  <r>
    <x v="1"/>
  </r>
  <r>
    <x v="1"/>
  </r>
  <r>
    <x v="1"/>
  </r>
  <r>
    <x v="1"/>
  </r>
  <r>
    <x v="1"/>
  </r>
  <r>
    <x v="1"/>
  </r>
  <r>
    <x v="1"/>
  </r>
  <r>
    <x v="1"/>
  </r>
  <r>
    <x v="1"/>
  </r>
  <r>
    <x v="1"/>
  </r>
  <r>
    <x v="1"/>
  </r>
  <r>
    <x v="1"/>
  </r>
  <r>
    <x v="1"/>
  </r>
  <r>
    <x v="1"/>
  </r>
  <r>
    <x v="1"/>
  </r>
  <r>
    <x v="1"/>
  </r>
  <r>
    <x v="1"/>
  </r>
  <r>
    <x v="1"/>
  </r>
  <r>
    <x v="1"/>
  </r>
  <r>
    <x v="1"/>
  </r>
  <r>
    <x v="1"/>
  </r>
  <r>
    <x v="1"/>
  </r>
  <r>
    <x v="1"/>
  </r>
  <r>
    <x v="50"/>
  </r>
  <r>
    <x v="28"/>
  </r>
  <r>
    <x v="28"/>
  </r>
  <r>
    <x v="28"/>
  </r>
  <r>
    <x v="28"/>
  </r>
  <r>
    <x v="28"/>
  </r>
  <r>
    <x v="51"/>
  </r>
  <r>
    <x v="51"/>
  </r>
  <r>
    <x v="51"/>
  </r>
  <r>
    <x v="51"/>
  </r>
  <r>
    <x v="51"/>
  </r>
  <r>
    <x v="51"/>
  </r>
  <r>
    <x v="51"/>
  </r>
  <r>
    <x v="51"/>
  </r>
  <r>
    <x v="51"/>
  </r>
  <r>
    <x v="51"/>
  </r>
  <r>
    <x v="51"/>
  </r>
  <r>
    <x v="5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r>
  <r>
    <x v="0"/>
  </r>
  <r>
    <x v="1"/>
  </r>
  <r>
    <x v="0"/>
  </r>
  <r>
    <x v="2"/>
  </r>
  <r>
    <x v="0"/>
  </r>
  <r>
    <x v="0"/>
  </r>
  <r>
    <x v="0"/>
  </r>
  <r>
    <x v="0"/>
  </r>
  <r>
    <x v="0"/>
  </r>
  <r>
    <x v="0"/>
  </r>
  <r>
    <x v="3"/>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4"/>
  </r>
  <r>
    <x v="5"/>
  </r>
  <r>
    <x v="6"/>
  </r>
  <r>
    <x v="0"/>
  </r>
  <r>
    <x v="7"/>
  </r>
  <r>
    <x v="0"/>
  </r>
  <r>
    <x v="0"/>
  </r>
  <r>
    <x v="8"/>
  </r>
  <r>
    <x v="0"/>
  </r>
  <r>
    <x v="9"/>
  </r>
  <r>
    <x v="0"/>
  </r>
  <r>
    <x v="0"/>
  </r>
  <r>
    <x v="0"/>
  </r>
  <r>
    <x v="0"/>
  </r>
  <r>
    <x v="0"/>
  </r>
  <r>
    <x v="0"/>
  </r>
  <r>
    <x v="0"/>
  </r>
  <r>
    <x v="10"/>
  </r>
  <r>
    <x v="0"/>
  </r>
  <r>
    <x v="0"/>
  </r>
  <r>
    <x v="0"/>
  </r>
  <r>
    <x v="0"/>
  </r>
  <r>
    <x v="0"/>
  </r>
  <r>
    <x v="0"/>
  </r>
  <r>
    <x v="0"/>
  </r>
  <r>
    <x v="0"/>
  </r>
  <r>
    <x v="11"/>
  </r>
  <r>
    <x v="0"/>
  </r>
  <r>
    <x v="5"/>
  </r>
  <r>
    <x v="0"/>
  </r>
  <r>
    <x v="0"/>
  </r>
  <r>
    <x v="12"/>
  </r>
  <r>
    <x v="0"/>
  </r>
  <r>
    <x v="0"/>
  </r>
  <r>
    <x v="0"/>
  </r>
  <r>
    <x v="0"/>
  </r>
  <r>
    <x v="0"/>
  </r>
  <r>
    <x v="0"/>
  </r>
  <r>
    <x v="0"/>
  </r>
  <r>
    <x v="0"/>
  </r>
  <r>
    <x v="0"/>
  </r>
  <r>
    <x v="13"/>
  </r>
  <r>
    <x v="0"/>
  </r>
  <r>
    <x v="11"/>
  </r>
  <r>
    <x v="0"/>
  </r>
  <r>
    <x v="14"/>
  </r>
  <r>
    <x v="0"/>
  </r>
  <r>
    <x v="0"/>
  </r>
  <r>
    <x v="0"/>
  </r>
  <r>
    <x v="15"/>
  </r>
  <r>
    <x v="0"/>
  </r>
  <r>
    <x v="0"/>
  </r>
  <r>
    <x v="0"/>
  </r>
  <r>
    <x v="16"/>
  </r>
  <r>
    <x v="17"/>
  </r>
  <r>
    <x v="0"/>
  </r>
  <r>
    <x v="0"/>
  </r>
  <r>
    <x v="18"/>
  </r>
  <r>
    <x v="0"/>
  </r>
  <r>
    <x v="18"/>
  </r>
  <r>
    <x v="17"/>
  </r>
  <r>
    <x v="0"/>
  </r>
  <r>
    <x v="0"/>
  </r>
  <r>
    <x v="0"/>
  </r>
  <r>
    <x v="0"/>
  </r>
  <r>
    <x v="0"/>
  </r>
  <r>
    <x v="0"/>
  </r>
  <r>
    <x v="0"/>
  </r>
  <r>
    <x v="0"/>
  </r>
  <r>
    <x v="0"/>
  </r>
  <r>
    <x v="0"/>
  </r>
  <r>
    <x v="0"/>
  </r>
  <r>
    <x v="0"/>
  </r>
  <r>
    <x v="0"/>
  </r>
  <r>
    <x v="0"/>
  </r>
  <r>
    <x v="0"/>
  </r>
  <r>
    <x v="0"/>
  </r>
  <r>
    <x v="0"/>
  </r>
  <r>
    <x v="0"/>
  </r>
  <r>
    <x v="0"/>
  </r>
  <r>
    <x v="19"/>
  </r>
  <r>
    <x v="0"/>
  </r>
  <r>
    <x v="0"/>
  </r>
  <r>
    <x v="20"/>
  </r>
  <r>
    <x v="0"/>
  </r>
  <r>
    <x v="0"/>
  </r>
  <r>
    <x v="0"/>
  </r>
  <r>
    <x v="0"/>
  </r>
  <r>
    <x v="0"/>
  </r>
  <r>
    <x v="0"/>
  </r>
  <r>
    <x v="0"/>
  </r>
  <r>
    <x v="0"/>
  </r>
  <r>
    <x v="0"/>
  </r>
  <r>
    <x v="0"/>
  </r>
  <r>
    <x v="21"/>
  </r>
  <r>
    <x v="21"/>
  </r>
  <r>
    <x v="0"/>
  </r>
  <r>
    <x v="0"/>
  </r>
  <r>
    <x v="22"/>
  </r>
  <r>
    <x v="23"/>
  </r>
  <r>
    <x v="23"/>
  </r>
  <r>
    <x v="0"/>
  </r>
  <r>
    <x v="24"/>
  </r>
  <r>
    <x v="0"/>
  </r>
  <r>
    <x v="0"/>
  </r>
  <r>
    <x v="0"/>
  </r>
  <r>
    <x v="0"/>
  </r>
  <r>
    <x v="25"/>
  </r>
  <r>
    <x v="26"/>
  </r>
  <r>
    <x v="0"/>
  </r>
  <r>
    <x v="0"/>
  </r>
  <r>
    <x v="0"/>
  </r>
  <r>
    <x v="0"/>
  </r>
  <r>
    <x v="0"/>
  </r>
  <r>
    <x v="0"/>
  </r>
  <r>
    <x v="27"/>
  </r>
  <r>
    <x v="0"/>
  </r>
  <r>
    <x v="0"/>
  </r>
  <r>
    <x v="28"/>
  </r>
  <r>
    <x v="0"/>
  </r>
  <r>
    <x v="0"/>
  </r>
  <r>
    <x v="29"/>
  </r>
  <r>
    <x v="30"/>
  </r>
  <r>
    <x v="31"/>
  </r>
  <r>
    <x v="32"/>
  </r>
  <r>
    <x v="33"/>
  </r>
  <r>
    <x v="0"/>
  </r>
  <r>
    <x v="0"/>
  </r>
  <r>
    <x v="34"/>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35"/>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36"/>
  </r>
  <r>
    <x v="37"/>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28"/>
  </r>
  <r>
    <x v="22"/>
  </r>
  <r>
    <x v="22"/>
  </r>
  <r>
    <x v="22"/>
  </r>
  <r>
    <x v="22"/>
  </r>
  <r>
    <x v="22"/>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r>
    <x v="3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0">
  <r>
    <s v="9/14/2023"/>
    <s v="n"/>
    <s v="adam.lisbon@colorado.edu"/>
    <s v="n"/>
    <s v="n"/>
    <s v="?"/>
    <m/>
    <s v="https://www.amazon.com/dp/1952636353"/>
    <x v="0"/>
    <s v="no"/>
    <m/>
    <m/>
    <s v="n/a"/>
    <s v="n"/>
    <s v="n"/>
    <s v="n"/>
    <m/>
    <n v="9781952636356"/>
    <s v="1952636353"/>
    <n v="1356801038"/>
    <s v="English"/>
    <s v="n/a"/>
    <s v="Japanese government and politics"/>
    <s v="n/a"/>
    <x v="0"/>
    <s v="n/a"/>
    <s v="McKee, Lauren"/>
    <s v="n/a"/>
    <s v="Key issues in Asian studies ; no"/>
    <s v="n/a"/>
    <x v="0"/>
    <x v="0"/>
    <s v="n/a"/>
    <s v="n/a"/>
    <s v="Political science -- Study and teaching -- Japan ^ Democracy -- Study and teaching -- Japan ^ Civil society -- Study and teaching -- Japan ^ Democracy -- Study and teaching ^ Diplomatic relations ^ Political science -- Study and teaching ^ Politics and government ^ History ^ Japan -- Politics and government -- History ^ Japan -- Foreign relations ^ Japan"/>
    <n v="17"/>
    <s v="usd"/>
    <n v="17"/>
  </r>
  <r>
    <s v="9/14/2023"/>
    <s v="n"/>
    <s v="marjorie.burge@colorado.edu"/>
    <s v="n"/>
    <s v="n"/>
    <s v="Panmun"/>
    <m/>
    <s v="n/a"/>
    <x v="1"/>
    <s v="n/a"/>
    <m/>
    <m/>
    <s v="n/a"/>
    <s v="n"/>
    <s v="n"/>
    <s v="n"/>
    <m/>
    <n v="9791165161897"/>
    <s v="n/a"/>
    <s v="n/a"/>
    <s v="Korean"/>
    <s v="Reading Korean Documentary Materials Containing the History of the Korean Language - ChatGPT translation"/>
    <s v="Kugŏ ŭi yŏksa rŭl p'umko innŭn Han'gŭl munhŏn charyo ilki"/>
    <s v="국어의 역사를 품고 있는 한글 문헌 자료 읽기"/>
    <x v="1"/>
    <s v="n/a"/>
    <s v="Chang, Yo-hwan oe"/>
    <s v="장요환外著"/>
    <s v="n/a"/>
    <s v="n/a"/>
    <x v="1"/>
    <x v="1"/>
    <s v="n/a"/>
    <s v="n/a"/>
    <s v="n/a"/>
    <n v="17.438600000000001"/>
    <s v="krw"/>
    <n v="23000"/>
  </r>
  <r>
    <s v="9/14/2023"/>
    <s v="n"/>
    <s v="marjorie.burge@colorado.edu"/>
    <s v="n"/>
    <s v="n"/>
    <s v="Panmun"/>
    <m/>
    <s v="n/a"/>
    <x v="1"/>
    <s v="n/a"/>
    <m/>
    <m/>
    <s v="n/a"/>
    <s v="n"/>
    <s v="n"/>
    <s v="n"/>
    <m/>
    <n v="9788962465105"/>
    <s v="n/a"/>
    <s v="n/a"/>
    <s v="Korean"/>
    <s v="Wooden Tablets and Character Research 29 - ChatGPT translation"/>
    <s v="Mokkan kwa muncha yŏn'gu Vol.29"/>
    <s v="목간과 문자 연구 29"/>
    <x v="1"/>
    <s v="n/a"/>
    <s v="Han'guk Mokkan Hakhoe p'yŏn"/>
    <s v="한국목간학회編"/>
    <s v="Han'guk Mokkan Hakhoe ch'ongsŏ ; 29"/>
    <s v="한국목간학회총서 ; 29"/>
    <x v="2"/>
    <x v="2"/>
    <s v="n/a"/>
    <s v="n/a"/>
    <s v="n/a"/>
    <n v="15.164"/>
    <s v="krw"/>
    <n v="20000"/>
  </r>
  <r>
    <s v="9/14/2023"/>
    <s v="n"/>
    <s v="marjorie.burge@colorado.edu"/>
    <s v="n"/>
    <s v="n"/>
    <s v="Panmun"/>
    <m/>
    <s v="n/a"/>
    <x v="1"/>
    <s v="n/a"/>
    <m/>
    <m/>
    <s v="n/a"/>
    <s v="n"/>
    <s v="n"/>
    <s v="n"/>
    <m/>
    <n v="9788955084894"/>
    <s v="n/a"/>
    <s v="n/a"/>
    <s v="Korean"/>
    <s v="History of the Silla Local Governance System - ChatGPT translation"/>
    <s v="Silla chibang t'ongch'i chedosa"/>
    <s v="신라 지방통치 제도사"/>
    <x v="1"/>
    <s v="n/a"/>
    <s v="Chŏn, Tŏk-chae"/>
    <s v="전덕재著"/>
    <s v="n/a"/>
    <s v="n/a"/>
    <x v="3"/>
    <x v="3"/>
    <s v="n/a"/>
    <s v="n/a"/>
    <s v="n/a"/>
    <n v="34.119"/>
    <s v="krw"/>
    <n v="45000"/>
  </r>
  <r>
    <s v="9/14/2023"/>
    <s v="n"/>
    <s v="marjorie.burge@colorado.edu"/>
    <s v="n"/>
    <s v="n"/>
    <s v="Panmun"/>
    <m/>
    <s v="n/a"/>
    <x v="1"/>
    <s v="n/a"/>
    <m/>
    <m/>
    <s v="n/a"/>
    <s v="n"/>
    <s v="n"/>
    <s v="n"/>
    <m/>
    <n v="9788961877961"/>
    <s v="n/a"/>
    <s v="n/a"/>
    <s v="Korean"/>
    <s v="Balhae Historical Documents Collection: Chinese Materials Compilation Vol. 1 - ChatGPT translation"/>
    <s v="Parhaesa charyo ch'ongsŏ : Chungguk saryo p'yŏn Vol.1"/>
    <s v="발해사 자료총서 : 중국사료편 1"/>
    <x v="1"/>
    <s v="n/a"/>
    <s v="Kwŏn, Ŭn-ju oe"/>
    <s v="권은주外著"/>
    <s v="Charyo ch'ongsŏ ; 62"/>
    <s v="자료총서 ; 62"/>
    <x v="4"/>
    <x v="4"/>
    <s v="n/a"/>
    <s v="n/a"/>
    <s v="n/a"/>
    <n v="25.020599999999998"/>
    <s v="krw"/>
    <n v="33000"/>
  </r>
  <r>
    <s v="9/14/2023"/>
    <s v="n"/>
    <s v="adam.lisbon@colorado.edu"/>
    <s v="n"/>
    <s v="n"/>
    <s v="JPT"/>
    <m/>
    <s v="https://jptbooknews.jptco.co.jp/product/JPTB1907-0066"/>
    <x v="1"/>
    <s v="n/a"/>
    <m/>
    <m/>
    <s v="n/a"/>
    <s v="n"/>
    <s v="n"/>
    <s v="n"/>
    <m/>
    <n v="9784336063083"/>
    <s v="4336063087"/>
    <n v="1117713701"/>
    <s v="Japanese"/>
    <s v="The visual encyclopedia of Japanese poster art"/>
    <s v="Meiji, Taishō, Shōwa shoki, Nihon posutā-shi daizukan"/>
    <s v="明治・大正・昭和初期, 日本ポスター史大図鑑"/>
    <x v="2"/>
    <s v="Reiwa 1"/>
    <s v="Tajima, Natsuko"/>
    <s v="田島奈都子compiler"/>
    <s v="n/a"/>
    <s v="n/a"/>
    <x v="5"/>
    <x v="5"/>
    <s v="Shohan"/>
    <s v="初版"/>
    <s v="Posters -- Japan -- 20th century ^ Commercial art -- Japan -- History -- 20th century ^ Posters -- Japan -- 20th century -- Catalogs ^ Commercial art -- Japan -- History -- 20th century -- Catalogs ^ Commercial art ^ Posters ^ Posutā-Rekishi ^ Catalog ^ catalogs (documents) ^ Catalogs ^ History ^ Catalogs ^ Catalogues ^ 1900-1999 ^ Japan"/>
    <n v="81.623999999999995"/>
    <s v="jpy"/>
    <n v="12000"/>
  </r>
  <r>
    <s v="8/6/2023"/>
    <s v="n"/>
    <s v="mikhail.skovoronskikh@colorado.edu"/>
    <s v="n"/>
    <s v="n"/>
    <s v="JPT"/>
    <s v="check url column for link to bensei selling fasimile"/>
    <s v="n/ahttps://bensei.jp/index.php?main_page=product_book_info&amp;cPath=74&amp;products_id=3189"/>
    <x v="2"/>
    <s v="n/a"/>
    <m/>
    <m/>
    <s v="5"/>
    <s v="n"/>
    <s v="n"/>
    <s v="n"/>
    <m/>
    <n v="9784585031895"/>
    <s v="4585031898"/>
    <n v="4341823"/>
    <s v="Japanese"/>
    <s v="Comprehensive Directory of Early Modern Personal Names"/>
    <s v="Kinsei jinmeiroku shūsei"/>
    <s v="近世人名錄集成"/>
    <x v="3"/>
    <s v="n/a"/>
    <s v="Mori, Senzō ^ Nakajima, Masatoshi ^ Tōkyō Toritsu Chūō Toshokan"/>
    <s v="森銑三 ^ 中島理壽 ^ 東京都立中央図書館"/>
    <s v="n/a"/>
    <s v="n/a"/>
    <x v="6"/>
    <x v="6"/>
    <s v="n/a"/>
    <s v="n/a"/>
    <s v="Celebrities ^ Famous Persons ^ Célébrités ^ Tokugawa period, Japan, 1600-1868 ^ Directory ^ Biography ^ collective biographies ^ Biographies ^ History ^ Biographies ^ Biographies ^ 1600-1868 ^ Japan -- History -- Tokugawa period, 1600-1868 -- Biography ^ Japan -- Biography ^ Japan ^ Japan"/>
    <n v="359.1456"/>
    <s v="jpy"/>
    <n v="52800"/>
  </r>
  <r>
    <s v="8/6/2023"/>
    <s v="n"/>
    <s v="mikhail.skovoronskikh@colorado.edu"/>
    <s v="n"/>
    <s v="n"/>
    <s v="JPT"/>
    <m/>
    <s v="https://www.kosho.or.jp/products/detail.php?product_id=468508039"/>
    <x v="2"/>
    <s v="1"/>
    <m/>
    <m/>
    <s v="4"/>
    <s v="n"/>
    <s v="n"/>
    <s v="n"/>
    <m/>
    <n v="9784404013675"/>
    <s v="4404013671"/>
    <n v="15660300"/>
    <s v="Japanese"/>
    <s v="Dictionary of the Names of Three Hundred Feudal Lords - ChatGPT translation"/>
    <s v="Sanbyakuhan hanshu jinmei jiten"/>
    <s v="三百藩藩主人名事典"/>
    <x v="4"/>
    <s v="1968"/>
    <s v="Hanshu Jinmei Jiten Hensan Iinkai (Japan)"/>
    <s v="藩主人名事典編纂委員会 ^ 藩主人名事典編纂委員会"/>
    <s v="n/a"/>
    <s v="n/a"/>
    <x v="7"/>
    <x v="7"/>
    <s v="n/a"/>
    <s v="n/a"/>
    <s v="Daimyo -- Biography ^ Daimyō -- Biographies ^ Daimyo ^ Biographies"/>
    <n v="46.763750000000002"/>
    <s v="jpy"/>
    <n v="6875"/>
  </r>
  <r>
    <s v="8/6/2023"/>
    <s v="n"/>
    <s v="mikhail.skovoronskikh@colorado.edu"/>
    <s v="n"/>
    <s v="n"/>
    <s v="JPT"/>
    <m/>
    <s v="https://www.kosho.or.jp/products/detail.php?product_id=468508039"/>
    <x v="2"/>
    <s v="2"/>
    <m/>
    <m/>
    <s v="4"/>
    <s v="n"/>
    <s v="n"/>
    <s v="n"/>
    <m/>
    <n v="9784404013835"/>
    <s v="4404013833"/>
    <n v="15660300"/>
    <s v="Japanese"/>
    <s v="Dictionary of the Names of Three Hundred Feudal Lords - ChatGPT translation"/>
    <s v="Sanbyakuhan hanshu jinmei jiten"/>
    <s v="三百藩藩主人名事典"/>
    <x v="4"/>
    <s v="1968"/>
    <s v="Hanshu Jinmei Jiten Hensan Iinkai (Japan)"/>
    <s v="藩主人名事典編纂委員会 ^ 藩主人名事典編纂委員会"/>
    <s v="n/a"/>
    <s v="n/a"/>
    <x v="7"/>
    <x v="7"/>
    <s v="n/a"/>
    <s v="n/a"/>
    <s v="Daimyo -- Biography ^ Daimyō -- Biographies ^ Daimyo ^ Biographies"/>
    <n v="46.763750000000002"/>
    <s v="jpy"/>
    <n v="6875"/>
  </r>
  <r>
    <s v="8/6/2023"/>
    <s v="n"/>
    <s v="mikhail.skovoronskikh@colorado.edu"/>
    <s v="n"/>
    <s v="n"/>
    <s v="JPT"/>
    <m/>
    <s v="https://www.kosho.or.jp/products/detail.php?product_id=468508039"/>
    <x v="2"/>
    <s v="3"/>
    <m/>
    <m/>
    <s v="4"/>
    <s v="n"/>
    <s v="n"/>
    <s v="n"/>
    <m/>
    <n v="9784404014023"/>
    <s v="4404014023"/>
    <n v="15660300"/>
    <s v="Japanese"/>
    <s v="Dictionary of the Names of Three Hundred Feudal Lords - ChatGPT translation"/>
    <s v="Sanbyakuhan hanshu jinmei jiten"/>
    <s v="三百藩藩主人名事典"/>
    <x v="4"/>
    <s v="1968"/>
    <s v="Hanshu Jinmei Jiten Hensan Iinkai (Japan)"/>
    <s v="藩主人名事典編纂委員会 ^ 藩主人名事典編纂委員会"/>
    <s v="n/a"/>
    <s v="n/a"/>
    <x v="7"/>
    <x v="7"/>
    <s v="n/a"/>
    <s v="n/a"/>
    <s v="Daimyo -- Biography ^ Daimyō -- Biographies ^ Daimyo ^ Biographies"/>
    <n v="46.763750000000002"/>
    <s v="jpy"/>
    <n v="6875"/>
  </r>
  <r>
    <s v="8/6/2023"/>
    <s v="n"/>
    <s v="mikhail.skovoronskikh@colorado.edu"/>
    <s v="n"/>
    <s v="n"/>
    <s v="JPT"/>
    <m/>
    <s v="https://www.kosho.or.jp/products/detail.php?product_id=468508039"/>
    <x v="2"/>
    <s v="4"/>
    <m/>
    <m/>
    <s v="4"/>
    <s v="n"/>
    <s v="n"/>
    <s v="n"/>
    <m/>
    <n v="9784404013507"/>
    <s v="4404013507"/>
    <n v="15660300"/>
    <s v="Japanese"/>
    <s v="Dictionary of the Names of Three Hundred Feudal Lords - ChatGPT translation"/>
    <s v="Sanbyakuhan hanshu jinmei jiten"/>
    <s v="三百藩藩主人名事典"/>
    <x v="4"/>
    <s v="1968"/>
    <s v="Hanshu Jinmei Jiten Hensan Iinkai (Japan)"/>
    <s v="藩主人名事典編纂委員会 ^ 藩主人名事典編纂委員会"/>
    <s v="n/a"/>
    <s v="n/a"/>
    <x v="7"/>
    <x v="7"/>
    <s v="n/a"/>
    <s v="n/a"/>
    <s v="Daimyo -- Biography ^ Daimyō -- Biographies ^ Daimyo ^ Biographies"/>
    <n v="46.763750000000002"/>
    <s v="jpy"/>
    <n v="6875"/>
  </r>
  <r>
    <s v="8/6/2023"/>
    <s v="n"/>
    <s v="mikhail.skovoronskikh@colorado.edu"/>
    <s v="n"/>
    <s v="n"/>
    <s v="JPT"/>
    <m/>
    <s v="https://www.amazon.co.jp/dp/4061586211"/>
    <x v="1"/>
    <s v="n/a"/>
    <m/>
    <m/>
    <s v="n/a"/>
    <s v="n"/>
    <s v="n"/>
    <s v="n"/>
    <m/>
    <n v="9784061586215"/>
    <s v="4061586211"/>
    <n v="18494951"/>
    <s v="Japanese"/>
    <s v="Revised Explanation of Official Positions"/>
    <s v="Shintei kanshoku yōkai"/>
    <s v="新訂官職要解"/>
    <x v="5"/>
    <s v="Shōwa 58"/>
    <s v="Wada, Hidematsu"/>
    <s v="和田英松"/>
    <s v="Kōdansha gakujutsu bunko"/>
    <s v="講談社学術文庫"/>
    <x v="8"/>
    <x v="8"/>
    <s v="n/a"/>
    <s v="n/a"/>
    <s v="Civil service -- Japan ^ Civil service ^ Japan"/>
    <n v="10.998834"/>
    <s v="jpy"/>
    <n v="1617"/>
  </r>
  <r>
    <s v="8/6/2023"/>
    <s v="n"/>
    <s v="mikhail.skovoronskikh@colorado.edu"/>
    <s v="n"/>
    <s v="n"/>
    <s v="JPT"/>
    <s v="Much cheaper on Furuhonya than amazon.jp"/>
    <s v="https://www.kosho.or.jp/products/detail.php?product_id=482591679"/>
    <x v="2"/>
    <s v="1"/>
    <m/>
    <m/>
    <s v="7"/>
    <s v="n"/>
    <s v="n"/>
    <s v="n"/>
    <m/>
    <n v="9784404014719"/>
    <s v="4404014716"/>
    <n v="19632002"/>
    <s v="Japanese"/>
    <s v="Dictionary of Three Hundred Samurai Retainers"/>
    <s v="Sanbyakuhan kashin jinmei jiten"/>
    <s v="三百藩家臣人名事典"/>
    <x v="6"/>
    <s v="n/a"/>
    <s v="Kashin Jinmei Jiten Hensan Iinkai"/>
    <s v="家臣人名事典編纂委員会"/>
    <s v="n/a"/>
    <s v="n/a"/>
    <x v="7"/>
    <x v="7"/>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245314"/>
    <s v="jpy"/>
    <n v="8857"/>
  </r>
  <r>
    <s v="8/6/2023"/>
    <s v="n"/>
    <s v="mikhail.skovoronskikh@colorado.edu"/>
    <s v="n"/>
    <s v="n"/>
    <s v="JPT"/>
    <s v="see above"/>
    <s v="https://www.kosho.or.jp/products/detail.php?product_id=482591679"/>
    <x v="2"/>
    <s v="2"/>
    <m/>
    <m/>
    <s v="7"/>
    <s v="n"/>
    <s v="n"/>
    <s v="n"/>
    <m/>
    <n v="9784404014900"/>
    <s v="4404014902"/>
    <n v="19632002"/>
    <s v="Japanese"/>
    <s v="Dictionary of Three Hundred Samurai Retainers"/>
    <s v="Sanbyakuhan kashin jinmei jiten"/>
    <s v="三百藩家臣人名事典"/>
    <x v="6"/>
    <s v="n/a"/>
    <s v="Kashin Jinmei Jiten Hensan Iinkai"/>
    <s v="家臣人名事典編纂委員会"/>
    <s v="n/a"/>
    <s v="n/a"/>
    <x v="7"/>
    <x v="7"/>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245314"/>
    <s v="jpy"/>
    <n v="8857"/>
  </r>
  <r>
    <s v="8/6/2023"/>
    <s v="n"/>
    <s v="mikhail.skovoronskikh@colorado.edu"/>
    <s v="n"/>
    <s v="n"/>
    <s v="JPT"/>
    <s v="see above"/>
    <s v="https://www.kosho.or.jp/products/detail.php?product_id=482591679"/>
    <x v="2"/>
    <s v="3"/>
    <m/>
    <m/>
    <s v="7"/>
    <s v="n"/>
    <s v="n"/>
    <s v="n"/>
    <m/>
    <n v="9784404015037"/>
    <s v="4404015038"/>
    <n v="19632002"/>
    <s v="Japanese"/>
    <s v="Dictionary of Three Hundred Samurai Retainers"/>
    <s v="Sanbyakuhan kashin jinmei jiten"/>
    <s v="三百藩家臣人名事典"/>
    <x v="6"/>
    <s v="n/a"/>
    <s v="Kashin Jinmei Jiten Hensan Iinkai"/>
    <s v="家臣人名事典編纂委員会"/>
    <s v="n/a"/>
    <s v="n/a"/>
    <x v="7"/>
    <x v="7"/>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245314"/>
    <s v="jpy"/>
    <n v="8857"/>
  </r>
  <r>
    <s v="8/6/2023"/>
    <s v="n"/>
    <s v="mikhail.skovoronskikh@colorado.edu"/>
    <s v="n"/>
    <s v="n"/>
    <s v="JPT"/>
    <s v="see above"/>
    <s v="https://www.kosho.or.jp/products/detail.php?product_id=482591679"/>
    <x v="2"/>
    <s v="4"/>
    <m/>
    <m/>
    <s v="7"/>
    <s v="n"/>
    <s v="n"/>
    <s v="n"/>
    <m/>
    <n v="9784404015310"/>
    <s v="4404015313"/>
    <n v="19632002"/>
    <s v="Japanese"/>
    <s v="Dictionary of Three Hundred Samurai Retainers"/>
    <s v="Sanbyakuhan kashin jinmei jiten"/>
    <s v="三百藩家臣人名事典"/>
    <x v="6"/>
    <s v="n/a"/>
    <s v="Kashin Jinmei Jiten Hensan Iinkai"/>
    <s v="家臣人名事典編纂委員会"/>
    <s v="n/a"/>
    <s v="n/a"/>
    <x v="7"/>
    <x v="7"/>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245314"/>
    <s v="jpy"/>
    <n v="8857"/>
  </r>
  <r>
    <s v="8/6/2023"/>
    <s v="n"/>
    <s v="mikhail.skovoronskikh@colorado.edu"/>
    <s v="n"/>
    <s v="n"/>
    <s v="JPT"/>
    <s v="see above"/>
    <s v="https://www.kosho.or.jp/products/detail.php?product_id=482591679"/>
    <x v="2"/>
    <s v="5"/>
    <m/>
    <m/>
    <s v="7"/>
    <s v="n"/>
    <s v="n"/>
    <s v="n"/>
    <m/>
    <n v="9784404015730"/>
    <s v="4404015739"/>
    <n v="19632002"/>
    <s v="Japanese"/>
    <s v="Dictionary of Three Hundred Samurai Retainers"/>
    <s v="Sanbyakuhan kashin jinmei jiten"/>
    <s v="三百藩家臣人名事典"/>
    <x v="6"/>
    <s v="n/a"/>
    <s v="Kashin Jinmei Jiten Hensan Iinkai"/>
    <s v="家臣人名事典編纂委員会"/>
    <s v="n/a"/>
    <s v="n/a"/>
    <x v="7"/>
    <x v="7"/>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245314"/>
    <s v="jpy"/>
    <n v="8857"/>
  </r>
  <r>
    <s v="8/6/2023"/>
    <s v="n"/>
    <s v="mikhail.skovoronskikh@colorado.edu"/>
    <s v="n"/>
    <s v="n"/>
    <s v="JPT"/>
    <s v="see above"/>
    <s v="https://www.kosho.or.jp/products/detail.php?product_id=482591679"/>
    <x v="2"/>
    <s v="6"/>
    <m/>
    <m/>
    <s v="7"/>
    <s v="n"/>
    <s v="n"/>
    <s v="n"/>
    <m/>
    <n v="9784404016515"/>
    <s v="4404016514"/>
    <n v="19632002"/>
    <s v="Japanese"/>
    <s v="Dictionary of Three Hundred Samurai Retainers"/>
    <s v="Sanbyakuhan kashin jinmei jiten"/>
    <s v="三百藩家臣人名事典"/>
    <x v="6"/>
    <s v="n/a"/>
    <s v="Kashin Jinmei Jiten Hensan Iinkai"/>
    <s v="家臣人名事典編纂委員会"/>
    <s v="n/a"/>
    <s v="n/a"/>
    <x v="7"/>
    <x v="7"/>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245314"/>
    <s v="jpy"/>
    <n v="8857"/>
  </r>
  <r>
    <s v="8/6/2023"/>
    <s v="n"/>
    <s v="mikhail.skovoronskikh@colorado.edu"/>
    <s v="n"/>
    <s v="n"/>
    <s v="JPT"/>
    <s v="see above"/>
    <s v="https://www.kosho.or.jp/products/detail.php?product_id=482591679"/>
    <x v="2"/>
    <s v="7"/>
    <m/>
    <m/>
    <s v="7"/>
    <s v="n"/>
    <s v="n"/>
    <s v="n"/>
    <m/>
    <n v="9784404016072"/>
    <s v="4404016077"/>
    <n v="19632002"/>
    <s v="Japanese"/>
    <s v="Dictionary of Three Hundred Samurai Retainers"/>
    <s v="Sanbyakuhan kashin jinmei jiten"/>
    <s v="三百藩家臣人名事典"/>
    <x v="6"/>
    <s v="n/a"/>
    <s v="Kashin Jinmei Jiten Hensan Iinkai"/>
    <s v="家臣人名事典編纂委員会"/>
    <s v="n/a"/>
    <s v="n/a"/>
    <x v="7"/>
    <x v="7"/>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245314"/>
    <s v="jpy"/>
    <n v="8857"/>
  </r>
  <r>
    <s v="8/6/2023"/>
    <s v="n"/>
    <s v="mikhail.skovoronskikh@colorado.edu"/>
    <s v="n"/>
    <s v="n"/>
    <s v="JPT"/>
    <s v="need to see before deciding collection location - exists as 4 subsets with multiple volumes"/>
    <s v="https://www.kosho.or.jp/products/detail.php?product_id=481699821"/>
    <x v="3"/>
    <s v="1 (1)"/>
    <m/>
    <m/>
    <s v="3 (13)"/>
    <s v="n"/>
    <s v="n"/>
    <s v="n"/>
    <m/>
    <s v="n/a"/>
    <s v="n/a"/>
    <n v="21396587"/>
    <s v="Japanese"/>
    <s v="Materials on the Imperial Institution"/>
    <s v="Kōshitu seido shiryō"/>
    <s v="皇室制度史料: 太上天皇"/>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2 (2)"/>
    <m/>
    <m/>
    <s v="3 (13)"/>
    <s v="n"/>
    <s v="n"/>
    <s v="n"/>
    <m/>
    <s v="n/a"/>
    <s v="n/a"/>
    <n v="21396587"/>
    <s v="Japanese"/>
    <s v="Materials on the Imperial Institution"/>
    <s v="Kōshitu seido shiryō"/>
    <s v="皇室制度史料: 太上天皇"/>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3 (3)"/>
    <m/>
    <m/>
    <s v="3 (13)"/>
    <s v="n"/>
    <s v="n"/>
    <s v="n"/>
    <m/>
    <s v="n/a"/>
    <s v="n/a"/>
    <n v="21396587"/>
    <s v="Japanese"/>
    <s v="Materials on the Imperial Institution"/>
    <s v="Kōshitu seido shiryō"/>
    <s v="皇室制度史料: 太上天皇"/>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1 (4)"/>
    <m/>
    <m/>
    <s v="2 (13)"/>
    <s v="n"/>
    <s v="n"/>
    <s v="n"/>
    <m/>
    <s v="n/a"/>
    <s v="n/a"/>
    <n v="21396587"/>
    <s v="Japanese"/>
    <s v="Materials on the Imperial Institution"/>
    <s v="Kōshitu seido shiryō"/>
    <s v="皇室制度史料: 摂政"/>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2 (5)"/>
    <m/>
    <m/>
    <s v="2 (13)"/>
    <s v="n"/>
    <s v="n"/>
    <s v="n"/>
    <m/>
    <s v="n/a"/>
    <s v="n/a"/>
    <n v="21396587"/>
    <s v="Japanese"/>
    <s v="Materials on the Imperial Institution"/>
    <s v="Kōshitu seido shiryō"/>
    <s v="皇室制度史料: 摂政"/>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1 (6)"/>
    <m/>
    <m/>
    <s v="4 (13)"/>
    <s v="n"/>
    <s v="n"/>
    <s v="n"/>
    <m/>
    <s v="n/a"/>
    <s v="n/a"/>
    <n v="21396587"/>
    <s v="Japanese"/>
    <s v="Materials on the Imperial Institution"/>
    <s v="Kōshitu seido shiryō"/>
    <s v="皇室制度史料: 家族"/>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2 (7)"/>
    <m/>
    <m/>
    <s v="4 (13)"/>
    <s v="n"/>
    <s v="n"/>
    <s v="n"/>
    <m/>
    <s v="n/a"/>
    <s v="n/a"/>
    <n v="21396587"/>
    <s v="Japanese"/>
    <s v="Materials on the Imperial Institution"/>
    <s v="Kōshitu seido shiryō"/>
    <s v="皇室制度史料: 家族"/>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3 (8)"/>
    <m/>
    <m/>
    <s v="4 (13)"/>
    <s v="n"/>
    <s v="n"/>
    <s v="n"/>
    <m/>
    <s v="n/a"/>
    <s v="n/a"/>
    <n v="21396587"/>
    <s v="Japanese"/>
    <s v="Materials on the Imperial Institution"/>
    <s v="Kōshitu seido shiryō"/>
    <s v="皇室制度史料: 家族"/>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4 (9)"/>
    <m/>
    <m/>
    <s v="4 (13)"/>
    <s v="n"/>
    <s v="n"/>
    <s v="n"/>
    <m/>
    <s v="n/a"/>
    <s v="n/a"/>
    <n v="21396587"/>
    <s v="Japanese"/>
    <s v="Materials on the Imperial Institution"/>
    <s v="Kōshitu seido shiryō"/>
    <s v="皇室制度史料: 家族"/>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1 (10)"/>
    <m/>
    <m/>
    <s v="4 (13)"/>
    <s v="n"/>
    <s v="n"/>
    <s v="n"/>
    <m/>
    <s v="n/a"/>
    <s v="n/a"/>
    <n v="21396587"/>
    <s v="Japanese"/>
    <s v="Materials on the Imperial Institution"/>
    <s v="Kōshitu seido shiryō"/>
    <s v="皇室制度史料: 后妃"/>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2 (11)"/>
    <m/>
    <m/>
    <s v="4 (13)"/>
    <s v="n"/>
    <s v="n"/>
    <s v="n"/>
    <m/>
    <s v="n/a"/>
    <s v="n/a"/>
    <n v="21396587"/>
    <s v="Japanese"/>
    <s v="Materials on the Imperial Institution"/>
    <s v="Kōshitu seido shiryō"/>
    <s v="皇室制度史料: 后妃"/>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3 (12)"/>
    <m/>
    <m/>
    <s v="4 (13)"/>
    <s v="n"/>
    <s v="n"/>
    <s v="n"/>
    <m/>
    <s v="n/a"/>
    <s v="n/a"/>
    <n v="21396587"/>
    <s v="Japanese"/>
    <s v="Materials on the Imperial Institution"/>
    <s v="Kōshitu seido shiryō"/>
    <s v="皇室制度史料: 后妃"/>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s v="see above"/>
    <s v="https://www.kosho.or.jp/products/detail.php?product_id=481699821"/>
    <x v="3"/>
    <s v="4 (13)"/>
    <m/>
    <m/>
    <s v="4 (13)"/>
    <s v="n"/>
    <s v="n"/>
    <s v="n"/>
    <m/>
    <s v="n/a"/>
    <s v="n/a"/>
    <n v="21396587"/>
    <s v="Japanese"/>
    <s v="Materials on the Imperial Institution"/>
    <s v="Kōshitu seido shiryō"/>
    <s v="皇室制度史料: 后妃"/>
    <x v="7"/>
    <s v="Shōwa 53"/>
    <s v="Kunaichō ^ Shoryōbu"/>
    <s v="宮內庁書陵部"/>
    <s v="n/a"/>
    <s v="n/a"/>
    <x v="9"/>
    <x v="9"/>
    <s v="n/a"/>
    <s v="n/a"/>
    <s v="Royal households -- Japan -- History -- Sources ^ Emperors -- Japan -- History -- Sources ^ Courts and courtiers ^ Emperors ^ Royal households ^ History ^ Sources ^ Japan -- Court and courtiers -- History -- Sources ^ Japan"/>
    <n v="151.73901599999999"/>
    <s v="jpy"/>
    <n v="22308"/>
  </r>
  <r>
    <s v="8/6/2023"/>
    <s v="n"/>
    <s v="mikhail.skovoronskikh@colorado.edu"/>
    <s v="n"/>
    <s v="n"/>
    <s v="JPT"/>
    <m/>
    <s v="https://www.kosho.or.jp/products/detail.php?product_id=480058070"/>
    <x v="2"/>
    <s v="n/a"/>
    <m/>
    <m/>
    <s v="n/a"/>
    <s v="n"/>
    <s v="n"/>
    <s v="n"/>
    <m/>
    <n v="9784784205387"/>
    <s v="4784205381"/>
    <n v="22817815"/>
    <s v="Japanese"/>
    <s v="Dictionary of Notable Figures in Ōbaku Culture - ChatGPT translation"/>
    <s v="Ōbaku bunka jinmei jiten"/>
    <s v="黄檗文化人名辞典"/>
    <x v="8"/>
    <s v="Shōwa 63"/>
    <s v="Ōtsuki, Mikio ^ Katō, Shōshun ^ Hayashi, Yukimitsu"/>
    <s v="大槻幹郎 ^ 加藤正俊 ^ 林雪光"/>
    <s v="n/a"/>
    <s v="n/a"/>
    <x v="10"/>
    <x v="10"/>
    <s v="n/a"/>
    <s v="n/a"/>
    <s v="Zen priests -- Japan -- Biography -- Japanese ^ Ōbaku (Sect) -- Dictionaries -- Japanese ^ Ōbaku (Sect) ^ Zen priests ^ Dictionaries ^ Japan"/>
    <n v="81.623999999999995"/>
    <s v="jpy"/>
    <n v="12000"/>
  </r>
  <r>
    <s v="8/6/2023"/>
    <s v="n"/>
    <s v="mikhail.skovoronskikh@colorado.edu"/>
    <s v="n"/>
    <s v="n"/>
    <s v="JPT"/>
    <s v="can't locate website for purchase"/>
    <s v="n/a"/>
    <x v="1"/>
    <s v="1"/>
    <m/>
    <m/>
    <s v="4"/>
    <s v="n/a"/>
    <s v="n/a"/>
    <s v="n"/>
    <m/>
    <s v="n/a"/>
    <s v="n/a"/>
    <n v="22818416"/>
    <s v="Japanese"/>
    <s v="Comprehensive Introduction to Edo Period Sinology"/>
    <s v="Edo jidai Shinagaku nyūmonsho kaidai shūsei"/>
    <s v="江戶時代支那学入門書解題集成: 四部要辨 -- 經傳發端講義 -- 物子書示木公達書目 -- 經子史要覽 -- 答或問 -- 讀書路經 -- 婆心代言 -- 漢土大畧外題學問"/>
    <x v="9"/>
    <s v="Shōwa 50"/>
    <s v="Nagasawa, Kikuya"/>
    <s v="長澤規矩也"/>
    <s v="n/a"/>
    <s v="n/a"/>
    <x v="11"/>
    <x v="11"/>
    <s v="n/a"/>
    <s v="n/a"/>
    <s v="Civilization -- Study and teaching ^ China -- Civilization -- Study and teaching -- Japan ^ China -- Civilization -- Study and teaching -- Japan -- Bibliography ^ Japan ^ China ^ 中国思想; 書目.; シナ学; 書目"/>
    <n v="0"/>
    <s v="jpy"/>
    <m/>
  </r>
  <r>
    <s v="8/6/2023"/>
    <s v="n"/>
    <s v="mikhail.skovoronskikh@colorado.edu"/>
    <s v="n"/>
    <s v="n"/>
    <s v="JPT"/>
    <s v="can't locate website for purchase"/>
    <s v="n/a"/>
    <x v="1"/>
    <s v="2"/>
    <m/>
    <m/>
    <s v="4"/>
    <s v="n/a"/>
    <s v="n/a"/>
    <s v="n"/>
    <m/>
    <s v="n/a"/>
    <s v="n/a"/>
    <n v="22818416"/>
    <s v="Japanese"/>
    <s v="Comprehensive Introduction to Edo Period Sinology"/>
    <s v="Edo jidai Shinagaku nyūmonsho kaidai shūsei"/>
    <s v="江戶時代支那学入門書解題集成: 實用館讀例 -- 自邇齋學話 -- 讀書矩 -- 初學課業次第 -- 讀書指南 -- 經籍類考續 -- 道學讀書要覽 -- 學問自在"/>
    <x v="9"/>
    <s v="Shōwa 50"/>
    <s v="Nagasawa, Kikuya"/>
    <s v="長澤規矩也"/>
    <s v="n/a"/>
    <s v="n/a"/>
    <x v="11"/>
    <x v="11"/>
    <s v="n/a"/>
    <s v="n/a"/>
    <s v="Civilization -- Study and teaching ^ China -- Civilization -- Study and teaching -- Japan ^ China -- Civilization -- Study and teaching -- Japan -- Bibliography ^ Japan ^ China ^ 中国思想; 書目.; シナ学; 書目"/>
    <n v="0"/>
    <s v="jpy"/>
    <m/>
  </r>
  <r>
    <s v="8/6/2023"/>
    <s v="n"/>
    <s v="mikhail.skovoronskikh@colorado.edu"/>
    <s v="n"/>
    <s v="n"/>
    <s v="JPT"/>
    <s v="can't locate website for purchase"/>
    <s v="n/a"/>
    <x v="1"/>
    <s v="3"/>
    <m/>
    <m/>
    <s v="4"/>
    <s v="n/a"/>
    <s v="n/a"/>
    <s v="n"/>
    <m/>
    <s v="n/a"/>
    <s v="n/a"/>
    <n v="22818416"/>
    <s v="Japanese"/>
    <s v="Comprehensive Introduction to Edo Period Sinology"/>
    <s v="Edo jidai Shinagaku nyūmonsho kaidai shūsei"/>
    <s v="江戶時代支那学入門書解題集成: 間合早學問 -- 日新堂學範 授業編"/>
    <x v="9"/>
    <s v="Shōwa 50"/>
    <s v="Nagasawa, Kikuya"/>
    <s v="長澤規矩也"/>
    <s v="n/a"/>
    <s v="n/a"/>
    <x v="11"/>
    <x v="11"/>
    <s v="n/a"/>
    <s v="n/a"/>
    <s v="Civilization -- Study and teaching ^ China -- Civilization -- Study and teaching -- Japan ^ China -- Civilization -- Study and teaching -- Japan -- Bibliography ^ Japan ^ China ^ 中国思想; 書目.; シナ学; 書目"/>
    <n v="0"/>
    <s v="jpy"/>
    <m/>
  </r>
  <r>
    <s v="8/6/2023"/>
    <s v="n"/>
    <s v="mikhail.skovoronskikh@colorado.edu"/>
    <s v="n"/>
    <s v="n"/>
    <s v="JPT"/>
    <s v="can't locate website for purchase"/>
    <s v="n/a"/>
    <x v="1"/>
    <s v="4"/>
    <m/>
    <m/>
    <s v="4"/>
    <s v="n/a"/>
    <s v="n/a"/>
    <s v="n"/>
    <m/>
    <s v="n/a"/>
    <s v="n/a"/>
    <n v="22818416"/>
    <s v="Japanese"/>
    <s v="Comprehensive Introduction to Edo Period Sinology"/>
    <s v="Edo jidai Shinagaku nyūmonsho kaidai shūsei"/>
    <s v="江戶時代支那学入門書解題集成: 幼學階前編 -- 經世學論 -- 筌蹄集 -- 默例 -- 童子通"/>
    <x v="9"/>
    <s v="Shōwa 50"/>
    <s v="Nagasawa, Kikuya"/>
    <s v="長澤規矩也"/>
    <s v="n/a"/>
    <s v="n/a"/>
    <x v="11"/>
    <x v="11"/>
    <s v="n/a"/>
    <s v="n/a"/>
    <s v="Civilization -- Study and teaching ^ China -- Civilization -- Study and teaching -- Japan ^ China -- Civilization -- Study and teaching -- Japan -- Bibliography ^ Japan ^ China ^ 中国思想; 書目.; シナ学; 書目"/>
    <n v="0"/>
    <s v="jpy"/>
    <m/>
  </r>
  <r>
    <s v="8/6/2023"/>
    <s v="n"/>
    <s v="mikhail.skovoronskikh@colorado.edu"/>
    <s v="n"/>
    <s v="n"/>
    <s v="JPT"/>
    <s v="URL link is for 1993 repringt, pursue this, small stains on books okay"/>
    <s v="https://www.kosho.or.jp/products/detail.php?product_id=456804128"/>
    <x v="2"/>
    <s v="n/a"/>
    <m/>
    <m/>
    <s v="n/a"/>
    <s v="n/a"/>
    <s v="n/a"/>
    <s v="n"/>
    <m/>
    <s v="n/a"/>
    <s v="n/a"/>
    <n v="22914256"/>
    <s v="Japanese"/>
    <s v="Index of Japanese Essays"/>
    <s v="Nihon zuihitsu sakuin"/>
    <s v="日本隨筆索引"/>
    <x v="10"/>
    <s v="Shōwa 38"/>
    <s v="Ōta, Tamesaburō"/>
    <s v="太田為三郎"/>
    <s v="n/a"/>
    <s v="n/a"/>
    <x v="12"/>
    <x v="12"/>
    <s v="Zōteiban"/>
    <s v="增訂版"/>
    <s v="Japanese literature -- Indexes ^ Japanese literature ^ Indexes"/>
    <n v="74.822000000000003"/>
    <s v="jpy"/>
    <n v="11000"/>
  </r>
  <r>
    <s v="8/6/2023"/>
    <s v="n"/>
    <s v="mikhail.skovoronskikh@colorado.edu"/>
    <s v="n"/>
    <s v="n"/>
    <s v="JPT"/>
    <m/>
    <s v="https://www.kosho.or.jp/products/detail.php?transactionid=4e938fcefa7d23bea295989d31f1385327a117e2&amp;mode=&amp;pageno=&amp;search_pageno=&amp;product_id=481580556&amp;reset_baseinfo_id=&amp;baseinfo_id=&amp;product_class_id=&amp;quantity=1&amp;from_mode=&amp;search_facet_publisher=&amp;search_word=4784206566&amp;search_name=&amp;search_name_matchtype=like&amp;search_author=&amp;search_author_matchtype=like&amp;search_publisher=&amp;search_publisher_matchtype=like&amp;search_isbn=&amp;search_published_year_min=&amp;search_published_year_max=&amp;search_comment4=&amp;search_comment4_matchtype=like&amp;search_book_flg=&amp;search_price_min=&amp;search_price_max=&amp;search_only_has_stock=1&amp;search_orderby=score&amp;search_sorttype=asc&amp;search_page_max=50&amp;search_image_disp=&amp;search_adult=2&amp;transactionid=4e938fcefa7d23bea295989d31f1385327a117e2"/>
    <x v="2"/>
    <s v="n/a"/>
    <m/>
    <m/>
    <s v="n/a"/>
    <s v="n"/>
    <s v="n"/>
    <s v="n"/>
    <m/>
    <n v="9784784206568"/>
    <s v="4784206566"/>
    <n v="24982364"/>
    <s v="Japanese"/>
    <s v="Dictionary of Zen Sayings"/>
    <s v="Zengo jiten"/>
    <s v="禅語辞典"/>
    <x v="11"/>
    <s v="Heisei 3"/>
    <s v="Koga, Hidehiko ^ Iriya, Yoshitaka"/>
    <s v="古賀英彦 ^ 入矢義高"/>
    <s v="n/a"/>
    <s v="n/a"/>
    <x v="13"/>
    <x v="10"/>
    <s v="n/a"/>
    <s v="n/a"/>
    <s v="Zen Buddhism -- Dictionaries -- Japanese ^ Zen Buddhism ^ Dictionaries"/>
    <n v="61.217999999999996"/>
    <s v="jpy"/>
    <n v="9000"/>
  </r>
  <r>
    <s v="8/6/2023"/>
    <s v="n"/>
    <s v="mikhail.skovoronskikh@colorado.edu"/>
    <s v="n"/>
    <s v="n"/>
    <s v="JPT"/>
    <m/>
    <s v="https://www.kosho.or.jp/products/detail.php?product_id=480433213"/>
    <x v="2"/>
    <s v="n/a"/>
    <m/>
    <m/>
    <s v="n/a"/>
    <s v="n"/>
    <s v="n"/>
    <s v="n"/>
    <m/>
    <n v="9784831870070"/>
    <s v="4831870072"/>
    <n v="30811351"/>
    <s v="Japanese"/>
    <s v="Dictionary of Japanese Buddhist Personal Names"/>
    <s v="Nihon Bukkyō jinmei jiten"/>
    <s v="日本仏教人名辞典"/>
    <x v="12"/>
    <s v="Heisei 4"/>
    <s v="Ishikawa, Rikizan ^ Nihon Bukkyō Jinmei Jiten Hensan Iinkai"/>
    <s v="石川力山 ^ 日本仏教人名辞典編纂委員会"/>
    <s v="n/a"/>
    <s v="n/a"/>
    <x v="14"/>
    <x v="13"/>
    <s v="Dai 1-han"/>
    <s v="第 1版"/>
    <s v="Buddhist priests -- Japan -- Biography -- Dictionaries -- Japanese ^ Buddhists -- Japan -- Biography -- Dictionaries -- Japanese ^ Buddhism -- Dictionaries ^ Buddhism -- Japan ^ Buddhist priests ^ Buddhists ^ Buddhism -- Dictionaries ^ Buddhism -- Japan ^ Dictionaries ^ Biographies ^ Japan -- Biography ^ Japan ^ Japan -- Biography"/>
    <n v="108.83199999999999"/>
    <s v="jpy"/>
    <n v="16000"/>
  </r>
  <r>
    <s v="8/6/2023"/>
    <s v="n"/>
    <s v="mikhail.skovoronskikh@colorado.edu"/>
    <s v="n"/>
    <s v="n"/>
    <s v="JPT"/>
    <s v="ISBN is for 1993 version, can purchase off amazon.jp. OCLC is for 1966 version, do no pursue"/>
    <s v="https://www.amazon.co.jp/dp/44040201211"/>
    <x v="1"/>
    <s v="n/a"/>
    <m/>
    <m/>
    <s v="n/a"/>
    <s v="n"/>
    <s v="n"/>
    <s v="n"/>
    <m/>
    <n v="9784404020123"/>
    <s v="44040201211"/>
    <n v="34442760"/>
    <s v="Japanese"/>
    <s v="Study of the Institutions in the Edo Period - ChatGPT translation"/>
    <s v="Edo jidai seido no kenkyū"/>
    <s v="江戶時代制度の研究"/>
    <x v="13"/>
    <s v="Shōwa 41"/>
    <s v="Matsudaira, Tarō ^ Shinji, Yoshimoto"/>
    <s v="松平太郎 ^ 進士慶幹"/>
    <s v="n/a"/>
    <s v="n/a"/>
    <x v="15"/>
    <x v="14"/>
    <s v="Kōtei fukyūban"/>
    <s v="校訂普及版"/>
    <s v="Manners and customs ^ Politics and government ^ Tokugawa family ^ Tokugawa (Famille) ^ Tokugawa family ^ Tokugawa family ^ 1600-1868 ^ Japan -- Politics and government -- 1600-1868 ^ Japan -- Social life and customs -- 1600-1868 ^ Japan ^ Japan -- Politics and government -- 1600-1868 ^ Japan -- Social life and customs"/>
    <n v="84.297185999999996"/>
    <s v="jpy"/>
    <n v="12393"/>
  </r>
  <r>
    <s v="8/6/2023"/>
    <s v="n"/>
    <s v="mikhail.skovoronskikh@colorado.edu"/>
    <s v="n"/>
    <s v="n"/>
    <s v="JPT"/>
    <m/>
    <s v="https://www.amazon.co.jp/%E6%BC%A2%E6%96%87%E5%AD%B8%E8%80%85%E7%B8%BD%E8%A6%BD-%E9%95%B7%E6%BE%A4-%E8%A6%8F%E7%9F%A9%E4%B9%9F/dp/4762912247/ref=sr_1_1?__mk_ja_JP=%E3%82%AB%E3%82%BF%E3%82%AB%E3%83%8A&amp;crid=22XSA25N5REU9&amp;keywords=9784762912245&amp;qid=1691615852&amp;s=books&amp;sprefix=9784762912245%2Cstripbooks%2C95&amp;sr=1-1"/>
    <x v="2"/>
    <s v="n/a"/>
    <m/>
    <m/>
    <s v="n/a"/>
    <s v="n/a"/>
    <s v="n"/>
    <s v="n"/>
    <m/>
    <s v="n/a"/>
    <s v="n/a"/>
    <n v="35077505"/>
    <s v="Japanese"/>
    <s v="Comprehensive Directory of Chinese Literature Scholars"/>
    <s v="Kanbun gakusha sōran"/>
    <s v="漢文学者総覧"/>
    <x v="14"/>
    <s v="Shōwa 54"/>
    <s v="Nagasawa, Kōzō ^ Nagasawa, Kikuya"/>
    <s v="長澤孝三 ^ 長澤規矩也"/>
    <s v="n/a"/>
    <s v="n/a"/>
    <x v="11"/>
    <x v="11"/>
    <s v="n/a"/>
    <s v="n/a"/>
    <s v="Sinologists -- Japan -- Biography ^ Sinologists ^ Education ^ Chūgoku bungaku-Meibo ^ Kangakusha ^ Biographies ^ China -- Study and teaching -- Japan ^ China ^ Japan"/>
    <n v="129.10195999999999"/>
    <s v="jpy"/>
    <n v="18980"/>
  </r>
  <r>
    <s v="8/6/2023"/>
    <s v="n"/>
    <s v="mikhail.skovoronskikh@colorado.edu"/>
    <s v="n"/>
    <s v="n"/>
    <s v="JPT"/>
    <m/>
    <s v="https://www.kosho.or.jp/products/detail.php?product_id=482301896"/>
    <x v="1"/>
    <s v="1"/>
    <m/>
    <m/>
    <s v="7"/>
    <s v="n"/>
    <s v="n"/>
    <s v="n"/>
    <m/>
    <s v="n/a"/>
    <s v="n/a"/>
    <n v="35956063"/>
    <s v="Japanese"/>
    <s v="Collection of Chinese Language Dictionaries"/>
    <s v="Kango bunten sōsho"/>
    <s v="漢語文典叢書: 訓譯示蒙・助字考・助辭譯通・詩語解・文語解・詩家推敲・助字詳解"/>
    <x v="15"/>
    <s v="Shōwa 54-"/>
    <s v="Yoshikawa, Kōjirō ^ Kojima, Noriyuki ^ Togawa, Yoshirō"/>
    <s v="吉川幸次郎 ^ 小島憲之 ^ 戶川芳郎"/>
    <s v="n/a"/>
    <s v="n/a"/>
    <x v="11"/>
    <x v="11"/>
    <s v="n/a"/>
    <s v="n/a"/>
    <s v="Chinese language -- Particles -- Dictionaries -- Japanese ^ Chinese language -- Dictionaries -- Japanese ^ Chinese language ^ Chinese language -- Particles ^ Dictionaries"/>
    <n v="63.163371999999995"/>
    <s v="jpy"/>
    <n v="9286"/>
  </r>
  <r>
    <s v="8/6/2023"/>
    <s v="n"/>
    <s v="mikhail.skovoronskikh@colorado.edu"/>
    <s v="n"/>
    <s v="n"/>
    <s v="JPT"/>
    <m/>
    <s v="https://www.kosho.or.jp/products/detail.php?product_id=482301896"/>
    <x v="1"/>
    <s v="2"/>
    <m/>
    <m/>
    <s v="7"/>
    <s v="n"/>
    <s v="n"/>
    <s v="n"/>
    <m/>
    <s v="n/a"/>
    <s v="n/a"/>
    <n v="35956063"/>
    <s v="Japanese"/>
    <s v="Collection of Chinese Language Dictionaries"/>
    <s v="Kango bunten sōsho"/>
    <s v="漢語文典叢書: 訓譯示蒙・助字考・助辭譯通・詩語解・文語解・詩家推敲・助字詳解"/>
    <x v="15"/>
    <s v="Shōwa 54-"/>
    <s v="Yoshikawa, Kōjirō ^ Kojima, Noriyuki ^ Togawa, Yoshirō"/>
    <s v="吉川幸次郎 ^ 小島憲之 ^ 戶川芳郎"/>
    <s v="n/a"/>
    <s v="n/a"/>
    <x v="11"/>
    <x v="11"/>
    <s v="n/a"/>
    <s v="n/a"/>
    <s v="Chinese language -- Particles -- Dictionaries -- Japanese ^ Chinese language -- Dictionaries -- Japanese ^ Chinese language ^ Chinese language -- Particles ^ Dictionaries"/>
    <n v="63.163371999999995"/>
    <s v="jpy"/>
    <n v="9286"/>
  </r>
  <r>
    <s v="8/6/2023"/>
    <s v="n"/>
    <s v="mikhail.skovoronskikh@colorado.edu"/>
    <s v="n"/>
    <s v="n"/>
    <s v="JPT"/>
    <m/>
    <s v="https://www.kosho.or.jp/products/detail.php?product_id=482301896"/>
    <x v="1"/>
    <s v="3"/>
    <m/>
    <m/>
    <s v="7"/>
    <s v="n"/>
    <s v="n"/>
    <s v="n"/>
    <m/>
    <s v="n/a"/>
    <s v="n/a"/>
    <n v="35956063"/>
    <s v="Japanese"/>
    <s v="Collection of Chinese Language Dictionaries"/>
    <s v="Kango bunten sōsho"/>
    <s v="漢語文典叢書: 訓譯示蒙・助字考・助辭譯通・詩語解・文語解・詩家推敲・助字詳解"/>
    <x v="15"/>
    <s v="Shōwa 54-"/>
    <s v="Yoshikawa, Kōjirō ^ Kojima, Noriyuki ^ Togawa, Yoshirō"/>
    <s v="吉川幸次郎 ^ 小島憲之 ^ 戶川芳郎"/>
    <s v="n/a"/>
    <s v="n/a"/>
    <x v="11"/>
    <x v="11"/>
    <s v="n/a"/>
    <s v="n/a"/>
    <s v="Chinese language -- Particles -- Dictionaries -- Japanese ^ Chinese language -- Dictionaries -- Japanese ^ Chinese language ^ Chinese language -- Particles ^ Dictionaries"/>
    <n v="63.163371999999995"/>
    <s v="jpy"/>
    <n v="9286"/>
  </r>
  <r>
    <s v="8/6/2023"/>
    <s v="n"/>
    <s v="mikhail.skovoronskikh@colorado.edu"/>
    <s v="n"/>
    <s v="n"/>
    <s v="JPT"/>
    <m/>
    <s v="https://www.kosho.or.jp/products/detail.php?product_id=482301896"/>
    <x v="1"/>
    <s v="4"/>
    <m/>
    <m/>
    <s v="7"/>
    <s v="n"/>
    <s v="n"/>
    <s v="n"/>
    <m/>
    <s v="n/a"/>
    <s v="n/a"/>
    <n v="35956063"/>
    <s v="Japanese"/>
    <s v="Collection of Chinese Language Dictionaries"/>
    <s v="Kango bunten sōsho"/>
    <s v="漢語文典叢書: 訓譯示蒙・助字考・助辭譯通・詩語解・文語解・詩家推敲・助字詳解"/>
    <x v="15"/>
    <s v="Shōwa 54-"/>
    <s v="Yoshikawa, Kōjirō ^ Kojima, Noriyuki ^ Togawa, Yoshirō"/>
    <s v="吉川幸次郎 ^ 小島憲之 ^ 戶川芳郎"/>
    <s v="n/a"/>
    <s v="n/a"/>
    <x v="11"/>
    <x v="11"/>
    <s v="n/a"/>
    <s v="n/a"/>
    <s v="Chinese language -- Particles -- Dictionaries -- Japanese ^ Chinese language -- Dictionaries -- Japanese ^ Chinese language ^ Chinese language -- Particles ^ Dictionaries"/>
    <n v="63.163371999999995"/>
    <s v="jpy"/>
    <n v="9286"/>
  </r>
  <r>
    <s v="8/6/2023"/>
    <s v="n"/>
    <s v="mikhail.skovoronskikh@colorado.edu"/>
    <s v="n"/>
    <s v="n"/>
    <s v="JPT"/>
    <m/>
    <s v="https://www.kosho.or.jp/products/detail.php?product_id=482301896"/>
    <x v="1"/>
    <s v="5"/>
    <m/>
    <m/>
    <s v="7"/>
    <s v="n"/>
    <s v="n"/>
    <s v="n"/>
    <m/>
    <s v="n/a"/>
    <s v="n/a"/>
    <n v="35956063"/>
    <s v="Japanese"/>
    <s v="Collection of Chinese Language Dictionaries"/>
    <s v="Kango bunten sōsho"/>
    <s v="漢語文典叢書: 訓譯示蒙・助字考・助辭譯通・詩語解・文語解・詩家推敲・助字詳解"/>
    <x v="15"/>
    <s v="Shōwa 54-"/>
    <s v="Yoshikawa, Kōjirō ^ Kojima, Noriyuki ^ Togawa, Yoshirō"/>
    <s v="吉川幸次郎 ^ 小島憲之 ^ 戶川芳郎"/>
    <s v="n/a"/>
    <s v="n/a"/>
    <x v="11"/>
    <x v="11"/>
    <s v="n/a"/>
    <s v="n/a"/>
    <s v="Chinese language -- Particles -- Dictionaries -- Japanese ^ Chinese language -- Dictionaries -- Japanese ^ Chinese language ^ Chinese language -- Particles ^ Dictionaries"/>
    <n v="63.163371999999995"/>
    <s v="jpy"/>
    <n v="9286"/>
  </r>
  <r>
    <s v="8/6/2023"/>
    <s v="n"/>
    <s v="mikhail.skovoronskikh@colorado.edu"/>
    <s v="n"/>
    <s v="n"/>
    <s v="JPT"/>
    <m/>
    <s v="https://www.kosho.or.jp/products/detail.php?product_id=482301896"/>
    <x v="1"/>
    <s v="6"/>
    <m/>
    <m/>
    <s v="7"/>
    <s v="n"/>
    <s v="n"/>
    <s v="n"/>
    <m/>
    <s v="n/a"/>
    <s v="n/a"/>
    <n v="35956063"/>
    <s v="Japanese"/>
    <s v="Collection of Chinese Language Dictionaries"/>
    <s v="Kango bunten sōsho"/>
    <s v="漢語文典叢書: 訓譯示蒙・助字考・助辭譯通・詩語解・文語解・詩家推敲・助字詳解"/>
    <x v="15"/>
    <s v="Shōwa 54-"/>
    <s v="Yoshikawa, Kōjirō ^ Kojima, Noriyuki ^ Togawa, Yoshirō"/>
    <s v="吉川幸次郎 ^ 小島憲之 ^ 戶川芳郎"/>
    <s v="n/a"/>
    <s v="n/a"/>
    <x v="11"/>
    <x v="11"/>
    <s v="n/a"/>
    <s v="n/a"/>
    <s v="Chinese language -- Particles -- Dictionaries -- Japanese ^ Chinese language -- Dictionaries -- Japanese ^ Chinese language ^ Chinese language -- Particles ^ Dictionaries"/>
    <n v="63.163371999999995"/>
    <s v="jpy"/>
    <n v="9286"/>
  </r>
  <r>
    <s v="8/6/2023"/>
    <s v="n"/>
    <s v="mikhail.skovoronskikh@colorado.edu"/>
    <s v="n"/>
    <s v="n"/>
    <s v="JPT"/>
    <m/>
    <s v="https://www.kosho.or.jp/products/detail.php?product_id=482301896"/>
    <x v="1"/>
    <s v="7 別"/>
    <m/>
    <m/>
    <s v="7"/>
    <s v="n"/>
    <s v="n"/>
    <s v="n"/>
    <m/>
    <s v="n/a"/>
    <s v="n/a"/>
    <n v="35956063"/>
    <s v="Japanese"/>
    <s v="Collection of Chinese Language Dictionaries"/>
    <s v="Kango bunten sōsho"/>
    <s v="漢語文典叢書: 訓譯示蒙・助字考・助辭譯通・詩語解・文語解・詩家推敲・助字詳解"/>
    <x v="15"/>
    <s v="Shōwa 54-"/>
    <s v="Yoshikawa, Kōjirō ^ Kojima, Noriyuki ^ Togawa, Yoshirō"/>
    <s v="吉川幸次郎 ^ 小島憲之 ^ 戶川芳郎"/>
    <s v="n/a"/>
    <s v="n/a"/>
    <x v="11"/>
    <x v="11"/>
    <s v="n/a"/>
    <s v="n/a"/>
    <s v="Chinese language -- Particles -- Dictionaries -- Japanese ^ Chinese language -- Dictionaries -- Japanese ^ Chinese language ^ Chinese language -- Particles ^ Dictionaries"/>
    <n v="63.163371999999995"/>
    <s v="jpy"/>
    <n v="9286"/>
  </r>
  <r>
    <s v="8/6/2023"/>
    <s v="n"/>
    <s v="mikhail.skovoronskikh@colorado.edu"/>
    <s v="n"/>
    <s v="n"/>
    <s v="JPT"/>
    <m/>
    <s v="https://www.amazon.co.jp/dp/4469012629"/>
    <x v="2"/>
    <s v="n/a"/>
    <m/>
    <m/>
    <s v="n/a"/>
    <s v="n"/>
    <s v="n"/>
    <s v="n"/>
    <m/>
    <n v="9784469012620"/>
    <s v="4469012629"/>
    <n v="42809468"/>
    <s v="Japanese"/>
    <s v="Catalog Studies: Classification of Chinese Literature - ChatGPT translation"/>
    <s v="Nihon kanpō tenseki jiten"/>
    <s v="日本漢方典籍辞典"/>
    <x v="16"/>
    <s v="Heisei 11"/>
    <s v="Kosoto, Hiroshi"/>
    <s v="小曽戶洋"/>
    <s v="n/a"/>
    <s v="n/a"/>
    <x v="16"/>
    <x v="15"/>
    <s v="Shohan"/>
    <s v="初版"/>
    <s v="Medicine, Chinese -- Japan -- Bibliography ^ Materia medica -- Japan -- Bibliography ^ Medicine, Chinese ^ Medicine, Chinese Traditional -- history ^ Medicine, Chinese Traditional ^ Materia medica ^ Medicine, Chinese ^ Toyo igaku -- Shoshi ^ Tōyō igaku-Shoshi ^ Biobibliography ^ Bibliographies ^ Japan ^ Japan"/>
    <n v="44.8932"/>
    <s v="jpy"/>
    <n v="6600"/>
  </r>
  <r>
    <s v="8/6/2023"/>
    <s v="n"/>
    <s v="mikhail.skovoronskikh@colorado.edu"/>
    <s v="n"/>
    <s v="n"/>
    <s v="JPT"/>
    <m/>
    <s v="https://www.kosho.or.jp/products/detail.php?product_id=283614932"/>
    <x v="1"/>
    <s v="11"/>
    <m/>
    <m/>
    <s v="n/a"/>
    <s v="n"/>
    <s v="n"/>
    <s v="n"/>
    <m/>
    <n v="9784948755581"/>
    <s v="4948755583"/>
    <n v="45101179"/>
    <s v="Japanese"/>
    <s v="Early Modern Literature and Japanese-Style Reference Books"/>
    <s v="Kinsei bungaku to wasei ruisho"/>
    <s v="近世文学と和製類書"/>
    <x v="16"/>
    <s v="Heisei 11"/>
    <s v="Kamiya, Katsuhiro"/>
    <s v="神谷勝広"/>
    <s v="Kinsei bungaku kenkyū sōsho ; 11"/>
    <s v="近世文学研究叢書 ; 11. 近世文学研究叢書 ; 11"/>
    <x v="17"/>
    <x v="16"/>
    <s v="n/a"/>
    <s v="n/a"/>
    <s v="Japanese literature -- 1600-1868 -- History and criticism ^ Japanese literature -- Chinese influences ^ Chinese literature -- Adaptations ^ Chinese literature ^ Japanese literature ^ Japanese literature -- Chinese influences ^ Nihon bungaku-Rekishi-Edo jidai ^ Ruisho ^ Adaptations ^ Criticism, interpretation, etc ^ 1600-1868"/>
    <n v="43.39676"/>
    <s v="jpy"/>
    <n v="6380"/>
  </r>
  <r>
    <s v="8/6/2023"/>
    <s v="n"/>
    <s v="mikhail.skovoronskikh@colorado.edu"/>
    <s v="n"/>
    <s v="n"/>
    <s v="JPT"/>
    <s v="Can't find place ot purchase"/>
    <s v="https://www.amazon.co.jp/dp/4876362017"/>
    <x v="1"/>
    <s v="83"/>
    <m/>
    <m/>
    <s v="n/a"/>
    <s v="n"/>
    <s v="n"/>
    <s v="n"/>
    <m/>
    <n v="9784876362011"/>
    <s v="4876362017"/>
    <n v="49256197"/>
    <s v="Japanese"/>
    <s v="Spring and Autumn Studies: Gongyang Commentary and Guliang Commentary"/>
    <s v="Shunjūgaku: Kuyō den to Kokuryō den"/>
    <s v="春秋学: 公羊伝と榖梁伝"/>
    <x v="17"/>
    <s v="Heisei 13"/>
    <s v="Noma, Fumichika"/>
    <s v="野間文史"/>
    <s v="Kenbun sensho ; 83"/>
    <s v="研文選書 ; 83"/>
    <x v="18"/>
    <x v="17"/>
    <s v="n/a"/>
    <s v="n/a"/>
    <s v="Shunjū ^ Shunjū kuyōden ^ Shunjū kokuryōden ^ Confucius. Chun qiu ^ Gongyang, Gao. Gongyang zhuan ^ Guliang, Chi. Guliang zhuan ^ Chun qiu (Confucius) ^ Gongyang zhuan (Gongyang, Gao) ^ Guliang zhuan (Guliang, Chi)"/>
    <n v="0"/>
    <s v="jpy"/>
    <m/>
  </r>
  <r>
    <s v="8/6/2023"/>
    <s v="n"/>
    <s v="mikhail.skovoronskikh@colorado.edu"/>
    <s v="n"/>
    <s v="n"/>
    <s v="JPT"/>
    <m/>
    <s v="https://www.amazon.co.jp/dp/4760122001"/>
    <x v="1"/>
    <s v="n/a"/>
    <m/>
    <m/>
    <s v="n/a"/>
    <s v="n"/>
    <s v="n"/>
    <s v="n"/>
    <m/>
    <n v="9784760122004"/>
    <s v="4760122001"/>
    <n v="51015331"/>
    <s v="Japanese"/>
    <s v="Review of Basics of Old Document Reading: Examples and Vocabulary"/>
    <s v="Osarai komonjo no kiso: bunrei to goi"/>
    <s v="おさらい古文書の基礎: 文例と語彙"/>
    <x v="18"/>
    <s v="Heisei 14"/>
    <s v="Hayashi, Hideo"/>
    <s v="林英夫"/>
    <s v="Shirīzu Nihonjin no tenarai"/>
    <s v="シリーズ日本人の手習い"/>
    <x v="15"/>
    <x v="14"/>
    <s v="n/a"/>
    <s v="n/a"/>
    <s v="Paleography, Japanese -- Handbooks, manuals, etc ^ Japanese language -- Cursive writing -- Handbooks, manuals, etc ^ Chinese language -- Cursive writing -- Handbooks, manuals, etc ^ Komonjogaku ^ Chinese language -- Cursive writing ^ Japanese language -- Cursive writing ^ Paleography, Japanese ^ Handbooks and manuals ^ Handbooks and manuals"/>
    <n v="17.957280000000001"/>
    <s v="jpy"/>
    <n v="2640"/>
  </r>
  <r>
    <s v="8/6/2023"/>
    <s v="n"/>
    <s v="mikhail.skovoronskikh@colorado.edu"/>
    <s v="n"/>
    <s v="n"/>
    <s v="JPT"/>
    <m/>
    <s v="https://jptbooknews.jptco.co.jp/product/JPTB0311-0084"/>
    <x v="2"/>
    <s v="n/a"/>
    <m/>
    <m/>
    <s v="n/a"/>
    <s v="n"/>
    <s v="n"/>
    <s v="n"/>
    <m/>
    <n v="9784335250583"/>
    <s v="4335250584"/>
    <n v="54615330"/>
    <s v="Japanese"/>
    <s v="Encyclopedia of Japanese Historical Documents"/>
    <s v="Nihon shi bunken jiten"/>
    <s v="日本史文献事典"/>
    <x v="19"/>
    <s v="Heisei 15"/>
    <s v="Kuroda, Hideo"/>
    <s v="黒田日出男"/>
    <s v="n/a"/>
    <s v="n/a"/>
    <x v="19"/>
    <x v="18"/>
    <s v="Shohan"/>
    <s v="初版"/>
    <s v="Tosho kaidai ^ Nihon-Rekishi-Shoshi ^ Tosho kaidai ^ Bibliographies ^ History ^ Japan -- History -- Bibliography ^ Japan ^ Nihon -- Rekishi -- Shoshi"/>
    <n v="156.446"/>
    <s v="jpy"/>
    <n v="23000"/>
  </r>
  <r>
    <s v="8/6/2023"/>
    <s v="n"/>
    <s v="mikhail.skovoronskikh@colorado.edu"/>
    <s v="n"/>
    <s v="n"/>
    <s v="JPT"/>
    <m/>
    <s v="https://www.amazon.co.jp/dp/4003810910"/>
    <x v="4"/>
    <s v="38 (109) (1)"/>
    <m/>
    <m/>
    <s v="n/a"/>
    <s v="n"/>
    <s v="https://libcat.colorado.edu/Record/b2585912"/>
    <s v="n"/>
    <m/>
    <n v="9784003810910"/>
    <s v="4003810910"/>
    <n v="61760837"/>
    <s v="Japanese"/>
    <s v="Overview of Tang Poetry"/>
    <s v="Tōshi gaisetsu"/>
    <s v="唐詩槪說"/>
    <x v="20"/>
    <s v="Heisei 17"/>
    <s v="Ogawa, Tamaki"/>
    <s v="小川環樹"/>
    <s v="Iwanami bunko ; 38 (109) (1)"/>
    <s v="岩波文庫 ; 38-109-1"/>
    <x v="12"/>
    <x v="12"/>
    <s v="n/a"/>
    <s v="n/a"/>
    <s v="Kanshi"/>
    <n v="7.1080899999999998"/>
    <s v="jpy"/>
    <n v="1045"/>
  </r>
  <r>
    <s v="8/6/2023"/>
    <s v="n"/>
    <s v="mikhail.skovoronskikh@colorado.edu"/>
    <s v="n"/>
    <s v="n"/>
    <s v="JPT"/>
    <m/>
    <s v="https://jptbooknews.jptco.co.jp/product/JPTB0608-0024"/>
    <x v="1"/>
    <s v="n/a"/>
    <m/>
    <m/>
    <s v="n/a"/>
    <s v="n"/>
    <s v="n"/>
    <s v="n"/>
    <m/>
    <n v="9784762911675"/>
    <s v="4762911674"/>
    <n v="70234530"/>
    <s v="Japanese"/>
    <s v="Catalog of Han Editions of Japanese Classical Texts"/>
    <s v="Wakokubon kanseki bunrui mokuroku"/>
    <s v="和刻本漢籍分類目錄"/>
    <x v="21"/>
    <s v="Heisei 18"/>
    <s v="Nagasawa, Kikuya ^ Nagasawa, Kōzō"/>
    <s v="長澤規矩也 ^ 長沢孝三"/>
    <s v="n/a"/>
    <s v="n/a"/>
    <x v="11"/>
    <x v="11"/>
    <s v="Zōho hoseiban"/>
    <s v="増補補正版"/>
    <s v="Chinese imprints -- Japan -- Catalogs ^ Imprimés chinois -- Catalogues -- Japon ^ Chinese imprints ^ Catalogs ^ Japan -- Imprints -- Catalogs ^ Japan"/>
    <n v="68.02"/>
    <s v="jpy"/>
    <n v="10000"/>
  </r>
  <r>
    <s v="8/6/2023"/>
    <s v="n"/>
    <s v="mikhail.skovoronskikh@colorado.edu"/>
    <s v="n"/>
    <s v="n"/>
    <s v="JPT"/>
    <m/>
    <s v="https://jptbooknews.jptco.co.jp/product?q=9784816920608"/>
    <x v="2"/>
    <s v="n/a"/>
    <m/>
    <m/>
    <s v="2"/>
    <s v="n"/>
    <s v="n"/>
    <s v="n"/>
    <m/>
    <n v="9784816920608"/>
    <s v="4816920609"/>
    <n v="180913761"/>
    <s v="Japanese"/>
    <s v="Biographical Reference Encyclopedia: Ancient, Medieval, and Early Modern Figures, Volume II, 1996-2006"/>
    <s v="Kodai, chūsei, kinsei hen. II, 1996-2006"/>
    <s v="人物レファレンス事典. 古代・中世・近世編. II, 1996-2006"/>
    <x v="22"/>
    <s v="Heisei 19"/>
    <s v="Nichigai Asoshiētsu.; Henshūbu"/>
    <s v="日外アソシエーツ. 編集部"/>
    <s v="n/a"/>
    <s v="n/a"/>
    <x v="20"/>
    <x v="19"/>
    <s v="Shitei zōho"/>
    <s v="新訂増補"/>
    <s v="Biography ^ Dictionaries ^ Biographies ^ Indexes ^ Indexes ^ Japan -- Biography -- Indexes ^ Japan -- Biography -- Dictionaries -- Japanese ^ Japan"/>
    <n v="544.16"/>
    <s v="jpy"/>
    <n v="80000"/>
  </r>
  <r>
    <s v="8/6/2023"/>
    <s v="n"/>
    <s v="mikhail.skovoronskikh@colorado.edu"/>
    <s v="n"/>
    <s v="n"/>
    <s v="JPT"/>
    <m/>
    <s v="https://www.amazon.co.jp/dp/4140012994"/>
    <x v="1"/>
    <s v="299"/>
    <m/>
    <m/>
    <s v="n/a"/>
    <s v="n"/>
    <s v="n"/>
    <s v="n"/>
    <m/>
    <n v="9784140012994"/>
    <s v="4140012994"/>
    <n v="222528028"/>
    <s v="Japanese"/>
    <s v="Bookstores of Edo - ChatGPT translation"/>
    <s v="Edo no hon'ya san"/>
    <s v="江戶の本屋さん"/>
    <x v="23"/>
    <s v="n/a"/>
    <s v="Imada, Yōzō"/>
    <s v="今田洋三"/>
    <s v="NHK bukkusu ; 299"/>
    <s v="NHKブックス ; 299"/>
    <x v="21"/>
    <x v="20"/>
    <s v="n/a"/>
    <s v="n/a"/>
    <s v="Publishers and publishing -- Japan -- History ^ Book industries and trade -- Japan -- History ^ Book industries and trade ^ Publishers and publishing ^ History ^ Japan"/>
    <n v="17.698803999999999"/>
    <s v="jpy"/>
    <n v="2602"/>
  </r>
  <r>
    <s v="8/6/2023"/>
    <s v="n"/>
    <s v="mikhail.skovoronskikh@colorado.edu"/>
    <s v="n"/>
    <s v="n"/>
    <s v="JPT"/>
    <m/>
    <s v="https://www.amazon.co.jp/dp/4585200010"/>
    <x v="1"/>
    <s v="n/a"/>
    <m/>
    <m/>
    <s v="n/a"/>
    <s v="n"/>
    <s v="n"/>
    <s v="n"/>
    <m/>
    <n v="9784585200017"/>
    <s v="4585200010"/>
    <n v="606740265"/>
    <s v="Japanese"/>
    <s v="Introduction to Bibliography: Observing, Knowing, and Reading Classical Texts"/>
    <s v="Shoshigaku nyūmon: kotenseki o miru, shiru, yomu"/>
    <s v="書誌学入門: 古典籍を見る・知る・読む"/>
    <x v="24"/>
    <s v="Heisei 22"/>
    <s v="Horikawa, Takashi"/>
    <s v="堀川貴司"/>
    <s v="n/a"/>
    <s v="n/a"/>
    <x v="22"/>
    <x v="21"/>
    <s v="Shohan"/>
    <s v="初版"/>
    <s v="Rare books -- Expertising -- Japan ^ Early printed books -- Japan ^ Manuscripts, Japanese ^ Bibliography -- Japan ^ Bibliography -- Methodology ^ Livres anciens -- Japon ^ Bibliographie -- Japon ^ Bibliographie -- Méthodologie ^ Bibliography ^ Bibliography -- Methodology ^ Early printed books ^ Manuscripts, Japanese ^ Rare books -- Expertising ^ Japanisch ^ Literatur ^ Shoshigaku ^ Bibliographie ^ Geschichte ^ Japan"/>
    <n v="13.46796"/>
    <s v="jpy"/>
    <n v="1980"/>
  </r>
  <r>
    <s v="8/6/2023"/>
    <s v="n"/>
    <s v="mikhail.skovoronskikh@colorado.edu"/>
    <s v="n"/>
    <s v="n"/>
    <s v="JPT"/>
    <m/>
    <s v="https://www.kosho.or.jp/products/detail.php?product_id=482297860"/>
    <x v="1"/>
    <s v="59"/>
    <m/>
    <m/>
    <s v="n/a"/>
    <s v="n/a"/>
    <s v="n/a"/>
    <s v="n"/>
    <m/>
    <s v="n/a"/>
    <s v="n/a"/>
    <n v="673066594"/>
    <s v="Japanese"/>
    <s v="Compendium of Proverbs and Sayings"/>
    <s v="Rigen taisei"/>
    <s v="俚諺大成"/>
    <x v="23"/>
    <s v="1989"/>
    <s v="Katō, Sadahiko ^ Tonomura, Nobuko"/>
    <s v="加藤定彦"/>
    <s v="Nihon Shoshigaku Taikei ; 59"/>
    <s v="日本書誌学大系 ; 59"/>
    <x v="23"/>
    <x v="22"/>
    <s v="n/a"/>
    <s v="n/a"/>
    <s v="Kotowaza"/>
    <n v="61.217999999999996"/>
    <s v="jpy"/>
    <n v="9000"/>
  </r>
  <r>
    <s v="8/6/2023"/>
    <s v="n"/>
    <s v="mikhail.skovoronskikh@colorado.edu"/>
    <s v="n"/>
    <s v="n"/>
    <s v="JPT"/>
    <m/>
    <s v="https://www.amazon.co.jp/dp/4895511324"/>
    <x v="2"/>
    <s v="n/a"/>
    <m/>
    <m/>
    <s v="3"/>
    <s v="n"/>
    <s v="n"/>
    <s v="n"/>
    <m/>
    <n v="9784895511322"/>
    <s v="4895511324"/>
    <n v="673112189"/>
    <s v="Japanese"/>
    <s v="Great Dictionary of Buddhist Terms"/>
    <s v="Bukkyō daijiten"/>
    <s v="仏教大辞典"/>
    <x v="25"/>
    <s v="Shōwa 56"/>
    <s v="Oda, Tokunō"/>
    <s v="織田得能"/>
    <s v="n/a"/>
    <s v="n/a"/>
    <x v="24"/>
    <x v="23"/>
    <s v="n/a"/>
    <s v="普及版"/>
    <s v="Bukkyō -- Jisho ^ Bukkyō -- jisho"/>
    <n v="102.03"/>
    <s v="jpy"/>
    <n v="15000"/>
  </r>
  <r>
    <s v="8/6/2023"/>
    <s v="n"/>
    <s v="mikhail.skovoronskikh@colorado.edu"/>
    <s v="n"/>
    <s v="n"/>
    <s v="JPT"/>
    <m/>
    <s v="https://www.kosho.or.jp/products/detail.php?product_id=101958072"/>
    <x v="2"/>
    <s v="n/a"/>
    <m/>
    <m/>
    <s v="n/a"/>
    <s v="n/a"/>
    <s v="n"/>
    <s v="n"/>
    <m/>
    <s v="n/a"/>
    <s v="n/a"/>
    <n v="673962211"/>
    <s v="Japanese"/>
    <s v="Comprehensive Dictionary of Chinese Studies and Arts"/>
    <s v="Chūgoku gakugei daijiten"/>
    <s v="中国学芸大辞典"/>
    <x v="26"/>
    <s v="Shōwa 44"/>
    <s v="Kondō, Moku ^ Kondō, Haruo"/>
    <s v="近藤杢 ^ 近藤春雄"/>
    <s v="n/a"/>
    <s v="n/a"/>
    <x v="25"/>
    <x v="24"/>
    <s v="n/a"/>
    <s v="第9版近藤春雄改訂"/>
    <s v="Shinagaku -- Jisho ^ Dictionaries ^ China -- Dictionaries ^ China"/>
    <n v="17.277079999999998"/>
    <s v="jpy"/>
    <n v="2540"/>
  </r>
  <r>
    <s v="8/6/2023"/>
    <s v="n"/>
    <s v="mikhail.skovoronskikh@colorado.edu"/>
    <s v="n"/>
    <s v="n"/>
    <s v="JPT"/>
    <m/>
    <s v="https://www.amazon.co.jp/dp/4876360103"/>
    <x v="2"/>
    <s v="n/a"/>
    <m/>
    <m/>
    <s v="n/a"/>
    <s v="n"/>
    <s v="n"/>
    <s v="n"/>
    <m/>
    <n v="9784876360109"/>
    <s v="4876360103"/>
    <n v="674076997"/>
    <s v="Japanese"/>
    <s v="Kanji Dictionary for Reading Chinese Texts"/>
    <s v="Shinabun o yomu tameno kanjiten"/>
    <s v="支那文を読む為の漢字典"/>
    <x v="27"/>
    <s v="Shōwa 62"/>
    <s v="Riku, Jikei ^ Hō, Ki ^ Tanaka, Keitarō"/>
    <s v="陸爾奎 方毅 田中慶太郎"/>
    <s v="n/a"/>
    <s v="n/a"/>
    <x v="24"/>
    <x v="25"/>
    <s v="n/a"/>
    <s v="9版"/>
    <s v="n/a"/>
    <n v="22.4466"/>
    <s v="jpy"/>
    <n v="3300"/>
  </r>
  <r>
    <s v="8/6/2023"/>
    <s v="n"/>
    <s v="mikhail.skovoronskikh@colorado.edu"/>
    <s v="n"/>
    <s v="n"/>
    <s v="JPT"/>
    <m/>
    <s v="https://www.kosho.or.jp/products/detail.php?product_id=472223566"/>
    <x v="2"/>
    <s v="n/a"/>
    <m/>
    <m/>
    <s v="n/a"/>
    <s v="n"/>
    <s v="n"/>
    <s v="n"/>
    <m/>
    <n v="9784639000914"/>
    <s v="463900091X"/>
    <n v="674404822"/>
    <s v="Japanese"/>
    <s v="Original Texts of Japanese Calendar Dates"/>
    <s v="Nihon rekijitsu genten"/>
    <s v="日本暦日原典"/>
    <x v="12"/>
    <s v="Heisei 4"/>
    <s v="Uchida, Masao"/>
    <s v="内田正男"/>
    <s v="n/a"/>
    <s v="n/a"/>
    <x v="26"/>
    <x v="26"/>
    <s v="n/a"/>
    <s v="第4版"/>
    <s v="Koyomi ^ nihon shoki"/>
    <n v="44.8932"/>
    <s v="jpy"/>
    <n v="6600"/>
  </r>
  <r>
    <s v="8/6/2023"/>
    <s v="n"/>
    <s v="mikhail.skovoronskikh@colorado.edu"/>
    <s v="n"/>
    <s v="n"/>
    <s v="JPT"/>
    <m/>
    <s v="https://www.amazon.co.jp/dp/4831310301"/>
    <x v="1"/>
    <s v="n/a"/>
    <m/>
    <m/>
    <s v="n/a"/>
    <s v="n"/>
    <s v="n"/>
    <s v="n"/>
    <m/>
    <n v="9784831310309"/>
    <s v="4831310301"/>
    <n v="674877246"/>
    <s v="Japanese"/>
    <s v="Chronology of the East"/>
    <s v="Tōhō nenpyō"/>
    <s v="東方年表"/>
    <x v="28"/>
    <s v="Heisei 8"/>
    <s v="Fujishima, Tatsurō ^ Nogami, Shunjō"/>
    <s v="藤島達朗 ^ 野上俊静"/>
    <s v="n/a"/>
    <s v="n/a"/>
    <x v="27"/>
    <x v="27"/>
    <s v="n/a"/>
    <s v="大字版"/>
    <s v="Nengō ^ Chūgoku -- Rekishi ^ Nihon -- Rekishi ^ Chōsen -- Rekishi ^ Toyoshi -- ^ Nengo ^ Chugoku -- Rekishi ^ Nihon -- Rekishi ^ Chosen -- Rekishi"/>
    <n v="32.105440000000002"/>
    <s v="jpy"/>
    <n v="4720"/>
  </r>
  <r>
    <s v="8/6/2023"/>
    <s v="n"/>
    <s v="mikhail.skovoronskikh@colorado.edu"/>
    <s v="n"/>
    <s v="n"/>
    <s v="JPT"/>
    <m/>
    <s v="https://www.amazon.co.jp/dp/4892810533"/>
    <x v="1"/>
    <s v="n/a"/>
    <m/>
    <m/>
    <s v="n/a"/>
    <s v="n"/>
    <s v="n"/>
    <s v="n"/>
    <m/>
    <n v="9784892810534"/>
    <s v="4892810533"/>
    <n v="674898368"/>
    <s v="Japanese"/>
    <s v="Essential Grammar of Classical Chinese"/>
    <s v="Kanbunpō yōsetsu"/>
    <s v="漢文法要說"/>
    <x v="29"/>
    <s v="Heisei 9"/>
    <s v="Nishida, Taichirō"/>
    <s v="西田太一郎"/>
    <s v="n/a"/>
    <s v="n/a"/>
    <x v="28"/>
    <x v="28"/>
    <s v="n/a"/>
    <s v="n/a"/>
    <s v="Chūgokugo -- Bunpō ^ Kanbun"/>
    <n v="8.1623999999999999"/>
    <s v="jpy"/>
    <n v="1200"/>
  </r>
  <r>
    <s v="8/6/2023"/>
    <s v="n"/>
    <s v="mikhail.skovoronskikh@colorado.edu"/>
    <s v="n"/>
    <s v="n"/>
    <s v="JPT"/>
    <m/>
    <s v="https://www.amazon.co.jp/dp/4762911291"/>
    <x v="2"/>
    <s v="n/a"/>
    <m/>
    <m/>
    <s v="n/a"/>
    <s v="n"/>
    <s v="n"/>
    <s v="n"/>
    <m/>
    <n v="9784762911293"/>
    <s v="4762911291"/>
    <n v="675252217"/>
    <s v="Japanese"/>
    <s v="Dictionary of Library Science - ChatGPT translation"/>
    <s v="Toshogaku jiten"/>
    <s v="図書学辞典"/>
    <x v="30"/>
    <s v="Heisei 7"/>
    <s v="Nagasawa, Kikuya"/>
    <s v="長沢規矩也"/>
    <s v="n/a"/>
    <s v="n/a"/>
    <x v="24"/>
    <x v="29"/>
    <s v="n/a"/>
    <s v="n/a"/>
    <s v="Shoshigaku -- Jisho"/>
    <n v="11.2233"/>
    <s v="jpy"/>
    <n v="1650"/>
  </r>
  <r>
    <s v="8/6/2023"/>
    <s v="n"/>
    <s v="mikhail.skovoronskikh@colorado.edu"/>
    <s v="n"/>
    <s v="n"/>
    <s v="JPT"/>
    <m/>
    <s v="https://www.amazon.co.jp/dp/4062583801"/>
    <x v="1"/>
    <s v="380"/>
    <m/>
    <m/>
    <s v="n/a"/>
    <s v="n"/>
    <s v="n"/>
    <s v="n"/>
    <m/>
    <n v="9784062583800"/>
    <s v="4062583801"/>
    <n v="675309786"/>
    <s v="Japanese"/>
    <s v="Great Edo Investigation Network"/>
    <s v="Ooedo chōsamō"/>
    <s v="大江戶調查網"/>
    <x v="22"/>
    <s v="Heisei 19"/>
    <s v="Kurihara, Tomohisa"/>
    <s v="栗原智久"/>
    <s v="Kōdansha Sensho Mechie ; 380"/>
    <s v="講談社選書メチエ ; 380"/>
    <x v="8"/>
    <x v="8"/>
    <s v="n/a"/>
    <s v="n/a"/>
    <s v="Nihon -- Shakai -- Rekishi -- Edojidai ^ edo"/>
    <n v="6.1217999999999995"/>
    <s v="jpy"/>
    <n v="900"/>
  </r>
  <r>
    <s v="8/6/2023"/>
    <s v="n"/>
    <s v="mikhail.skovoronskikh@colorado.edu"/>
    <s v="n"/>
    <s v="n"/>
    <s v="JPT"/>
    <m/>
    <s v="https://www.kosho.or.jp/products/detail.php?product_id=440272879"/>
    <x v="2"/>
    <s v="n/a"/>
    <m/>
    <m/>
    <s v="n/a"/>
    <s v="n"/>
    <s v="n"/>
    <s v="n"/>
    <m/>
    <n v="9784760106141"/>
    <s v="4760106146"/>
    <n v="675340972"/>
    <s v="Japanese"/>
    <s v="Dictionary of Loanwords Written in Japanese Characters - ChatGPT translation"/>
    <s v="Ateji gairaigo jiten"/>
    <s v="宛字外来語辞典"/>
    <x v="29"/>
    <s v="Heisei 9"/>
    <s v="n/a"/>
    <s v="n/a"/>
    <s v="n/a"/>
    <s v="n/a"/>
    <x v="15"/>
    <x v="14"/>
    <s v="n/a"/>
    <s v="新装版"/>
    <s v="Nihongo -- Gairaigo -- Jisho"/>
    <n v="14.964399999999999"/>
    <s v="jpy"/>
    <n v="2200"/>
  </r>
  <r>
    <s v="8/6/2023"/>
    <s v="n"/>
    <s v="mikhail.skovoronskikh@colorado.edu"/>
    <s v="n"/>
    <s v="n"/>
    <s v="JPT"/>
    <s v="Available on Kodansha website digitially. In the URL link, there is a &quot;like brand new version for about 8,000 yen"/>
    <s v="https://www.amazon.co.jp/%E5%A4%A7%E6%97%A5%E6%9C%AC%E4%BA%BA%E5%90%8D%E8%BE%9E%E6%9B%B8-1980%E5%B9%B4-%E8%AC%9B%E8%AB%87%E7%A4%BE%E5%AD%A6%E8%A1%93%E6%96%87%E5%BA%AB/dp/B000J868G8"/>
    <x v="2"/>
    <s v="1"/>
    <m/>
    <m/>
    <s v="5"/>
    <s v="n/a"/>
    <s v="n"/>
    <s v="n"/>
    <m/>
    <s v="n/a"/>
    <s v="4061585045"/>
    <n v="703920376"/>
    <s v="Japanese"/>
    <s v="Comprehensive Dictionary of Great Japanese Personages"/>
    <s v="Dainihon jinmei jisho"/>
    <s v="大日本人名辞書"/>
    <x v="31"/>
    <s v="Shōwa 55"/>
    <s v="n/a"/>
    <s v="n/a"/>
    <s v="n/a"/>
    <s v="n/a"/>
    <x v="8"/>
    <x v="8"/>
    <s v="n/a"/>
    <s v="n/a"/>
    <s v="Nihon -- Jinmeijiten ^ Nihon -- denki -- jisho"/>
    <n v="13.603999999999999"/>
    <s v="jpy"/>
    <n v="2000"/>
  </r>
  <r>
    <s v="8/6/2023"/>
    <s v="n"/>
    <s v="mikhail.skovoronskikh@colorado.edu"/>
    <s v="n"/>
    <s v="n"/>
    <s v="JPT"/>
    <s v="see above"/>
    <s v="https://www.amazon.co.jp/%E5%A4%A7%E6%97%A5%E6%9C%AC%E4%BA%BA%E5%90%8D%E8%BE%9E%E6%9B%B8-1980%E5%B9%B4-%E8%AC%9B%E8%AB%87%E7%A4%BE%E5%AD%A6%E8%A1%93%E6%96%87%E5%BA%AB/dp/B000J868G8"/>
    <x v="2"/>
    <s v="2"/>
    <m/>
    <m/>
    <s v="5"/>
    <s v="n"/>
    <s v="n"/>
    <s v="n"/>
    <m/>
    <s v="n/a"/>
    <s v="4061585053"/>
    <n v="703920376"/>
    <s v="Japanese"/>
    <s v="Comprehensive Dictionary of Great Japanese Personages"/>
    <s v="Dainihon jinmei jisho"/>
    <s v="大日本人名辞書"/>
    <x v="31"/>
    <s v="Shōwa 55"/>
    <s v="n/a"/>
    <s v="n/a"/>
    <s v="n/a"/>
    <s v="n/a"/>
    <x v="8"/>
    <x v="8"/>
    <s v="n/a"/>
    <s v="n/a"/>
    <s v="Nihon -- Jinmeijiten ^ Nihon -- denki -- jisho"/>
    <n v="13.603999999999999"/>
    <s v="jpy"/>
    <n v="2000"/>
  </r>
  <r>
    <s v="8/6/2023"/>
    <s v="n"/>
    <s v="mikhail.skovoronskikh@colorado.edu"/>
    <s v="n"/>
    <s v="n"/>
    <s v="JPT"/>
    <s v="see above"/>
    <s v="https://www.amazon.co.jp/%E5%A4%A7%E6%97%A5%E6%9C%AC%E4%BA%BA%E5%90%8D%E8%BE%9E%E6%9B%B8-1980%E5%B9%B4-%E8%AC%9B%E8%AB%87%E7%A4%BE%E5%AD%A6%E8%A1%93%E6%96%87%E5%BA%AB/dp/B000J868G8"/>
    <x v="2"/>
    <s v="3"/>
    <m/>
    <m/>
    <s v="5"/>
    <s v="n/a"/>
    <s v="n"/>
    <s v="n"/>
    <m/>
    <s v="n/a"/>
    <s v="n/a"/>
    <n v="703920376"/>
    <s v="Japanese"/>
    <s v="Comprehensive Dictionary of Great Japanese Personages"/>
    <s v="Dainihon jinmei jisho"/>
    <s v="大日本人名辞書"/>
    <x v="31"/>
    <s v="Shōwa 55"/>
    <s v="n/a"/>
    <s v="n/a"/>
    <s v="n/a"/>
    <s v="n/a"/>
    <x v="8"/>
    <x v="8"/>
    <s v="n/a"/>
    <s v="n/a"/>
    <s v="Nihon -- Jinmeijiten ^ Nihon -- denki -- jisho"/>
    <n v="13.603999999999999"/>
    <s v="jpy"/>
    <n v="2000"/>
  </r>
  <r>
    <s v="8/6/2023"/>
    <s v="n"/>
    <s v="mikhail.skovoronskikh@colorado.edu"/>
    <s v="n"/>
    <s v="n"/>
    <s v="JPT"/>
    <s v="see above"/>
    <s v="https://www.amazon.co.jp/%E5%A4%A7%E6%97%A5%E6%9C%AC%E4%BA%BA%E5%90%8D%E8%BE%9E%E6%9B%B8-1980%E5%B9%B4-%E8%AC%9B%E8%AB%87%E7%A4%BE%E5%AD%A6%E8%A1%93%E6%96%87%E5%BA%AB/dp/B000J868G8"/>
    <x v="2"/>
    <s v="4"/>
    <m/>
    <m/>
    <s v="5"/>
    <s v="n"/>
    <s v="n"/>
    <s v="n"/>
    <m/>
    <s v="n/a"/>
    <s v="406158507X"/>
    <n v="703920376"/>
    <s v="Japanese"/>
    <s v="Comprehensive Dictionary of Great Japanese Personages"/>
    <s v="Dainihon jinmei jisho"/>
    <s v="大日本人名辞書"/>
    <x v="31"/>
    <s v="Shōwa 55"/>
    <s v="n/a"/>
    <s v="n/a"/>
    <s v="n/a"/>
    <s v="n/a"/>
    <x v="8"/>
    <x v="8"/>
    <s v="n/a"/>
    <s v="n/a"/>
    <s v="Nihon -- Jinmeijiten ^ Nihon -- denki -- jisho"/>
    <n v="13.603999999999999"/>
    <s v="jpy"/>
    <n v="2000"/>
  </r>
  <r>
    <s v="8/6/2023"/>
    <s v="n"/>
    <s v="mikhail.skovoronskikh@colorado.edu"/>
    <s v="n"/>
    <s v="n"/>
    <s v="JPT"/>
    <s v="see above"/>
    <s v="https://www.amazon.co.jp/%E5%A4%A7%E6%97%A5%E6%9C%AC%E4%BA%BA%E5%90%8D%E8%BE%9E%E6%9B%B8-1980%E5%B9%B4-%E8%AC%9B%E8%AB%87%E7%A4%BE%E5%AD%A6%E8%A1%93%E6%96%87%E5%BA%AB/dp/B000J868G8"/>
    <x v="2"/>
    <s v="5"/>
    <m/>
    <m/>
    <s v="5"/>
    <s v="n/a"/>
    <s v="n"/>
    <s v="n"/>
    <m/>
    <s v="n/a"/>
    <s v="n/a"/>
    <n v="703920376"/>
    <s v="Japanese"/>
    <s v="Comprehensive Dictionary of Great Japanese Personages"/>
    <s v="Dainihon jinmei jisho"/>
    <s v="大日本人名辞書"/>
    <x v="31"/>
    <s v="Shōwa 55"/>
    <s v="n/a"/>
    <s v="n/a"/>
    <s v="n/a"/>
    <s v="n/a"/>
    <x v="8"/>
    <x v="8"/>
    <s v="n/a"/>
    <s v="n/a"/>
    <s v="Nihon -- Jinmeijiten ^ Nihon -- denki -- jisho"/>
    <n v="13.603999999999999"/>
    <s v="jpy"/>
    <n v="2000"/>
  </r>
  <r>
    <s v="8/6/2023"/>
    <s v="n"/>
    <s v="mikhail.skovoronskikh@colorado.edu"/>
    <s v="n"/>
    <s v="n"/>
    <s v="JPT"/>
    <m/>
    <s v="https://www.amazon.co.jp/dp/4625734002"/>
    <x v="1"/>
    <s v="n/a"/>
    <m/>
    <m/>
    <s v="n/a"/>
    <s v="n"/>
    <s v="n"/>
    <s v="n"/>
    <m/>
    <n v="9784625734007"/>
    <s v="4625734002"/>
    <n v="733228213"/>
    <s v="Japanese"/>
    <s v="Introduction to Reading Classical Chinese Texts"/>
    <s v="Kanbun kundoku nyūmon"/>
    <s v="漢文訓読入門"/>
    <x v="32"/>
    <s v="Heisei 23"/>
    <s v="Kotajima, Yōsuke ^ Yūki, Yoshinobu"/>
    <s v="古田島洋介 ^ 湯城吉信"/>
    <s v="n/a"/>
    <s v="n/a"/>
    <x v="29"/>
    <x v="30"/>
    <s v="Shohan"/>
    <s v="初版"/>
    <s v="Kunten ^ Kundoku ^ Kundoku"/>
    <n v="11.2233"/>
    <s v="jpy"/>
    <n v="1650"/>
  </r>
  <r>
    <s v="8/6/2023"/>
    <s v="n"/>
    <s v="mikhail.skovoronskikh@colorado.edu"/>
    <s v="n"/>
    <s v="n"/>
    <s v="JPT"/>
    <m/>
    <s v="https://www.amazon.co.jp/dp/4892811327"/>
    <x v="1"/>
    <s v="n/a"/>
    <m/>
    <m/>
    <s v="n/a"/>
    <s v="n"/>
    <s v="n"/>
    <s v="n"/>
    <m/>
    <n v="9784892811326"/>
    <s v="4892811327"/>
    <n v="836703907"/>
    <s v="Japanese"/>
    <s v="Historical Grammar of Chinese Language"/>
    <s v="Chūgokugo rekishi bunpō"/>
    <s v="中国語歴史文法"/>
    <x v="33"/>
    <s v="Heisei 25"/>
    <s v="Ōta, Tatsuo"/>
    <s v="太田辰夫"/>
    <s v="n/a"/>
    <s v="n/a"/>
    <x v="30"/>
    <x v="28"/>
    <s v="n/a"/>
    <s v="新装再版"/>
    <s v="Chūgokugo-Bunpō"/>
    <n v="26.935919999999999"/>
    <s v="jpy"/>
    <n v="3960"/>
  </r>
  <r>
    <s v="8/6/2023"/>
    <s v="n"/>
    <s v="mikhail.skovoronskikh@colorado.edu"/>
    <s v="n"/>
    <s v="n"/>
    <s v="JPT"/>
    <m/>
    <s v="https://www.amazon.com/dp/4582808379"/>
    <x v="1"/>
    <s v="837"/>
    <m/>
    <m/>
    <s v="n/a"/>
    <s v="n"/>
    <s v="n"/>
    <s v="n"/>
    <m/>
    <n v="9784582808377"/>
    <s v="4582808379"/>
    <n v="852779597"/>
    <s v="Japanese"/>
    <s v="Comprehensive Dictionary of Chinese Studies and Arts - ChatGPT translation"/>
    <s v="Mokurokugaku hatsubi: Chūgoku bunken bunruihō"/>
    <s v="目錄学発微: 中国文献分類法"/>
    <x v="33"/>
    <s v="Heisei 25"/>
    <s v="Yu, Jiaxi ^ Kogachi, Ryūichi ^ Kase, Tatsuo ^ Uchiyama, Naoki"/>
    <s v="余嘉錫 ^ 古勝隆一 ^ 嘉瀬達男 ^ 内山直樹"/>
    <s v="Tōyō bunko ; 837"/>
    <s v="東洋文庫 ; 837"/>
    <x v="31"/>
    <x v="31"/>
    <s v="Shohan"/>
    <s v="初版"/>
    <s v="Bibliography -- China -- History ^ Bibliography ^ Shoshigaku ^ History ^ China"/>
    <n v="44.71"/>
    <s v="usd"/>
    <n v="44.71"/>
  </r>
  <r>
    <s v="8/6/2023"/>
    <s v="n"/>
    <s v="mikhail.skovoronskikh@colorado.edu"/>
    <s v="n"/>
    <s v="n"/>
    <s v="JPT"/>
    <m/>
    <s v="https://www.amazon.co.jp/dp/449010796X"/>
    <x v="2"/>
    <s v="n/a"/>
    <m/>
    <m/>
    <s v="n/a"/>
    <s v="n"/>
    <s v="n"/>
    <s v="n"/>
    <m/>
    <n v="9784490107968"/>
    <s v="449010796X"/>
    <n v="859517496"/>
    <s v="Japanese"/>
    <s v="Encyclopedia of Japanese Intellectual History - ChatGPT translation"/>
    <s v="Nihon shisōshi jiten"/>
    <s v="日本思想史事典"/>
    <x v="33"/>
    <s v="Heisei 25"/>
    <s v="Ishida, Ichirō ^ Ishige, Tadashi"/>
    <s v="石田一良 ^ 石毛忠"/>
    <s v="n/a"/>
    <s v="n/a"/>
    <x v="32"/>
    <x v="32"/>
    <s v="Shohan"/>
    <s v="初版"/>
    <s v="Philosophy, Japanese -- History -- Encyclopedias ^ Philosophers -- Japan -- Encyclopedias ^ Nihon shisō-Rekishi-Benran ^ Intellectual life ^ Philosophers ^ Philosophy, Japanese ^ Nihon shisō-Rekishi-Benran ^ Encyclopedias ^ History ^ Japan -- Intellectual life -- Encyclopedias ^ Japan"/>
    <n v="42.648539999999997"/>
    <s v="jpy"/>
    <n v="6270"/>
  </r>
  <r>
    <s v="8/6/2023"/>
    <s v="n"/>
    <s v="mikhail.skovoronskikh@colorado.edu"/>
    <s v="n"/>
    <s v="n"/>
    <s v="JPT"/>
    <m/>
    <s v="https://www.amazon.co.jp/dp/4876363749"/>
    <x v="4"/>
    <s v="119"/>
    <m/>
    <m/>
    <s v="n/a"/>
    <s v="https://libcat.colorado.edu/Record/b12883773"/>
    <s v="https://libcat.colorado.edu/Record/b12883773"/>
    <s v="n"/>
    <m/>
    <n v="9784876363742"/>
    <s v="4876363749"/>
    <n v="880883968"/>
    <s v="Japanese"/>
    <s v="Introduction to Five Classics: World of Chinese Classics"/>
    <s v="Gokyo nyumon: Chugoku koten no sekai"/>
    <s v="五経入門: 中国古典の世界"/>
    <x v="34"/>
    <s v="Heisei 26"/>
    <s v="Noma, Fumichika"/>
    <s v="野間文史"/>
    <s v="Kenbun sensho ; 119"/>
    <s v="研文選書 ; 119"/>
    <x v="18"/>
    <x v="17"/>
    <s v="n/a"/>
    <s v="n/a"/>
    <s v="Keisho ^ Keisho"/>
    <n v="54.279959999999996"/>
    <s v="jpy"/>
    <n v="7980"/>
  </r>
  <r>
    <s v="8/6/2023"/>
    <s v="n"/>
    <s v="mikhail.skovoronskikh@colorado.edu"/>
    <s v="n"/>
    <s v="n"/>
    <s v="JPT"/>
    <m/>
    <s v="https://www.amazon.co.jp/dp/4757607318"/>
    <x v="2"/>
    <s v="n/a"/>
    <m/>
    <m/>
    <s v="n/a"/>
    <s v="n"/>
    <s v="n"/>
    <s v="n"/>
    <m/>
    <n v="9784757607316"/>
    <s v="4757607318"/>
    <n v="909237221"/>
    <s v="Japanese"/>
    <s v="Detailed Explanation of Classical Grammar"/>
    <s v="Jitsurei shōkai koten bunpō sōran"/>
    <s v="実例詳解古典文法総覧"/>
    <x v="35"/>
    <s v="Heisei 27"/>
    <s v="Oda, Masaru"/>
    <s v="小田勝"/>
    <s v="n/a"/>
    <s v="n/a"/>
    <x v="33"/>
    <x v="33"/>
    <s v="Shohan"/>
    <s v="初版"/>
    <s v="Japanese language -- Grammar, Classical ^ Japanese language -- Grammar, Classical ^ Nihongo-Bunpō ^ Grammatik ^ Klassisches Japanisch"/>
    <n v="59.857599999999998"/>
    <s v="jpy"/>
    <n v="8800"/>
  </r>
  <r>
    <s v="8/6/2023"/>
    <s v="n"/>
    <s v="mikhail.skovoronskikh@colorado.edu"/>
    <s v="n"/>
    <s v="n"/>
    <s v="JPT"/>
    <m/>
    <s v="https://www.amazon.co.jp/dp/4876363935"/>
    <x v="1"/>
    <s v="n/a"/>
    <m/>
    <m/>
    <s v="n/a"/>
    <s v="n"/>
    <s v="n"/>
    <s v="n"/>
    <m/>
    <n v="9784876363933"/>
    <s v="4876363935"/>
    <n v="910076968"/>
    <s v="Japanese"/>
    <s v="Dictionary of Chinese Poetry Sites: Song Pillow of Chinese Poetry"/>
    <s v="Chūgoku shiseki jiten: kanshi no utamakura"/>
    <s v="中国詩跡事典: 漢詩の歌枕"/>
    <x v="35"/>
    <s v="Heisei 27"/>
    <s v="Ueki, Hisayuki"/>
    <s v="植木久行"/>
    <s v="n/a"/>
    <s v="n/a"/>
    <x v="18"/>
    <x v="17"/>
    <s v="n/a"/>
    <s v="n/a"/>
    <s v="Kanshi-Jiten ^ Bungaku chiri-Chūgoku"/>
    <n v="59.857599999999998"/>
    <s v="jpy"/>
    <n v="8800"/>
  </r>
  <r>
    <s v="8/6/2023"/>
    <s v="n"/>
    <s v="mikhail.skovoronskikh@colorado.edu"/>
    <s v="n"/>
    <s v="n"/>
    <s v="JPT"/>
    <m/>
    <s v="https://www.amazon.co.jp/dp/4006003390"/>
    <x v="1"/>
    <s v="339"/>
    <m/>
    <m/>
    <s v="n/a"/>
    <s v="n"/>
    <s v="n"/>
    <s v="n"/>
    <m/>
    <n v="9784006003395"/>
    <s v="4006003390"/>
    <n v="933747248"/>
    <s v="Japanese"/>
    <s v="Edo Woodblock Prints: Discussions on Bibliography"/>
    <s v="Edo no hanpon: shoshigaku dangi"/>
    <s v="江戶の板本: 書誌学談義"/>
    <x v="35"/>
    <s v="Heisei 27"/>
    <s v="Nakano, mitsutoshi"/>
    <s v="中野 三敏"/>
    <s v="Iwanami gendai bunko ; gakujutsu(339)"/>
    <s v="岩波現代文庫 ; 学術 339"/>
    <x v="12"/>
    <x v="12"/>
    <s v="n/a"/>
    <s v="n/a"/>
    <s v="shuppan -- nihon -- rekishi -- edojidai"/>
    <n v="9.7268600000000003"/>
    <s v="jpy"/>
    <n v="1430"/>
  </r>
  <r>
    <s v="8/6/2023"/>
    <s v="n"/>
    <s v="mikhail.skovoronskikh@colorado.edu"/>
    <s v="n"/>
    <s v="n"/>
    <s v="JPT"/>
    <m/>
    <s v="https://www.kosho.or.jp/products/detail.php?product_id=441554816"/>
    <x v="2"/>
    <s v="1"/>
    <m/>
    <m/>
    <s v="8"/>
    <s v="n"/>
    <s v="n"/>
    <s v="n"/>
    <m/>
    <n v="9784639023852"/>
    <s v="4639023855"/>
    <n v="966357620"/>
    <s v="Japanese"/>
    <s v="Comprehensive Dictionary of Feudal History"/>
    <s v="Hanshi daijiten"/>
    <s v="藩史大事典"/>
    <x v="35"/>
    <s v="Heisei 27"/>
    <s v="Kimura, Motoi"/>
    <s v="木村礎"/>
    <s v="n/a"/>
    <s v="n/a"/>
    <x v="34"/>
    <x v="34"/>
    <s v="Shinsōban"/>
    <s v="新装版"/>
    <s v="Fiefs -- Japan -- History -- Handbooks, manuals, etc ^ Fiefs ^ Politics and government ^ Handbooks and manuals ^ History ^ 1600-1868 ^ Japan -- Politics and government -- 1600-1868 -- Handbooks, manuals, etc ^ Japan"/>
    <n v="56.116500000000002"/>
    <s v="jpy"/>
    <n v="8250"/>
  </r>
  <r>
    <s v="8/6/2023"/>
    <s v="n"/>
    <s v="mikhail.skovoronskikh@colorado.edu"/>
    <s v="n"/>
    <s v="n"/>
    <s v="JPT"/>
    <m/>
    <s v="https://www.kosho.or.jp/products/detail.php?product_id=441554816"/>
    <x v="2"/>
    <s v="2"/>
    <m/>
    <m/>
    <s v="8"/>
    <s v="n"/>
    <s v="n"/>
    <s v="n"/>
    <m/>
    <n v="9784639023869"/>
    <s v="4639023863"/>
    <n v="966357620"/>
    <s v="Japanese"/>
    <s v="Comprehensive Dictionary of Feudal History"/>
    <s v="Hanshi daijiten"/>
    <s v="藩史大事典"/>
    <x v="35"/>
    <s v="Heisei 27"/>
    <s v="Kimura, Motoi"/>
    <s v="木村礎"/>
    <s v="n/a"/>
    <s v="n/a"/>
    <x v="34"/>
    <x v="34"/>
    <s v="Shinsōban"/>
    <s v="新装版"/>
    <s v="Fiefs -- Japan -- History -- Handbooks, manuals, etc ^ Fiefs ^ Politics and government ^ Handbooks and manuals ^ History ^ 1600-1868 ^ Japan -- Politics and government -- 1600-1868 -- Handbooks, manuals, etc ^ Japan"/>
    <n v="56.116500000000002"/>
    <s v="jpy"/>
    <n v="8250"/>
  </r>
  <r>
    <s v="8/6/2023"/>
    <s v="n"/>
    <s v="mikhail.skovoronskikh@colorado.edu"/>
    <s v="n"/>
    <s v="n"/>
    <s v="JPT"/>
    <m/>
    <s v="https://www.kosho.or.jp/products/detail.php?product_id=441554816"/>
    <x v="2"/>
    <s v="3"/>
    <m/>
    <m/>
    <s v="8"/>
    <s v="n"/>
    <s v="n"/>
    <s v="n"/>
    <m/>
    <n v="9784639023876"/>
    <s v="4639023871"/>
    <n v="966357620"/>
    <s v="Japanese"/>
    <s v="Comprehensive Dictionary of Feudal History"/>
    <s v="Hanshi daijiten"/>
    <s v="藩史大事典"/>
    <x v="35"/>
    <s v="Heisei 27"/>
    <s v="Kimura, Motoi"/>
    <s v="木村礎"/>
    <s v="n/a"/>
    <s v="n/a"/>
    <x v="34"/>
    <x v="34"/>
    <s v="Shinsōban"/>
    <s v="新装版"/>
    <s v="Fiefs -- Japan -- History -- Handbooks, manuals, etc ^ Fiefs ^ Politics and government ^ Handbooks and manuals ^ History ^ 1600-1868 ^ Japan -- Politics and government -- 1600-1868 -- Handbooks, manuals, etc ^ Japan"/>
    <n v="56.116500000000002"/>
    <s v="jpy"/>
    <n v="8250"/>
  </r>
  <r>
    <s v="8/6/2023"/>
    <s v="n"/>
    <s v="mikhail.skovoronskikh@colorado.edu"/>
    <s v="n"/>
    <s v="n"/>
    <s v="JPT"/>
    <m/>
    <s v="https://www.kosho.or.jp/products/detail.php?product_id=441554816"/>
    <x v="2"/>
    <s v="4"/>
    <m/>
    <m/>
    <s v="8"/>
    <s v="n"/>
    <s v="n"/>
    <s v="n"/>
    <m/>
    <n v="9784639023883"/>
    <s v="463902388X"/>
    <n v="966357620"/>
    <s v="Japanese"/>
    <s v="Comprehensive Dictionary of Feudal History"/>
    <s v="Hanshi daijiten"/>
    <s v="藩史大事典"/>
    <x v="35"/>
    <s v="Heisei 27"/>
    <s v="Kimura, Motoi"/>
    <s v="木村礎"/>
    <s v="n/a"/>
    <s v="n/a"/>
    <x v="34"/>
    <x v="34"/>
    <s v="Shinsōban"/>
    <s v="新装版"/>
    <s v="Fiefs -- Japan -- History -- Handbooks, manuals, etc ^ Fiefs ^ Politics and government ^ Handbooks and manuals ^ History ^ 1600-1868 ^ Japan -- Politics and government -- 1600-1868 -- Handbooks, manuals, etc ^ Japan"/>
    <n v="56.116500000000002"/>
    <s v="jpy"/>
    <n v="8250"/>
  </r>
  <r>
    <s v="8/6/2023"/>
    <s v="n"/>
    <s v="mikhail.skovoronskikh@colorado.edu"/>
    <s v="n"/>
    <s v="n"/>
    <s v="JPT"/>
    <m/>
    <s v="https://www.kosho.or.jp/products/detail.php?product_id=441554816"/>
    <x v="2"/>
    <s v="5"/>
    <m/>
    <m/>
    <s v="8"/>
    <s v="n"/>
    <s v="n"/>
    <s v="n"/>
    <m/>
    <n v="9784639023890"/>
    <s v="4639023898"/>
    <n v="966357620"/>
    <s v="Japanese"/>
    <s v="Comprehensive Dictionary of Feudal History"/>
    <s v="Hanshi daijiten"/>
    <s v="藩史大事典"/>
    <x v="35"/>
    <s v="Heisei 27"/>
    <s v="Kimura, Motoi"/>
    <s v="木村礎"/>
    <s v="n/a"/>
    <s v="n/a"/>
    <x v="34"/>
    <x v="34"/>
    <s v="Shinsōban"/>
    <s v="新装版"/>
    <s v="Fiefs -- Japan -- History -- Handbooks, manuals, etc ^ Fiefs ^ Politics and government ^ Handbooks and manuals ^ History ^ 1600-1868 ^ Japan -- Politics and government -- 1600-1868 -- Handbooks, manuals, etc ^ Japan"/>
    <n v="56.116500000000002"/>
    <s v="jpy"/>
    <n v="8250"/>
  </r>
  <r>
    <s v="8/6/2023"/>
    <s v="n"/>
    <s v="mikhail.skovoronskikh@colorado.edu"/>
    <s v="n"/>
    <s v="n"/>
    <s v="JPT"/>
    <m/>
    <s v="https://www.kosho.or.jp/products/detail.php?product_id=441554816"/>
    <x v="2"/>
    <s v="6"/>
    <m/>
    <m/>
    <s v="8"/>
    <s v="n"/>
    <s v="n"/>
    <s v="n"/>
    <m/>
    <n v="9784639023906"/>
    <s v="4639023901"/>
    <n v="966357620"/>
    <s v="Japanese"/>
    <s v="Comprehensive Dictionary of Feudal History"/>
    <s v="Hanshi daijiten"/>
    <s v="藩史大事典"/>
    <x v="35"/>
    <s v="Heisei 27"/>
    <s v="Kimura, Motoi"/>
    <s v="木村礎"/>
    <s v="n/a"/>
    <s v="n/a"/>
    <x v="34"/>
    <x v="34"/>
    <s v="Shinsōban"/>
    <s v="新装版"/>
    <s v="Fiefs -- Japan -- History -- Handbooks, manuals, etc ^ Fiefs ^ Politics and government ^ Handbooks and manuals ^ History ^ 1600-1868 ^ Japan -- Politics and government -- 1600-1868 -- Handbooks, manuals, etc ^ Japan"/>
    <n v="56.116500000000002"/>
    <s v="jpy"/>
    <n v="8250"/>
  </r>
  <r>
    <s v="8/6/2023"/>
    <s v="n"/>
    <s v="mikhail.skovoronskikh@colorado.edu"/>
    <s v="n"/>
    <s v="n"/>
    <s v="JPT"/>
    <m/>
    <s v="https://www.kosho.or.jp/products/detail.php?product_id=441554816"/>
    <x v="2"/>
    <s v="7"/>
    <m/>
    <m/>
    <s v="8"/>
    <s v="n"/>
    <s v="n"/>
    <s v="n"/>
    <m/>
    <n v="9784639023913"/>
    <s v="463902391X"/>
    <n v="966357620"/>
    <s v="Japanese"/>
    <s v="Comprehensive Dictionary of Feudal History"/>
    <s v="Hanshi daijiten"/>
    <s v="藩史大事典"/>
    <x v="35"/>
    <s v="Heisei 27"/>
    <s v="Kimura, Motoi"/>
    <s v="木村礎"/>
    <s v="n/a"/>
    <s v="n/a"/>
    <x v="34"/>
    <x v="34"/>
    <s v="Shinsōban"/>
    <s v="新装版"/>
    <s v="Fiefs -- Japan -- History -- Handbooks, manuals, etc ^ Fiefs ^ Politics and government ^ Handbooks and manuals ^ History ^ 1600-1868 ^ Japan -- Politics and government -- 1600-1868 -- Handbooks, manuals, etc ^ Japan"/>
    <n v="56.116500000000002"/>
    <s v="jpy"/>
    <n v="8250"/>
  </r>
  <r>
    <s v="8/6/2023"/>
    <s v="n"/>
    <s v="mikhail.skovoronskikh@colorado.edu"/>
    <s v="n"/>
    <s v="n"/>
    <s v="JPT"/>
    <m/>
    <s v="https://www.kosho.or.jp/products/detail.php?product_id=441554816"/>
    <x v="2"/>
    <s v="8"/>
    <m/>
    <m/>
    <s v="8"/>
    <s v="n"/>
    <s v="n"/>
    <s v="n"/>
    <m/>
    <n v="9784639023920"/>
    <s v="4639023928"/>
    <n v="966357620"/>
    <s v="Japanese"/>
    <s v="Comprehensive Dictionary of Feudal History"/>
    <s v="Hanshi daijiten"/>
    <s v="藩史大事典"/>
    <x v="35"/>
    <s v="Heisei 27"/>
    <s v="Kimura, Motoi"/>
    <s v="木村礎"/>
    <s v="n/a"/>
    <s v="n/a"/>
    <x v="34"/>
    <x v="34"/>
    <s v="Shinsōban"/>
    <s v="新装版"/>
    <s v="Fiefs -- Japan -- History -- Handbooks, manuals, etc ^ Fiefs ^ Politics and government ^ Handbooks and manuals ^ History ^ 1600-1868 ^ Japan -- Politics and government -- 1600-1868 -- Handbooks, manuals, etc ^ Japan"/>
    <n v="56.116500000000002"/>
    <s v="jpy"/>
    <n v="8250"/>
  </r>
  <r>
    <s v="8/6/2023"/>
    <s v="n"/>
    <s v="mikhail.skovoronskikh@colorado.edu"/>
    <s v="n"/>
    <s v="n"/>
    <s v="JPT"/>
    <s v="ISBN is for set?"/>
    <s v="https://www.amazon.co.jp/dp/4774402664"/>
    <x v="1"/>
    <s v="n/a"/>
    <m/>
    <m/>
    <s v="10"/>
    <s v="n"/>
    <s v="n"/>
    <s v="n"/>
    <m/>
    <n v="9784774402666"/>
    <s v="4774402664"/>
    <n v="1006939492"/>
    <s v="Japanese"/>
    <s v="Comprehensive Encyclopedia of Japanese Personal Information"/>
    <s v="n/a"/>
    <s v="日本人物情報大系"/>
    <x v="16"/>
    <s v="Heisei 11"/>
    <s v="Haga, Noboru"/>
    <s v="芳賀登"/>
    <s v="n/a"/>
    <s v="n/a"/>
    <x v="35"/>
    <x v="35"/>
    <s v="n/a"/>
    <s v="復刻"/>
    <s v="Denki -- Nihon ^ Fujin -- Denki ^ Manshu -- Meibo"/>
    <n v="748.22"/>
    <s v="jpy"/>
    <n v="110000"/>
  </r>
  <r>
    <s v="8/6/2023"/>
    <s v="n"/>
    <s v="mikhail.skovoronskikh@colorado.edu"/>
    <s v="n"/>
    <s v="n"/>
    <s v="other"/>
    <s v="Have pending order in the system but never acquired, URL for price check has full set for purchase on Japanese site."/>
    <s v="https://www.kosho.or.jp/products/detail.php?product_id=14440"/>
    <x v="1"/>
    <s v="10-1-10-6"/>
    <m/>
    <m/>
    <s v="5"/>
    <s v="n/a"/>
    <s v="https://libcat.colorado.edu/Record/b12303272"/>
    <s v="n"/>
    <m/>
    <s v="n/a"/>
    <s v="n/a"/>
    <n v="1020940147"/>
    <s v="Japanese"/>
    <s v="Compilation of Factual Writings"/>
    <s v="Jijitsu bunpen"/>
    <s v="事実文編"/>
    <x v="36"/>
    <s v="n/a"/>
    <s v="Gokyū, Hisabumi ^ Kansai daigaku tōzai gakujutsu kenkyūjo"/>
    <s v="五弓久文 ^  関西大学東西学術研究所"/>
    <s v="Kansai daigaku tōzai gakujutsu kenkyūjo shiryō shūkan ; 10-1-10-6"/>
    <s v="関西大学東西学術研究所資料集刊 ; 10-1-10-6"/>
    <x v="36"/>
    <x v="36"/>
    <s v="n/a"/>
    <s v="[複製]"/>
    <s v="n/a"/>
    <n v="0"/>
    <s v="jpy"/>
    <m/>
  </r>
  <r>
    <s v="8/6/2023"/>
    <s v="n"/>
    <s v="mikhail.skovoronskikh@colorado.edu"/>
    <s v="n"/>
    <s v="n"/>
    <s v="JPT"/>
    <s v="have older version, buy this version and deaccession old one"/>
    <s v="https://www.kosho.or.jp/products/detail.php?product_id=442574440"/>
    <x v="1"/>
    <s v="n/a"/>
    <m/>
    <m/>
    <s v="3"/>
    <s v="n/a"/>
    <s v="https://libcat.colorado.edu/Record/b3593119"/>
    <s v="n"/>
    <m/>
    <s v="n/a"/>
    <s v="n/a"/>
    <n v="1023036623"/>
    <s v="Japanese"/>
    <s v="Biographical Encyclopedia of National Scholars"/>
    <s v="Kokugakusha denki shūsei"/>
    <s v="國學者傳記集成"/>
    <x v="37"/>
    <s v="Shōwa 53"/>
    <s v="Ueda, Kazutoshi ^ Haga, Yaichi ^ Ōkawa, Shigeo ^ Minami, Shigeki"/>
    <s v="上田萬年 ^ 芳賀矢一 ^ 大川茂雄 ^ 南茂樹"/>
    <s v="n/a"/>
    <s v="n/a"/>
    <x v="37"/>
    <x v="37"/>
    <s v="n/a"/>
    <s v="n/a"/>
    <s v="Kokugaku ^ Philosophers -- Japan -- Biography ^ Philologists -- Japan -- Biography ^ Kokugaku ^ Kokugaku ^ Philologists ^ Philosophers ^ Biography ^ Biographies ^ Biographies ^ Biographies ^ Japan"/>
    <n v="64.619"/>
    <s v="jpy"/>
    <n v="9500"/>
  </r>
  <r>
    <s v="8/6/2023"/>
    <s v="n"/>
    <s v="mikhail.skovoronskikh@colorado.edu"/>
    <s v="n"/>
    <s v="n"/>
    <s v="n/a"/>
    <m/>
    <s v="https://www.amazon.co.jp/dp/4582808905"/>
    <x v="4"/>
    <s v="890"/>
    <m/>
    <m/>
    <s v="n/a"/>
    <s v="https://libcat.colorado.edu/Record/b12883804"/>
    <s v="https://libcat.colorado.edu/Record/b12883804"/>
    <s v="n"/>
    <m/>
    <n v="9784582808902"/>
    <s v="4582808905"/>
    <n v="1044839941"/>
    <s v="Japanese"/>
    <s v="Research Methodology for Classical Chinese: An Introductory Lecture to Chinese Studies - ChatGPT translation"/>
    <s v="Kanbun kenkyūhō: Chūgokugaku nyūmon kōgi"/>
    <s v="漢文研究法: 中国学入門講義"/>
    <x v="38"/>
    <s v="Heisei 30"/>
    <s v="Kanō, Naoki ^ Kano, Naosada"/>
    <s v="狩野直喜 ^ 狩野直禎"/>
    <s v="Tōyō bunko ; 890"/>
    <s v="東洋文庫 ; 890"/>
    <x v="31"/>
    <x v="31"/>
    <s v="Shohan"/>
    <s v="初版"/>
    <s v="Chinese literature -- Study and teaching ^ Chinese literature -- Study and teaching ^ Civilization -- Study and teaching ^ Education ^ Chūgokugaku ^ Kanbun ^ Bibliographies ^ China -- Civilization -- Study and teaching ^ China -- Study and teaching -- Bibliography ^ China"/>
    <n v="21.69838"/>
    <s v="jpy"/>
    <n v="3190"/>
  </r>
  <r>
    <s v="8/6/2023"/>
    <s v="n"/>
    <s v="mikhail.skovoronskikh@colorado.edu"/>
    <s v="n"/>
    <s v="n"/>
    <s v="JPT"/>
    <m/>
    <s v="https://www.amazon.co.jp/dp/4404041047"/>
    <x v="2"/>
    <s v="n/a"/>
    <m/>
    <m/>
    <s v="n/a"/>
    <s v="n"/>
    <s v="n"/>
    <s v="n"/>
    <m/>
    <n v="9784404041043"/>
    <s v="4404041047"/>
    <n v="1084936979"/>
    <s v="Japanese"/>
    <s v="New Edition Dictionary of Ancient Document Terminology"/>
    <s v="Shinpan Komonjo yōgo jiten"/>
    <s v="新版古文書用語辞典"/>
    <x v="39"/>
    <s v="Heisei 24"/>
    <s v="Satō, Takayuki ^ Amano, Kiyofumi"/>
    <s v="佐藤孝之 ^ 天野清文"/>
    <s v="n/a"/>
    <s v="n/a"/>
    <x v="7"/>
    <x v="7"/>
    <s v="n/a"/>
    <s v="n/a"/>
    <s v="Japanese language -- To 1868 -- Dictionaries ^ Diplomatics, Japanese -- Dictionaries ^ Paleography, Japanese -- Dictionaries ^ Nihon-Rekishi-Kinsei-Jiten ^ Komonjo-Jiten ^ Diplomatics, Japanese ^ Japanese language ^ Paleography, Japanese ^ Dictionaries ^ To 1868"/>
    <n v="0"/>
    <s v="jpy"/>
    <m/>
  </r>
  <r>
    <s v="8/6/2023"/>
    <s v="n"/>
    <s v="mikhail.skovoronskikh@colorado.edu"/>
    <s v="n"/>
    <s v="n"/>
    <s v="JPT"/>
    <m/>
    <s v="https://www.amazon.co.jp/dp/4480099794"/>
    <x v="1"/>
    <s v="O-32-1"/>
    <m/>
    <m/>
    <s v="n/a"/>
    <s v="n"/>
    <s v="n"/>
    <s v="n"/>
    <m/>
    <n v="9784480099792"/>
    <m/>
    <n v="1154658748"/>
    <s v="Japanese"/>
    <s v="Ancient Japanese Grammar"/>
    <s v="Kodai nihongo bunpō"/>
    <s v="古代日本語文法"/>
    <x v="40"/>
    <s v="Reiwa 2"/>
    <s v="Oda, Masaru"/>
    <s v="小田勝"/>
    <s v="Chikuma gakugei bunko ; O-32-1"/>
    <s v="ちくま学芸文庫 ; オ32-1"/>
    <x v="38"/>
    <x v="38"/>
    <s v="n/a"/>
    <s v="n/a"/>
    <s v="Nihongo-Bunpō"/>
    <n v="10.47508"/>
    <s v="jpy"/>
    <n v="1540"/>
  </r>
  <r>
    <s v="8/6/2023"/>
    <s v="n"/>
    <s v="mikhail.skovoronskikh@colorado.edu"/>
    <s v="n"/>
    <s v="n"/>
    <s v="JPT"/>
    <m/>
    <s v="https://www.amazon.co.jp/dp/4909658297"/>
    <x v="1"/>
    <s v="n/a"/>
    <m/>
    <m/>
    <s v="n/a"/>
    <s v="n"/>
    <s v="n"/>
    <s v="n"/>
    <m/>
    <n v="9784909658296"/>
    <s v="4909658297"/>
    <n v="1158344058"/>
    <s v="Japanese"/>
    <s v="History of Antiquarian Hobbies: Tracing from Edo to Tokyo"/>
    <s v="Kōko shumi no rekishi: Edo Tōkyō kara tadoru"/>
    <s v="好古趣味の歴史: 江戶東京からたどる"/>
    <x v="40"/>
    <s v="Reiwa 2"/>
    <s v="Kobayashi, Fumiko ^ Nakamaru, Nobuaki ^ Hōsei Daigaku.; Edo Tōkyō Kenkyū Sentā"/>
    <s v="小林ふみ子 ^ 中丸宣明 ^ 法政大学. 江戶東京研究センター"/>
    <s v="n/a"/>
    <s v="n/a"/>
    <x v="39"/>
    <x v="0"/>
    <s v="Dai 1-han"/>
    <s v="第1版"/>
    <s v="Collective memory -- Japan ^ Collective memory ^ Manners and customs ^ Tōkyōto-Rekishi ^ Nihon-Rekishi-Edo jidai ^ Takizawa, Bakin, 1767-1848 -- Criticism and interpretation ^ Kōda, Rohan, 1867-1947 -- Criticism and interpretation ^ Mori, Ōgai, 1862-1922 -- Criticism and interpretation ^ Takabatake, Ransen, 1838-1885 -- Criticism and interpretation ^ Nagai, Kafū, 1879-1959 -- Criticism and interpretation ^ Ishikawa, Jun, 1899-1987 -- Criticism and interpretation ^ Takizawa, Bakin, 1767-1848 ^ Nagai, Kafū, 1879-1959 ^ Mori, Ōgai, 1862-1922 ^ Kōda, Rohan, 1867-1947 ^ Ishikawa, Jun, 1899-1987 ^ Criticism, interpretation, etc ^ 1600-1868 ^ Tokyo (Japan) -- Social life and customs -- 1600-1868 ^ Tōkyō (Japon) -- Mœurs et coutumes -- 1600-1868 ^ Japan ^ Japan -- Tokyo"/>
    <n v="20.95016"/>
    <s v="jpy"/>
    <n v="3080"/>
  </r>
  <r>
    <s v="8/6/2023"/>
    <s v="n"/>
    <s v="mikhail.skovoronskikh@colorado.edu"/>
    <s v="n"/>
    <s v="n"/>
    <s v="JPT"/>
    <m/>
    <s v="https://www.amazon.co.jp/dp/4872202279"/>
    <x v="1"/>
    <s v="n/a"/>
    <m/>
    <m/>
    <s v="n/a"/>
    <s v="n"/>
    <s v="n"/>
    <s v="n"/>
    <m/>
    <n v="9784872202274"/>
    <s v="4872202279"/>
    <n v="1255363988"/>
    <s v="Japanese"/>
    <s v="China Studies Reference Manual in the Digital Age - ChatGPT translation"/>
    <s v="Dejitaru jidai no chūgokugaku rifarensu manyuaru"/>
    <s v="デジタル時代の中国学リファレンスマニュアル"/>
    <x v="41"/>
    <s v="Reiwa 3"/>
    <s v="Kanji bunken jōhō shori kenkyūkai"/>
    <s v="漢字文献情報処理研究会"/>
    <s v="n/a"/>
    <s v="n/a"/>
    <x v="40"/>
    <x v="39"/>
    <s v="n/a"/>
    <s v="n/a"/>
    <s v="Civilization ^ Education ^ Chūgokugaku ^ Jōhō kensaku ^ Intānetto ^ China -- Study and teaching ^ China -- Civilization ^ China"/>
    <n v="33.669899999999998"/>
    <s v="jpy"/>
    <n v="4950"/>
  </r>
  <r>
    <s v="8/6/2023"/>
    <s v="n"/>
    <s v="mikhail.skovoronskikh@colorado.edu"/>
    <s v="n"/>
    <s v="n"/>
    <s v="JPT"/>
    <m/>
    <s v="https://www.amazon.co.jp/dp/4760154280"/>
    <x v="2"/>
    <s v="n/a"/>
    <m/>
    <m/>
    <s v="n/a"/>
    <s v="n"/>
    <s v="n"/>
    <s v="n"/>
    <m/>
    <n v="9784760154289"/>
    <s v="4760154280"/>
    <n v="1290157472"/>
    <s v="Japanese"/>
    <s v="Dictionary for Deciphering Variant Characters"/>
    <s v="Itaiji kaidoku jiten"/>
    <s v="異体字解読字典"/>
    <x v="41"/>
    <s v="Reiwa 3"/>
    <s v="Yamada, Katsumi ^ &quot;Nanji Taikan&quot; Henshū Iinkai"/>
    <s v="山田勝美 ^ 「難字大鑑」編集委員会"/>
    <s v="n/a"/>
    <s v="n/a"/>
    <x v="15"/>
    <x v="14"/>
    <s v="n/a"/>
    <s v="n/a"/>
    <s v="Kanji-Jiten"/>
    <n v="17.957280000000001"/>
    <s v="jpy"/>
    <n v="2640"/>
  </r>
  <r>
    <s v="8/6/2023"/>
    <s v="n"/>
    <s v="mikhail.skovoronskikh@colorado.edu"/>
    <s v="n"/>
    <s v="n"/>
    <s v="JPT"/>
    <m/>
    <s v="https://www.amazon.co.jp/dp/4044006342"/>
    <x v="1"/>
    <s v="E-202-1"/>
    <m/>
    <m/>
    <s v="n/a"/>
    <s v="n"/>
    <s v="n"/>
    <s v="n"/>
    <m/>
    <n v="9784044006341"/>
    <s v="4044006342"/>
    <n v="1363334799"/>
    <s v="Japanese"/>
    <s v="Grammar of Chinese Language"/>
    <s v="Kanbun no gohō"/>
    <s v="漢文の語法"/>
    <x v="0"/>
    <s v="Reiwa 5"/>
    <s v="Nishida, Taichirō ^ Saitō, Mareshi ^ Taguchi, Ichirō"/>
    <s v="西田太一郎 ^ 斎藤希史 ^ 田口一郎"/>
    <s v="Kadokawa sofia bunko ; E-202-1"/>
    <s v="角川ソフィア文庫 ; E202-1"/>
    <x v="41"/>
    <x v="40"/>
    <s v="n/a"/>
    <s v="n/a"/>
    <s v="Chūgokugo-Bunpō ^ Kanbun"/>
    <n v="12.121164"/>
    <s v="jpy"/>
    <n v="1782"/>
  </r>
  <r>
    <s v="8/31/2023"/>
    <s v="n"/>
    <s v="marjorie.burge@colorado.edu"/>
    <s v="y"/>
    <s v="y"/>
    <s v="?"/>
    <m/>
    <s v="https://www.amazon.com/Ancient-Korean-Kingdom-Silla/dp/8971057971/ref=sr_1_1?crid=VEJS1LW5OR57&amp;keywords=9788971057971&amp;qid=1693503461&amp;sprefix=9788971057971%2Caps%2C122&amp;sr=8-1"/>
    <x v="0"/>
    <s v="1"/>
    <m/>
    <m/>
    <s v="n/a"/>
    <s v="n"/>
    <s v="n"/>
    <s v="n"/>
    <m/>
    <n v="9788971057971"/>
    <s v="8971057971"/>
    <n v="1006319738"/>
    <s v="English"/>
    <s v="n/a"/>
    <s v="The ancient Korean kingdom of Silla: political developments and religious ideology"/>
    <s v="n/a"/>
    <x v="32"/>
    <s v="n/a"/>
    <s v="Mohan, Pankaj ^ Han'gukhak Chungang Yŏn'guwŏn"/>
    <s v="n/a"/>
    <s v="Societas Koreana ; 1"/>
    <s v="n/a"/>
    <x v="42"/>
    <x v="0"/>
    <s v="n/a"/>
    <s v="n/a"/>
    <s v="Politics and government ^ History ^ To 935 ^ Silla (Kingdom) -- Politics and government ^ Silla (Kingdom) -- History ^ Korea -- History -- To 935 ^ Asia -- Silla (Kingdom) ^ Korea"/>
    <n v="45.99"/>
    <s v="usd"/>
    <n v="45.99"/>
  </r>
  <r>
    <s v="8/31/2023"/>
    <s v="n"/>
    <s v="marjorie.burge@colorado.edu"/>
    <s v="y"/>
    <s v="y"/>
    <s v="?"/>
    <m/>
    <s v="https://www.amazon.com/dp/0988692872"/>
    <x v="0"/>
    <s v="n/a"/>
    <m/>
    <m/>
    <s v="n/a"/>
    <s v="n"/>
    <s v="n"/>
    <s v="n"/>
    <m/>
    <n v="9780988692879"/>
    <s v="0988692872"/>
    <n v="1076670305"/>
    <s v="English"/>
    <s v="n/a"/>
    <s v="Early Korea-Japan interactions"/>
    <s v="n/a"/>
    <x v="38"/>
    <s v="n/a"/>
    <s v="Byington, Mark E. ^ Sasaki, Ken'ichi ^ Bale, Martin T."/>
    <s v="n/a"/>
    <s v="Early Korea Project occasional series"/>
    <s v="n/a"/>
    <x v="43"/>
    <x v="0"/>
    <s v="n/a"/>
    <s v="n/a"/>
    <s v="Civilization -- Japanese influences ^ Civilization -- Korean influences ^ Commerce ^ Diplomatic relations ^ International relations ^ History ^ To 935 ^ Korea -- Relations -- Japan ^ Japan -- Relations -- Korea ^ Korea -- Civilization -- Japanese influences ^ Japan -- Civilization -- Korean influences ^ Korea -- Commerce -- Japan ^ Japan -- Commerce -- Korea ^ Korea -- History -- To 935 ^ Japan -- History -- To 794 ^ Korea -- Foreign relations -- To 935 ^ Japan -- Foreign relations -- To 794 ^ Japan ^ Korea"/>
    <n v="50"/>
    <s v="usd"/>
    <n v="50"/>
  </r>
  <r>
    <s v="8/31/2023"/>
    <s v="rush"/>
    <s v="marjorie.burge@colorado.edu"/>
    <s v="y"/>
    <s v="y"/>
    <s v="Panmun"/>
    <m/>
    <s v="n/a"/>
    <x v="1"/>
    <s v="n/a"/>
    <m/>
    <m/>
    <s v="n/a"/>
    <s v="n"/>
    <s v="n"/>
    <s v="n"/>
    <m/>
    <n v="9791196865511"/>
    <s v="n/a"/>
    <n v="1236732108"/>
    <s v="Korean"/>
    <s v="Silla Script Materials. 1-2 - ChatGPT translation"/>
    <s v="Silla munja jaryo"/>
    <s v="新羅文字資料. 1-2"/>
    <x v="42"/>
    <s v="n/a"/>
    <s v="Gungnip Gyeongju Bangmulgwan"/>
    <s v="국립경주박물관"/>
    <s v="n/a"/>
    <s v="n/a"/>
    <x v="44"/>
    <x v="41"/>
    <s v="n/a"/>
    <s v="n/a"/>
    <s v="n/a"/>
    <s v="0"/>
    <m/>
    <m/>
  </r>
  <r>
    <s v="8/31/2023"/>
    <s v="n"/>
    <s v="faye.kleeman@colorado.edu"/>
    <s v="n"/>
    <s v="n"/>
    <s v="JPT"/>
    <m/>
    <s v="https://www.amazon.com/dp/4043736029"/>
    <x v="1"/>
    <s v="n/a"/>
    <m/>
    <m/>
    <s v="n/a"/>
    <s v="n"/>
    <s v="n"/>
    <s v="n"/>
    <m/>
    <n v="9784043736027"/>
    <s v="4043736029"/>
    <n v="224242467"/>
    <s v="Japanese"/>
    <s v="n/a"/>
    <s v="Getsugyo"/>
    <s v="月魚"/>
    <x v="43"/>
    <s v="Heisei 16"/>
    <s v="Miura, Shion"/>
    <s v="三浦しをん"/>
    <s v="Kadokawa bunko ; 13349"/>
    <s v="角川文庫 ; 13349"/>
    <x v="45"/>
    <x v="40"/>
    <s v="Shohan"/>
    <s v="初版"/>
    <s v="Antiquarian booksellers -- Fiction ^ Antiquarian booksellers ^ Japanese fiction ^ Fiction"/>
    <n v="21.27"/>
    <s v="usd"/>
    <n v="21.27"/>
  </r>
  <r>
    <s v="8/31/2023"/>
    <s v="n"/>
    <s v="adam.lisbon@colorado.edu"/>
    <s v="n"/>
    <s v="n"/>
    <s v="Maruzen"/>
    <s v="Includes 5 separate eBooks, 1 access"/>
    <s v="https://www.amazon.co.jp/dp/4866390654"/>
    <x v="5"/>
    <s v="n/a"/>
    <m/>
    <m/>
    <s v="5"/>
    <s v="n"/>
    <s v="n"/>
    <s v="n"/>
    <m/>
    <n v="9784866390659"/>
    <s v="4866390654"/>
    <n v="972904888"/>
    <s v="Japanese"/>
    <s v="Level-specific Japanese Extensive Reading Library: Level 4, Volume 3 - ChatGPT translation"/>
    <s v="Reberu 4, vol. 3"/>
    <s v="レベル別日本語多読ライブラリー. レベル 4, vol. 3"/>
    <x v="44"/>
    <s v="Heisei 29"/>
    <s v="Miyagi, Emiko ^ Yato, Masato ^ Natsume, Sōseki ^ Awano, Makiko ^ Mizuno, Purin ^ Shiraishi, Hiroko ^ Hayakawa, Osamu ^ Awano, Makiko ^ Ban, Chiharu ^ Tagengo Tadoku, NPO"/>
    <s v="宮城恵弥子 ^ 日本の食卓 ^ 矢戸優人illustrator ^ 日本の食卓 ^ 夏目漱石 ^ 坊ちゃん ^ 粟野真紀子 ^ 坊ちゃん ^ 水野ぷりんillustrator ^ 坊ちゃん ^ 白石ひろ子 ^ 四十七人の侍 ^ 早川修illustrator ^ 四十七人の侍 ^ 粟野真紀子 ^ ローマの休日 ^ バンチハルillustrator ^ ローマの休日 ^ 多言語多読, NPO"/>
    <s v="Nihongo yomu yomu bunko"/>
    <s v="にほんごよむよむ文庫"/>
    <x v="24"/>
    <x v="0"/>
    <s v="Shohan"/>
    <s v="初版"/>
    <s v="Japanese language -- Readers ^ Japanese language -- Study and teaching ^ Japanese language ^ Japanese language -- Study and teaching ^ Readers (Publications)"/>
    <n v="67.339799999999997"/>
    <s v="jpy"/>
    <n v="9900"/>
  </r>
  <r>
    <s v="8/31/2023"/>
    <s v="rush"/>
    <s v="marjorie.burge@colorado.edu"/>
    <s v="y"/>
    <s v="y"/>
    <s v="JPT"/>
    <m/>
    <s v="https://jptbooknews.jptco.co.jp/product/JPTB2007-0090"/>
    <x v="1"/>
    <s v="n/a"/>
    <m/>
    <m/>
    <s v="n/a"/>
    <s v="n"/>
    <s v="n"/>
    <s v="n"/>
    <m/>
    <n v="9784585222781"/>
    <s v="4585222782"/>
    <n v="1176247757"/>
    <s v="Japanese"/>
    <s v="Historical Study of the Middle Period of Silla - ChatGPT translation"/>
    <s v="Shiragi chūkoki no shiteki kenkyū"/>
    <s v="新羅中古期の史的研究"/>
    <x v="40"/>
    <s v="Reiwa 2"/>
    <s v="Takeda, Yukio"/>
    <s v="武田幸男 ^"/>
    <s v="n/a"/>
    <s v="n/a"/>
    <x v="22"/>
    <x v="0"/>
    <s v="Shohan"/>
    <s v="初版"/>
    <s v="朝鮮-歴史-新羅時代 ^ Chōsen-Rekishi-Shiragi jidai ^ History ^ To 935 ^ Silla (Kingdom) -- History ^ Korea -- History -- To 935 ^ Asia -- Silla (Kingdom) ^ Korea"/>
    <n v="81.623999999999995"/>
    <s v="jpy"/>
    <n v="12000"/>
  </r>
  <r>
    <s v="8/31/2023"/>
    <s v="n"/>
    <s v="adam.lisbon@colorado.edu"/>
    <s v="n"/>
    <s v="n"/>
    <s v="?"/>
    <m/>
    <s v="https://www.amazon.com/dp/1939568692"/>
    <x v="0"/>
    <s v="n/a"/>
    <m/>
    <m/>
    <s v="n/a"/>
    <s v="n"/>
    <s v="n"/>
    <s v="n"/>
    <m/>
    <n v="9781939568694"/>
    <s v="1939568692"/>
    <n v="1371863676"/>
    <s v="English"/>
    <s v="n/a"/>
    <s v="Human time"/>
    <s v="Human time"/>
    <x v="0"/>
    <s v="n/a"/>
    <s v="Kim, Haeng-suk ^ Brylowski, Léo-Thomas ^ Hertzog, Hannah Quinn ^ K, Susan ^ Lee, Jiyoon; (Poet) ^ Park, Joanne ^ Seo, Soeun ^ Yang, Soohyun"/>
    <s v="n/a"/>
    <s v="Moon country Korean poetry series"/>
    <s v="n/a"/>
    <x v="46"/>
    <x v="0"/>
    <s v="First edition"/>
    <s v="n/a"/>
    <s v="Korean poetry -- 21st century -- Translations into English ^ Poetry ^ Translations"/>
    <n v="16.829999999999998"/>
    <s v="usd"/>
    <n v="16.829999999999998"/>
  </r>
  <r>
    <s v="8/31/2023"/>
    <s v="n"/>
    <s v="faye.kleeman@colorado.edu"/>
    <s v="n"/>
    <s v="n"/>
    <s v="JPT"/>
    <m/>
    <s v="https://www.amazon.co.jp/dp/4122071437?language=ja_JP"/>
    <x v="1"/>
    <s v="1"/>
    <m/>
    <m/>
    <s v="2"/>
    <s v="n"/>
    <s v="https://libcat.colorado.edu/Record/b6603885"/>
    <s v="n"/>
    <m/>
    <n v="9784122071438"/>
    <s v="4122071437"/>
    <n v="1306587177"/>
    <s v="Japanese"/>
    <s v="n/a"/>
    <s v="Ai naki sekai"/>
    <s v="愛なき世界"/>
    <x v="41"/>
    <s v="Reiwa 3"/>
    <s v="Miura, Shion"/>
    <s v="三浦しをん ^"/>
    <s v="Chūkō bunko ; Mi-51-2/3"/>
    <s v="中公文庫 ; み51-2/3"/>
    <x v="47"/>
    <x v="0"/>
    <s v="Shohan"/>
    <s v="初版"/>
    <s v="Man-woman relationships -- Fiction ^ Women botanists -- Fiction ^ Interpersonal relations -- Fiction ^ Relations entre hommes et femmes -- Romans, nouvelles, etc ^ Femmes botanistes -- Romans, nouvelles, etc ^ Interpersonal relations ^ Man-woman relationships ^ Women botanists ^ Japanese language materials ^ Japanese fiction ^ Fiction ^ Romance fiction ^ Romance fiction"/>
    <n v="5.0878959999999998"/>
    <s v="jpy"/>
    <n v="748"/>
  </r>
  <r>
    <s v="8/31/2023"/>
    <s v="n"/>
    <s v="faye.kleeman@colorado.edu"/>
    <s v="n"/>
    <s v="n"/>
    <s v="?"/>
    <m/>
    <s v="https://www.amazon.com/dp/0231211848"/>
    <x v="0"/>
    <s v="n/a"/>
    <m/>
    <m/>
    <s v="n/a"/>
    <s v="n"/>
    <s v="n"/>
    <s v="n"/>
    <m/>
    <n v="9780231211840"/>
    <s v="0231211848"/>
    <n v="1390463840"/>
    <s v="English"/>
    <s v="n/a"/>
    <s v="the life and work of a samurai woman before and after the Meiji restoration"/>
    <s v="n/a"/>
    <x v="0"/>
    <s v="n/a"/>
    <s v="Partner, Simon 1958-"/>
    <s v="n/a"/>
    <s v="n/a"/>
    <s v="n/a"/>
    <x v="24"/>
    <x v="0"/>
    <s v="n/a"/>
    <s v="n/a"/>
    <s v="Women -- Japan -- Social life and customs -- 19th century ^ Samurai -- Social life and customs -- 19th century ^ Kawai, Koume, 1804-1889 ^ Kawai, Koume, 1804-1889 -- Diaries ^ Wakayama-ken (Japan) -- History ^ Japan -- Civilization -- 1600-1868 ^ Japan -- Civilization -- 1868-1912"/>
    <n v="140"/>
    <s v="usd"/>
    <n v="140"/>
  </r>
  <r>
    <s v="8/31/2023"/>
    <s v="n"/>
    <s v="faye.kleeman@colorado.edu"/>
    <s v="n"/>
    <s v="n"/>
    <s v="JPT"/>
    <m/>
    <s v="https://www.amazon.co.jp/dp/4122071445"/>
    <x v="1"/>
    <s v="2"/>
    <m/>
    <m/>
    <s v="2"/>
    <s v="n"/>
    <s v="https://libcat.colorado.edu/Record/b6603885"/>
    <s v="n"/>
    <m/>
    <n v="9784122071445"/>
    <s v="4122071445"/>
    <n v="1306587177"/>
    <s v="Japanese"/>
    <s v="n/a"/>
    <s v="Ai naki sekai"/>
    <s v="愛なき世界"/>
    <x v="41"/>
    <s v="Reiwa 3"/>
    <s v="Miura, Shion"/>
    <s v="三浦しをん ^"/>
    <s v="Chūkō bunko ; Mi-51-2/3"/>
    <s v="中公文庫 ; み51-2/3"/>
    <x v="47"/>
    <x v="0"/>
    <s v="Shohan"/>
    <s v="初版"/>
    <s v="Man-woman relationships -- Fiction ^ Women botanists -- Fiction ^ Interpersonal relations -- Fiction ^ Relations entre hommes et femmes -- Romans, nouvelles, etc ^ Femmes botanistes -- Romans, nouvelles, etc ^ Interpersonal relations ^ Man-woman relationships ^ Women botanists ^ Japanese language materials ^ Japanese fiction ^ Fiction ^ Romance fiction ^ Romance fiction"/>
    <n v="4.9382520000000003"/>
    <s v="jpy"/>
    <n v="726"/>
  </r>
  <r>
    <s v="8/31/2023"/>
    <s v="n"/>
    <s v="adam.lisbon@colorado.edu"/>
    <s v="n"/>
    <s v="n"/>
    <s v="Maruzen"/>
    <s v="Includes 8 separate eBooks, 1 access"/>
    <s v="https://www.amazon.co.jp/dp/4866394706"/>
    <x v="5"/>
    <s v="n/a"/>
    <m/>
    <m/>
    <s v="8"/>
    <s v="n"/>
    <s v="n"/>
    <s v="n"/>
    <m/>
    <n v="9784866394701"/>
    <s v="4866394706"/>
    <n v="1337065820"/>
    <s v="Japanese"/>
    <s v="Level-specific Japanese Extensive Reading Library: Start, Super-Beginner - ChatGPT translation"/>
    <s v="Sutāto, chōnyūmon"/>
    <s v="レベル別日本語多読ライブラリー. スタート, 超入門"/>
    <x v="45"/>
    <s v="Reiwa 4"/>
    <s v="Takahashi, Atsuko ^ Nagahata, Keiko ^ Miyagi, Emiko ^ Yamada, Asuka ^ Endō, Kazuhiko ^ Takahashi, Atsuko ^ Io, Aoi ^ Awano, Makiko ^ Arima, Natsumi ^ Endō, Kazuhiko ^ Okada, Ako ^ Matsuda, Midori ^ Okada, Ako ^ Yamada, Asuka ^ Mizuno, Purin ^ Endō, Kazuhiko ^ Yamada, Yukie ^ Aesop ^ Tagengo Tadoku, NPO"/>
    <s v="髙橋温子 ^ illustrator ^ 一つ二つ三つ  ^ 長畑恵子 ^ 一つ二つ三つ  ^ 宮城恵弥子 ^ 一つ二つ三つ  ^ 山田明日香 ^ 一つ二つ三つ  ^ 遠藤和彦 ^ しりとり ^ 髙橋温子illustrator ^ しりとり ^ 井尾葵 ^ 絵の中のねこ  ^ 粟野真紀子 ^ abridger ^ アリとハト  ^ ありまなつみillustrator ^ アリとハト ^ 遠藤和彦 ^ 西町交番の良さん「あぶない！」 ^ 岡田亜子illustrator ^ 西町交番の良さん「あぶない！」 ^ 松田緑 ^ 西町交番の良さん「どろぼう?」 ^ 岡田亜子illustrator ^ 西町交番の良さん「どろぼう?」 ^ 山田明日香abridger ^ わかがえりの水 ^ 水野ぷりんillustrator ^ わかがえりの水 ^ 遠藤和彦 ^ 森のコンサート ^ やまだゆきえillustrator ^ 森のコンサート ^ 多言語多読, NPO"/>
    <s v="Nihongo yomu yomu bunko"/>
    <s v="にほんごよむよむ文庫"/>
    <x v="24"/>
    <x v="0"/>
    <s v="Shohan"/>
    <s v="初版"/>
    <s v="Japanese language -- Readers ^ Japanese language -- Study and teaching ^ Japanese language ^ Japanese language -- Study and teaching ^ Readers (Publications) ^ Readers (Publications)"/>
    <n v="86.793520000000001"/>
    <s v="jpy"/>
    <n v="12760"/>
  </r>
  <r>
    <s v="8/31/2023"/>
    <s v="n"/>
    <s v="adam.lisbon@colorado.edu"/>
    <s v="n"/>
    <s v="n"/>
    <s v="JPT"/>
    <m/>
    <s v="https://jptbooknews.jptco.co.jp/product?q=9784469021240"/>
    <x v="2"/>
    <s v="n/a"/>
    <m/>
    <m/>
    <s v="n/a"/>
    <s v="n"/>
    <s v="n"/>
    <s v="n"/>
    <m/>
    <n v="9784469021240"/>
    <s v="4469021245"/>
    <n v="1337981373"/>
    <s v="Japanese"/>
    <s v="Words for your elegance"/>
    <s v="Hinkakugo jiten"/>
    <s v="品格語辞典"/>
    <x v="45"/>
    <s v="Reiwa 4"/>
    <s v="Sekine, Ken'ichi ^ Taishūkan Shoten.; Henshūbu"/>
    <s v="関根健一 ^ 大修館書店. 編集部"/>
    <s v="n/a"/>
    <s v="n/a"/>
    <x v="16"/>
    <x v="0"/>
    <s v="Shohan"/>
    <s v="初版"/>
    <s v="日本語-類語-辞典 ^ Japanese language -- Synonyms and antonyms -- Dictionaries ^ Japanese language -- Synonyms and antonyms ^ Nihongo-Ruigo-Jiten ^ Dictionaries ^ Dictionaries"/>
    <n v="12.243599999999999"/>
    <s v="jpy"/>
    <n v="1800"/>
  </r>
  <r>
    <s v="8/31/2023"/>
    <s v="n"/>
    <s v="faye.kleeman@colorado.edu"/>
    <s v="n"/>
    <s v="n"/>
    <s v="JPT"/>
    <m/>
    <s v="https://www.amazon.co.jp/dp/4065291852"/>
    <x v="6"/>
    <s v="n/a"/>
    <m/>
    <m/>
    <s v="n/a"/>
    <s v="https://libcat.colorado.edu/Record/b12869522"/>
    <s v="https://libcat.colorado.edu/Record/b12869522"/>
    <s v="y"/>
    <m/>
    <n v="9784065291856"/>
    <s v="4065291852"/>
    <n v="1348594557"/>
    <s v="Japanese"/>
    <s v="n/a"/>
    <s v="Taiyō shotō"/>
    <s v="太陽諸島"/>
    <x v="45"/>
    <s v="Reiwa 4"/>
    <s v="Tawada, Yōko"/>
    <s v="多和田葉子 ^"/>
    <s v="n/a"/>
    <s v="n/a"/>
    <x v="8"/>
    <x v="0"/>
    <s v="n/a"/>
    <s v="n/a"/>
    <s v="Ocean travel -- Fiction ^ Languages, Artificial -- Fiction ^ Languages, Artificial ^ Ocean travel ^ Fiction"/>
    <s v="0"/>
    <m/>
    <m/>
  </r>
  <r>
    <s v="8/31/2023"/>
    <s v="n"/>
    <s v="adam.lisbon@colorado.edu"/>
    <s v="n"/>
    <s v="n"/>
    <s v="JPT"/>
    <m/>
    <s v="https://jptbooknews.jptco.co.jp/product/JPTB2307-0056"/>
    <x v="1"/>
    <s v="n/a"/>
    <m/>
    <m/>
    <s v="n/a"/>
    <s v="n"/>
    <s v="n"/>
    <s v="n"/>
    <m/>
    <n v="9784130561273"/>
    <s v="4130561278"/>
    <n v="1388236245"/>
    <s v="Japanese"/>
    <s v="UZBEK MIGRANTS and JAPANESE SOCIETY"/>
    <s v="Uzubeku imin to nihon shakai"/>
    <s v="ウズベク移民と日本社会"/>
    <x v="0"/>
    <s v="Reiwa 5"/>
    <s v="Sonoda, Shigeto"/>
    <s v="DadabaevTimur ^ 編者 園田茂人 ^ 編者"/>
    <s v="n/a"/>
    <s v="n/a"/>
    <x v="24"/>
    <x v="0"/>
    <s v="n/a"/>
    <s v="n/a"/>
    <s v="ウズベキスタン人 (日本在留) ^ Uzubekisutanjin (Nihon zairyu)"/>
    <n v="42.172399999999996"/>
    <s v="jpy"/>
    <n v="6200"/>
  </r>
  <r>
    <s v="8/31/2023"/>
    <s v="n"/>
    <s v="adam.lisbon@colorado.edu"/>
    <s v="n"/>
    <s v="n"/>
    <s v="JPT"/>
    <m/>
    <s v="https://www.amazon.co.jp/dp/4469012920"/>
    <x v="2"/>
    <s v="n/a"/>
    <m/>
    <m/>
    <s v="n/a"/>
    <s v="n"/>
    <s v="n"/>
    <s v="n"/>
    <m/>
    <n v="9784469012927"/>
    <s v="4469012920"/>
    <n v="1392436938"/>
    <s v="Japanese"/>
    <s v="Tea Ceremony Bilingual Dictionary - ChatGPT translation"/>
    <s v="Chadō bairingaru jiten"/>
    <s v="茶道バイリンガル事典"/>
    <x v="0"/>
    <s v="Reiwa 5"/>
    <s v="Okamoto, Kōichi ^ Lowe, Viviane"/>
    <s v="岡本浩一 ^ ヴィヴィアン・ロウ"/>
    <s v="n/a"/>
    <s v="n/a"/>
    <x v="48"/>
    <x v="15"/>
    <s v="n/a"/>
    <s v="n/a"/>
    <s v="茶道-辞典 ^ Chadō-Jiten"/>
    <n v="187.05500000000001"/>
    <s v="jpy"/>
    <n v="27500"/>
  </r>
  <r>
    <s v="8/31/2023"/>
    <s v="n"/>
    <s v="adam.lisbon@colorado.edu"/>
    <s v="n"/>
    <s v="n"/>
    <s v="JPT"/>
    <m/>
    <s v="https://jptbooknews.jptco.co.jp/product?q=9784469222791"/>
    <x v="2"/>
    <s v="n/a"/>
    <m/>
    <m/>
    <s v="n/a"/>
    <s v="n"/>
    <s v="n"/>
    <s v="n"/>
    <m/>
    <n v="9784469222791"/>
    <s v="4469222798"/>
    <n v="1392437335"/>
    <s v="Japanese"/>
    <s v="Dictionary of Rude Language - ChatGPT translation"/>
    <s v="Bureigo jiten"/>
    <s v="無礼語辞典"/>
    <x v="0"/>
    <s v="Reiwa 5"/>
    <s v="Sekine, Ken'ichi ^ Taishūkan shoten"/>
    <s v="関根健一 ^ 大修館書店"/>
    <s v="n/a"/>
    <s v="n/a"/>
    <x v="48"/>
    <x v="15"/>
    <s v="n/a"/>
    <s v="n/a"/>
    <s v="日本語-類語-辞典 ^ Nihongo-Ruigo-Jiten"/>
    <n v="12.243599999999999"/>
    <s v="jpy"/>
    <n v="1800"/>
  </r>
  <r>
    <s v="8/31/2023"/>
    <s v="n"/>
    <s v="adam.lisbon@colorado.edu"/>
    <s v="n"/>
    <s v="n"/>
    <s v="JPT"/>
    <s v="about to be published"/>
    <s v="https://www.amazon.co.jp/dp/4642039279"/>
    <x v="1"/>
    <s v="1"/>
    <m/>
    <m/>
    <s v="2?"/>
    <s v="n"/>
    <s v="n"/>
    <s v="n"/>
    <m/>
    <n v="9784642039277"/>
    <s v="4642039279"/>
    <s v="n/a"/>
    <s v="Japanese"/>
    <s v="Modern Japanese Media I: 1868-1918 - ChatGPT translation"/>
    <s v="Kindai Nihon Mediashi I: 1869-1918"/>
    <s v="近代日本メデイア I :1868-1918"/>
    <x v="0"/>
    <s v="Reiwa 5"/>
    <s v="Ariyama, Teruo"/>
    <s v="有山輝雄"/>
    <s v="n/a"/>
    <s v="n/a"/>
    <x v="9"/>
    <x v="9"/>
    <s v="n/a"/>
    <s v="n/a"/>
    <s v="n/a"/>
    <n v="40.471899999999998"/>
    <s v="jpy"/>
    <n v="5950"/>
  </r>
  <r>
    <s v="8/23/2023"/>
    <s v="rush"/>
    <s v="marjorie.burge@colorado.edu"/>
    <s v="y"/>
    <s v="y"/>
    <s v="Panmun"/>
    <m/>
    <s v="n/a"/>
    <x v="1"/>
    <s v="1"/>
    <m/>
    <m/>
    <s v="2"/>
    <s v="n/a"/>
    <s v="n"/>
    <s v="n"/>
    <m/>
    <s v="n/a"/>
    <s v="n/a"/>
    <n v="1304835164"/>
    <s v="Korean"/>
    <s v="Silla Script Materials - ChatGPT translation"/>
    <s v="Silla muncha charyo"/>
    <s v="新羅 文字 資料"/>
    <x v="46"/>
    <s v="n/a"/>
    <s v="Kungnip Kyŏngju Pangmulgwan"/>
    <s v="국립 경주 박물관"/>
    <s v="n/a"/>
    <s v="n/a"/>
    <x v="49"/>
    <x v="0"/>
    <s v="n/a"/>
    <s v="n/a"/>
    <s v="Inscriptions, Korean -- Korea -- History ^ Writing -- Korea -- History -- To 1500 ^ Written communication -- Korea -- History -- To 1500 ^ Antiquities ^ Inscriptions, Korean ^ Writing ^ Written communication ^ History ^ To 1500 ^ 新羅 (Kingdom); Antiquities ^ Silla (Kingdom) -- Antiquities ^ Asia -- Silla (Kingdom) ^ Korea"/>
    <s v="0"/>
    <m/>
    <m/>
  </r>
  <r>
    <s v="8/23/2023"/>
    <s v="rush"/>
    <s v="marjorie.burge@colorado.edu"/>
    <s v="y"/>
    <s v="y"/>
    <s v="JPT"/>
    <m/>
    <s v="https://jptbooknews.jptco.co.jp/product?q=9784886218421"/>
    <x v="1"/>
    <s v="n/a"/>
    <m/>
    <m/>
    <s v="n/a"/>
    <s v="n"/>
    <s v="n"/>
    <s v="n"/>
    <m/>
    <n v="9784886218421"/>
    <s v="4886218423"/>
    <n v="1159374534"/>
    <s v="Japanese"/>
    <s v="Naniwa Palace and Ancient Capitals - ChatGPT translation"/>
    <s v="Naniwa no Miya to kodai tojō"/>
    <s v="難波宮と古代都城"/>
    <x v="40"/>
    <s v="Reiwa 2"/>
    <s v="Nakao, Yoshiharu"/>
    <s v="中尾芳治 ^"/>
    <s v="n/a"/>
    <s v="n/a"/>
    <x v="50"/>
    <x v="0"/>
    <s v="n/a"/>
    <s v="n/a"/>
    <s v="難波宮.; 都城 ^ City planning -- Japan -- History -- To 1500 ^ Capitals (Cities) ^ City planning ^ Naniwanomiya ^ Tojō ^ 難波宮 (Osaka, Japan) ^ Naniwa Kyū (Osaka, Japan) ^ Naniwa Kyū (Osaka, Japan) ^ History ^ To 1500 ^ Japan -- Capital and capitol ^ Japan ^ Japan -- Capital and capitol -- History -- To 1500"/>
    <n v="149.64400000000001"/>
    <s v="jpy"/>
    <n v="22000"/>
  </r>
  <r>
    <s v="8/17/2023"/>
    <s v="n"/>
    <s v="janice.c.brown@colorado.edu"/>
    <s v="n"/>
    <s v="n"/>
    <s v="JPT"/>
    <s v="can only buy volumes 16-30, recorded here to track price, ISBN is for volume 16"/>
    <s v="https://www.amazon.co.jp/dp/4843337668"/>
    <x v="2"/>
    <s v="16"/>
    <m/>
    <m/>
    <s v="30"/>
    <s v="n"/>
    <s v="n"/>
    <s v="n"/>
    <m/>
    <n v="9784843337660"/>
    <s v="4843337668"/>
    <n v="758872436"/>
    <s v="Japanese"/>
    <s v="n/a"/>
    <s v="Korekushon toshi modanizumu shishi"/>
    <s v="コレクション・都市モダニズム詩誌"/>
    <x v="47"/>
    <s v="n/a"/>
    <s v="Wada, Hirofumi"/>
    <s v="和田博文 ^"/>
    <s v="n/a"/>
    <s v="n/a"/>
    <x v="51"/>
    <x v="42"/>
    <s v="n/a"/>
    <s v="n/a"/>
    <s v="日本詩歌 ^ Japanese poetry -- Shōwa period, 1926-1989 ^ Japanese poetry -- Shōwa period ^ 1926-1989"/>
    <n v="2244.66"/>
    <s v="jpy"/>
    <n v="330000"/>
  </r>
  <r>
    <s v="8/15/2023"/>
    <s v="rush"/>
    <s v="keller.kimbrough@colorado.edu"/>
    <s v="n"/>
    <s v="n"/>
    <s v="JPT"/>
    <s v="will be used for class, but can be shelved in ASNREF. 4 of 7 volumes published so far"/>
    <s v="https://jptbooknews.jptco.co.jp/product/JPTB2005-0222"/>
    <x v="2"/>
    <s v="1"/>
    <m/>
    <m/>
    <s v="7"/>
    <s v="n"/>
    <s v="n"/>
    <s v="n"/>
    <m/>
    <n v="9784792414597"/>
    <s v="4792414598"/>
    <n v="1252628583"/>
    <s v="Japanese"/>
    <s v="n/a"/>
    <s v="Nihon setsuwa sakuin"/>
    <s v="日本說話索引: あ-かか"/>
    <x v="48"/>
    <s v="Reiwa 2-"/>
    <s v="Setsuwa to Setsuwa Bungaku no Kai"/>
    <s v="說話と說話文学の会"/>
    <s v="n/a"/>
    <s v="n/a"/>
    <x v="52"/>
    <x v="43"/>
    <s v="n/a"/>
    <s v="n/a"/>
    <s v="說話文学-索引 ^ Folk literature, Japanese ^ Tales -- Japan -- Indexes ^ Legends -- Japan -- Indexes ^ Folk literature, Japanese ^ Legends ^ Tales ^ Setsuwa bungaku-Sakuin ^ Index ^ indexes (reference sources) ^ Indexes ^ Indexes ^ Index ^ Japan"/>
    <n v="149.64400000000001"/>
    <s v="jpy"/>
    <n v="22000"/>
  </r>
  <r>
    <s v="8/15/2023"/>
    <s v="rush"/>
    <s v="keller.kimbrough@colorado.edu"/>
    <s v="n"/>
    <s v="n"/>
    <s v="JPT"/>
    <s v="will be used for class, but can be shelved in ASNREF. 4 of 7 volumes published so far"/>
    <s v="https://www.amazon.co.jp/dp/4792414601"/>
    <x v="2"/>
    <s v="2"/>
    <m/>
    <m/>
    <s v="7"/>
    <s v="n"/>
    <s v="n"/>
    <s v="n"/>
    <m/>
    <n v="9784792414603"/>
    <s v="4792414601"/>
    <n v="1252628583"/>
    <s v="Japanese"/>
    <s v="n/a"/>
    <s v="Nihon setsuwa sakuin"/>
    <s v="日本說話索引: かき-こうひ"/>
    <x v="48"/>
    <s v="Reiwa 2-"/>
    <s v="Setsuwa to Setsuwa Bungaku no Kai"/>
    <s v="說話と說話文学の会"/>
    <s v="n/a"/>
    <s v="n/a"/>
    <x v="52"/>
    <x v="43"/>
    <s v="n/a"/>
    <s v="n/a"/>
    <s v="說話文学-索引 ^ Folk literature, Japanese ^ Tales -- Japan -- Indexes ^ Legends -- Japan -- Indexes ^ Folk literature, Japanese ^ Legends ^ Tales ^ Setsuwa bungaku-Sakuin ^ Index ^ indexes (reference sources) ^ Indexes ^ Indexes ^ Index ^ Japan"/>
    <n v="145.56280000000001"/>
    <s v="jpy"/>
    <n v="21400"/>
  </r>
  <r>
    <s v="8/15/2023"/>
    <s v="rush"/>
    <s v="keller.kimbrough@colorado.edu"/>
    <s v="n"/>
    <s v="n"/>
    <s v="JPT"/>
    <s v="will be used for class, but can be shelved in ASNREF. 4 of 7 volumes published so far"/>
    <s v="https://www.amazon.co.jp/%E6%97%A5%E6%9C%AC%E8%AA%AC%E8%A9%B1%E7%B4%A2%E5%BC%95-%E3%81%8B%E3%81%8D-%E3%81%93%E3%81%86%E3%81%B2-%E7%AC%AC%E4%BA%8C%E5%B7%BB-%E8%AA%AC%E8%A9%B1%E3%81%A8%E8%AA%AC%E8%A9%B1%E6%96%87%E5%AD%A6%E3%81%AE%E4%BC%9A/dp/4792414601/ref=d_pd_sim_sccl_1_1/356-6430276-9171932?pd_rd_w=CgiRO&amp;content-id=amzn1.sym.2d758e85-569e-4f76-89c5-c3b108d7fbaf&amp;pf_rd_p=2d758e85-569e-4f76-89c5-c3b108d7fbaf&amp;pf_rd_r=4DJKG68D5WB58A7YP4VA&amp;pd_rd_wg=dgvi8&amp;pd_rd_r=3aee8cab-7c48-42f4-b9bb-2aedfb0210b8&amp;pd_rd_i=4792414601&amp;psc=1"/>
    <x v="2"/>
    <s v="3"/>
    <m/>
    <m/>
    <s v="7"/>
    <s v="n"/>
    <s v="n"/>
    <s v="n"/>
    <m/>
    <n v="9784792414610"/>
    <s v="479241461X"/>
    <n v="1252628583"/>
    <s v="Japanese"/>
    <s v="n/a"/>
    <s v="Nihon setsuwa sakuin"/>
    <s v="日本說話索引: こうふ-しゅ"/>
    <x v="48"/>
    <s v="Reiwa 2-"/>
    <s v="Setsuwa to Setsuwa Bungaku no Kai"/>
    <s v="說話と說話文学の会"/>
    <s v="n/a"/>
    <s v="n/a"/>
    <x v="52"/>
    <x v="43"/>
    <s v="n/a"/>
    <s v="n/a"/>
    <s v="說話文学-索引 ^ Folk literature, Japanese ^ Tales -- Japan -- Indexes ^ Legends -- Japan -- Indexes ^ Folk literature, Japanese ^ Legends ^ Tales ^ Setsuwa bungaku-Sakuin ^ Index ^ indexes (reference sources) ^ Indexes ^ Indexes ^ Index ^ Japan"/>
    <n v="145.56280000000001"/>
    <s v="jpy"/>
    <n v="21400"/>
  </r>
  <r>
    <s v="8/15/2023"/>
    <s v="rush"/>
    <s v="keller.kimbrough@colorado.edu"/>
    <s v="n"/>
    <s v="n"/>
    <s v="JPT"/>
    <s v="Coming out August 25th"/>
    <s v="https://www.amazon.co.jp/dp/4792414628"/>
    <x v="2"/>
    <s v="4"/>
    <m/>
    <m/>
    <s v="7"/>
    <s v="n"/>
    <s v="n"/>
    <s v="n"/>
    <m/>
    <n v="9784792414627"/>
    <s v="4792414628"/>
    <s v="n/a"/>
    <s v="Japanese"/>
    <s v="n/a"/>
    <s v="Nihon setsuwa sakuin"/>
    <s v="日本說話索引: しよ~ちゆ"/>
    <x v="48"/>
    <s v="Reiwa 2-"/>
    <s v="Setsuwa to Setsuwa Bungaku no Kai"/>
    <s v="說話と說話文学の会"/>
    <s v="n/a"/>
    <s v="n/a"/>
    <x v="52"/>
    <x v="43"/>
    <s v="n/a"/>
    <s v="n/a"/>
    <s v="說話文学-索引 ^ Folk literature, Japanese ^ Tales -- Japan -- Indexes ^ Legends -- Japan -- Indexes ^ Folk literature, Japanese ^ Legends ^ Tales ^ Setsuwa bungaku-Sakuin ^ Index ^ indexes (reference sources) ^ Indexes ^ Indexes ^ Index ^ Japan"/>
    <n v="164.60839999999999"/>
    <s v="jpy"/>
    <n v="24200"/>
  </r>
  <r>
    <s v="7/17/2023"/>
    <s v="n"/>
    <s v="janice.c.brown@colorado.edu"/>
    <s v="n"/>
    <s v="n"/>
    <s v="JPT"/>
    <m/>
    <s v="https://www.amazon.com/dp/0852442556"/>
    <x v="0"/>
    <s v="n/a"/>
    <m/>
    <m/>
    <s v="n/a"/>
    <s v="n"/>
    <s v="n"/>
    <s v="n"/>
    <m/>
    <n v="9780852442555"/>
    <s v="0852442556"/>
    <n v="32971390"/>
    <s v="English"/>
    <s v="n/a"/>
    <s v="The poems of Nakahara Chūya"/>
    <s v="n/a"/>
    <x v="49"/>
    <s v="n/a"/>
    <s v="Nakahara, Chūya ^ Mackintosh, Paul St. John ^ Sugiyama, Maki"/>
    <s v="n/a"/>
    <s v="n/a"/>
    <s v="n/a"/>
    <x v="53"/>
    <x v="0"/>
    <s v="n/a"/>
    <s v="n/a"/>
    <s v="18.87 Japanese language and literature ^ Nakahara, Chūya -- Translations into English ^ Nakahara, Chūya ^ Translations ^ Translations (form) ^ Poems (texts)"/>
    <n v="0"/>
    <s v="usd"/>
    <m/>
  </r>
  <r>
    <s v="7/17/2023"/>
    <s v="n"/>
    <s v="janice.c.brown@colorado.edu"/>
    <s v="n"/>
    <s v="n"/>
    <s v="JPT"/>
    <s v="We have a 1970 edition. But let's try to obtain the 1959 one."/>
    <s v="n/a"/>
    <x v="0"/>
    <s v="n/a"/>
    <m/>
    <m/>
    <s v="n/a"/>
    <s v="n/a"/>
    <s v="n"/>
    <s v="n"/>
    <m/>
    <s v="n/a"/>
    <s v="n/a"/>
    <n v="154319311"/>
    <s v="English"/>
    <s v="n/a"/>
    <s v="The Hiroshima panels of Iri Maruki and Toshiko Maruki"/>
    <s v="n/a"/>
    <x v="50"/>
    <s v="n/a"/>
    <s v="Maruki, Iri ^ Maruki, Toshi"/>
    <s v="n/a"/>
    <s v="n/a"/>
    <s v="n/a"/>
    <x v="54"/>
    <x v="0"/>
    <s v="n/a"/>
    <s v="n/a"/>
    <s v="Painting, Japanese -- 20th century -- Exhibitions ^ World War, 1939-1945 -- Japan -- Hiroshima-shi -- Art and the war -- Exhibitions ^ Painting, Japanese ^ Maruki, Iri, 1901-1995 -- Exhibitions ^ Maruki, Toshi, 1912-2000 -- Exhibitions ^ Maruki, Iri, 1901-1995 ^ Maruki, Toshi, 1912-2000 ^ Exhibition catalogs ^ Exhibition, pictorial works ^ History ^ 1900-1999 ^ Hiroshima-shi (Japan) -- In art -- Exhibitions ^ Hiroshima-shi (Japan) -- History -- Bombardment, 1945 -- Pictorial works -- Exhibitions ^ Japan -- Hiroshima-shi"/>
    <n v="0"/>
    <s v="usd"/>
    <m/>
  </r>
  <r>
    <s v="7/17/2023"/>
    <s v="n"/>
    <s v="janice.c.brown@colorado.edu"/>
    <s v="n"/>
    <s v="n"/>
    <s v="JPT"/>
    <m/>
    <s v="https://www.amazon.com/dp/4845700875"/>
    <x v="1"/>
    <s v="n/a"/>
    <m/>
    <m/>
    <s v="n/a"/>
    <s v="n"/>
    <s v="n"/>
    <s v="n"/>
    <m/>
    <n v="9784845700875"/>
    <s v="4845700875"/>
    <n v="11132992"/>
    <s v="Japanese"/>
    <s v="Dramatic Renaissance: Contemporary Theater Speaks - ChatGPT translation"/>
    <s v="Gekiteki runessansu: gendai engeki wa kataru"/>
    <s v="劇的ルネッサンス: 現代演劇は語る"/>
    <x v="5"/>
    <s v="Shōwa 58"/>
    <s v="Senda, Akihiko"/>
    <s v="扇田昭彦"/>
    <s v="n/a"/>
    <s v="n/a"/>
    <x v="55"/>
    <x v="44"/>
    <s v="Shohan"/>
    <s v="初版"/>
    <s v="Theater -- Japan -- Interviews ^ Japanese drama -- 20th century -- History and criticism ^ Theatrical producers and directors -- Japan -- Interviews ^ Dramatists, Japanese -- 20th century -- Interviews ^ Actors -- Japan -- Interviews ^ Actors ^ Dramatists, Japanese ^ Japanese drama ^ Theater ^ Theatrical producers and directors ^ Criticism, interpretation, etc ^ Interviews ^ 1900-1999 ^ Japan"/>
    <n v="26.52"/>
    <s v="usd"/>
    <n v="26.52"/>
  </r>
  <r>
    <s v="7/17/2023"/>
    <s v="n"/>
    <s v="janice.c.brown@colorado.edu"/>
    <s v="n"/>
    <s v="n"/>
    <s v="JPT"/>
    <m/>
    <s v="https://www.amazon.co.jp/%E5%AF%BA%E5%B1%B1%E4%BF%AE%E5%8F%B8%E3%81%AE%E4%B8%96%E7%95%8C-%E9%A2%A8%E9%A6%AC%E3%81%AE%E4%BC%9A/dp/4915252051/ref=sr_1_1?keywords=%E5%AF%BA%E5%B1%B1%E4%BF%AE%E5%8F%B8%E3%81%AE%E4%B8%96%E7%95%8C&amp;qid=1691618608&amp;s=books&amp;sr=1-1"/>
    <x v="1"/>
    <s v="n/a"/>
    <m/>
    <m/>
    <s v="n/a"/>
    <s v="n/a"/>
    <s v="n"/>
    <s v="n"/>
    <m/>
    <s v="n/a"/>
    <s v="n/a"/>
    <n v="15405836"/>
    <s v="Japanese"/>
    <s v="The World of Terayama Shūji - ChatGPT translation"/>
    <s v="Terayama Shūji no sekai"/>
    <s v="寺山修司の世界"/>
    <x v="5"/>
    <s v="Shōwa 58"/>
    <s v="Terayama, Shūji"/>
    <s v="寺山修二 ^ Works ^ Selections ^ 1983"/>
    <s v="n/a"/>
    <s v="n/a"/>
    <x v="56"/>
    <x v="45"/>
    <s v="Shohan"/>
    <s v="初版"/>
    <s v="Authors, Japanese -- 20th century -- Biography ^ Theatrical producers and directors -- Japan -- Biography ^ Authors, Japanese ^ Theatrical producers and directors ^ 寺山修司, 1936-1983 ^ Terayama, Shūji, 1936-1983 ^ Terayama, Shūji, 1936-1983 ^ Biographies ^ 1900-1999 ^ Japan"/>
    <n v="5.9653539999999996"/>
    <s v="jpy"/>
    <n v="877"/>
  </r>
  <r>
    <s v="7/17/2023"/>
    <s v="n"/>
    <s v="faye.kleeman@colorado.edu"/>
    <s v="n"/>
    <s v="n"/>
    <s v="?"/>
    <s v="Currently print on demand, actively purchase"/>
    <s v="n/a"/>
    <x v="0"/>
    <s v="1460"/>
    <m/>
    <m/>
    <s v="n/a"/>
    <s v="https://libcat.colorado.edu/Record/b10840320"/>
    <s v="https://libcat.colorado.edu/Record/b10840320"/>
    <s v="n"/>
    <m/>
    <n v="9780811228855"/>
    <s v="0811228851"/>
    <n v="1100424643"/>
    <s v="English"/>
    <s v="n/a"/>
    <s v="The factory"/>
    <s v="n/a"/>
    <x v="2"/>
    <s v="n/a"/>
    <s v="Oyamada, Hiroko ^ Oyamada, Hiroko ^ Boyd, David"/>
    <s v="n/a"/>
    <s v="New directions paperbook ; 1460"/>
    <s v="n/a"/>
    <x v="57"/>
    <x v="0"/>
    <s v="n/a"/>
    <s v="n/a"/>
    <s v="Factories -- Employees -- Fiction ^ Industrial relations -- Fiction ^ Hallucinations and illusions -- Fiction ^ Animals -- Juvenile fiction ^ Usines -- Personnel -- Romans, nouvelles, etc ^ Relations industrielles -- Romans, nouvelles, etc ^ Factories -- Employees ^ Hallucinations and illusions ^ Industrial relations ^ Psychological fiction ^ Satirical literature ^ Humorous fiction ^ Fiction ^ Psychological fiction ^ Psychological fiction ^ Satirical literature ^ Japan -- Fiction ^ Japan"/>
    <n v="0"/>
    <s v="usd"/>
    <m/>
  </r>
  <r>
    <s v="7/17/2023"/>
    <s v="n"/>
    <s v="janice.c.brown@colorado.edu"/>
    <s v="n"/>
    <s v="n"/>
    <s v="JPT"/>
    <m/>
    <s v="https://www.kosho.or.jp/products/detail.php?product_id=482410798"/>
    <x v="1"/>
    <s v="n/a"/>
    <m/>
    <m/>
    <s v="4"/>
    <s v="n"/>
    <s v="n"/>
    <s v="n"/>
    <m/>
    <s v="n/a"/>
    <s v="n/a"/>
    <n v="17079990"/>
    <s v="Japanese"/>
    <s v="The Complete Works of Takahashi Shinkichi - ChatGPT translation"/>
    <s v="Takahashi Shinkichi zenshū"/>
    <s v="高橋新吉全集"/>
    <x v="51"/>
    <s v="Shōwa 57"/>
    <s v="Takahashi, Shinkichi"/>
    <s v="高橋新吉"/>
    <s v="n/a"/>
    <s v="n/a"/>
    <x v="58"/>
    <x v="46"/>
    <s v="n/a"/>
    <s v="n/a"/>
    <s v="n/a"/>
    <n v="190.45599999999999"/>
    <s v="jpy"/>
    <n v="28000"/>
  </r>
  <r>
    <s v="7/17/2023"/>
    <s v="n"/>
    <s v="janice.c.brown@colorado.edu"/>
    <s v="n"/>
    <s v="n"/>
    <s v="JPT"/>
    <s v="Rare and likely hard to obtain. Also pursuing a 2019 edition."/>
    <s v="n/a"/>
    <x v="1"/>
    <s v="n/a"/>
    <m/>
    <m/>
    <s v="n/a"/>
    <s v="n/a"/>
    <s v="n"/>
    <s v="n"/>
    <m/>
    <s v="n/a"/>
    <s v="n/a"/>
    <n v="123368166"/>
    <s v="Japanese"/>
    <s v="n/a"/>
    <s v="Genbaku no zu"/>
    <s v="原爆の図"/>
    <x v="52"/>
    <s v="Shōwa 27"/>
    <s v="Maruki, Iri ^ Maruki, Toshi"/>
    <s v="丸木位里 ^ 赤松俊子"/>
    <s v="Aoki bunko"/>
    <s v="青木文庫"/>
    <x v="59"/>
    <x v="47"/>
    <s v="n/a"/>
    <s v="n/a"/>
    <s v="World War, 1939-1945 ^ Guerre mondiale, 1939-1945 ^ 1939-1945"/>
    <n v="0"/>
    <s v="jpy"/>
    <m/>
  </r>
  <r>
    <s v="7/17/2023"/>
    <s v="n"/>
    <s v="faye.kleeman@colorado.edu"/>
    <s v="n"/>
    <s v="n"/>
    <s v="JPT"/>
    <m/>
    <s v="https://www.amazon.co.jp/dp/4103336412"/>
    <x v="1"/>
    <s v="n/a"/>
    <m/>
    <m/>
    <s v="n/a"/>
    <s v="n"/>
    <s v="https://libcat.colorado.edu/Record/b10859423"/>
    <s v="n"/>
    <m/>
    <n v="9784103336419"/>
    <s v="4103336412"/>
    <n v="834048755"/>
    <s v="Japanese"/>
    <s v="Factory - ChatGPT translation"/>
    <s v="Kōjō"/>
    <s v="工場"/>
    <x v="33"/>
    <s v="Heisei 25"/>
    <s v="Oyamada, Hiroko"/>
    <s v="小山田浩子"/>
    <s v="n/a"/>
    <s v="n/a"/>
    <x v="60"/>
    <x v="48"/>
    <s v="n/a"/>
    <s v="n/a"/>
    <s v="Japanese fiction ^ Labor -- Fiction ^ Tropical fish -- Fiction ^ Hallucinations and illusions -- Fiction ^ Travail -- Romans, nouvelles, etc ^ Poissons tropicaux -- Romans, nouvelles, etc ^ Hallucinations and illusions ^ Japanese fiction ^ Labor ^ Tropical fish ^ short stories ^ Short stories ^ Fiction ^ Short stories ^ Nouvelles"/>
    <n v="0"/>
    <s v="jpy"/>
    <m/>
  </r>
  <r>
    <s v="7/17/2023"/>
    <s v="n"/>
    <s v="faye.kleeman@colorado.edu"/>
    <s v="n"/>
    <s v="n"/>
    <s v="?"/>
    <s v="Cuurently prent on deman, actively purchase"/>
    <s v="n/a"/>
    <x v="0"/>
    <s v="n/a"/>
    <m/>
    <m/>
    <s v="n/a"/>
    <s v="https://libcat.colorado.edu/Record/b12073449"/>
    <s v="on demand check"/>
    <s v="n"/>
    <m/>
    <n v="9780811228886"/>
    <s v="0811228878"/>
    <n v="1255929342"/>
    <s v="English"/>
    <s v="n/a"/>
    <s v="The hole"/>
    <s v="n/a"/>
    <x v="40"/>
    <s v="Reiwa 2"/>
    <s v="Oyamada, Hiroko ^ Boyd, David ^ Oyamada, Hiroko"/>
    <s v="n/a"/>
    <s v="New directions paperbook"/>
    <s v="n/a"/>
    <x v="61"/>
    <x v="0"/>
    <s v="n/a"/>
    <s v="n/a"/>
    <s v="Relations entre hommes et femmes -- Romans, nouvelles, etc ^ Vie rurale -- Romans, nouvelles, etc ^ Monstres -- Romans, nouvelles, etc ^ Domestic fiction ^ Psychological fiction ^ Psychological fiction ^ Domestic fiction ^ Romans psychologiques ^ Romans familiaux"/>
    <n v="0"/>
    <s v="usd"/>
    <m/>
  </r>
  <r>
    <s v="7/17/2023"/>
    <s v="n"/>
    <s v="janice.c.brown@colorado.edu"/>
    <s v="n"/>
    <s v="n"/>
    <s v="JPT"/>
    <m/>
    <s v="https://www.amazon.co.jp/dp/4389401238"/>
    <x v="1"/>
    <s v="n/a"/>
    <m/>
    <m/>
    <s v="n/a"/>
    <s v="n"/>
    <s v="n"/>
    <s v="n"/>
    <m/>
    <n v="9784389401238"/>
    <s v="4389401238"/>
    <n v="1035559513"/>
    <s v="Japanese"/>
    <s v="Fumiko Hayashi - ChatGPT translation"/>
    <s v="Hayashi Fumiko"/>
    <s v="林芙美子"/>
    <x v="38"/>
    <s v="Heisei 30"/>
    <s v="Endo, Mitsuhiko ^ Fukuda, Kiyoto"/>
    <s v="遠藤充彦 福田清人"/>
    <s v="Senchuri bukkusu"/>
    <s v="Century Books. 人と作品"/>
    <x v="24"/>
    <x v="49"/>
    <s v="n/a"/>
    <s v="n/a"/>
    <s v="林, 芙美子, 1904-1951 ^ Hayashi, Fumiko, 1904-1951"/>
    <n v="8.9786400000000004"/>
    <s v="jpy"/>
    <n v="1320"/>
  </r>
  <r>
    <s v="7/17/2023"/>
    <s v="n"/>
    <s v="janice.c.brown@colorado.edu"/>
    <s v="n"/>
    <s v="n"/>
    <s v="JPT"/>
    <m/>
    <s v="https://www.kosho.or.jp/products/list.php?&amp;mode=search&amp;search_only_has_stock=1&amp;search_word=%E5%88%A5%E5%BD%B9%E5%AE%9F%E3%81%AE%E3%82%B3%E3%83%B3%E3%83%88%E6%95%8E%E5%AE%A4:%20%E4%B8%8D%E6%9D%A1%E7%90%86%E3%81%AA%E7%AC%91%E3%81%84%E3%81%B8%E3%81%AE%E3%83%AC%E3%83%83%E3%82%B9%E3%83%B3"/>
    <x v="1"/>
    <s v="n/a"/>
    <m/>
    <m/>
    <s v="n/a"/>
    <s v="n"/>
    <s v="n"/>
    <s v="n"/>
    <m/>
    <n v="9784560035795"/>
    <s v="4560035792"/>
    <n v="1099568970"/>
    <s v="Japanese"/>
    <s v="Betsuyaku Minoru's Comedy Classroom: Lessons in Absurd Laughter - ChatGPT translation"/>
    <s v="Betsuyaku Minoru no konto kyōshitsu: fujōri na warai e no ressun"/>
    <s v="別役実のコント敎室: 不条理な笑いへのレッスン"/>
    <x v="19"/>
    <s v="Heisei 15"/>
    <s v="Betsuyaku, Minoru"/>
    <s v="別役実"/>
    <s v="n/a"/>
    <s v="n/a"/>
    <x v="62"/>
    <x v="50"/>
    <s v="n/a"/>
    <s v="n/a"/>
    <s v="Japanese drama (Comedy) ^ Japanese drama (Comedy)"/>
    <n v="8.9786400000000004"/>
    <s v="jpy"/>
    <n v="1320"/>
  </r>
  <r>
    <s v="7/17/2023"/>
    <s v="n"/>
    <s v="adam.lisbon@colorado.edu"/>
    <s v="n"/>
    <s v="n"/>
    <s v="JPT"/>
    <m/>
    <s v="https://jptbooknews.jptco.co.jp/product?q=9784843353653"/>
    <x v="1"/>
    <s v="n/a"/>
    <m/>
    <m/>
    <s v="n/a"/>
    <s v="n"/>
    <s v="n"/>
    <s v="n"/>
    <m/>
    <n v="9784843353653"/>
    <s v="4843353655"/>
    <n v="1134636319"/>
    <s v="Japanese"/>
    <s v="Rediscovering classical Japanese film theory : an anthology"/>
    <s v="Nihon senzen eiga ronshū: eiga riron no saihakken = Rediscovering classical Japanese film theory: an anthology"/>
    <s v="日本戦前映画論集: 映画理論の再発見"/>
    <x v="38"/>
    <s v="Heisei 30"/>
    <s v="Iwamoto, Kenji ^ Gerow, Aaron Andrew ^ Nornes, Markus"/>
    <s v="岩本憲児"/>
    <s v="n/a"/>
    <s v="n/a"/>
    <x v="51"/>
    <x v="42"/>
    <s v="n/a"/>
    <s v="n/a"/>
    <s v="Film criticism -- Japan -- History -- 20th century ^ Motion pictures -- Aesthetics ^ Motion pictures -- Japan -- History -- 20th century ^ Cinéma -- Esthétique ^ Film criticism ^ Motion pictures ^ Motion pictures -- Aesthetics ^ History ^ 1900-1999 ^ Japan"/>
    <n v="32.6496"/>
    <s v="jpy"/>
    <n v="4800"/>
  </r>
  <r>
    <s v="7/17/2023"/>
    <s v="n"/>
    <s v="janice.c.brown@colorado.edu"/>
    <s v="n"/>
    <s v="n"/>
    <s v="JPT"/>
    <s v="Counting error example"/>
    <s v="https://www.amazon.co.jp/%E5%AF%BA%E5%B1%B1%E4%BF%AE%E5%8F%B8%E6%BC%94%E5%8A%87%E8%AB%96%E9%9B%86-%E5%AF%BA%E5%B1%B1-%E4%BF%AE%E5%8F%B8/dp/4772002731/ref=sr_1_2?keywords=%E5%AF%BA%E5%B1%B1%E4%BF%AE%E5%8F%B8%E6%BC%94%E5%8A%87%E8%AB%96%E9%9B%86&amp;qid=1691618528&amp;s=books&amp;sr=1-2"/>
    <x v="1"/>
    <s v="n/a"/>
    <m/>
    <m/>
    <s v="n/a"/>
    <s v="n"/>
    <s v="n"/>
    <s v="n"/>
    <m/>
    <s v="n/a"/>
    <s v="n/a"/>
    <n v="1140735636"/>
    <s v="Japanese"/>
    <s v="Theater Essays by Terayama Shūji - ChatGPT translation"/>
    <s v="Terayama Shūji engeki ronshū"/>
    <s v="寺山修司演劇論集"/>
    <x v="5"/>
    <s v="Shōwa 58"/>
    <s v="Terayama, Shūji"/>
    <s v="寺山修司"/>
    <s v="n/a"/>
    <s v="n/a"/>
    <x v="63"/>
    <x v="51"/>
    <s v="Shohan"/>
    <s v="初版"/>
    <s v="Theater ^ Drama -- 20th century -- History and criticism ^ Théâtre ^ theater (discipline) ^ Theater ^ Drama ^ Criticism, interpretation, etc ^ 1900-1999"/>
    <n v="16.936979999999998"/>
    <s v="jpy"/>
    <n v="2490"/>
  </r>
  <r>
    <s v="7/17/2023"/>
    <s v="n"/>
    <s v="janice.c.brown@colorado.edu"/>
    <s v="n"/>
    <s v="n"/>
    <s v="JPT"/>
    <s v="This is a common version of the book above."/>
    <s v="https://jptbooknews.jptco.co.jp/product?q=9784600002657"/>
    <x v="1"/>
    <s v="n/a"/>
    <m/>
    <m/>
    <s v="n/a"/>
    <s v="n"/>
    <s v="n"/>
    <s v="n"/>
    <m/>
    <n v="9784600002657"/>
    <s v="4600002652"/>
    <n v="1143433597"/>
    <s v="Japanese"/>
    <s v="The Hiroshima panels : the art of Maruki Iri and Maruki Toshi"/>
    <s v="Genbaku no zu: Maruki Iri to Maruki Toshi no geijutsu = The Hiroshima panels: the art of Maruki Iri and Maruki Toshi"/>
    <s v="原爆の図: 丸木位里と丸木俊の芸術"/>
    <x v="2"/>
    <s v="n/a"/>
    <s v="Maruki, Iri ^ Maruki, Toshi ^ Kozawa, Setsuko ^ Okamura, Yukinori ^ Genbaku no Zu Maruki Bijutsukan"/>
    <s v="丸木位里 ^ artist  ^ 丸木俊 ^ artist ^ 小沢節子 ^ writer of added commentary ^ 岡村幸宣 ^ 原爆の図丸木美術館監修, issuing body"/>
    <s v="n/a"/>
    <s v="n/a"/>
    <x v="64"/>
    <x v="0"/>
    <s v="Shohan"/>
    <s v="初版"/>
    <s v="War in art ^ Painting, Japanese -- 20th century ^ Atomic bomb in art ^ Guerre dans l'art ^ Bombe atomique dans l'art ^ Atomic bomb in art ^ Painting, Japanese ^ War in art ^ 丸木位里, 1901-1995. 原爆の図. 丸木俊, 1912-2000. 原爆の図 ^ Maruki, Iri, 1901-1995. Genbaku no zu ^ Maruki, Toshi, 1912-2000. Genbaku no zu ^ Illustrated works ^ Art ^ History ^ Pictorial works ^ Illustrated works ^ 1900-1999 ^ 広島市 (Japan); In art.; 広島市 (Japan); History; Bombardment, 1945; Pictorial works ^ Hiroshima-shi (Japan) -- In art ^ Hiroshima-shi (Japan) -- History -- Bombardment, 1945 -- Pictorial works ^ Nagasaki-shi (Japan) -- History -- Bombardment, 1945 -- Pictorial works ^ Japan -- Hiroshima-shi ^ Japan -- Nagasaki-shi"/>
    <n v="17.685199999999998"/>
    <s v="jpy"/>
    <n v="2600"/>
  </r>
  <r>
    <s v="7/17/2023"/>
    <s v="n"/>
    <s v="catherine.ishida@colorado.edu"/>
    <s v="n"/>
    <s v="n"/>
    <s v="?"/>
    <m/>
    <s v="https://www.amazon.com/dp/1108837050"/>
    <x v="0"/>
    <s v="n/a"/>
    <m/>
    <m/>
    <s v="n/a"/>
    <s v="n"/>
    <s v="n"/>
    <s v="n"/>
    <m/>
    <n v="9781108945547"/>
    <s v="1108837050"/>
    <n v="1346144455"/>
    <s v="English"/>
    <s v="n/a"/>
    <s v="The Cambridge companion to K-pop"/>
    <s v="n/a"/>
    <x v="0"/>
    <s v="Reiwa 5"/>
    <s v="Kim, Suk-Young"/>
    <s v="n/a"/>
    <s v="Cambridge companions to music"/>
    <s v="n/a"/>
    <x v="65"/>
    <x v="0"/>
    <s v="n/a"/>
    <s v="n/a"/>
    <s v="Popular music -- Korea (South) -- History and criticism ^ Sound recording industry -- Korea (South) -- History ^ Popular music -- Production and direction -- Korea (South) ^ Music and transnationalism ^ Music and transnationalism ^ Popular music ^ Sound recording industry ^ Criticism, interpretation, etc ^ History ^ Korea (South)"/>
    <n v="74.040000000000006"/>
    <s v="usd"/>
    <n v="74.040000000000006"/>
  </r>
  <r>
    <s v="7/17/2023"/>
    <s v="n"/>
    <s v="adam.lisbon@colorado.edu"/>
    <s v="n"/>
    <s v="n"/>
    <s v="JPT"/>
    <m/>
    <s v="https://jptbooknews.jptco.co.jp/product?q=9784843362853"/>
    <x v="1"/>
    <s v="n/a"/>
    <m/>
    <m/>
    <s v="n/a"/>
    <s v="n"/>
    <s v="n"/>
    <s v="n"/>
    <m/>
    <n v="9784843362853"/>
    <s v="4843362859"/>
    <n v="1303207653"/>
    <s v="Japanese"/>
    <s v="History of the Development of Japanese Department Store Industry: Understanding Department Store Management through Corporate History - ChatGPT translation"/>
    <s v="Nihon hyakkatengyō hattenshi: kaishashi de miru depāto keiei"/>
    <s v="日本百貨店業発展史: 会社史で見るデパート経営"/>
    <x v="45"/>
    <s v="Reiwa 4"/>
    <s v="Sueta, Tomoki"/>
    <s v="末田智樹"/>
    <s v="n/a"/>
    <s v="n/a"/>
    <x v="51"/>
    <x v="42"/>
    <s v="Shohan"/>
    <s v="初版"/>
    <s v="百貨店-歴史 ^ Department stores -- Japan -- Management -- History ^ Department stores -- Management ^ Hyakkaten-Rekishi ^ History ^ Japan"/>
    <n v="17.685199999999998"/>
    <s v="jpy"/>
    <n v="2600"/>
  </r>
  <r>
    <s v="7/17/2023"/>
    <s v="n"/>
    <s v="adam.lisbon@colorado.edu"/>
    <s v="n"/>
    <s v="n"/>
    <s v="JPT"/>
    <m/>
    <s v="https://jptbooknews.jptco.co.jp/product/JPTB2301-0281"/>
    <x v="1"/>
    <s v="n/a"/>
    <m/>
    <m/>
    <s v="n/a"/>
    <s v="n"/>
    <s v="n"/>
    <s v="n"/>
    <m/>
    <n v="9784087717846"/>
    <s v="4087717844"/>
    <n v="1321064495"/>
    <s v="Japanese"/>
    <s v="THE FRILLED SHARK HOLDS A BOW QUIETLY"/>
    <s v="Rabuka wa shizuka ni yumi o motsu"/>
    <s v="ラブカは静かに弓を持つ"/>
    <x v="45"/>
    <s v="Reiwa 4"/>
    <s v="Adan, Mio"/>
    <s v="安壇美緒 ^ 著者"/>
    <s v="n/a"/>
    <s v="n/a"/>
    <x v="24"/>
    <x v="0"/>
    <s v="n/a"/>
    <s v="n/a"/>
    <s v="n/a"/>
    <n v="1600"/>
    <s v="usd"/>
    <n v="1600"/>
  </r>
  <r>
    <s v="7/17/2023"/>
    <s v="n"/>
    <s v="adam.lisbon@colorado.edu"/>
    <s v="n"/>
    <s v="n"/>
    <s v="JPT"/>
    <m/>
    <s v="https://jptbooknews.jptco.co.jp/product?q=9784093866453"/>
    <x v="1"/>
    <s v="n/a"/>
    <m/>
    <m/>
    <s v="n/a"/>
    <s v="n"/>
    <s v="n"/>
    <s v="n"/>
    <m/>
    <n v="9784093866453"/>
    <s v="4093866457"/>
    <n v="1321948698"/>
    <s v="Japanese"/>
    <s v="Space Rice - ChatGPT translation"/>
    <s v="Sora gohan"/>
    <s v="宙ごはん"/>
    <x v="45"/>
    <s v="Reiwa 4"/>
    <s v="Machida, Sonoko"/>
    <s v="町田そのこ"/>
    <s v="n/a"/>
    <s v="n/a"/>
    <x v="66"/>
    <x v="52"/>
    <s v="n/a"/>
    <s v="n/a"/>
    <s v="Mothers and sons -- Fiction ^ Families -- Fiction ^ Families ^ Mothers and sons ^ Psychological fiction ^ Domestic fiction ^ Japanese language materials ^ Fiction ^ Psychological fiction ^ Domestic fiction"/>
    <n v="10.8832"/>
    <s v="jpy"/>
    <n v="1600"/>
  </r>
  <r>
    <s v="7/17/2023"/>
    <s v="n"/>
    <s v="adam.lisbon@colorado.edu"/>
    <s v="n"/>
    <s v="n"/>
    <s v="JPT"/>
    <m/>
    <s v="https://jptbooknews.jptco.co.jp/product?q=9784103522348"/>
    <x v="1"/>
    <s v="n/a"/>
    <m/>
    <m/>
    <s v="n/a"/>
    <s v="n"/>
    <s v="n"/>
    <s v="n"/>
    <m/>
    <n v="9784103522348"/>
    <s v="4103522348"/>
    <n v="1334363736"/>
    <s v="Japanese"/>
    <s v="#Let Me Tell You the Truth - ChatGPT translation"/>
    <s v="Hasshutagu shinsō o ohanashi shimasu"/>
    <s v="#真相をお話しします"/>
    <x v="45"/>
    <s v="Reiwa 4"/>
    <s v="Yūki, Shin'ichirō"/>
    <s v="結城真一郎"/>
    <s v="n/a"/>
    <s v="n/a"/>
    <x v="60"/>
    <x v="48"/>
    <s v="n/a"/>
    <s v="n/a"/>
    <s v="Short stories, Japanese -- 21st century ^ Short stories, Japanese ^ Short stories ^ Short stories ^ 2000-2099"/>
    <n v="10.543099999999999"/>
    <s v="jpy"/>
    <n v="1550"/>
  </r>
  <r>
    <s v="7/17/2023"/>
    <s v="n"/>
    <s v="evelyn.shih@colorado.edu"/>
    <s v="n"/>
    <s v="n"/>
    <s v="Panmun"/>
    <m/>
    <s v="n/a"/>
    <x v="1"/>
    <s v="n/a"/>
    <m/>
    <m/>
    <s v="n/a"/>
    <s v="n"/>
    <s v="n"/>
    <s v="n"/>
    <m/>
    <n v="9791198216113"/>
    <s v="n/a"/>
    <s v="n/a"/>
    <s v="Korean"/>
    <s v="The Future of Webtoon Content in the Metaverse World - ChatGPT translation"/>
    <s v="Met'abŏsŭ sesang sok wept'un k'ont'ench'ŭ ŭi mirae"/>
    <s v="메타버스 세상 속 웹툰 콘텐츠의 미래"/>
    <x v="1"/>
    <s v="n/a"/>
    <s v="Sŏl, Chi-hyŏng"/>
    <s v="설지형著"/>
    <s v="n/a"/>
    <s v="n/a"/>
    <x v="67"/>
    <x v="53"/>
    <s v="n/a"/>
    <s v="n/a"/>
    <s v="n/a"/>
    <n v="0"/>
    <s v="krw"/>
    <m/>
  </r>
  <r>
    <s v="7/17/2023"/>
    <s v="n"/>
    <s v="evelyn.shih@colorado.edu"/>
    <s v="n"/>
    <s v="n"/>
    <s v="Panmun"/>
    <m/>
    <s v="n/a"/>
    <x v="1"/>
    <s v="n/a"/>
    <m/>
    <m/>
    <s v="n/a"/>
    <s v="n"/>
    <s v="n"/>
    <s v="n"/>
    <m/>
    <n v="9791192365275"/>
    <s v="n/a"/>
    <s v="n/a"/>
    <s v="Korean"/>
    <s v="SF Prism: Geopolitics and Capital of Technology - ChatGPT translation"/>
    <s v="SF p'ŭrijŭm : t'ek'ŭnolloji ŭi chijŏnghak kwa chabon"/>
    <s v="SF 프리즘 : 테크놀로지의 지정학과 자본"/>
    <x v="1"/>
    <s v="n/a"/>
    <s v="Hwang, Ho-dŏk oe"/>
    <s v="황호덕外著"/>
    <s v="Sŏnggyun Han'gugŏ Munhak ch'ongsŏ ; 3"/>
    <s v="성균 한국어문학 총서 ; 3"/>
    <x v="68"/>
    <x v="54"/>
    <s v="n/a"/>
    <s v="n/a"/>
    <s v="n/a"/>
    <n v="0"/>
    <s v="krw"/>
    <m/>
  </r>
  <r>
    <s v="7/17/2023"/>
    <s v="n"/>
    <s v="evelyn.shih@colorado.edu"/>
    <s v="n"/>
    <s v="n"/>
    <s v="Panmun"/>
    <m/>
    <s v="n/a"/>
    <x v="1"/>
    <s v="n/a"/>
    <m/>
    <m/>
    <s v="n/a"/>
    <s v="n"/>
    <s v="n"/>
    <s v="n"/>
    <m/>
    <n v="9791192365268"/>
    <s v="n/a"/>
    <s v="n/a"/>
    <s v="Korean"/>
    <s v="Reading Digitally and Writing with Data: Exploration of Digital Korean Literature - ChatGPT translation"/>
    <s v="Tijit'ŏl ro ilko teit'ŏ ro ssŭda : tijit'ŏl Han'gugŏ munhak ŭi mosaek"/>
    <s v="디지털로 읽고 데이터로 쓰다 : 디지털 한국어문학의 모색"/>
    <x v="1"/>
    <s v="n/a"/>
    <s v="Yu, In-t'ae oe"/>
    <s v="류인태外著"/>
    <s v="Sŏnggyun Han'gugŏ Munhak ch'ongsŏ ; 2"/>
    <s v="성균 한국어문학 총서 ; 2"/>
    <x v="68"/>
    <x v="54"/>
    <s v="n/a"/>
    <s v="n/a"/>
    <s v="n/a"/>
    <n v="0"/>
    <s v="krw"/>
    <m/>
  </r>
  <r>
    <s v="7/17/2023"/>
    <s v="n"/>
    <s v="evelyn.shih@colorado.edu"/>
    <s v="n"/>
    <s v="n"/>
    <s v="Panmun"/>
    <m/>
    <s v="n/a"/>
    <x v="1"/>
    <s v="n/a"/>
    <m/>
    <m/>
    <s v="n/a"/>
    <s v="n"/>
    <s v="n"/>
    <s v="n"/>
    <m/>
    <n v="9788966074556"/>
    <s v="n/a"/>
    <s v="n/a"/>
    <s v="Korean"/>
    <s v="Thermidor 1-5 - ChatGPT translation"/>
    <s v="T'erŭmidorŭ Vol.1-5"/>
    <s v="테르미도르 1-5"/>
    <x v="0"/>
    <s v="n/a"/>
    <s v="Kim, Hye-rin"/>
    <s v="김혜린著"/>
    <s v="n/a"/>
    <s v="n/a"/>
    <x v="69"/>
    <x v="55"/>
    <s v="n/a"/>
    <s v="n/a"/>
    <s v="n/a"/>
    <n v="0"/>
    <s v="krw"/>
    <m/>
  </r>
  <r>
    <s v="7/17/2023"/>
    <s v="n"/>
    <s v="sangbok.kim@colorado.edu"/>
    <s v="n"/>
    <s v="n"/>
    <s v="Panmun"/>
    <m/>
    <s v="n/a"/>
    <x v="1"/>
    <s v="n/a"/>
    <m/>
    <m/>
    <s v="n/a"/>
    <s v="n"/>
    <s v="n"/>
    <s v="n"/>
    <m/>
    <n v="9791197194016"/>
    <s v="n/a"/>
    <s v="n/a"/>
    <s v="Korean"/>
    <s v="Phonetic Symbols of Hunminjeongeum by 108 People - ChatGPT translation"/>
    <s v="108-in ŭi Hunmin Chŏngŭm kŭl moŭm"/>
    <s v="108인의 훈민정음 글모음"/>
    <x v="53"/>
    <s v="n/a"/>
    <s v="Hwang, U-yŏ oe"/>
    <s v="황우여外著"/>
    <s v="n/a"/>
    <s v="n/a"/>
    <x v="70"/>
    <x v="56"/>
    <s v="n/a"/>
    <s v="n/a"/>
    <s v="n/a"/>
    <n v="0"/>
    <s v="krw"/>
    <m/>
  </r>
  <r>
    <s v="7/17/2023"/>
    <s v="n"/>
    <s v="sangbok.kim@colorado.edu"/>
    <s v="n"/>
    <s v="n"/>
    <s v="Panmun"/>
    <m/>
    <s v="n/a"/>
    <x v="1"/>
    <s v="n/a"/>
    <m/>
    <m/>
    <s v="n/a"/>
    <s v="n"/>
    <s v="n"/>
    <s v="n"/>
    <m/>
    <n v="9788930319485"/>
    <s v="n/a"/>
    <s v="n/a"/>
    <s v="Korean"/>
    <s v="n/a"/>
    <s v="Han'gugŏ munpŏp ch'ongnon Vol.1 : kaegwan, ŭmun, hyŏngt'ae, t'ongsa"/>
    <s v="한국어 문법 총론 1 : 개관, 음운, 형태, 통사"/>
    <x v="1"/>
    <s v="n/a"/>
    <s v="Ku, Pon-gwan oe"/>
    <s v="구본관外著"/>
    <m/>
    <m/>
    <x v="71"/>
    <x v="57"/>
    <s v="n/a"/>
    <s v="n/a"/>
    <s v="n/a"/>
    <n v="0"/>
    <s v="krw"/>
    <m/>
  </r>
  <r>
    <s v="7/17/2023"/>
    <s v="n"/>
    <s v="sangbok.kim@colorado.edu"/>
    <s v="n"/>
    <s v="n"/>
    <s v="Panmun"/>
    <m/>
    <s v="n/a"/>
    <x v="1"/>
    <s v="n/a"/>
    <m/>
    <m/>
    <s v="n/a"/>
    <s v="n"/>
    <s v="https://libcat.colorado.edu/Record/b12863766"/>
    <s v="n"/>
    <m/>
    <n v="9791168101388"/>
    <s v="n/a"/>
    <s v="n/a"/>
    <s v="Korean"/>
    <s v="The History of Korean Syllables - ChatGPT translation."/>
    <s v="Kugŏ ŭmjŏl ŭi yŏksa"/>
    <s v="국어 음절의 역사"/>
    <x v="1"/>
    <s v="n/a"/>
    <s v="Sin, Sŭng-yong"/>
    <s v="신승용著"/>
    <s v="Kugŏsa taegye ; 4-3"/>
    <s v="국어사대계 ; 4-3"/>
    <x v="72"/>
    <x v="58"/>
    <s v="n/a"/>
    <s v="n/a"/>
    <s v="n/a"/>
    <n v="0"/>
    <s v="krw"/>
    <m/>
  </r>
  <r>
    <s v="7/17/2023"/>
    <s v="n"/>
    <s v="sangbok.kim@colorado.edu"/>
    <s v="n"/>
    <s v="n"/>
    <s v="Panmun"/>
    <m/>
    <s v="n/a"/>
    <x v="1"/>
    <s v="n/a"/>
    <m/>
    <m/>
    <s v="n/a"/>
    <s v="n"/>
    <s v="https://libcat.colorado.edu/Record/b6586750"/>
    <s v="n"/>
    <m/>
    <n v="9791168101258"/>
    <s v="n/a"/>
    <s v="n/a"/>
    <s v="Korean"/>
    <s v="The History of Korean Derivational Morphology - ChatGPT translation"/>
    <s v="Kugŏ p'asaengpŏp ŭi yŏksa"/>
    <s v="국어 파생법의 역사"/>
    <x v="1"/>
    <s v="n/a"/>
    <s v="Ku, Pon-gwan"/>
    <s v="구본관著"/>
    <s v="Kugŏsa taegye ; 5-1"/>
    <s v="국어사대계 ; 5-1"/>
    <x v="72"/>
    <x v="58"/>
    <s v="n/a"/>
    <s v="n/a"/>
    <s v="n/a"/>
    <n v="0"/>
    <s v="krw"/>
    <m/>
  </r>
  <r>
    <s v="7/17/2023"/>
    <s v="n"/>
    <s v="sangbok.kim@colorado.edu"/>
    <s v="n"/>
    <s v="n"/>
    <s v="Panmun"/>
    <m/>
    <s v="n/a"/>
    <x v="1"/>
    <s v="n/a"/>
    <m/>
    <m/>
    <s v="n/a"/>
    <s v="n"/>
    <s v="https://libcat.colorado.edu/Record/b10706128"/>
    <s v="n"/>
    <m/>
    <n v="9791187812340"/>
    <s v="n/a"/>
    <s v="n/a"/>
    <s v="Korean"/>
    <s v="Our Language Grammar Dictionary: Clear and Correct Writing in Korean, Addressing Confusing and Common Mistakes - ChatGPT translation"/>
    <s v="Uri mal ŏpŏp sajŏn : hetkalligo chal t'ŭllinŭn uri mal paro ssŭgi"/>
    <s v="우리말 어법 사전 : 헷갈리고 잘 틀리는 우리말 바로쓰기"/>
    <x v="1"/>
    <s v="n/a"/>
    <s v="Kim, Chong-uk"/>
    <s v="김종욱著"/>
    <s v="n/a"/>
    <s v="n/a"/>
    <x v="73"/>
    <x v="59"/>
    <s v="n/a"/>
    <s v="n/a"/>
    <s v="n/a"/>
    <n v="0"/>
    <s v="krw"/>
    <m/>
  </r>
  <r>
    <s v="7/17/2023"/>
    <s v="n"/>
    <s v="sangbok.kim@colorado.edu"/>
    <s v="n"/>
    <s v="n"/>
    <s v="Panmun"/>
    <m/>
    <s v="n/a"/>
    <x v="1"/>
    <s v="n/a"/>
    <m/>
    <m/>
    <s v="n/a"/>
    <s v="n"/>
    <s v="n"/>
    <s v="n"/>
    <m/>
    <n v="9791165874469"/>
    <s v="n/a"/>
    <s v="n/a"/>
    <s v="Korean"/>
    <s v="A Study on the Composition of Korean Auxiliary Verbs - ChatGPT translation"/>
    <s v="Han'gugŏ pojo yongŏn kusŏng yŏn'gu"/>
    <s v="한국어 보조 용언 구성 연구"/>
    <x v="1"/>
    <s v="n/a"/>
    <s v="Yu, Hyŏn-gyŏng oe"/>
    <s v="유현경外著"/>
    <s v="Han'guk ŏnŏ, munhak, munhwa ch'ongsŏ ; 16"/>
    <s v="한국 언어, 문학, 문화 총서 ; 16"/>
    <x v="74"/>
    <x v="60"/>
    <s v="n/a"/>
    <s v="n/a"/>
    <s v="n/a"/>
    <n v="0"/>
    <s v="krw"/>
    <m/>
  </r>
  <r>
    <s v="7/17/2023"/>
    <s v="n"/>
    <s v="sangbok.kim@colorado.edu"/>
    <s v="n"/>
    <s v="n"/>
    <s v="Panmun"/>
    <m/>
    <s v="n/a"/>
    <x v="1"/>
    <s v="n/a"/>
    <m/>
    <m/>
    <s v="n/a"/>
    <s v="n"/>
    <s v="n"/>
    <s v="n"/>
    <m/>
    <n v="9791167425386"/>
    <s v="n/a"/>
    <s v="n/a"/>
    <s v="Korean"/>
    <s v="Standard Pronunciation and Actual Pronunciation of Korean [Revised Edition] - ChatGPT translation"/>
    <s v="Han'gugŏ ŭi p'yojun parŭm kwa hyŏnsil parŭm [kaejŏngp'an]"/>
    <s v="한국어의 표준 발음과 현실 발음 [개정판]"/>
    <x v="1"/>
    <s v="n/a"/>
    <s v="Yi, Chin-ho"/>
    <s v="이진호著"/>
    <s v="n/a"/>
    <s v="n/a"/>
    <x v="75"/>
    <x v="61"/>
    <s v="n/a"/>
    <s v="n/a"/>
    <s v="n/a"/>
    <n v="0"/>
    <s v="krw"/>
    <m/>
  </r>
  <r>
    <s v="7/17/2023"/>
    <s v="n"/>
    <s v="adam.lisbon@colorado.edu"/>
    <s v="n"/>
    <s v="n"/>
    <s v="JPT"/>
    <s v="Chinese book with same characters but different name"/>
    <s v="https://jptbooknews.jptco.co.jp/product?q=9784065292686"/>
    <x v="1"/>
    <s v="n/a"/>
    <m/>
    <m/>
    <s v="n/a"/>
    <s v="n"/>
    <s v="n"/>
    <s v="n"/>
    <m/>
    <n v="9784065292686"/>
    <s v="4065292689"/>
    <n v="1344225246"/>
    <s v="Japanese"/>
    <s v="Ark - ChatGPT translation"/>
    <s v="Hakobune"/>
    <s v="方舟"/>
    <x v="45"/>
    <s v="Reiwa 4"/>
    <s v="Yūki, Haruo"/>
    <s v="夕木春央"/>
    <s v="n/a"/>
    <s v="n/a"/>
    <x v="8"/>
    <x v="8"/>
    <s v="n/a"/>
    <s v="n/a"/>
    <s v="Murder -- Investigation -- Fiction ^ Murder -- Investigation ^ Detective and mystery fiction ^ Fiction ^ Detective and mystery fiction"/>
    <n v="10.8832"/>
    <s v="jpy"/>
    <n v="1600"/>
  </r>
  <r>
    <s v="7/17/2023"/>
    <s v="n"/>
    <s v="adam.lisbon@colorado.edu"/>
    <s v="n"/>
    <s v="n"/>
    <s v="JPT"/>
    <m/>
    <s v="https://jptbooknews.jptco.co.jp/product?q=9784575245721"/>
    <x v="1"/>
    <s v="n/a"/>
    <m/>
    <m/>
    <s v="n/a"/>
    <s v="n"/>
    <s v="n"/>
    <s v="n"/>
    <m/>
    <n v="9784575245721"/>
    <s v="4575245720"/>
    <n v="1348593652"/>
    <s v="Japanese"/>
    <s v="One Standing by the River - ChatGPT translation"/>
    <s v="Kawa no hotori ni tatsu mono wa"/>
    <s v="川のほとりに立つ者は"/>
    <x v="45"/>
    <s v="Reiwa 4"/>
    <s v="Terachi, Haruna"/>
    <s v="寺地はるな"/>
    <s v="n/a"/>
    <s v="n/a"/>
    <x v="76"/>
    <x v="62"/>
    <s v="n/a"/>
    <s v="n/a"/>
    <s v="Women -- Fiction ^ People with disabilities -- Fiction ^ Japanese fiction -- 21st century ^ Japanese fiction ^ People with disabilities ^ Women ^ Fiction ^ 2000-2099"/>
    <n v="10.202999999999999"/>
    <s v="jpy"/>
    <n v="1500"/>
  </r>
  <r>
    <s v="7/17/2023"/>
    <s v="n"/>
    <s v="adam.lisbon@colorado.edu"/>
    <s v="n"/>
    <s v="n"/>
    <s v="JPT"/>
    <m/>
    <s v="https://jptbooknews.jptco.co.jp/product/JPTB2301-0295"/>
    <x v="1"/>
    <s v="n/a"/>
    <m/>
    <m/>
    <s v="n/a"/>
    <s v="n"/>
    <s v="n"/>
    <s v="n"/>
    <m/>
    <n v="9784591175354"/>
    <s v="4591175359"/>
    <n v="1350719235"/>
    <s v="Japanese"/>
    <s v="In the woods with a view of the moon"/>
    <s v="Tsuki no tatsu hayashi de"/>
    <s v="月の立つ林で"/>
    <x v="45"/>
    <s v="Reiwa 4"/>
    <s v="Aoyama, Michiko"/>
    <s v="青山美智子"/>
    <s v="n/a"/>
    <s v="n/a"/>
    <x v="77"/>
    <x v="63"/>
    <s v="n/a"/>
    <s v="n/a"/>
    <s v="Podcasts -- Fiction ^ Short stories, Japanese -- 21st century ^ Podcasts ^ Short stories, Japanese ^ Japanese language materials ^ Fiction ^ Short stories ^ Short stories ^ 2000-2099"/>
    <n v="10.8832"/>
    <s v="jpy"/>
    <n v="1600"/>
  </r>
  <r>
    <s v="7/17/2023"/>
    <s v="n"/>
    <s v="adam.lisbon@colorado.edu"/>
    <s v="n"/>
    <s v="n"/>
    <s v="JPT"/>
    <m/>
    <s v="https://www.amazon.co.jp/dp/4843364614"/>
    <x v="1"/>
    <s v="29"/>
    <m/>
    <m/>
    <s v="n/a"/>
    <s v="n"/>
    <s v="n"/>
    <s v="n"/>
    <m/>
    <n v="9784843364611"/>
    <s v="4843364614"/>
    <n v="1376245031"/>
    <s v="Japanese"/>
    <s v="The 20th Congress Symposium: BL and Media / The 21st Congress Symposium: Manga Original Drawings Now and in the Future - ChatGPT translation"/>
    <s v="Dainijikkai taikai shinpojiumu bīeru to media dainijūikkai taikai shinpojiumu manga genga no ima to mirai"/>
    <s v="第20回大会シンポジウムBLとメディア 第21回大会シンポジウムマンガ原画のいまと未来"/>
    <x v="0"/>
    <s v="Reiwa 5"/>
    <s v="Nihon manga gakkai"/>
    <s v="日本マンガ学会"/>
    <s v="Manga kenkyū ; 29"/>
    <s v="マンガ研究 ; vol.29"/>
    <x v="78"/>
    <x v="64"/>
    <s v="n/a"/>
    <s v="n/a"/>
    <s v="漫画 ^ Manga"/>
    <n v="13.46796"/>
    <s v="jpy"/>
    <n v="1980"/>
  </r>
  <r>
    <s v="7/17/2023"/>
    <s v="n"/>
    <s v="faye.kleeman@colorado.edu"/>
    <s v="n"/>
    <s v="n"/>
    <s v="JPT"/>
    <m/>
    <s v="https://www.amazon.co.jp/dp/4065318009"/>
    <x v="1"/>
    <s v="n/a"/>
    <m/>
    <m/>
    <s v="n/a"/>
    <s v="n"/>
    <s v="n"/>
    <s v="n"/>
    <m/>
    <n v="9784065318003"/>
    <s v="4065318009"/>
    <n v="1382346072"/>
    <s v="Japanese"/>
    <s v="n/a"/>
    <s v="Hoshi ni honomekasarete"/>
    <s v="星に仄めかされて"/>
    <x v="0"/>
    <s v="Reiwa 5"/>
    <s v="Tawada, Yoko"/>
    <s v="多和田葉子 ^ 著者"/>
    <s v="Kodansha bunko"/>
    <s v="講談社文庫"/>
    <x v="8"/>
    <x v="0"/>
    <s v="n/a"/>
    <s v="n/a"/>
    <s v="n/a"/>
    <n v="5.8361159999999996"/>
    <s v="jpy"/>
    <n v="858"/>
  </r>
  <r>
    <s v="2/27/2024"/>
    <s v="n"/>
    <s v="catherine.ishida@colorado.edu"/>
    <s v="n"/>
    <m/>
    <s v="?"/>
    <s v="This is listed as &quot;In Process&quot; in the catalog, already ordered and getting prepared?"/>
    <s v="https://www.amazon.com/dp/0197677339"/>
    <x v="0"/>
    <s v="n/a"/>
    <m/>
    <m/>
    <s v="n/a"/>
    <m/>
    <m/>
    <s v="n"/>
    <m/>
    <n v="9780197677339"/>
    <s v="0197677339"/>
    <n v="1395139137"/>
    <s v="English"/>
    <s v="n/a"/>
    <s v="Kings in all but name: the lost history of Ōuchi rule in Japan 1350-1569"/>
    <s v="n/a"/>
    <x v="54"/>
    <s v="n/a"/>
    <s v="Conlan, Thomas"/>
    <s v="n/a"/>
    <s v="n/a"/>
    <s v="n/a"/>
    <x v="79"/>
    <x v="0"/>
    <s v="n/a"/>
    <s v="n/a"/>
    <s v="Daimyo -- Japan ^ Daimyo -- Genealogy ^ Asian history ^ History ^ Ōuchi family ^ Japan -- Kings and rulers ^ Korea -- Kings and rulers ^ Japan -- Politics and government -- 1333-1600 ^ Yamaguchi-ken (Japan) -- Politics and government ^ Japan -- Foreign relations -- 1185-1600 ^ Korea -- Foreign relations -- 1392-1637 ^ Japan -- Relations -- Korea ^ Korea -- Relations -- Japan ^ Japan -- Yamaguchi-ken -- Genealogy"/>
    <m/>
    <m/>
    <m/>
  </r>
  <r>
    <s v="2/27/2024"/>
    <s v="n"/>
    <s v="catherine.ishida@colorado.edu"/>
    <s v="n"/>
    <m/>
    <s v="?"/>
    <m/>
    <s v="n/a"/>
    <x v="0"/>
    <s v="h"/>
    <m/>
    <m/>
    <s v="n/a"/>
    <m/>
    <m/>
    <s v="y"/>
    <m/>
    <n v="9781683403586"/>
    <s v="1683403584"/>
    <n v="1369509082"/>
    <s v="English"/>
    <s v="n/a"/>
    <s v="Women across Asian art: selected essays in art and material culture"/>
    <s v="n/a"/>
    <x v="0"/>
    <s v="n/a"/>
    <s v="Lu, Ling-En ^ Peyton, Allysa B."/>
    <s v="n/a"/>
    <s v="David A"/>
    <s v="n/a"/>
    <x v="80"/>
    <x v="0"/>
    <s v="n/a"/>
    <s v="n/a"/>
    <s v="Art, Asian -- History ^ Women artists -- Asia -- History ^ Women in art -- History ^ Material culture -- Asia -- History ^ ART / Asian / General ^ HISTORY / Women ^ Art, Asian ^ Women artists ^ History ^ Asia"/>
    <m/>
    <m/>
    <m/>
  </r>
  <r>
    <s v="2/27/2024"/>
    <s v="n"/>
    <s v="marjorie.burge@colorado.edu"/>
    <s v="y"/>
    <s v="y"/>
    <s v="?"/>
    <m/>
    <s v="n/a"/>
    <x v="0"/>
    <s v="n/a"/>
    <m/>
    <m/>
    <s v="n/a"/>
    <m/>
    <m/>
    <s v="n"/>
    <m/>
    <n v="9788988375280"/>
    <s v="8988375289"/>
    <n v="44693428"/>
    <s v="English"/>
    <s v="n/a"/>
    <s v="Korean poetry in classical Chinese: encounters between man and nature"/>
    <s v="Korean poetry in classical Chinese: encounters between man and nature"/>
    <x v="16"/>
    <s v="n/a"/>
    <s v="Min, Pyŏng-su ^ Miller, Michael J."/>
    <s v="閔丙秀"/>
    <s v="n/a"/>
    <s v="n/a"/>
    <x v="81"/>
    <x v="65"/>
    <s v="n/a"/>
    <s v="n/a"/>
    <s v="Chinese poetry -- Korea -- History and criticism ^ Korean poetry -- To 1900 -- History and criticism ^ 18.90 other Asiatic languages ^ Chinese poetry ^ Korean poetry ^ Criticism, interpretation, etc ^ History (form) ^ Translations (form) ^ Poems (texts) ^ To 1900 ^ Korea"/>
    <m/>
    <m/>
    <m/>
  </r>
  <r>
    <s v="2/27/2024"/>
    <s v="n"/>
    <s v="marjorie.burge@colorado.edu"/>
    <s v="y"/>
    <s v="y"/>
    <s v="?"/>
    <m/>
    <s v="n/a"/>
    <x v="0"/>
    <s v="1"/>
    <m/>
    <m/>
    <s v="n/a"/>
    <m/>
    <m/>
    <s v="n"/>
    <m/>
    <n v="9781282786875"/>
    <s v="1282786873"/>
    <n v="1162432991"/>
    <s v="English"/>
    <s v="n/a"/>
    <s v="Establishing a pluralist society in medieval Korea, 918-1170: history, ideology, and identity in the Koryŏ dynasty"/>
    <s v="n/a"/>
    <x v="24"/>
    <s v="n/a"/>
    <s v="Breuker, Remco E"/>
    <s v="n/a"/>
    <s v="Brill's Korean studies library ; 1"/>
    <s v="n/a"/>
    <x v="82"/>
    <x v="0"/>
    <s v="n/a"/>
    <s v="n/a"/>
    <s v="National characteristics, Korean ^ Civilization ^ Intellectual life ^ National characteristics, Korean ^ Social conditions ^ History ^ To 1500 ^ Korea -- History -- Koryŏ period, 935-1392 ^ Korea -- Social conditions -- To 1500 ^ Korea -- Intellectual life -- To 1500 ^ Korea -- Civilization -- 935-1392 ^ Korea"/>
    <m/>
    <m/>
    <m/>
  </r>
  <r>
    <s v="2/27/2024"/>
    <s v="n"/>
    <s v="marjorie.burge@colorado.edu"/>
    <s v="y"/>
    <s v="y"/>
    <s v="?"/>
    <m/>
    <s v="https://www.amazon.com/dp/3111078442"/>
    <x v="0"/>
    <m/>
    <m/>
    <m/>
    <s v="n/a"/>
    <m/>
    <m/>
    <s v="n"/>
    <m/>
    <n v="9783111078441"/>
    <s v="3111078442"/>
    <n v="1411815810"/>
    <s v="English"/>
    <s v="n/a"/>
    <s v="Azuma old Japanese: a comparative grammar and reconstruction"/>
    <s v="n/a"/>
    <x v="0"/>
    <s v="n/a"/>
    <s v="Kupchik, John"/>
    <s v="n/a"/>
    <s v="Trends in linguistics"/>
    <s v="n/a"/>
    <x v="83"/>
    <x v="0"/>
    <s v="n/a"/>
    <s v="n/a"/>
    <s v="Japanese language -- To 794 ^ Japanese language -- Dialects -- History"/>
    <m/>
    <m/>
    <m/>
  </r>
  <r>
    <s v="2/13/2024"/>
    <s v="y"/>
    <s v="raisa.stebbins@colorado.edu"/>
    <s v="y"/>
    <s v="n"/>
    <s v="?"/>
    <s v="ISBN is for set, split 50/50 with ASEMO and THEMO"/>
    <s v="n/a"/>
    <x v="7"/>
    <s v="1-4"/>
    <m/>
    <m/>
    <s v="4"/>
    <m/>
    <m/>
    <s v="n"/>
    <m/>
    <n v="9781350118096"/>
    <s v="1350118095"/>
    <n v="1248898061"/>
    <s v="English"/>
    <s v="n/a"/>
    <s v="Theories of performance:: critical and primary sources"/>
    <s v="n/a"/>
    <x v="45"/>
    <s v="n/a"/>
    <s v="Gotman, Kélina"/>
    <s v="n/a"/>
    <s v="n/a"/>
    <s v="n/a"/>
    <x v="84"/>
    <x v="0"/>
    <s v="n/a"/>
    <s v="n/a"/>
    <s v="Performing arts -- Philosophy ^ Performing arts -- Anthropological aspects ^ Performing arts -- Social aspects ^ Performance ^ Performative (Philosophy) ^ Performance technology ^ Task Performance and Analysis ^ Arts du spectacle -- Aspect social ^ Rendement au travail ^ Performance ^ Performative (Philosophy) ^ Performing arts -- Anthropological aspects ^ Performing arts -- Philosophy ^ Performing arts -- Social aspects"/>
    <n v="471"/>
    <s v="usd"/>
    <n v="471"/>
  </r>
  <r>
    <s v="12/22/2023"/>
    <s v="rush"/>
    <s v="marjorie.burge@colorado.edu"/>
    <s v="y"/>
    <s v="y"/>
    <s v="JPT"/>
    <s v="5 volumes, isbn is first volume"/>
    <s v="n/a"/>
    <x v="1"/>
    <s v="1"/>
    <m/>
    <m/>
    <s v="5"/>
    <s v="n"/>
    <s v="n"/>
    <s v="n"/>
    <m/>
    <n v="9784642003629"/>
    <s v="4642003622"/>
    <n v="62230785"/>
    <s v="Japanese"/>
    <s v="Distinction of Ranks - ChatGPT translation"/>
    <s v="Sonpi bunmyaku"/>
    <s v="尊卑分脉"/>
    <x v="55"/>
    <s v="n/a"/>
    <s v="Tōin, Kinsada ^ Kuroita, Katsumi ^ Maruyama, Jirō ^ Kokushi Taikei Henshūkai (Japan)"/>
    <s v="洞院公定 ^ 黑板勝美 ^ 丸山二郎 ^ 國史大系編修會 (Japan)"/>
    <s v="Kokushi taikei (Shintei zōho : 1998) ;vdai 58-60, 62-kan"/>
    <s v="国史大系 ; 第58〓. 國史大系 (Shintei zōho : 1998) ; 第 58-60, 62卷"/>
    <x v="9"/>
    <x v="9"/>
    <s v="Shinsōban"/>
    <s v="新装版"/>
    <s v="日本-歴史.; 系譜 ^ Nihon-Rekishi ^ Keifu ^ Genealogy ^ Early works ^ Japan -- Genealogy -- Early works to 1800 ^ Japan"/>
    <s v="0"/>
    <m/>
    <m/>
  </r>
  <r>
    <s v="12/18/2023"/>
    <s v="n"/>
    <s v="adam.lisbon@colorado.edu"/>
    <s v="n"/>
    <s v="n"/>
    <s v="?"/>
    <m/>
    <s v="n/a"/>
    <x v="0"/>
    <s v="h"/>
    <m/>
    <m/>
    <s v="n/a"/>
    <s v="n"/>
    <s v="n"/>
    <s v="n"/>
    <m/>
    <n v="9780231211543"/>
    <s v="0231211546"/>
    <n v="1373011620"/>
    <s v="English"/>
    <s v="n/a"/>
    <s v="Writing violence: the politics of form in early modern Japanese literature"/>
    <s v="n/a"/>
    <x v="0"/>
    <s v="n/a"/>
    <s v="Atherton, David"/>
    <s v="n/a"/>
    <s v="n/a"/>
    <s v="n/a"/>
    <x v="85"/>
    <x v="0"/>
    <s v="n/a"/>
    <s v="n/a"/>
    <s v="Japanese fiction -- Edo period, 1600-1868 -- History and criticism ^ Violence in literature ^ Literature and society -- Japan ^ Japanese fiction -- Edo period ^ Literature and society ^ Violence in literature ^ Criticism, interpretation, etc ^ 1600-1868 ^ Japan"/>
    <s v="0"/>
    <m/>
    <m/>
  </r>
  <r>
    <s v="12/18/2023"/>
    <s v="n"/>
    <s v="marjorie.burge@colorado.edu"/>
    <s v="n"/>
    <s v="n"/>
    <s v="Panmun"/>
    <m/>
    <s v="n/a"/>
    <x v="1"/>
    <s v="n/a"/>
    <m/>
    <m/>
    <s v="n/a"/>
    <s v="n"/>
    <s v="n"/>
    <s v="n"/>
    <m/>
    <n v="9788929913045"/>
    <s v="8929913040"/>
    <n v="1121477064"/>
    <s v="Korean"/>
    <s v="6th Century Golden Stone Inscriptions and Silla Society - ChatGPT translation"/>
    <s v="6-segi kŭmsŏngmun kwa Silla sahoe"/>
    <s v="6세기 금석문 과 신라 사회"/>
    <x v="38"/>
    <s v="n/a"/>
    <s v="Chu, Po-don"/>
    <s v="주 보돈 ^ 새로운 金石文 의 출현 과 신라사 연구 의 진전"/>
    <s v="n/a"/>
    <s v="n/a"/>
    <x v="86"/>
    <x v="0"/>
    <s v="n/a"/>
    <s v="n/a"/>
    <s v="Inscriptions, Korean -- Korea ^ Inscriptions, Korean -- Korea (South) -- Kyŏngsang-bukto ^ Monuments -- Korea ^ Antiquities ^ Inscriptions, Korean ^ Monuments ^ History ^ 신라 (Kingdom); Antiquities.; 신라 (Kingdom); History ^ Silla (Kingdom) -- Antiquities ^ Silla (Kingdom) -- History ^ Asia -- Silla (Kingdom) ^ Korea ^ Korea (South) -- Kyŏngsang-bukto"/>
    <s v="0"/>
    <m/>
    <m/>
  </r>
  <r>
    <s v="12/18/2023"/>
    <s v="n"/>
    <s v="marjorie.burge@colorado.edu"/>
    <s v="y"/>
    <s v="y"/>
    <s v="Panmun"/>
    <m/>
    <s v="n/a"/>
    <x v="1"/>
    <s v="38"/>
    <m/>
    <m/>
    <s v="n/a"/>
    <s v="n"/>
    <s v="n"/>
    <s v="n"/>
    <m/>
    <n v="9788942390816"/>
    <s v="8942390811"/>
    <n v="1202608821"/>
    <s v="Korean"/>
    <s v="Historical Counterparts: Baekje's King Seong and Silla's King Jinheung - ChatGPT translation"/>
    <s v="1, Paekche Sŏng Wang kwa Silla Chinhŭng Wang"/>
    <s v="역사 의 맞수. 1, 백제 성 왕 과 신라 진흥 왕"/>
    <x v="40"/>
    <s v="Reiwa 2"/>
    <s v="No, Chung-guk"/>
    <s v="노 중국"/>
    <s v="Yŏksa sok e sara innŭn inʼgan tʿamgu ; 38"/>
    <s v="역사 속 에 살아 있는 인간 탐구 ; 38"/>
    <x v="87"/>
    <x v="0"/>
    <s v="Ch'op'an"/>
    <s v="초판"/>
    <s v="International relations ^ 聖 王, King of Korea, ?-554. 眞興 王, King of Korea, 534-576 ^ Sŏng Wang, King of Korea, ?-554 ^ Chinhŭng Wang, King of Korea, 534-576 ^ Chinhŭng Wang, King of Korea, 534-576 ^ History ^ To 935 ^ 백제 (Kingdom); Relations; 신라 (Kingdom); 신라 (Kingdom); Relations; 백제 (Kingdom) ^ Paekche (Kingdom) -- Relations -- Silla (Kingdom) ^ Silla (Kingdom) -- Relations -- Korea (South) -- Paekche (Kingdom) ^ Korea -- History -- To 935 ^ Asia -- Paekche (Kingdom) ^ Asia -- Silla (Kingdom) ^ Korea"/>
    <s v="0"/>
    <m/>
    <m/>
  </r>
  <r>
    <s v="12/18/2023"/>
    <s v="n"/>
    <s v="marjorie.burge@colorado.edu"/>
    <s v="y"/>
    <s v="y"/>
    <s v="Panmun"/>
    <m/>
    <s v="n/a"/>
    <x v="1"/>
    <s v="n/a"/>
    <m/>
    <m/>
    <s v="n/a"/>
    <s v="n"/>
    <s v="n"/>
    <s v="n"/>
    <m/>
    <n v="9788962464801"/>
    <s v="8962464802"/>
    <n v="1343161483"/>
    <s v="Korean"/>
    <s v="Goguryeo and Baekje's Golden Stone Inscriptions - ChatGPT translation"/>
    <s v="Koguryŏ wa Paekche ŭi kŭmsŏngmun"/>
    <s v="고구려 와 백제 의 금석문"/>
    <x v="45"/>
    <s v="Reiwa 4"/>
    <s v="Kim, Ch'ang-ho"/>
    <s v="김 창호"/>
    <s v="n/a"/>
    <s v="n/a"/>
    <x v="88"/>
    <x v="0"/>
    <s v="n/a"/>
    <s v="n/a"/>
    <s v="Inscriptions, Korean ^ Inscriptions, Chinese -- Korea ^ Inscriptions, Chinese ^ Inscriptions, Korean ^ History ^ Sources ^ To 935 ^ Korea -- History -- To 935 -- Sources ^ Korea"/>
    <s v="0"/>
    <m/>
    <m/>
  </r>
  <r>
    <s v="12/18/2023"/>
    <s v="n"/>
    <s v="marjorie.burge@colorado.edu"/>
    <s v="y"/>
    <s v="y"/>
    <s v="Panmun"/>
    <m/>
    <s v="n/a"/>
    <x v="1"/>
    <s v="n/a"/>
    <m/>
    <m/>
    <s v="n/a"/>
    <s v="n"/>
    <s v="n"/>
    <s v="n"/>
    <m/>
    <n v="897878122"/>
    <s v="897878122"/>
    <n v="41950272"/>
    <s v="Korean"/>
    <s v="Annotated Different Tales - ChatGPT translation"/>
    <s v="Yŏkchu Suijŏn ilmun"/>
    <s v="譯註殊異傳逸文"/>
    <x v="28"/>
    <s v="Heisei 8"/>
    <s v="Ch'oe, Ch'i-wŏn ^ Kim, Hyŏn-yang"/>
    <s v="최치원 ^ 김현양"/>
    <s v="n/a"/>
    <s v="n/a"/>
    <x v="89"/>
    <x v="66"/>
    <s v="n/a"/>
    <s v="n/a"/>
    <s v="Epic literature, Korean ^ Korean fiction -- To 1900 ^ Folk literature, Korean ^ Epic literature, Korean -- History and criticism ^ Korean fiction -- To 1900 -- History and criticism ^ Folk literature, Korean -- History and criticism ^ Epic literature, Korean ^ Folk literature, Korean ^ Korean fiction ^ Criticism, interpretation, etc ^ To 1900"/>
    <s v="0"/>
    <m/>
    <m/>
  </r>
  <r>
    <s v="12/18/2023"/>
    <s v="n"/>
    <s v="marjorie.burge@colorado.edu"/>
    <s v="y"/>
    <s v="y"/>
    <s v="Panmun"/>
    <m/>
    <s v="n/a"/>
    <x v="1"/>
    <s v="ns"/>
    <m/>
    <m/>
    <s v="n/a"/>
    <s v="n"/>
    <s v="n"/>
    <s v="n"/>
    <m/>
    <n v="9788975810800"/>
    <s v="8975810801"/>
    <n v="843236940"/>
    <s v="Korean"/>
    <s v="Silla's Different Tales Compilation and Annotation - ChatGPT translation"/>
    <s v="Silla suijŏn chipkyo wa yŏkchu"/>
    <s v="新羅 殊異傳 輯校 와 譯註"/>
    <x v="56"/>
    <s v="Heisei 10"/>
    <s v="Yi, Kŏm-guk ^ Ch'oe, Hwan"/>
    <s v="李 劍國 ^ 崔 桓"/>
    <s v="Inmun kwahak yŏn'gu ch'ongsŏ ; 14"/>
    <s v="인문 과학 연구 총서 ; 14"/>
    <x v="90"/>
    <x v="0"/>
    <s v="Ch'op'an"/>
    <s v="초판"/>
    <s v="Epic literature, Korean ^ Korean fiction -- To 1900 ^ Folk literature, Korean ^ Epic literature, Korean -- History and criticism ^ Korean fiction -- To 1900 -- History and criticism ^ Folk literature, Korean -- History and criticism ^ Epic literature, Korean ^ Folk literature, Korean ^ Korean fiction ^ Criticism, interpretation, etc ^ To 1900 ^ 殊異傳 ^ Suijŏn"/>
    <s v="0"/>
    <m/>
    <m/>
  </r>
  <r>
    <s v="12/18/2023"/>
    <s v="n"/>
    <s v="marjorie.burge@colorado.edu"/>
    <s v="y"/>
    <s v="y"/>
    <s v="Panmun"/>
    <m/>
    <s v="n/a"/>
    <x v="1"/>
    <s v="n/a"/>
    <m/>
    <m/>
    <s v="n/a"/>
    <s v="n"/>
    <s v="n"/>
    <s v="n"/>
    <m/>
    <n v="9788964065235"/>
    <s v="8964065239"/>
    <n v="884920921"/>
    <s v="Korean"/>
    <s v="Different Tales Unearthed Texts - ChatGPT translation"/>
    <s v="Suijŏn ilmun suijŏn ilmun"/>
    <s v="殊異傳 逸文 수이전 일문"/>
    <x v="57"/>
    <s v="Heisei 20"/>
    <s v="Pak, Il-lyang ^ Yi, Tong-gŭn"/>
    <s v="박 인량 ^ 이 동근 ^ translator"/>
    <s v="Chisik ŭl Mandŭnŭn Chisik kojŏn sŏnjip"/>
    <s v="지식 을 만드는 지식 고전 선집"/>
    <x v="91"/>
    <x v="0"/>
    <s v="Ch'op'an"/>
    <s v="초판"/>
    <s v="Epic literature, Korean ^ Folk literature, Korean ^ Korean literature -- To 1900 ^ Epic literature, Korean ^ Folk literature, Korean ^ Korean literature ^ To 1900"/>
    <s v="0"/>
    <m/>
    <m/>
  </r>
  <r>
    <s v="12/18/2023"/>
    <s v="n"/>
    <s v="marjorie.burge@colorado.edu"/>
    <s v="y"/>
    <s v="y"/>
    <s v="Panmun"/>
    <m/>
    <s v="n/a"/>
    <x v="1"/>
    <s v="che 4-chip"/>
    <m/>
    <m/>
    <s v="n/a"/>
    <s v="n/a"/>
    <s v="n"/>
    <s v="n"/>
    <m/>
    <s v="n/a"/>
    <s v="n/a"/>
    <n v="27760131"/>
    <s v="Korean"/>
    <s v="A Linguistic Study of Folk Songs - ChatGPT translation"/>
    <s v="Hyangga ŭi ŏmunhakchŏk yon'gu"/>
    <s v="鄉歌 의 語文學的 研究"/>
    <x v="58"/>
    <s v="n/a"/>
    <s v="Kim, Yŏl-gyu ^ Chŏng, Yŏn-ch'an ^ Yi, Chae-sŏn"/>
    <s v="金 烈圭 ^ 鄭 然燦 ^ 李 在銑"/>
    <s v="Inmun yŏnʼgu nonjip ; che 4-chip"/>
    <s v="人文研究論集 ; 第4輯"/>
    <x v="92"/>
    <x v="67"/>
    <s v="n/a"/>
    <s v="n/a"/>
    <s v="Hyangga -- History and criticism ^ Korean language -- Writing -- Idu ^ Hyangga -- History and criticism ^ Hyangga ^ Korean language -- Writing -- Idu ^ Criticism, interpretation, etc"/>
    <s v="0"/>
    <m/>
    <m/>
  </r>
  <r>
    <s v="12/18/2023"/>
    <s v="n"/>
    <s v="marjorie.burge@colorado.edu"/>
    <s v="y"/>
    <s v="y"/>
    <s v="Panmun"/>
    <m/>
    <s v="n/a"/>
    <x v="1"/>
    <s v="5"/>
    <m/>
    <m/>
    <s v="n/a"/>
    <s v="n"/>
    <s v="n"/>
    <s v="n"/>
    <m/>
    <n v="9788957261149"/>
    <s v="8957261141"/>
    <n v="60635207"/>
    <s v="Korean"/>
    <s v="Deciphering Hometown Songs - ChatGPT translation"/>
    <s v="Hyangga sin haedok yŏn'gu"/>
    <s v="향가 신 해독 연구"/>
    <x v="43"/>
    <s v="n/a"/>
    <s v="Kang, Kir-un"/>
    <s v="강 길운"/>
    <s v="Kang, Kir-un"/>
    <s v="姜 吉云. Works. 2002 ; 5"/>
    <x v="93"/>
    <x v="68"/>
    <s v="Sujŏngp'an ch'op'an"/>
    <s v="修正版 초판"/>
    <s v="Hyangga -- History and criticism ^ Korean poetry -- To 1900 -- History and criticism ^ Hyangga ^ Korean poetry ^ Criticism, interpretation, etc ^ To 1900"/>
    <s v="0"/>
    <m/>
    <m/>
  </r>
  <r>
    <s v="12/18/2023"/>
    <s v="n"/>
    <s v="marjorie.burge@colorado.edu"/>
    <s v="y"/>
    <s v="y"/>
    <s v="Panmun"/>
    <m/>
    <s v="n/a"/>
    <x v="1"/>
    <s v="n/a"/>
    <m/>
    <m/>
    <s v="3"/>
    <s v="n/a"/>
    <s v="n"/>
    <s v="n"/>
    <m/>
    <s v="n/a"/>
    <s v="n/a"/>
    <n v="855402315"/>
    <s v="Korean"/>
    <s v="Annotated Translations of Ancient Korean Inscriptions - ChatGPT translation"/>
    <s v="Yŏkchu Han'guk kodae kŭmsŏngmun"/>
    <s v="譯註韓國古代金石文"/>
    <x v="29"/>
    <s v="n/a"/>
    <s v="Han'guk Kodae Sahoe Yŏn'guso"/>
    <s v="韓國古代社會硏究所"/>
    <s v="Hanʼguk Kodae Sahoe Yŏnʼguso saryo chʿongsŏ ; 1"/>
    <s v="韓國古代社會硏究所史料叢書 ; 1. 韓國古代社會硏究所史料叢書 ; 2. 韓國古代社會硏究所史料叢書 ; 3"/>
    <x v="94"/>
    <x v="69"/>
    <s v="Chaep'an"/>
    <s v="재판"/>
    <s v="Inscriptions, Chinese -- Korea ^ Inscriptions, Chinese ^ History ^ Sources ^ 伽洛 (Kingdom); History; Sources ^ Kaya (Confederation) -- History -- Sources ^ Asia -- Kaya (Confederation) ^ Korea"/>
    <s v="0"/>
    <m/>
    <m/>
  </r>
  <r>
    <s v="12/18/2023"/>
    <s v="n"/>
    <s v="adam.lisbon@colorado.edu"/>
    <s v="n"/>
    <s v="n"/>
    <s v="?"/>
    <s v="Would prefer streaming"/>
    <s v="n/a"/>
    <x v="8"/>
    <s v="n/a"/>
    <m/>
    <m/>
    <s v="n/a"/>
    <s v="n/a"/>
    <s v="n"/>
    <s v="n"/>
    <m/>
    <s v="n/a"/>
    <s v="n/a"/>
    <n v="1404836093"/>
    <s v="English; In English."/>
    <s v="n/a"/>
    <s v="80 years later"/>
    <s v="n/a"/>
    <x v="45"/>
    <s v="n/a"/>
    <s v="Shimizu, Celine Parreñas ^ Miller, J. Reid ^ Shimizu, Dan ^ Chien, Dan ^ Portnoy, Eben ^ Gonzalves, Theodore S. ^ Women Make Movies (Firm)"/>
    <s v="n/a"/>
    <s v="n/a"/>
    <s v="n/a"/>
    <x v="95"/>
    <x v="0"/>
    <s v="n/a"/>
    <s v="n/a"/>
    <s v="Japanese Americans -- Forced removal and internment, 1942-1945 ^ World War, 1939-1945 -- Japanese Americans ^ Internment camps -- United States ^ Japanese Americans -- Social conditions -- 20th century ^ Camps d'internement -- États-Unis ^ Internment camps ^ Japanese Americans ^ Japanese Americans -- Social conditions ^ documentary film ^ Biographical films ^ Documentary films ^ Independent films ^ Nonfiction films ^ Biographical films ^ Independent films ^ Documentary films ^ Nonfiction films ^ Films biographiques ^ Documentaires ^ Films autres que de fiction ^ 1900-1999 ^ United States"/>
    <s v="0"/>
    <m/>
    <m/>
  </r>
  <r>
    <s v="12/18/2023"/>
    <s v="n"/>
    <s v="marjorie.burge@colorado.edu"/>
    <s v="y"/>
    <s v="y"/>
    <s v="JPT"/>
    <m/>
    <s v="https://www.amazon.co.jp/dp/4046213698"/>
    <x v="1"/>
    <s v="n/a"/>
    <m/>
    <m/>
    <s v="n/a"/>
    <s v="n"/>
    <s v="n"/>
    <s v="n"/>
    <m/>
    <n v="9784046213693"/>
    <s v="4046213698"/>
    <n v="546180153"/>
    <s v="Japanese"/>
    <s v="Man'yoshu of Empresses - ChatGPT translation"/>
    <s v="Joteitachi no Man'yōshū"/>
    <s v="女帝たちの万葉集"/>
    <x v="24"/>
    <s v="Heisei 22"/>
    <s v="Tsukushi, Bansei"/>
    <s v="筑紫磐井"/>
    <s v="n/a"/>
    <s v="n/a"/>
    <x v="96"/>
    <x v="70"/>
    <s v="Shohan"/>
    <s v="初版"/>
    <s v="Japanese poetry -- To 794 -- History and criticism ^ Empresses -- Japan -- Literary collections ^ Japanese poetry -- Women authors -- History and criticism ^ Women poets, Japanese ^ Empresses ^ Japanese poetry ^ Japanese poetry -- Women authors ^ Women poets, Japanese ^ Man'yōshū ^ Tennō ^ Literature ^ Criticism, interpretation, etc ^ Literary collections ^ Literature ^ To 794 ^ Japan ^ 万葉集 ^ Man'yōshū ^ Man'yōshū"/>
    <s v="0"/>
    <m/>
    <m/>
  </r>
  <r>
    <s v="12/18/2023"/>
    <s v="n"/>
    <s v="marjorie.burge@colorado.edu"/>
    <s v="y"/>
    <s v="y"/>
    <s v="JPT"/>
    <m/>
    <s v="n/a"/>
    <x v="1"/>
    <s v="16"/>
    <m/>
    <m/>
    <s v="n/a"/>
    <s v="n/a"/>
    <s v="n"/>
    <s v="n"/>
    <m/>
    <s v="n/a"/>
    <s v="n/a"/>
    <n v="673589487"/>
    <s v="Japanese"/>
    <s v="Empresses of the Man'yoshu - ChatGPT translation"/>
    <s v="Man'yō no jotei"/>
    <s v="万葉の女帝"/>
    <x v="43"/>
    <s v="Heisei 16"/>
    <s v="Takaokashi Man'yō Rekishikan"/>
    <s v="高岡市万葉歴史館"/>
    <s v="Takaokashi Man'yō Rekishikan Sōsho ; 16"/>
    <s v="高岡市萬葉歴史館叢書 ; 16"/>
    <x v="97"/>
    <x v="71"/>
    <s v="n/a"/>
    <s v="n/a"/>
    <s v="女性天皇 ^ Joseitennō -- Rekishi -- Kodai"/>
    <s v="0"/>
    <m/>
    <m/>
  </r>
  <r>
    <s v="12/11/2023"/>
    <m/>
    <s v="marjorie.burge@colorado.edu"/>
    <s v="n"/>
    <s v="y"/>
    <s v="Panmun"/>
    <s v="ISBNs in record don't corresond to volume numbers. Inform Marjorie that materials are processed and ready to circulate."/>
    <s v="n/a"/>
    <x v="1"/>
    <s v="1"/>
    <m/>
    <m/>
    <s v="35"/>
    <s v="n/a"/>
    <s v="n"/>
    <s v="n"/>
    <m/>
    <s v="n/a"/>
    <s v="n/a"/>
    <n v="54523469"/>
    <s v="Korean"/>
    <s v="Korean Inscriptions and Stone Monuments Compilation: Goguryeo 1 Gwanggaeto Wang Volume (Explanatory Volume) - ChatGPT translation"/>
    <s v="Han'guk kŭmsŏngmun chipsŏng: Koguryŏ 1 Kwanggaet'o Wang pi (haesŏl p'yŏn)"/>
    <s v="韓國 金石文 集成: 한국 금성문 집성: 고구려 1 광개토왕편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
    <m/>
    <m/>
    <s v="35"/>
    <s v="n/a"/>
    <s v="n"/>
    <s v="n"/>
    <m/>
    <s v="n/a"/>
    <s v="n/a"/>
    <n v="54523469"/>
    <s v="Korean"/>
    <s v="Korean Inscriptions and Stone Monuments Compilation: Goguryeo 2. Goguryeo and Related Inscriptions (Explanatory Volume) - ChatGPT translation"/>
    <s v="Han'guk kŭmsŏngmun chipsŏng: Koguryŏ 2. Koguryŏ mit Koguryŏ yŏn'gwan kŭmsŏngmun (haesŏl p'yŏn)"/>
    <s v="韓國 金石文 集成: 한국 금성문 집성: 고구려 2. 고구려 및 고구려 연관 금성문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3"/>
    <m/>
    <m/>
    <s v="35"/>
    <s v="n/a"/>
    <s v="n"/>
    <s v="n"/>
    <m/>
    <s v="n/a"/>
    <s v="n/a"/>
    <n v="54523469"/>
    <s v="Korean"/>
    <s v="Korean Inscriptions and Stone Monuments Compilation: Baekje 1. Baekje and Baekje Authority Inscriptions (Explanatory Volume) - ChatGPT translation"/>
    <s v="Han'guk kŭmsŏngmun chipsŏng: Paekche 1. Paekche mit Paekche kwallyŏn kŭmsŏngmun (haesŏl p'yŏn)"/>
    <s v="韓國 金石文 集成: 한국 금성문 집성: 백제 1. 백제 및 백제 권력 금성문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4"/>
    <m/>
    <m/>
    <s v="35"/>
    <s v="n/a"/>
    <s v="n"/>
    <s v="n"/>
    <m/>
    <s v="n/a"/>
    <s v="n/a"/>
    <n v="54523469"/>
    <s v="Korean"/>
    <s v="Korean Inscriptions and Stone Monuments Compilation: Baekje 2 Dangpyeong Baekje Volume (Explanatory Volume) - ChatGPT translation"/>
    <s v="Han'guk kŭmsŏngmun chipsŏng: Paekche 2 Tangp'yŏng Paekche pi (haesŏl p'yŏn)"/>
    <s v="韓國 金石文 集成: 한국 금성문 집성: 백제 2 당평 백제편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5"/>
    <m/>
    <m/>
    <s v="35"/>
    <s v="n/a"/>
    <s v="n"/>
    <s v="n"/>
    <m/>
    <s v="n/a"/>
    <s v="n/a"/>
    <n v="54523469"/>
    <s v="Korean"/>
    <s v="Korean Inscriptions and Stone Monuments Compilation: Silla 1 Volume 1 - ChatGPT translation"/>
    <s v="Han'guk kŭmsŏngmun chipsŏng: Silla 1-pimun 1"/>
    <s v="韓國 金石文 集成: 한국 금성문 집성: 신라 1편 1"/>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6"/>
    <m/>
    <m/>
    <s v="35"/>
    <s v="n/a"/>
    <s v="n"/>
    <s v="n"/>
    <m/>
    <s v="n/a"/>
    <s v="n/a"/>
    <n v="54523469"/>
    <s v="Korean"/>
    <s v="Korean Inscriptions and Stone Monuments Compilation: Silla 2 Volume 2 (Explanatory Volume) - ChatGPT translation"/>
    <s v="Han'guk kŭmsŏngmun chipsŏng: Silla 2-pimun 2 (haesŏl p'yŏn)"/>
    <s v="韓國 金石文 集成: 한국 금성문 집성: 신라 2편 2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7"/>
    <m/>
    <m/>
    <s v="35"/>
    <s v="n/a"/>
    <s v="n"/>
    <s v="n"/>
    <m/>
    <s v="n/a"/>
    <s v="n/a"/>
    <n v="54523469"/>
    <s v="Korean"/>
    <s v="Korean Inscriptions and Stone Monuments Compilation: Silla 3 Volume 3 (Explanatory Volume) - ChatGPT translation"/>
    <s v="Han'guk kŭmsŏngmun chipsŏng: Silla 3-pimun 3 (haesŏl p'yŏn)"/>
    <s v="韓國 金石文 集成: 한국 금성문 집성: 신라 3편 3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8"/>
    <m/>
    <m/>
    <s v="35"/>
    <s v="n/a"/>
    <s v="n"/>
    <s v="n"/>
    <m/>
    <s v="n/a"/>
    <s v="n/a"/>
    <n v="54523469"/>
    <s v="Korean"/>
    <s v="Korean Inscriptions and Stone Monuments Compilation: Silla 4 Volume 4 (Explanatory Volume) - ChatGPT translation"/>
    <s v="Han'guk kŭmsŏngmun chipsŏng: Silla 4-pimun 4 (haesŏl p'yŏn)"/>
    <s v="韓國 金石文 集成: 한국 금성문 집성: 신라 4편 4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9"/>
    <m/>
    <m/>
    <s v="35"/>
    <s v="n/a"/>
    <s v="n"/>
    <s v="n"/>
    <m/>
    <s v="n/a"/>
    <s v="n/a"/>
    <n v="54523469"/>
    <s v="Korean"/>
    <s v="Korean Inscriptions and Stone Monuments Compilation: Silla 5 Volume 5 (Explanatory Volume) - ChatGPT translation"/>
    <s v="Han'guk kŭmsŏngmun chipsŏng: Silla 5-pimun 5 (haesŏl p'yŏn)"/>
    <s v="韓國 金石文 集成: 한국 금성문 집성: 신라 5편 5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0"/>
    <m/>
    <m/>
    <s v="35"/>
    <s v="n/a"/>
    <s v="n"/>
    <s v="n"/>
    <m/>
    <s v="n/a"/>
    <s v="n/a"/>
    <n v="54523469"/>
    <s v="Korean"/>
    <s v="Korean Inscriptions and Stone Monuments Compilation: Silla 6 Volume 6 (Explanatory Volume) - ChatGPT translation"/>
    <s v="Han'guk kŭmsŏngmun chipsŏng: Silla 6-pimun 6 (haesŏl p'yŏn)"/>
    <s v="韓國 金石文 集成: 한국 금성문 집성: 신라 6편 6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1"/>
    <m/>
    <m/>
    <s v="35"/>
    <s v="n/a"/>
    <s v="n"/>
    <s v="n"/>
    <m/>
    <s v="n/a"/>
    <s v="n/a"/>
    <n v="54523469"/>
    <s v="Korean"/>
    <s v="Korean Inscriptions and Stone Monuments Compilation: Silla 7 Volume 7 (Explanatory Volume) - ChatGPT translation"/>
    <s v="Han'guk kŭmsŏngmun chipsŏng: Silla 7-pimun 7 (haesŏl p'yŏn)"/>
    <s v="韓國 金石文 集成: 한국 금성문 집성: 신라 7편 7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2"/>
    <m/>
    <m/>
    <s v="35"/>
    <s v="n/a"/>
    <s v="n"/>
    <s v="n"/>
    <m/>
    <s v="n/a"/>
    <s v="n/a"/>
    <n v="54523469"/>
    <s v="Korean"/>
    <s v="Korean Inscriptions and Stone Monuments Compilation: Silla 8 Volume 8 (Explanatory Volume) - ChatGPT translation"/>
    <s v="Han'guk kŭmsŏngmun chipsŏng: Silla 8-pimun 8 (haesŏl p'yŏn)"/>
    <s v="韓國 金石文 集成: 한국 금성문 집성: 신라 8편 8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3"/>
    <m/>
    <m/>
    <s v="35"/>
    <s v="n/a"/>
    <s v="n"/>
    <s v="n"/>
    <m/>
    <s v="n/a"/>
    <s v="n/a"/>
    <n v="54523469"/>
    <s v="Korean"/>
    <s v="Korean Inscriptions and Stone Monuments Compilation: Silla 9 Volume 9 (Compilation Volume) - ChatGPT translation"/>
    <s v="Han'guk kŭmsŏngmun chipsŏng: Silla 9-pimun 9 (torok p'yŏn)"/>
    <s v="韓國 金石文 集成: 한국 금성문 집성: 신라 9편 9 (토록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4"/>
    <m/>
    <m/>
    <s v="35"/>
    <s v="n/a"/>
    <s v="n"/>
    <s v="n"/>
    <m/>
    <s v="n/a"/>
    <s v="n/a"/>
    <n v="54523469"/>
    <s v="Korean"/>
    <s v="Korean Inscriptions and Stone Monuments Compilation: Silla 10 Relics (Explanatory Volume) - ChatGPT translation"/>
    <s v="Han'guk kŭmsŏngmun chipsŏng: Silla 10-yumullok (haesŏl p'yŏn)"/>
    <s v="韓國 金石文 集成: 한국 금성문 집성: 신라 10유물록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5"/>
    <m/>
    <m/>
    <s v="35"/>
    <s v="n/a"/>
    <s v="n"/>
    <s v="n"/>
    <m/>
    <s v="n/a"/>
    <s v="n/a"/>
    <n v="54523469"/>
    <s v="Korean"/>
    <s v="Korean Inscriptions and Stone Monuments Compilation: Silla 11 Seokgyeong (Explanatory Volume) - ChatGPT translation"/>
    <s v="Han'guk kŭmsŏngmun chipsŏng: Silla 11-sŏkkyŏng (haesŏl p'yŏn)"/>
    <s v="韓國 金石文 集成: 한국 금성문 집성: 신라 11석경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6"/>
    <m/>
    <m/>
    <s v="35"/>
    <s v="n/a"/>
    <s v="n"/>
    <s v="n"/>
    <m/>
    <s v="n/a"/>
    <s v="n/a"/>
    <n v="54523469"/>
    <s v="Korean"/>
    <s v="Korean Inscriptions and Stone Monuments Compilation: Silla Geummun and Balhae Inscriptions (Explanatory Volume) - ChatGPT translation"/>
    <s v="Han'guk kŭmsŏngmun chipsŏng: Silla kŭmmun mit Palhae kŭmsŏngmun (haesŏl p'yŏn)"/>
    <s v="韓國 金石文 集成: 한국 금성문 집성: 신라 금문 및 발해 금성문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7"/>
    <m/>
    <m/>
    <s v="35"/>
    <s v="n/a"/>
    <s v="n"/>
    <s v="n"/>
    <m/>
    <s v="n/a"/>
    <s v="n/a"/>
    <n v="54523469"/>
    <s v="Korean"/>
    <s v="Korean Inscriptions and Stone Monuments Compilation: Goryeo 1 Volume (Compilation Volume) - ChatGPT translation"/>
    <s v="Han'guk kŭmsŏngmun chipsŏng: Koryŏ 1-pimun (torok p'yŏn)"/>
    <s v="韓國 金石文 集成: 한국 금성문 집성: 고려 1편 (토록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8"/>
    <m/>
    <m/>
    <s v="35"/>
    <s v="n/a"/>
    <s v="n"/>
    <s v="n"/>
    <m/>
    <s v="n/a"/>
    <s v="n/a"/>
    <n v="54523469"/>
    <s v="Korean"/>
    <s v="Korean Inscriptions and Stone Monuments Compilation: Goryeo 2 Volume 2 (Explanatory Volume) - ChatGPT translation"/>
    <s v="Han'guk kŭmsŏngmun chipsŏng: Koryŏ 2-pimun 2 (haesŏl p'yŏn)"/>
    <s v="韓國 金石文 集成: 한국 금성문 집성: 고려 2편 2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19"/>
    <m/>
    <m/>
    <s v="35"/>
    <s v="n/a"/>
    <s v="n"/>
    <s v="n"/>
    <m/>
    <s v="n/a"/>
    <s v="n/a"/>
    <n v="54523469"/>
    <s v="Korean"/>
    <s v="Korean Inscriptions and Stone Monuments Compilation: Goryeo 3 Volume 3 (Explanatory Volume) - ChatGPT translation"/>
    <s v="Han'guk kŭmsŏngmun chipsŏng: Koryŏ 3-pimun 3 (haesŏl p'yŏn)"/>
    <s v="韓國 金石文 集成: 한국 금성문 집성: 고려 3편 3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0"/>
    <m/>
    <m/>
    <s v="35"/>
    <s v="n/a"/>
    <s v="n"/>
    <s v="n"/>
    <m/>
    <s v="n/a"/>
    <s v="n/a"/>
    <n v="54523469"/>
    <s v="Korean"/>
    <s v="Korean Inscriptions and Stone Monuments Compilation: Goryeo 4 Volume 4 (Explanatory Volume) - ChatGPT translation"/>
    <s v="Han'guk kŭmsŏngmun chipsŏng: Koryŏ 4-pimun 4 (haesŏl p'yŏn)"/>
    <s v="韓國 金石文 集成: 한국 금성문 집성: 고려 4편 4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1"/>
    <m/>
    <m/>
    <s v="35"/>
    <s v="n/a"/>
    <s v="n"/>
    <s v="n"/>
    <m/>
    <s v="n/a"/>
    <s v="n/a"/>
    <n v="54523469"/>
    <s v="Korean"/>
    <s v="Korean Inscriptions and Stone Monuments Compilation: Goryeo 5 Volume 5 (Explanatory Volume) - ChatGPT translation"/>
    <s v="Han'guk kŭmsŏngmun chipsŏng: Koryŏ 5-pimun 5 (haesŏl p'yŏn)"/>
    <s v="韓國 金石文 集成: 한국 금성문 집성: 고려 5편 5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2"/>
    <m/>
    <m/>
    <s v="35"/>
    <s v="n/a"/>
    <s v="n"/>
    <s v="n"/>
    <m/>
    <s v="n/a"/>
    <s v="n/a"/>
    <n v="54523469"/>
    <s v="Korean"/>
    <s v="Korean Inscriptions and Stone Monuments Compilation: Goryeo 6 Volume 6 (Explanatory Volume) - ChatGPT translation"/>
    <s v="Han'guk kŭmsŏngmun chipsŏng: Koryŏ 6-pimun 6 (haesŏl p'yŏn)"/>
    <s v="韓國 金石文 集成: 한국 금성문 집성: 고려 6편 6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3"/>
    <m/>
    <m/>
    <s v="35"/>
    <s v="n/a"/>
    <s v="n"/>
    <s v="n"/>
    <m/>
    <s v="n/a"/>
    <s v="n/a"/>
    <n v="54523469"/>
    <s v="Korean"/>
    <s v="Korean Inscriptions and Stone Monuments Compilation: Goryeo 7 Volume 7 (Explanatory &amp; Compilation Volume) - ChatGPT translation"/>
    <s v="Han'guk kŭmsŏngmun chipsŏng: Koryŏ 7-pimun 7 (haesŏl p'yŏn)"/>
    <s v="韓國 金石文 集成: 한국 금성문 집성: 고려 7편 7 (해설편 &amp; 토록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4"/>
    <m/>
    <m/>
    <s v="35"/>
    <s v="n/a"/>
    <s v="n"/>
    <s v="n"/>
    <m/>
    <s v="n/a"/>
    <s v="n/a"/>
    <n v="54523469"/>
    <s v="Korean"/>
    <s v="Korean Inscriptions and Stone Monuments Compilation: Goryeo 8 Volume 8 (Explanatory &amp; Compilation Volume) - ChatGPT translation"/>
    <s v="Han'guk kŭmsŏngmun chipsŏng: Koryŏ 8-pimun 8 (haesŏl p'yŏn &amp; torok p'yŏn)"/>
    <s v="韓國 金石文 集成: 한국 금성문 집성: 고려 8편 8 (해설편 &amp; 토록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5"/>
    <m/>
    <m/>
    <s v="35"/>
    <s v="n/a"/>
    <s v="n"/>
    <s v="n"/>
    <m/>
    <s v="n/a"/>
    <s v="n/a"/>
    <n v="54523469"/>
    <s v="Korean"/>
    <s v="Korean Inscriptions and Stone Monuments Compilation: Goryeo 9 Volume 9 (Explanatory Volume) - ChatGPT translation"/>
    <s v="Han'guk kŭmsŏngmun chipsŏng: Koryŏ 9-pimun 9 (haesŏl p'yŏn &amp; torok p'yŏn)"/>
    <s v="韓國 金石文 集成: 한국 금성문 집성: 고려 9편 9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6"/>
    <m/>
    <m/>
    <s v="35"/>
    <s v="n/a"/>
    <s v="n"/>
    <s v="n"/>
    <m/>
    <s v="n/a"/>
    <s v="n/a"/>
    <n v="54523469"/>
    <s v="Korean"/>
    <s v="Korean Inscriptions and Stone Monuments Compilation: Goryeo 10 Volume 10 (Explanatory Volume) - ChatGPT translation"/>
    <s v="Han'guk kŭmsŏngmun chipsŏng: Koryŏ 10-pimun 10 (haesŏl p'yŏn)"/>
    <s v="韓國 金石文 集成: 한국 금성문 집성: 고려 10편 10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7"/>
    <m/>
    <m/>
    <s v="35"/>
    <s v="n/a"/>
    <s v="n"/>
    <s v="n"/>
    <m/>
    <s v="n/a"/>
    <s v="n/a"/>
    <n v="54523469"/>
    <s v="Korean"/>
    <s v="Korean Inscriptions and Stone Monuments Compilation: Goryeo 11 Volume 11 (Explanatory Volume) - ChatGPT translation"/>
    <s v="Han'guk kŭmsŏngmun chipsŏng: Koryŏ 11-pimun 11 (haesŏl p'yŏn)"/>
    <s v="韓國 金石文 集成: 한국 금성문 집성: 고려 11편 11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8"/>
    <m/>
    <m/>
    <s v="35"/>
    <s v="n/a"/>
    <s v="n"/>
    <s v="n"/>
    <m/>
    <s v="n/a"/>
    <s v="n/a"/>
    <n v="54523469"/>
    <s v="Korean"/>
    <s v="Korean Inscriptions and Stone Monuments Compilation: Goryeo 12 Myojimyeong 1 (Explanatory Volume) - ChatGPT translation"/>
    <s v="Han'guk kŭmsŏngmun chipsŏng: Koryŏ 12 myojimyŏng 1 (haesŏl p'yŏn)"/>
    <s v="韓國 金石文 集成: 한국 금성문 집성: 고려 12 명지명 1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29"/>
    <m/>
    <m/>
    <s v="35"/>
    <s v="n/a"/>
    <s v="n"/>
    <s v="n"/>
    <m/>
    <s v="n/a"/>
    <s v="n/a"/>
    <n v="54523469"/>
    <s v="Korean"/>
    <s v="Korean Inscriptions and Stone Monuments Compilation: Goryeo 13 Myojimyeong 2 (Explanatory Volume) - ChatGPT translation"/>
    <s v="Han'guk kŭmsŏngmun chipsŏng: Koryŏ 13 myojimyŏng 2 (haesŏl p'yŏn)"/>
    <s v="韓國 金石文 集成: 한국 금성문 집성: 고려 13 명지명 2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30"/>
    <m/>
    <m/>
    <s v="35"/>
    <s v="n/a"/>
    <s v="n"/>
    <s v="n"/>
    <m/>
    <s v="n/a"/>
    <s v="n/a"/>
    <n v="54523469"/>
    <s v="Korean"/>
    <s v="Korean Inscriptions and Stone Monuments Compilation: Goryeo 14 Myojimyeong 3 (Explanatory Volume) - ChatGPT translation"/>
    <s v="Han'guk kŭmsŏngmun chipsŏng: Koryŏ 14 myojimyŏng 3 (haesŏl p'yŏn)"/>
    <s v="韓國 金石文 集成: 한국 금성문 집성: 고려 14 명지명 3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31"/>
    <m/>
    <m/>
    <s v="35"/>
    <s v="n/a"/>
    <s v="n"/>
    <s v="n"/>
    <m/>
    <s v="n/a"/>
    <s v="n/a"/>
    <n v="54523469"/>
    <s v="Korean"/>
    <s v="Korean Inscriptions and Stone Monuments Compilation: Goryeo 15 Myojimyeong 4 (Explanatory Volume) - ChatGPT translation"/>
    <s v="Han'guk kŭmsŏngmun chipsŏng: Koryŏ 15 myojimyŏng 4 (haesŏl p'yŏn)"/>
    <s v="韓國 金石文 集成: 한국 금성문 집성: 고려 15 명지명 4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32"/>
    <m/>
    <m/>
    <s v="35"/>
    <s v="n/a"/>
    <s v="n"/>
    <s v="n"/>
    <m/>
    <s v="n/a"/>
    <s v="n/a"/>
    <n v="54523469"/>
    <s v="Korean"/>
    <s v="Korean Inscriptions and Stone Monuments Compilation: Goryeo 16 Myojimyeong 5 (Explanatory &amp; Compilation Volume) - ChatGPT translation"/>
    <s v="Han'guk kŭmsŏngmun chipsŏng: Koryŏ 16 myojimyŏng 5 (haesŏl p'yŏn &amp; torok p'yŏn)"/>
    <s v="韓國 金石文 集成: 한국 금성문 집성: 고려 16 명지명 5 (해설편 &amp; 토록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33"/>
    <m/>
    <m/>
    <s v="35"/>
    <s v="n/a"/>
    <s v="n"/>
    <s v="n"/>
    <m/>
    <s v="n/a"/>
    <s v="n/a"/>
    <n v="54523469"/>
    <s v="Korean"/>
    <s v="Korean Inscriptions and Stone Monuments Compilation: Goryeo 17 Myojimyeong 6 (Explanatory &amp; Compilation Volume) - ChatGPT translation"/>
    <s v="Han'guk kŭmsŏngmun chipsŏng: Koryŏ 17 myojimyŏng 6 (haesŏl p'yŏn &amp; torok p'yŏn)"/>
    <s v="韓國 金石文 集成: 한국 금성문 집성: 고려 17 명지명 6 (해설편 &amp; 토록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34"/>
    <m/>
    <m/>
    <s v="35"/>
    <s v="n/a"/>
    <s v="n"/>
    <s v="n"/>
    <m/>
    <s v="n/a"/>
    <s v="n/a"/>
    <n v="54523469"/>
    <s v="Korean"/>
    <s v="Korean Inscriptions and Stone Monuments Compilation: Goryeo 18 Volume 18 (Explanatory Volume) - ChatGPT translation"/>
    <s v="Han'guk kŭmsŏngmun chipsŏng: Koryŏ 18-pimun 18 (haesŏl p'yŏn)"/>
    <s v="韓國 金石文 集成: 한국 금성문 집성: 고려 18편 18 (해설편)"/>
    <x v="59"/>
    <s v="n/a"/>
    <s v="Im, Se-gwŏn ^ Yi, U-t'ae ^ Cho, Myŏng-je"/>
    <s v="任 世權 ^ 李 宇泰 ^ 趙 明濟"/>
    <s v="n/a"/>
    <s v="n/a"/>
    <x v="98"/>
    <x v="72"/>
    <s v="Ch'op'an"/>
    <s v="초판"/>
    <s v="Inscriptions, Korean ^ Rubbing -- Korea ^ Inscriptions, Korean ^ Rubbing ^ History ^ Sources ^ Korea -- History -- Sources ^ Korea"/>
    <s v="0"/>
    <m/>
    <m/>
  </r>
  <r>
    <s v="12/11/2023"/>
    <m/>
    <s v="marjorie.burge@colorado.edu"/>
    <s v="n"/>
    <s v="y"/>
    <s v="Panmun"/>
    <m/>
    <m/>
    <x v="1"/>
    <s v="35"/>
    <m/>
    <m/>
    <s v="35"/>
    <s v="n/a"/>
    <s v="n"/>
    <s v="n"/>
    <m/>
    <s v="n/a"/>
    <s v="n/a"/>
    <n v="54523469"/>
    <s v="Korean"/>
    <s v="Korean Inscriptions and Stone Monuments Compilation: Goryeo 19 Volume with Kit'a (Compilation Volume)"/>
    <s v="Han'guk kŭmsŏngmun chipsŏng: Koryŏ 19-pimun mit kit'a (torok p'yŏn)"/>
    <s v="韓國 金石文 集成: 한국 금성문 집성: 고려 19편 및 키타 (토록편)"/>
    <x v="59"/>
    <s v="n/a"/>
    <s v="Im, Se-gwŏn ^ Yi, U-t'ae ^ Cho, Myŏng-je"/>
    <s v="任 世權 ^ 李 宇泰 ^ 趙 明濟"/>
    <s v="n/a"/>
    <s v="n/a"/>
    <x v="98"/>
    <x v="72"/>
    <s v="Ch'op'an"/>
    <s v="초판"/>
    <s v="Inscriptions, Korean ^ Rubbing -- Korea ^ Inscriptions, Korean ^ Rubbing ^ History ^ Sources ^ Korea -- History -- Sources ^ Korea"/>
    <s v="0"/>
    <m/>
    <m/>
  </r>
  <r>
    <s v="12/11/2023"/>
    <s v="n"/>
    <s v="mikhail.skovoronskikh@colorado.edu"/>
    <s v="n"/>
    <s v="n"/>
    <s v="Panmun"/>
    <s v="ISBN is for set, no individual volume ISBNs. Inform Adam that materials are processed and ready"/>
    <s v="n/a"/>
    <x v="1"/>
    <n v="1"/>
    <m/>
    <m/>
    <s v="20"/>
    <s v="n"/>
    <s v="n"/>
    <s v="n"/>
    <m/>
    <n v="9788981073008"/>
    <s v="8981073007"/>
    <n v="50312383"/>
    <s v="Korean"/>
    <s v="Early Period Various Poets: Choi Chwi-won, Im Chun, Chen He, Baek Bun-hwa, Kim Ung, Hong Kan, Lee Gyu-jung, Lee Ji-jung"/>
    <s v="Han'guk Hansi taegwan: Sangdae chegasi, Ch'oe Ch'i-wŏn, Im Ch'un, Chin Hwa, Paek Pun-hwa, Kim Ku, Hong Kan, Yi Tal-ch'ung, Yi Chip"/>
    <s v="韓國 漢詩 大觀: 上代 諸家詩, 崔致遠, 林椿, 陳澕, 白賁華, 金坵, 洪侃, 李逵衷, 李集"/>
    <x v="60"/>
    <s v="n/a"/>
    <s v="Yi, Chong-ch'an"/>
    <s v="李 鍾燦,1933-"/>
    <s v="n/a"/>
    <s v="n/a"/>
    <x v="99"/>
    <x v="73"/>
    <s v="n/a"/>
    <s v="n/a"/>
    <s v="Hansi (Korean poetry) ^ Korean poetry -- To 1900 ^ Hansi (Korean poetry) ^ Korean poetry ^ To 1900"/>
    <s v="0"/>
    <m/>
    <m/>
  </r>
  <r>
    <s v="12/11/2023"/>
    <s v="n"/>
    <s v="mikhail.skovoronskikh@colorado.edu"/>
    <s v="n"/>
    <s v="n"/>
    <s v="Panmun"/>
    <m/>
    <m/>
    <x v="1"/>
    <s v="2, 3"/>
    <m/>
    <m/>
    <s v="20"/>
    <s v="n"/>
    <s v="n"/>
    <s v="n"/>
    <m/>
    <n v="9788981073008"/>
    <s v="8981073007"/>
    <n v="50312383"/>
    <s v="Korean"/>
    <s v="Lee Gwi-bo's Collection"/>
    <s v="Han'guk Hansi taegwan: Yi Kyu-bo"/>
    <s v="韓國 漢詩 大觀: 李奎報"/>
    <x v="60"/>
    <s v="n/a"/>
    <s v="Yi, Chong-ch'an"/>
    <s v="李 鍾燦,1933-"/>
    <s v="n/a"/>
    <s v="n/a"/>
    <x v="99"/>
    <x v="73"/>
    <s v="n/a"/>
    <s v="n/a"/>
    <s v="Hansi (Korean poetry) ^ Korean poetry -- To 1900 ^ Hansi (Korean poetry) ^ Korean poetry ^ To 1900"/>
    <s v="0"/>
    <m/>
    <m/>
  </r>
  <r>
    <s v="12/11/2023"/>
    <s v="n"/>
    <s v="mikhail.skovoronskikh@colorado.edu"/>
    <s v="n"/>
    <s v="n"/>
    <s v="Panmun"/>
    <s v="Example of set only isbn, good for testing"/>
    <m/>
    <x v="1"/>
    <n v="4"/>
    <m/>
    <m/>
    <s v="20"/>
    <s v="n"/>
    <s v="n"/>
    <s v="n"/>
    <m/>
    <n v="9788981073008"/>
    <s v="8981073007"/>
    <n v="50312383"/>
    <s v="Korean"/>
    <s v="Lee Seung-hyo, Lee Gok, Jung [Po]"/>
    <s v="Han'guk Hansi taegwan: Yi Sŭng-hyu, Yi Kok, Chŏng P'o"/>
    <s v="韓國 漢詩 大觀: 李承休, 李穀, 鄭[Po]"/>
    <x v="60"/>
    <s v="n/a"/>
    <s v="Yi, Chong-ch'an"/>
    <s v="李 鍾燦,1933-"/>
    <s v="n/a"/>
    <s v="n/a"/>
    <x v="99"/>
    <x v="73"/>
    <s v="n/a"/>
    <s v="n/a"/>
    <s v="Hansi (Korean poetry) ^ Korean poetry -- To 1900 ^ Hansi (Korean poetry) ^ Korean poetry ^ To 1900"/>
    <s v="0"/>
    <m/>
    <m/>
  </r>
  <r>
    <s v="12/11/2023"/>
    <s v="n"/>
    <s v="mikhail.skovoronskikh@colorado.edu"/>
    <s v="n"/>
    <s v="n"/>
    <s v="Panmun"/>
    <m/>
    <m/>
    <x v="1"/>
    <n v="5"/>
    <m/>
    <m/>
    <s v="20"/>
    <s v="n"/>
    <s v="n"/>
    <s v="n"/>
    <m/>
    <n v="9788981073008"/>
    <s v="8981073007"/>
    <n v="50312383"/>
    <s v="Korean"/>
    <s v="An Seok, Lee Ji-hyun, Min Si-pyeong"/>
    <s v="Han'guk Hansi taegwan: An Ch'uk, Yi Che-hyŏn, Min Sa-p'yŏng"/>
    <s v="韓國 漢詩 大觀: 安軸, 李齊賢, 閔思平"/>
    <x v="60"/>
    <s v="n/a"/>
    <s v="Yi, Chong-ch'an"/>
    <s v="李 鍾燦,1933-"/>
    <s v="n/a"/>
    <s v="n/a"/>
    <x v="99"/>
    <x v="73"/>
    <s v="n/a"/>
    <s v="n/a"/>
    <s v="Hansi (Korean poetry) ^ Korean poetry -- To 1900 ^ Hansi (Korean poetry) ^ Korean poetry ^ To 1900"/>
    <s v="0"/>
    <m/>
    <m/>
  </r>
  <r>
    <s v="12/11/2023"/>
    <s v="n"/>
    <s v="mikhail.skovoronskikh@colorado.edu"/>
    <s v="n"/>
    <s v="n"/>
    <s v="Panmun"/>
    <m/>
    <m/>
    <x v="1"/>
    <n v="6"/>
    <m/>
    <m/>
    <s v="20"/>
    <s v="n"/>
    <s v="n"/>
    <s v="n"/>
    <m/>
    <n v="9788981073008"/>
    <s v="8981073007"/>
    <n v="50312383"/>
    <s v="Korean"/>
    <s v="Han Su, Jung Mong-ju, Kim Gu-yong, Jung [Ch'ong]"/>
    <s v="Han'guk Hansi taegwan: Han Su, Chŏng Mong-ju, Kim Ku-yong, Chŏng Ch'ong"/>
    <s v="韓國 漢詩 大觀: 韓脩, 鄭夢周, 金九容, 鄭[Ch'ong]"/>
    <x v="60"/>
    <s v="n/a"/>
    <s v="Yi, Chong-ch'an"/>
    <s v="李 鍾燦,1933-"/>
    <s v="n/a"/>
    <s v="n/a"/>
    <x v="99"/>
    <x v="73"/>
    <s v="n/a"/>
    <s v="n/a"/>
    <s v="Hansi (Korean poetry) ^ Korean poetry -- To 1900 ^ Hansi (Korean poetry) ^ Korean poetry ^ To 1900"/>
    <s v="0"/>
    <m/>
    <m/>
  </r>
  <r>
    <s v="12/11/2023"/>
    <s v="n"/>
    <s v="mikhail.skovoronskikh@colorado.edu"/>
    <s v="n"/>
    <s v="n"/>
    <s v="Panmun"/>
    <m/>
    <m/>
    <x v="1"/>
    <n v="7"/>
    <m/>
    <m/>
    <s v="20"/>
    <s v="n"/>
    <s v="n"/>
    <s v="n"/>
    <m/>
    <n v="9788981073008"/>
    <s v="8981073007"/>
    <n v="50312383"/>
    <s v="Korean"/>
    <s v="Lee Chung-in, Jung Shu, Lee Jan"/>
    <s v="Han'guk Hansi taegwan: Yi Sung-in, Chŏng Ku, Yi Ch'ŏm"/>
    <s v="韓國 漢詩 大觀: 李崇仁, 鄭樞, 李詹"/>
    <x v="60"/>
    <s v="n/a"/>
    <s v="Yi, Chong-ch'an"/>
    <s v="李 鍾燦,1933-"/>
    <s v="n/a"/>
    <s v="n/a"/>
    <x v="99"/>
    <x v="73"/>
    <s v="n/a"/>
    <s v="n/a"/>
    <s v="Hansi (Korean poetry) ^ Korean poetry -- To 1900 ^ Hansi (Korean poetry) ^ Korean poetry ^ To 1900"/>
    <s v="0"/>
    <m/>
    <m/>
  </r>
  <r>
    <s v="12/11/2023"/>
    <s v="n"/>
    <s v="mikhail.skovoronskikh@colorado.edu"/>
    <s v="n"/>
    <s v="n"/>
    <s v="Panmun"/>
    <m/>
    <m/>
    <x v="1"/>
    <n v="8"/>
    <m/>
    <m/>
    <s v="20"/>
    <s v="n"/>
    <s v="n"/>
    <s v="n"/>
    <m/>
    <n v="9788981073008"/>
    <s v="8981073007"/>
    <n v="50312383"/>
    <s v="Korean"/>
    <s v="Won Cheon-seok"/>
    <s v="Han'guk Hansi taegwan: Wŏn, Ch'ŏn-sŏk"/>
    <s v="韓國 漢詩 大觀: 元天錫"/>
    <x v="60"/>
    <s v="n/a"/>
    <s v="Yi, Chong-ch'an"/>
    <s v="李 鍾燦,1933-"/>
    <s v="n/a"/>
    <s v="n/a"/>
    <x v="99"/>
    <x v="73"/>
    <s v="n/a"/>
    <s v="n/a"/>
    <s v="Hansi (Korean poetry) ^ Korean poetry -- To 1900 ^ Hansi (Korean poetry) ^ Korean poetry ^ To 1900"/>
    <s v="0"/>
    <m/>
    <m/>
  </r>
  <r>
    <s v="12/11/2023"/>
    <s v="n"/>
    <s v="mikhail.skovoronskikh@colorado.edu"/>
    <s v="n"/>
    <s v="n"/>
    <s v="Panmun"/>
    <m/>
    <m/>
    <x v="1"/>
    <s v="9, 10, 11"/>
    <m/>
    <m/>
    <s v="20"/>
    <s v="n"/>
    <s v="n"/>
    <s v="n"/>
    <m/>
    <n v="9788981073008"/>
    <s v="8981073007"/>
    <n v="50312383"/>
    <s v="Korean"/>
    <s v="Lee Seok"/>
    <s v="Han'guk Hansi taegwan: Yi Saek"/>
    <s v="韓國 漢詩 大觀: 李穡"/>
    <x v="60"/>
    <s v="n/a"/>
    <s v="Yi, Chong-ch'an"/>
    <s v="李 鍾燦,1933-"/>
    <s v="n/a"/>
    <s v="n/a"/>
    <x v="99"/>
    <x v="73"/>
    <s v="n/a"/>
    <s v="n/a"/>
    <s v="Hansi (Korean poetry) ^ Korean poetry -- To 1900 ^ Hansi (Korean poetry) ^ Korean poetry ^ To 1900"/>
    <s v="0"/>
    <m/>
    <m/>
  </r>
  <r>
    <s v="12/11/2023"/>
    <s v="n"/>
    <s v="mikhail.skovoronskikh@colorado.edu"/>
    <s v="n"/>
    <s v="n"/>
    <s v="Panmun"/>
    <m/>
    <m/>
    <x v="1"/>
    <n v="12"/>
    <m/>
    <m/>
    <s v="20"/>
    <s v="n"/>
    <s v="n"/>
    <s v="n"/>
    <m/>
    <n v="9788981073008"/>
    <s v="8981073007"/>
    <n v="50312383"/>
    <s v="Korean"/>
    <s v="Hye-chun Mugisa, Heaven [Ch'aek] Lake Mountain, Chung-ji Circle Mirror, Pu-yu Tae-go, Hye-geun Lan-ung"/>
    <s v="Han'guk Hansi taegwan: Hyesim Muŭija, Ch'ŏnch'aek Hosan, Ch'ungji Wŏngam, Pou T'aego, Hyegŭn Naong"/>
    <s v="韓國 漢詩 大觀: 慧諶 無衣子, 天[ch'aek] 湖山, 沖止 圓鑑, 普愚 太古, 慧勤懶翁"/>
    <x v="60"/>
    <s v="n/a"/>
    <s v="Yi, Chong-ch'an"/>
    <s v="李 鍾燦,1933-"/>
    <s v="n/a"/>
    <s v="n/a"/>
    <x v="99"/>
    <x v="73"/>
    <s v="n/a"/>
    <s v="n/a"/>
    <s v="Hansi (Korean poetry) ^ Korean poetry -- To 1900 ^ Hansi (Korean poetry) ^ Korean poetry ^ To 1900"/>
    <s v="0"/>
    <m/>
    <m/>
  </r>
  <r>
    <s v="12/11/2023"/>
    <s v="n"/>
    <s v="mikhail.skovoronskikh@colorado.edu"/>
    <s v="n"/>
    <s v="n"/>
    <s v="Panmun"/>
    <m/>
    <m/>
    <x v="1"/>
    <n v="13"/>
    <m/>
    <m/>
    <s v="20"/>
    <s v="n"/>
    <s v="n"/>
    <s v="n"/>
    <m/>
    <n v="9788981073008"/>
    <s v="8981073007"/>
    <n v="50312383"/>
    <s v="Korean"/>
    <s v="Jung So-fu, Gwon Jin, Choi Heung"/>
    <s v="Han'guk Hansi taegwan: Chŏng To-jŏn, Kwŏn Kŭn, Ch'oe Hang"/>
    <s v="韓國 漢詩 大觀: 鄭逍傅, 權近, 崔恒"/>
    <x v="60"/>
    <s v="n/a"/>
    <s v="Yi, Chong-ch'an"/>
    <s v="李 鍾燦,1933-"/>
    <s v="n/a"/>
    <s v="n/a"/>
    <x v="99"/>
    <x v="73"/>
    <s v="n/a"/>
    <s v="n/a"/>
    <s v="Hansi (Korean poetry) ^ Korean poetry -- To 1900 ^ Hansi (Korean poetry) ^ Korean poetry ^ To 1900"/>
    <s v="0"/>
    <m/>
    <m/>
  </r>
  <r>
    <s v="12/11/2023"/>
    <s v="n"/>
    <s v="mikhail.skovoronskikh@colorado.edu"/>
    <s v="n"/>
    <s v="n"/>
    <s v="Panmun"/>
    <m/>
    <m/>
    <x v="1"/>
    <n v="14"/>
    <m/>
    <m/>
    <s v="20"/>
    <s v="n"/>
    <s v="n"/>
    <s v="n"/>
    <m/>
    <n v="9788981073008"/>
    <s v="8981073007"/>
    <n v="50312383"/>
    <s v="Korean"/>
    <s v="Byun Ji-yang, Ryu Bang-sohn"/>
    <s v="Han'guk Hansi taegwan: Pyŏn Kye-ryang, Yu Pang-sŏn"/>
    <s v="韓國 漢詩 大觀: 卞季良, 柳方善"/>
    <x v="60"/>
    <s v="n/a"/>
    <s v="Yi, Chong-ch'an"/>
    <s v="李 鍾燦,1933-"/>
    <s v="n/a"/>
    <s v="n/a"/>
    <x v="99"/>
    <x v="73"/>
    <s v="n/a"/>
    <s v="n/a"/>
    <s v="Hansi (Korean poetry) ^ Korean poetry -- To 1900 ^ Hansi (Korean poetry) ^ Korean poetry ^ To 1900"/>
    <s v="0"/>
    <m/>
    <m/>
  </r>
  <r>
    <s v="12/11/2023"/>
    <s v="n"/>
    <s v="mikhail.skovoronskikh@colorado.edu"/>
    <s v="n"/>
    <s v="n"/>
    <s v="Panmun"/>
    <m/>
    <m/>
    <x v="1"/>
    <n v="15"/>
    <m/>
    <m/>
    <s v="20"/>
    <s v="n"/>
    <s v="n"/>
    <s v="n"/>
    <m/>
    <n v="9788981073008"/>
    <s v="8981073007"/>
    <n v="50312383"/>
    <s v="Korean"/>
    <s v="Kim Su-won, Lee Seok-hyung, Shin Suk-joo, Seong Sam-moon"/>
    <s v="Han'guk Hansi taegwan: Kim Su-on, Yi Sŏk-hyŏng, Sin Suk-chu, Sŏng Sam-mun"/>
    <s v="韓國 漢詩 大觀: 金守溫, 李石亨, 申叔舟, 成三問"/>
    <x v="60"/>
    <s v="n/a"/>
    <s v="Yi, Chong-ch'an"/>
    <s v="李 鍾燦,1933-"/>
    <s v="n/a"/>
    <s v="n/a"/>
    <x v="99"/>
    <x v="73"/>
    <s v="n/a"/>
    <s v="n/a"/>
    <s v="Hansi (Korean poetry) ^ Korean poetry -- To 1900 ^ Hansi (Korean poetry) ^ Korean poetry ^ To 1900"/>
    <s v="0"/>
    <m/>
    <m/>
  </r>
  <r>
    <s v="12/11/2023"/>
    <s v="n"/>
    <s v="mikhail.skovoronskikh@colorado.edu"/>
    <s v="n"/>
    <s v="n"/>
    <s v="Panmun"/>
    <m/>
    <m/>
    <x v="1"/>
    <s v="16, 17"/>
    <m/>
    <m/>
    <s v="20"/>
    <s v="n"/>
    <s v="n"/>
    <s v="n"/>
    <m/>
    <n v="9788981073008"/>
    <s v="8981073007"/>
    <n v="50312383"/>
    <s v="Korean"/>
    <s v="Seo Gyo-jung"/>
    <s v="Han'guk Hansi taegwan: Sŏ Kŏ-jŏng"/>
    <s v="韓國 漢詩 大觀: 徐居正"/>
    <x v="60"/>
    <s v="n/a"/>
    <s v="Yi, Chong-ch'an"/>
    <s v="李 鍾燦,1933-"/>
    <s v="n/a"/>
    <s v="n/a"/>
    <x v="99"/>
    <x v="73"/>
    <s v="n/a"/>
    <s v="n/a"/>
    <s v="Hansi (Korean poetry) ^ Korean poetry -- To 1900 ^ Hansi (Korean poetry) ^ Korean poetry ^ To 1900"/>
    <s v="0"/>
    <m/>
    <m/>
  </r>
  <r>
    <s v="12/11/2023"/>
    <s v="n"/>
    <s v="mikhail.skovoronskikh@colorado.edu"/>
    <s v="n"/>
    <s v="n"/>
    <s v="Panmun"/>
    <m/>
    <m/>
    <x v="1"/>
    <n v="18"/>
    <m/>
    <m/>
    <s v="20"/>
    <s v="n"/>
    <s v="n"/>
    <s v="n"/>
    <m/>
    <n v="9788981073008"/>
    <s v="8981073007"/>
    <n v="50312383"/>
    <s v="Korean"/>
    <s v="Lee Seung-jo, Jeon Jong-jik"/>
    <s v="Han'guk Hansi taegwan: Yi Sŭng-so, Kim Chong-jik"/>
    <s v="韓國 漢詩 大觀: 李承召, 全宗直"/>
    <x v="60"/>
    <s v="n/a"/>
    <s v="Yi, Chong-ch'an"/>
    <s v="李 鍾燦,1933-"/>
    <s v="n/a"/>
    <s v="n/a"/>
    <x v="99"/>
    <x v="73"/>
    <s v="n/a"/>
    <s v="n/a"/>
    <s v="Hansi (Korean poetry) ^ Korean poetry -- To 1900 ^ Hansi (Korean poetry) ^ Korean poetry ^ To 1900"/>
    <s v="0"/>
    <m/>
    <m/>
  </r>
  <r>
    <s v="12/11/2023"/>
    <s v="n"/>
    <s v="mikhail.skovoronskikh@colorado.edu"/>
    <s v="n"/>
    <s v="n"/>
    <s v="Panmun"/>
    <m/>
    <m/>
    <x v="1"/>
    <s v="19, 20"/>
    <m/>
    <m/>
    <s v="20"/>
    <s v="n"/>
    <s v="n"/>
    <s v="n"/>
    <m/>
    <n v="9788981073008"/>
    <s v="8981073007"/>
    <n v="50312383"/>
    <s v="Korean"/>
    <s v="Kim Shi-seup"/>
    <s v="Han'guk Hansi taegwan: kim Si-sŭp"/>
    <s v="韓國 漢詩 大觀: 金時習"/>
    <x v="60"/>
    <s v="n/a"/>
    <s v="Yi, Chong-ch'an"/>
    <s v="李 鍾燦,1933-"/>
    <s v="n/a"/>
    <s v="n/a"/>
    <x v="99"/>
    <x v="73"/>
    <s v="n/a"/>
    <s v="n/a"/>
    <s v="Hansi (Korean poetry) ^ Korean poetry -- To 1900 ^ Hansi (Korean poetry) ^ Korean poetry ^ To 1900"/>
    <s v="0"/>
    <m/>
    <m/>
  </r>
  <r>
    <s v="12/1/2023"/>
    <m/>
    <s v="marjorie.burge@colorado.edu"/>
    <s v="y"/>
    <s v="y"/>
    <s v="Panmun"/>
    <m/>
    <s v="n/a"/>
    <x v="1"/>
    <s v="1"/>
    <m/>
    <m/>
    <s v="n/a"/>
    <s v="n/a"/>
    <s v="n"/>
    <s v="n"/>
    <m/>
    <s v="n/a"/>
    <s v="n/a"/>
    <n v="40193089"/>
    <s v="Korean"/>
    <s v="Language and Literature of the Silla Era - ChatGPT translation"/>
    <s v="Silla sidae ŭi ŏnŏ wa munhak"/>
    <s v="新羅時代의言語와文學"/>
    <x v="61"/>
    <s v="n/a"/>
    <s v="Han'gugŏ Munhakhoe"/>
    <s v="韓國語文學會"/>
    <s v="Han'gugŏ munhak taegye ; 1"/>
    <s v="韓國語文學大系 ; 1"/>
    <x v="100"/>
    <x v="74"/>
    <s v="n/a"/>
    <s v="n/a"/>
    <s v="鄉歌; 鄉歌 ^ Hyangga -- History and criticism ^ Hyangga -- Language ^ Hyangga ^ Criticism, interpretation, etc"/>
    <s v="0"/>
    <m/>
    <m/>
  </r>
  <r>
    <s v="11/28/2023"/>
    <s v="n"/>
    <s v="marjorie.burge@colorado.edu"/>
    <s v="n"/>
    <s v="n"/>
    <s v="Panmun"/>
    <m/>
    <s v="n/a"/>
    <x v="1"/>
    <s v="n/a"/>
    <m/>
    <m/>
    <s v="n/a"/>
    <s v="n"/>
    <s v="n"/>
    <s v="n/a"/>
    <m/>
    <n v="9788937427176"/>
    <s v="n/a"/>
    <s v="n/a"/>
    <s v="Korean"/>
    <s v="Reading Ieoryeong: Civilization, Culture, and Literature in the Era of Artificial Intelligence and Life Philosophy - ChatGPT translation"/>
    <s v="Yi Ŏ-ryŏng ilki : in'gong chinŭng kwa saengmyŏng sasang sidae ŭi munmyŏng, munhwa, munhak"/>
    <s v="이어령 읽기 : 인공지능과 생명사상 시대의 문명, 문화, 문학"/>
    <x v="1"/>
    <s v="n/a"/>
    <s v="Kim, Sŏng-gon"/>
    <s v="김성곤著"/>
    <s v="n/a"/>
    <s v="n/a"/>
    <x v="101"/>
    <x v="75"/>
    <s v="n/a"/>
    <s v="n/a"/>
    <s v="n/a"/>
    <n v="13.647600000000001"/>
    <s v="krw"/>
    <n v="18000"/>
  </r>
  <r>
    <s v="11/28/2023"/>
    <s v="n"/>
    <s v="marjorie.burge@colorado.edu"/>
    <s v="n"/>
    <s v="n"/>
    <s v="Panmun"/>
    <m/>
    <s v="n/a"/>
    <x v="1"/>
    <s v="n/a"/>
    <m/>
    <m/>
    <s v="n/a"/>
    <s v="n"/>
    <s v="n"/>
    <s v="n/a"/>
    <m/>
    <n v="9791190587402"/>
    <s v="n/a"/>
    <s v="n/a"/>
    <s v="Korean"/>
    <s v="The People Try to Speak, Their Throats Choke with Tears: Satirical Poetry of Late Joseon Reflecting Reality - ChatGPT translation"/>
    <s v="Paeksŏng ŭi mal haryŏ hani mok i mego nunmul nanda : chuhae Chosŏn hugi hyŏnsil pip'an kasa"/>
    <s v="백성의 말 하려 하니 목이 메고 눈물 난다 : 주해 조선후기 현실비판가사"/>
    <x v="1"/>
    <s v="n/a"/>
    <s v="Chin, Kyŏng-hwan"/>
    <s v="진경환著"/>
    <s v="n/a"/>
    <s v="n/a"/>
    <x v="102"/>
    <x v="76"/>
    <s v="n/a"/>
    <s v="n/a"/>
    <s v="n/a"/>
    <n v="20.471399999999999"/>
    <s v="krw"/>
    <n v="27000"/>
  </r>
  <r>
    <s v="11/28/2023"/>
    <s v="n"/>
    <s v="marjorie.burge@colorado.edu"/>
    <s v="n"/>
    <s v="n"/>
    <s v="Panmun"/>
    <m/>
    <s v="n/a"/>
    <x v="1"/>
    <s v="n/a"/>
    <m/>
    <m/>
    <s v="n/a"/>
    <s v="n"/>
    <s v="n"/>
    <s v="n/a"/>
    <m/>
    <n v="9791155802090"/>
    <s v="n/a"/>
    <s v="n/a"/>
    <s v="Korean"/>
    <s v="Establishing a Thousand-Year Legacy - ChatGPT translation"/>
    <s v="Ch'ŏnnyŏn ŭl seuda"/>
    <s v="천년을 세우다"/>
    <x v="1"/>
    <s v="n/a"/>
    <s v="P'yŏnjippu p'yŏn"/>
    <s v="편집부編"/>
    <s v="n/a"/>
    <s v="n/a"/>
    <x v="103"/>
    <x v="77"/>
    <s v="n/a"/>
    <s v="n/a"/>
    <s v="n/a"/>
    <n v="5.3074000000000003"/>
    <s v="krw"/>
    <n v="7000"/>
  </r>
  <r>
    <s v="11/28/2023"/>
    <s v="n"/>
    <s v="marjorie.burge@colorado.edu"/>
    <s v="n"/>
    <s v="n"/>
    <s v="Panmun"/>
    <m/>
    <s v="n/a"/>
    <x v="1"/>
    <s v="n/a"/>
    <m/>
    <m/>
    <s v="n/a"/>
    <s v="n"/>
    <s v="n"/>
    <s v="n/a"/>
    <m/>
    <n v="9791193304655"/>
    <s v="n/a"/>
    <s v="n/a"/>
    <s v="Korean"/>
    <s v="This Is Buddhism of the Buddha: A Classic Buddhist Text Written by Jigye Balsa"/>
    <s v="Igŏt i Sŏkkamoni Puch'ŏnim ŭi Pulgyo ta : chaega pulcha ka ssŭn chŏngt'ong Pulgyo kyogwasŏ"/>
    <s v="이것이 석가모니 부처님의 불교다 : 재가불자가 쓴 정통 불교 교과서"/>
    <x v="1"/>
    <s v="n/a"/>
    <s v="Chŏng, Hae-sŏk"/>
    <s v="정해석著"/>
    <s v="n/a"/>
    <s v="n/a"/>
    <x v="104"/>
    <x v="78"/>
    <s v="n/a"/>
    <s v="n/a"/>
    <s v="n/a"/>
    <n v="13.647600000000001"/>
    <s v="krw"/>
    <n v="18000"/>
  </r>
  <r>
    <s v="11/27/2023"/>
    <s v="n"/>
    <s v="sangbok.kim@colorado.edu"/>
    <s v="n"/>
    <s v="n"/>
    <s v="Panmun"/>
    <s v="student textbook: korean"/>
    <s v="n/a"/>
    <x v="4"/>
    <s v="1a"/>
    <m/>
    <m/>
    <s v="8"/>
    <s v="https://libcat.colorado.edu/Record/b12886915"/>
    <s v="2+ Results"/>
    <s v="y"/>
    <m/>
    <n v="9788997134229"/>
    <s v="8997134221"/>
    <n v="1401643356"/>
    <s v="Korean"/>
    <s v="Sejong Korean, student book"/>
    <s v="Sejong Han'gugŏ"/>
    <s v="세종 한국어"/>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student textbook: korean"/>
    <s v="n/a"/>
    <x v="4"/>
    <s v="1b"/>
    <m/>
    <m/>
    <s v="8"/>
    <s v="https://libcat.colorado.edu/Record/b12886915"/>
    <s v="2+ Results"/>
    <s v="y"/>
    <m/>
    <n v="9788997134236"/>
    <s v="899713423X"/>
    <n v="1401643356"/>
    <s v="Korean"/>
    <s v="Sejong Korean, student book"/>
    <s v="Sejong Han'gugŏ"/>
    <s v="세종 한국어"/>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student textbook: korean"/>
    <s v="n/a"/>
    <x v="4"/>
    <s v="2a"/>
    <m/>
    <m/>
    <s v="8"/>
    <s v="https://libcat.colorado.edu/Record/b12886915"/>
    <s v="2+ Results"/>
    <s v="y"/>
    <m/>
    <n v="9788997134243"/>
    <s v="8997134248"/>
    <n v="1401643356"/>
    <s v="Korean"/>
    <s v="Sejong Korean, student book"/>
    <s v="Sejong Han'gugŏ"/>
    <s v="세종 한국어"/>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student textbook: korean"/>
    <s v="n/a"/>
    <x v="4"/>
    <s v="2b"/>
    <m/>
    <m/>
    <s v="8"/>
    <s v="https://libcat.colorado.edu/Record/b12886915"/>
    <s v="2+ Results"/>
    <s v="y"/>
    <m/>
    <n v="9788997134250"/>
    <s v="8997134256"/>
    <n v="1401643356"/>
    <s v="Korean"/>
    <s v="Sejong Korean, student book"/>
    <s v="Sejong Han'gugŏ"/>
    <s v="세종 한국어"/>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student textbook: korean"/>
    <s v="n/a"/>
    <x v="4"/>
    <s v="3a"/>
    <m/>
    <m/>
    <s v="8"/>
    <s v="https://libcat.colorado.edu/Record/b12886915"/>
    <s v="2+ Results"/>
    <s v="y"/>
    <m/>
    <n v="9788997134267"/>
    <s v="8997134264"/>
    <n v="1401643356"/>
    <s v="Korean"/>
    <s v="Sejong Korean, student book"/>
    <s v="Sejong Han'gugŏ"/>
    <s v="세종 한국어"/>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student textbook: korean"/>
    <s v="n/a"/>
    <x v="4"/>
    <s v="3b"/>
    <m/>
    <m/>
    <s v="8"/>
    <s v="https://libcat.colorado.edu/Record/b12886915"/>
    <s v="2+ Results"/>
    <s v="y"/>
    <m/>
    <n v="9788997134274"/>
    <s v="8997134272"/>
    <n v="1401643356"/>
    <s v="Korean"/>
    <s v="Sejong Korean, student book"/>
    <s v="Sejong Han'gugŏ"/>
    <s v="세종 한국어"/>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student textbook: korean"/>
    <s v="n/a"/>
    <x v="4"/>
    <s v="4a"/>
    <m/>
    <m/>
    <s v="8"/>
    <s v="https://libcat.colorado.edu/Record/b12886915"/>
    <s v="2+ Results"/>
    <s v="y"/>
    <m/>
    <n v="9788997134281"/>
    <s v="8997134280"/>
    <n v="1401643356"/>
    <s v="Korean"/>
    <s v="Sejong Korean, student book"/>
    <s v="Sejong Han'gugŏ"/>
    <s v="세종 한국어"/>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student textbook: korean"/>
    <s v="n/a"/>
    <x v="4"/>
    <s v="4b"/>
    <m/>
    <m/>
    <s v="8"/>
    <s v="https://libcat.colorado.edu/Record/b12886915"/>
    <s v="2+ Results"/>
    <s v="y"/>
    <m/>
    <n v="9788997134298"/>
    <s v="8997134299"/>
    <n v="1401643356"/>
    <s v="Korean"/>
    <s v="Sejong Korean, student book"/>
    <s v="Sejong Han'gugŏ"/>
    <s v="세종 한국어"/>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student textbook: english"/>
    <s v="n/a"/>
    <x v="4"/>
    <s v="1a"/>
    <m/>
    <m/>
    <s v="4"/>
    <s v="https://libcat.colorado.edu/Record/in00000077893"/>
    <s v="2+ Results"/>
    <s v="y"/>
    <m/>
    <n v="9781635190434"/>
    <s v="1635190436"/>
    <n v="1401927834"/>
    <s v="English"/>
    <s v="Sejong Korean student book : English edition"/>
    <s v="Sejong Han'gugŏ"/>
    <s v="세종 한국어"/>
    <x v="62"/>
    <s v="n/a"/>
    <s v="Lee, Jung Hee"/>
    <s v="n/a"/>
    <s v="n/a"/>
    <s v="n/a"/>
    <x v="106"/>
    <x v="0"/>
    <s v="English edition"/>
    <s v="n/a"/>
    <s v="Korean language -- Textbooks for foreign speakers ^ Korean language -- Conversation and phrase books"/>
    <s v="0"/>
    <m/>
    <m/>
  </r>
  <r>
    <s v="11/27/2023"/>
    <s v="n"/>
    <s v="sangbok.kim@colorado.edu"/>
    <s v="n"/>
    <s v="n"/>
    <s v="Panmun"/>
    <s v="student textbook: english"/>
    <s v="n/a"/>
    <x v="4"/>
    <s v="1b"/>
    <m/>
    <m/>
    <s v="4"/>
    <s v="https://libcat.colorado.edu/Record/in00000077893"/>
    <s v="2+ Results"/>
    <s v="y"/>
    <m/>
    <n v="9781635190441"/>
    <s v="1635190444"/>
    <n v="1401927834"/>
    <s v="English"/>
    <s v="Sejong Korean student book : English edition"/>
    <s v="Sejong Han'gugŏ"/>
    <s v="세종 한국어"/>
    <x v="62"/>
    <s v="n/a"/>
    <s v="Lee, Jung Hee"/>
    <s v="n/a"/>
    <s v="n/a"/>
    <s v="n/a"/>
    <x v="106"/>
    <x v="0"/>
    <s v="English edition"/>
    <s v="n/a"/>
    <s v="Korean language -- Textbooks for foreign speakers ^ Korean language -- Conversation and phrase books"/>
    <s v="0"/>
    <m/>
    <m/>
  </r>
  <r>
    <s v="11/27/2023"/>
    <s v="n"/>
    <s v="sangbok.kim@colorado.edu"/>
    <s v="n"/>
    <s v="n"/>
    <s v="Panmun"/>
    <s v="student textbook: english"/>
    <s v="n/a"/>
    <x v="4"/>
    <s v="2a"/>
    <m/>
    <m/>
    <s v="4"/>
    <s v="https://libcat.colorado.edu/Record/in00000077893"/>
    <s v="2+ Results"/>
    <s v="y"/>
    <m/>
    <n v="9781635190458"/>
    <s v="1635190452"/>
    <n v="1401927834"/>
    <s v="English"/>
    <s v="Sejong Korean student book : English edition"/>
    <s v="Sejong Han'gugŏ"/>
    <s v="세종 한국어"/>
    <x v="62"/>
    <s v="n/a"/>
    <s v="Lee, Jung Hee"/>
    <s v="n/a"/>
    <s v="n/a"/>
    <s v="n/a"/>
    <x v="106"/>
    <x v="0"/>
    <s v="English edition"/>
    <s v="n/a"/>
    <s v="Korean language -- Textbooks for foreign speakers ^ Korean language -- Conversation and phrase books"/>
    <s v="0"/>
    <m/>
    <m/>
  </r>
  <r>
    <s v="11/27/2023"/>
    <s v="n"/>
    <s v="sangbok.kim@colorado.edu"/>
    <s v="n"/>
    <s v="n"/>
    <s v="Panmun"/>
    <s v="student textbook: english"/>
    <s v="n/a"/>
    <x v="4"/>
    <s v="2b"/>
    <m/>
    <m/>
    <s v="4"/>
    <s v="https://libcat.colorado.edu/Record/in00000077893"/>
    <s v="2+ Results"/>
    <s v="y"/>
    <m/>
    <n v="9781635190465"/>
    <s v="1635190460"/>
    <n v="1401927834"/>
    <s v="English"/>
    <s v="Sejong Korean student book : English edition"/>
    <s v="Sejong Han'gugŏ"/>
    <s v="세종 한국어"/>
    <x v="62"/>
    <s v="n/a"/>
    <s v="Lee, Jung Hee"/>
    <s v="n/a"/>
    <s v="n/a"/>
    <s v="n/a"/>
    <x v="106"/>
    <x v="0"/>
    <s v="English edition"/>
    <s v="n/a"/>
    <s v="Korean language -- Textbooks for foreign speakers ^ Korean language -- Conversation and phrase books"/>
    <s v="0"/>
    <m/>
    <m/>
  </r>
  <r>
    <s v="11/27/2023"/>
    <s v="n"/>
    <s v="sangbok.kim@colorado.edu"/>
    <s v="n"/>
    <s v="n"/>
    <s v="Panmun"/>
    <s v="activity book, english"/>
    <s v="n/a"/>
    <x v="4"/>
    <s v="1a"/>
    <m/>
    <m/>
    <s v="4"/>
    <s v="https://libcat.colorado.edu/Record/in00000078363"/>
    <s v="https://libcat.colorado.edu/Record/in00000078363"/>
    <s v="y"/>
    <m/>
    <n v="9781635190472"/>
    <s v="1635190479"/>
    <n v="1401935419"/>
    <s v="English"/>
    <s v="Sejong Korean, extension activity book"/>
    <s v="Sejong Han'gugŏ, extension activity book"/>
    <s v="세종 한국어, extension activity book"/>
    <x v="62"/>
    <s v="n/a"/>
    <s v="Lee, Jung Hee"/>
    <s v="n/a"/>
    <s v="n/a"/>
    <s v="n/a"/>
    <x v="106"/>
    <x v="0"/>
    <s v="English edition"/>
    <s v="n/a"/>
    <s v="Korean language -- Textbooks for foreign speakers ^ Korean language -- Conversation and phrase books"/>
    <s v="0"/>
    <m/>
    <m/>
  </r>
  <r>
    <s v="11/27/2023"/>
    <s v="n"/>
    <s v="sangbok.kim@colorado.edu"/>
    <s v="n"/>
    <s v="n"/>
    <s v="Panmun"/>
    <s v="activity book, english"/>
    <s v="n/a"/>
    <x v="4"/>
    <s v="1b"/>
    <m/>
    <m/>
    <s v="4"/>
    <s v="https://libcat.colorado.edu/Record/in00000078363"/>
    <s v="https://libcat.colorado.edu/Record/in00000078363"/>
    <s v="y"/>
    <m/>
    <n v="9781635190489"/>
    <s v="1635190487"/>
    <n v="1401935419"/>
    <s v="English"/>
    <s v="Sejong Korean, extension activity book"/>
    <s v="Sejong Han'gugŏ, extension activity book"/>
    <s v="세종 한국어, extension activity book"/>
    <x v="62"/>
    <s v="n/a"/>
    <s v="Lee, Jung Hee"/>
    <s v="n/a"/>
    <s v="n/a"/>
    <s v="n/a"/>
    <x v="106"/>
    <x v="0"/>
    <s v="English edition"/>
    <s v="n/a"/>
    <s v="Korean language -- Textbooks for foreign speakers ^ Korean language -- Conversation and phrase books"/>
    <s v="0"/>
    <m/>
    <m/>
  </r>
  <r>
    <s v="11/27/2023"/>
    <s v="n"/>
    <s v="sangbok.kim@colorado.edu"/>
    <s v="n"/>
    <s v="n"/>
    <s v="Panmun"/>
    <s v="activity book, english"/>
    <s v="n/a"/>
    <x v="4"/>
    <s v="2a"/>
    <m/>
    <m/>
    <s v="4"/>
    <s v="https://libcat.colorado.edu/Record/in00000078363"/>
    <s v="https://libcat.colorado.edu/Record/in00000078363"/>
    <s v="y"/>
    <m/>
    <n v="9781635190496"/>
    <s v="1635190495"/>
    <n v="1401935419"/>
    <s v="English"/>
    <s v="Sejong Korean, extension activity book"/>
    <s v="Sejong Han'gugŏ, extension activity book"/>
    <s v="세종 한국어, extension activity book"/>
    <x v="62"/>
    <s v="n/a"/>
    <s v="Lee, Jung Hee"/>
    <s v="n/a"/>
    <s v="n/a"/>
    <s v="n/a"/>
    <x v="106"/>
    <x v="0"/>
    <s v="English edition"/>
    <s v="n/a"/>
    <s v="Korean language -- Textbooks for foreign speakers ^ Korean language -- Conversation and phrase books"/>
    <s v="0"/>
    <m/>
    <m/>
  </r>
  <r>
    <s v="11/27/2023"/>
    <s v="n"/>
    <s v="sangbok.kim@colorado.edu"/>
    <s v="n"/>
    <s v="n"/>
    <s v="Panmun"/>
    <s v="activity book, english"/>
    <s v="n/a"/>
    <x v="4"/>
    <s v="2b"/>
    <m/>
    <m/>
    <s v="4"/>
    <s v="https://libcat.colorado.edu/Search/Results?type=ISN&amp;lookfor=9781635190502"/>
    <s v="https://libcat.colorado.edu/Record/in00000078363"/>
    <s v="y"/>
    <m/>
    <n v="9781635190502"/>
    <s v="1635190509"/>
    <n v="1401935419"/>
    <s v="English"/>
    <s v="Sejong Korean, extension activity book"/>
    <s v="Sejong Han'gugŏ, extension activity book"/>
    <s v="세종 한국어, extension activity book"/>
    <x v="62"/>
    <s v="n/a"/>
    <s v="Lee, Jung Hee"/>
    <s v="n/a"/>
    <s v="n/a"/>
    <s v="n/a"/>
    <x v="106"/>
    <x v="0"/>
    <s v="English edition"/>
    <s v="n/a"/>
    <s v="Korean language -- Textbooks for foreign speakers ^ Korean language -- Conversation and phrase books"/>
    <s v="0"/>
    <m/>
    <m/>
  </r>
  <r>
    <s v="11/27/2023"/>
    <s v="n"/>
    <s v="sangbok.kim@colorado.edu"/>
    <s v="n"/>
    <s v="n"/>
    <s v="Panmun"/>
    <s v="activity book, korean"/>
    <s v="n/a"/>
    <x v="4"/>
    <s v="1a"/>
    <m/>
    <m/>
    <s v="8"/>
    <s v="https://libcat.colorado.edu/Record/in00000078367"/>
    <s v="https://libcat.colorado.edu/Record/in00000078367"/>
    <s v="y"/>
    <m/>
    <n v="9788997134502"/>
    <s v="8997134507"/>
    <n v="1401936351"/>
    <s v="Korean"/>
    <s v="Sejong Korean, extension activity book"/>
    <s v="Sejong Han'gugŏ, tŏhagi hwaltong"/>
    <s v="세종 한국어, 더하기 활동"/>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activity book, korean"/>
    <s v="n/a"/>
    <x v="4"/>
    <s v="1b"/>
    <m/>
    <m/>
    <s v="8"/>
    <s v="https://libcat.colorado.edu/Record/in00000078367"/>
    <s v="https://libcat.colorado.edu/Record/in00000078367"/>
    <s v="y"/>
    <m/>
    <n v="9788997134519"/>
    <s v="8997134515"/>
    <n v="1401936351"/>
    <s v="Korean"/>
    <s v="Sejong Korean, extension activity book"/>
    <s v="Sejong Han'gugŏ, tŏhagi hwaltong"/>
    <s v="세종 한국어, 더하기 활동"/>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activity book, korean"/>
    <s v="n/a"/>
    <x v="4"/>
    <s v="2a"/>
    <m/>
    <m/>
    <s v="8"/>
    <s v="https://libcat.colorado.edu/Record/in00000078367"/>
    <s v="https://libcat.colorado.edu/Search/Results?type=Title&amp;lookfor=%22%EC%84%B8%EC%A2%85%20%ED%95%9C%EA%B5%AD%EC%96%B4,%20%EB%8D%94%ED%95%98%EA%B8%B0%20%ED%99%9C%EB%8F%99%22"/>
    <s v="y"/>
    <m/>
    <n v="9788997134526"/>
    <s v="8997134523"/>
    <n v="1401936351"/>
    <s v="Korean"/>
    <s v="Sejong Korean, extension activity book"/>
    <s v="Sejong Han'gugŏ, tŏhagi hwaltong"/>
    <s v="세종 한국어, 더하기 활동"/>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activity book, korean"/>
    <s v="n/a"/>
    <x v="4"/>
    <s v="2b"/>
    <m/>
    <m/>
    <s v="8"/>
    <s v="https://libcat.colorado.edu/Record/in00000078367"/>
    <s v="https://libcat.colorado.edu/Record/in00000078367"/>
    <s v="y"/>
    <m/>
    <n v="9788997134533"/>
    <s v="8997134531"/>
    <n v="1401936351"/>
    <s v="Korean"/>
    <s v="Sejong Korean, extension activity book"/>
    <s v="Sejong Han'gugŏ, tŏhagi hwaltong"/>
    <s v="세종 한국어, 더하기 활동"/>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activity book, korean"/>
    <s v="n/a"/>
    <x v="4"/>
    <s v="3a"/>
    <m/>
    <m/>
    <s v="8"/>
    <s v="https://libcat.colorado.edu/Record/in00000078367"/>
    <s v="https://libcat.colorado.edu/Search/Results?type=Title&amp;lookfor=%22%EC%84%B8%EC%A2%85%20%ED%95%9C%EA%B5%AD%EC%96%B4,%20%EB%8D%94%ED%95%98%EA%B8%B0%20%ED%99%9C%EB%8F%99%22"/>
    <s v="y"/>
    <m/>
    <n v="9788997134540"/>
    <s v="899713454X"/>
    <n v="1401936351"/>
    <s v="Korean"/>
    <s v="Sejong Korean, extension activity book"/>
    <s v="Sejong Han'gugŏ, tŏhagi hwaltong"/>
    <s v="세종 한국어, 더하기 활동"/>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activity book, korean"/>
    <s v="n/a"/>
    <x v="4"/>
    <s v="3b"/>
    <m/>
    <m/>
    <s v="8"/>
    <s v="https://libcat.colorado.edu/Record/in00000078367"/>
    <s v="https://libcat.colorado.edu/Record/in00000078367"/>
    <s v="y"/>
    <m/>
    <n v="9788997134557"/>
    <s v="8997134558"/>
    <n v="1401936351"/>
    <s v="Korean"/>
    <s v="Sejong Korean, extension activity book"/>
    <s v="Sejong Han'gugŏ, tŏhagi hwaltong"/>
    <s v="세종 한국어, 더하기 활동"/>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activity book, korean"/>
    <s v="n/a"/>
    <x v="4"/>
    <s v="4a"/>
    <m/>
    <m/>
    <s v="8"/>
    <s v="https://libcat.colorado.edu/Record/in00000078367"/>
    <s v="https://libcat.colorado.edu/Record/in00000078367"/>
    <s v="y"/>
    <m/>
    <n v="9788997134564"/>
    <s v="8997134566"/>
    <n v="1401936351"/>
    <s v="Korean"/>
    <s v="Sejong Korean, extension activity book"/>
    <s v="Sejong Han'gugŏ, tŏhagi hwaltong"/>
    <s v="세종 한국어, 더하기 활동"/>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activity book, korean"/>
    <s v="n/a"/>
    <x v="4"/>
    <s v="4b"/>
    <m/>
    <m/>
    <s v="8"/>
    <s v="https://libcat.colorado.edu/Record/in00000078367"/>
    <s v="https://libcat.colorado.edu/Record/in00000078367"/>
    <s v="y"/>
    <m/>
    <n v="9788997134571"/>
    <s v="8997134574"/>
    <n v="1401936351"/>
    <s v="Korean"/>
    <s v="Sejong Korean, extension activity book"/>
    <s v="Sejong Han'gugŏ, tŏhagi hwaltong"/>
    <s v="세종 한국어, 더하기 활동"/>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s v="0"/>
    <m/>
    <m/>
  </r>
  <r>
    <s v="11/27/2023"/>
    <s v="n"/>
    <s v="sangbok.kim@colorado.edu"/>
    <s v="n"/>
    <s v="n"/>
    <s v="Panmun"/>
    <s v="teacher's guide"/>
    <s v="n/a"/>
    <x v="4"/>
    <s v="1"/>
    <m/>
    <m/>
    <s v="4"/>
    <s v="https://libcat.colorado.edu/Record/in00000078375"/>
    <s v="https://libcat.colorado.edu/Search/Results?type=Title&amp;lookfor=%22%EC%84%B8%EC%A2%85%20%ED%95%9C%EA%B5%AD%EC%96%B4,%20%EA%B5%90%EC%82%AC%EC%9A%A9%20%EC%A7%80%EB%8F%84%EC%84%9C%22"/>
    <s v="y"/>
    <m/>
    <n v="9788997134465"/>
    <s v="8997134469"/>
    <n v="1401940096"/>
    <s v="Korean"/>
    <s v="Sejong Korean, teacher's guide"/>
    <s v="Sejong Han'gugŏ, kyosayong chidosŏ"/>
    <s v="세종 한국어, 교사용 지도서"/>
    <x v="45"/>
    <s v="n/a"/>
    <s v="Yi, Chŏng-hŭi ^ Munhwa Ch'eyuk Kwan'gwangbu Kungnip Kugŏwŏn"/>
    <s v="이 정희 ^ 문화 체육 관광부 국립 국어원, publisher"/>
    <s v="n/a"/>
    <s v="n/a"/>
    <x v="105"/>
    <x v="0"/>
    <s v="Ch'op'an"/>
    <s v="초판"/>
    <s v="Korean language -- Study and teaching ^ Korean language -- Textbooks for foreign speakers ^ Korean language -- Conversation and phrase books ^ Korean language ^ Korean language -- Study and teaching ^ Conversation and phrase books ^ Textbooks -- for foreign speakers"/>
    <s v="0"/>
    <m/>
    <m/>
  </r>
  <r>
    <s v="11/27/2023"/>
    <s v="n"/>
    <s v="sangbok.kim@colorado.edu"/>
    <s v="n"/>
    <s v="n"/>
    <s v="Panmun"/>
    <s v="teacher's guide"/>
    <s v="n/a"/>
    <x v="4"/>
    <s v="2"/>
    <m/>
    <m/>
    <s v="4"/>
    <s v="https://libcat.colorado.edu/Record/in00000078375"/>
    <s v="https://libcat.colorado.edu/Record/in00000078375"/>
    <s v="y"/>
    <m/>
    <n v="9788997134472"/>
    <s v="8997134477"/>
    <n v="1401940096"/>
    <s v="Korean"/>
    <s v="Sejong Korean, teacher's guide"/>
    <s v="Sejong Han'gugŏ, kyosayong chidosŏ"/>
    <s v="세종 한국어, 교사용 지도서"/>
    <x v="45"/>
    <s v="n/a"/>
    <s v="Yi, Chŏng-hŭi ^ Munhwa Ch'eyuk Kwan'gwangbu Kungnip Kugŏwŏn"/>
    <s v="이 정희 ^ 문화 체육 관광부 국립 국어원, publisher"/>
    <s v="n/a"/>
    <s v="n/a"/>
    <x v="105"/>
    <x v="0"/>
    <s v="Ch'op'an"/>
    <s v="초판"/>
    <s v="Korean language -- Study and teaching ^ Korean language -- Textbooks for foreign speakers ^ Korean language -- Conversation and phrase books ^ Korean language ^ Korean language -- Study and teaching ^ Conversation and phrase books ^ Textbooks -- for foreign speakers"/>
    <s v="0"/>
    <m/>
    <m/>
  </r>
  <r>
    <s v="11/27/2023"/>
    <s v="n"/>
    <s v="sangbok.kim@colorado.edu"/>
    <s v="n"/>
    <s v="n"/>
    <s v="Panmun"/>
    <s v="teacher's guide"/>
    <s v="n/a"/>
    <x v="4"/>
    <s v="3"/>
    <m/>
    <m/>
    <s v="4"/>
    <s v="https://libcat.colorado.edu/Record/in00000078375"/>
    <s v="https://libcat.colorado.edu/Search/Results?type=Title&amp;lookfor=%22%EC%84%B8%EC%A2%85%20%ED%95%9C%EA%B5%AD%EC%96%B4,%20%EA%B5%90%EC%82%AC%EC%9A%A9%20%EC%A7%80%EB%8F%84%EC%84%9C%22"/>
    <s v="y"/>
    <m/>
    <n v="9788997134489"/>
    <s v="8997134485"/>
    <n v="1401940096"/>
    <s v="Korean"/>
    <s v="Sejong Korean, teacher's guide"/>
    <s v="Sejong Han'gugŏ, kyosayong chidosŏ"/>
    <s v="세종 한국어, 교사용 지도서"/>
    <x v="45"/>
    <s v="n/a"/>
    <s v="Yi, Chŏng-hŭi ^ Munhwa Ch'eyuk Kwan'gwangbu Kungnip Kugŏwŏn"/>
    <s v="이 정희 ^ 문화 체육 관광부 국립 국어원, publisher"/>
    <s v="n/a"/>
    <s v="n/a"/>
    <x v="105"/>
    <x v="0"/>
    <s v="Ch'op'an"/>
    <s v="초판"/>
    <s v="Korean language -- Study and teaching ^ Korean language -- Textbooks for foreign speakers ^ Korean language -- Conversation and phrase books ^ Korean language ^ Korean language -- Study and teaching ^ Conversation and phrase books ^ Textbooks -- for foreign speakers"/>
    <s v="0"/>
    <m/>
    <m/>
  </r>
  <r>
    <s v="11/27/2023"/>
    <s v="n"/>
    <s v="sangbok.kim@colorado.edu"/>
    <s v="n"/>
    <s v="n"/>
    <s v="Panmun"/>
    <s v="teacher's guide"/>
    <s v="n/a"/>
    <x v="4"/>
    <s v="4"/>
    <m/>
    <m/>
    <s v="4"/>
    <s v="https://libcat.colorado.edu/Record/in00000078375"/>
    <s v="https://libcat.colorado.edu/Record/in00000078375"/>
    <s v="y"/>
    <m/>
    <n v="9788997134496"/>
    <s v="8997134493"/>
    <n v="1401940096"/>
    <s v="Korean"/>
    <s v="Sejong Korean, teacher's guide"/>
    <s v="Sejong Han'gugŏ, kyosayong chidosŏ"/>
    <s v="세종 한국어, 교사용 지도서"/>
    <x v="45"/>
    <s v="n/a"/>
    <s v="Yi, Chŏng-hŭi ^ Munhwa Ch'eyuk Kwan'gwangbu Kungnip Kugŏwŏn"/>
    <s v="이 정희 ^ 문화 체육 관광부 국립 국어원, publisher"/>
    <s v="n/a"/>
    <s v="n/a"/>
    <x v="105"/>
    <x v="0"/>
    <s v="Ch'op'an"/>
    <s v="초판"/>
    <s v="Korean language -- Study and teaching ^ Korean language -- Textbooks for foreign speakers ^ Korean language -- Conversation and phrase books ^ Korean language ^ Korean language -- Study and teaching ^ Conversation and phrase books ^ Textbooks -- for foreign speakers"/>
    <s v="0"/>
    <m/>
    <m/>
  </r>
  <r>
    <s v="11/27/2023"/>
    <s v="n"/>
    <s v="sangbok.kim@colorado.edu"/>
    <s v="n"/>
    <s v="n"/>
    <s v="Panmun"/>
    <m/>
    <s v="n/a"/>
    <x v="4"/>
    <s v="1a"/>
    <m/>
    <m/>
    <s v="8"/>
    <s v="https://libcat.colorado.edu/Record/in00000078908"/>
    <s v="https://libcat.colorado.edu/Record/in00000078908"/>
    <s v="y"/>
    <m/>
    <n v="9788997134304"/>
    <s v="8997134302"/>
    <n v="1402109866"/>
    <s v="Korean"/>
    <s v="Sejong Korean, work book"/>
    <s v="Sejong Han'gugŏ, ikhimch'aek"/>
    <s v="세종 한국어, 익힘책"/>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 Korean language ^ Conversation and phrase books ^ Textbooks -- for foreign speakers"/>
    <s v="0"/>
    <m/>
    <m/>
  </r>
  <r>
    <s v="11/27/2023"/>
    <s v="n"/>
    <s v="sangbok.kim@colorado.edu"/>
    <s v="n"/>
    <s v="n"/>
    <s v="Panmun"/>
    <m/>
    <s v="n/a"/>
    <x v="4"/>
    <s v="1b"/>
    <m/>
    <m/>
    <s v="8"/>
    <s v="https://libcat.colorado.edu/Record/in00000078908"/>
    <s v="https://libcat.colorado.edu/Record/in00000078908"/>
    <s v="y"/>
    <m/>
    <n v="9788997134311"/>
    <s v="8997134310"/>
    <n v="1402109866"/>
    <s v="Korean"/>
    <s v="Sejong Korean, work book"/>
    <s v="Sejong Han'gugŏ, ikhimch'aek"/>
    <s v="세종 한국어, 익힘책"/>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 Korean language ^ Conversation and phrase books ^ Textbooks -- for foreign speakers"/>
    <s v="0"/>
    <m/>
    <m/>
  </r>
  <r>
    <s v="11/27/2023"/>
    <s v="n"/>
    <s v="sangbok.kim@colorado.edu"/>
    <s v="n"/>
    <s v="n"/>
    <s v="Panmun"/>
    <m/>
    <s v="n/a"/>
    <x v="4"/>
    <s v="2a"/>
    <m/>
    <m/>
    <s v="8"/>
    <s v="https://libcat.colorado.edu/Record/in00000078908"/>
    <s v="https://libcat.colorado.edu/Record/in00000078908"/>
    <s v="y"/>
    <m/>
    <n v="9788997134328"/>
    <s v="8997134329"/>
    <n v="1402109866"/>
    <s v="Korean"/>
    <s v="Sejong Korean, work book"/>
    <s v="Sejong Han'gugŏ, ikhimch'aek"/>
    <s v="세종 한국어, 익힘책"/>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 Korean language ^ Conversation and phrase books ^ Textbooks -- for foreign speakers"/>
    <s v="0"/>
    <m/>
    <m/>
  </r>
  <r>
    <s v="11/27/2023"/>
    <s v="n"/>
    <s v="sangbok.kim@colorado.edu"/>
    <s v="n"/>
    <s v="n"/>
    <s v="Panmun"/>
    <m/>
    <s v="n/a"/>
    <x v="4"/>
    <s v="2b"/>
    <m/>
    <m/>
    <s v="8"/>
    <s v="https://libcat.colorado.edu/Record/in00000078908"/>
    <s v="https://libcat.colorado.edu/Record/in00000078908"/>
    <s v="y"/>
    <m/>
    <n v="9788997134335"/>
    <s v="8997134337"/>
    <n v="1402109866"/>
    <s v="Korean"/>
    <s v="Sejong Korean, work book"/>
    <s v="Sejong Han'gugŏ, ikhimch'aek"/>
    <s v="세종 한국어, 익힘책"/>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 Korean language ^ Conversation and phrase books ^ Textbooks -- for foreign speakers"/>
    <s v="0"/>
    <m/>
    <m/>
  </r>
  <r>
    <s v="11/27/2023"/>
    <s v="n"/>
    <s v="sangbok.kim@colorado.edu"/>
    <s v="n"/>
    <s v="n"/>
    <s v="Panmun"/>
    <m/>
    <s v="n/a"/>
    <x v="4"/>
    <s v="3a"/>
    <m/>
    <m/>
    <s v="8"/>
    <s v="https://libcat.colorado.edu/Record/in00000078908"/>
    <s v="https://libcat.colorado.edu/Record/in00000078908"/>
    <s v="y"/>
    <m/>
    <n v="9788997134342"/>
    <s v="8997134345"/>
    <n v="1402109866"/>
    <s v="Korean"/>
    <s v="Sejong Korean, work book"/>
    <s v="Sejong Han'gugŏ, ikhimch'aek"/>
    <s v="세종 한국어, 익힘책"/>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 Korean language ^ Conversation and phrase books ^ Textbooks -- for foreign speakers"/>
    <s v="0"/>
    <m/>
    <m/>
  </r>
  <r>
    <s v="11/27/2023"/>
    <s v="n"/>
    <s v="sangbok.kim@colorado.edu"/>
    <s v="n"/>
    <s v="n"/>
    <s v="Panmun"/>
    <m/>
    <s v="n/a"/>
    <x v="4"/>
    <s v="3b"/>
    <m/>
    <m/>
    <s v="8"/>
    <s v="https://libcat.colorado.edu/Record/in00000078908"/>
    <s v="https://libcat.colorado.edu/Record/in00000078908"/>
    <s v="y"/>
    <m/>
    <n v="9788997134359"/>
    <s v="8997134353"/>
    <n v="1402109866"/>
    <s v="Korean"/>
    <s v="Sejong Korean, work book"/>
    <s v="Sejong Han'gugŏ, ikhimch'aek"/>
    <s v="세종 한국어, 익힘책"/>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 Korean language ^ Conversation and phrase books ^ Textbooks -- for foreign speakers"/>
    <s v="0"/>
    <m/>
    <m/>
  </r>
  <r>
    <s v="11/27/2023"/>
    <s v="n"/>
    <s v="sangbok.kim@colorado.edu"/>
    <s v="n"/>
    <s v="n"/>
    <s v="Panmun"/>
    <m/>
    <s v="n/a"/>
    <x v="4"/>
    <s v="4a"/>
    <m/>
    <m/>
    <s v="8"/>
    <s v="https://libcat.colorado.edu/Record/in00000078908"/>
    <s v="https://libcat.colorado.edu/Record/in00000078908"/>
    <s v="y"/>
    <m/>
    <n v="9788997134366"/>
    <s v="8997134361"/>
    <n v="1402109866"/>
    <s v="Korean"/>
    <s v="Sejong Korean, work book"/>
    <s v="Sejong Han'gugŏ, ikhimch'aek"/>
    <s v="세종 한국어, 익힘책"/>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 Korean language ^ Conversation and phrase books ^ Textbooks -- for foreign speakers"/>
    <s v="0"/>
    <m/>
    <m/>
  </r>
  <r>
    <s v="11/27/2023"/>
    <s v="n"/>
    <s v="sangbok.kim@colorado.edu"/>
    <s v="n"/>
    <s v="n"/>
    <s v="Panmun"/>
    <m/>
    <s v="n/a"/>
    <x v="4"/>
    <s v="4b"/>
    <m/>
    <m/>
    <s v="8"/>
    <s v="https://libcat.colorado.edu/Record/in00000078908"/>
    <s v="https://libcat.colorado.edu/Record/in00000078908"/>
    <s v="y"/>
    <m/>
    <n v="9788997134373"/>
    <s v="899713437X"/>
    <n v="1402109866"/>
    <s v="Korean"/>
    <s v="Sejong Korean, work book"/>
    <s v="Sejong Han'gugŏ, ikhimch'aek"/>
    <s v="세종 한국어, 익힘책"/>
    <x v="45"/>
    <s v="n/a"/>
    <s v="Yi, Chŏng-hŭi ^ Munhwa Ch'eyuk Kwan'gwangbu Kungnip Kugŏwŏn"/>
    <s v="이 정희 ^ 문화 체육 관광부 국립 국어원, publisher"/>
    <s v="n/a"/>
    <s v="n/a"/>
    <x v="105"/>
    <x v="0"/>
    <s v="Ch'op'an"/>
    <s v="초판"/>
    <s v="Korean language -- Textbooks for foreign speakers ^ Korean language -- Conversation and phrase books ^ Korean language ^ Conversation and phrase books ^ Textbooks -- for foreign speakers"/>
    <s v="0"/>
    <m/>
    <m/>
  </r>
  <r>
    <s v="11/27/2023"/>
    <s v="n"/>
    <s v="sangbok.kim@colorado.edu"/>
    <s v="n"/>
    <s v="n"/>
    <s v="Panmun"/>
    <m/>
    <s v="n/a"/>
    <x v="4"/>
    <s v="1a"/>
    <m/>
    <m/>
    <s v="8"/>
    <s v="https://libcat.colorado.edu/Record/in00000079227"/>
    <s v="https://libcat.colorado.edu/Record/in00000079227"/>
    <s v="y"/>
    <m/>
    <n v="9788997134380"/>
    <s v="8997134388"/>
    <n v="1402226754"/>
    <s v="Korean"/>
    <s v="Sejong Korean : vocabulary &amp; grammar book"/>
    <s v="Sejong Han'gugŏ: ŏhwi, p'yohyŏn kwa munpŏp = Sejong Korean: vocabulary &amp; grammar book"/>
    <s v="세종 한국어: 어휘, 표현 과 문법"/>
    <x v="45"/>
    <s v="n/a"/>
    <s v="Yi, Chŏng-hŭi ^ Munhwa Ch'eyuk Kwan'gwangbu Kungnip Kugŏwŏn"/>
    <s v="이 정희 ^ 문화 체육 관광부 국립 국어원, publisher"/>
    <s v="n/a"/>
    <s v="n/a"/>
    <x v="105"/>
    <x v="0"/>
    <s v="Ch'op'an"/>
    <s v="초판"/>
    <s v="Korean language -- Textbooks for foreign speakers ^ Korean language -- Vocabulary ^ Korean language -- Grammar ^ Korean language ^ Korean language -- Grammar ^ Korean language -- Vocabulary ^ Textbooks -- for foreign speakers"/>
    <s v="0"/>
    <m/>
    <m/>
  </r>
  <r>
    <s v="11/27/2023"/>
    <s v="n"/>
    <s v="sangbok.kim@colorado.edu"/>
    <s v="n"/>
    <s v="n"/>
    <s v="Panmun"/>
    <m/>
    <s v="n/a"/>
    <x v="4"/>
    <s v="1b"/>
    <m/>
    <m/>
    <s v="8"/>
    <s v="https://libcat.colorado.edu/Record/in00000079227"/>
    <s v="https://libcat.colorado.edu/Record/in00000079227"/>
    <s v="y"/>
    <m/>
    <n v="9788997134397"/>
    <s v="8997134396"/>
    <n v="1402226754"/>
    <s v="Korean"/>
    <s v="Sejong Korean : vocabulary &amp; grammar book"/>
    <s v="Sejong Han'gugŏ: ŏhwi, p'yohyŏn kwa munpŏp = Sejong Korean: vocabulary &amp; grammar book"/>
    <s v="세종 한국어: 어휘, 표현 과 문법"/>
    <x v="45"/>
    <s v="n/a"/>
    <s v="Yi, Chŏng-hŭi ^ Munhwa Ch'eyuk Kwan'gwangbu Kungnip Kugŏwŏn"/>
    <s v="이 정희 ^ 문화 체육 관광부 국립 국어원, publisher"/>
    <s v="n/a"/>
    <s v="n/a"/>
    <x v="105"/>
    <x v="0"/>
    <s v="Ch'op'an"/>
    <s v="초판"/>
    <s v="Korean language -- Textbooks for foreign speakers ^ Korean language -- Vocabulary ^ Korean language -- Grammar ^ Korean language ^ Korean language -- Grammar ^ Korean language -- Vocabulary ^ Textbooks -- for foreign speakers"/>
    <s v="0"/>
    <m/>
    <m/>
  </r>
  <r>
    <s v="11/27/2023"/>
    <s v="n"/>
    <s v="sangbok.kim@colorado.edu"/>
    <s v="n"/>
    <s v="n"/>
    <s v="Panmun"/>
    <m/>
    <s v="n/a"/>
    <x v="4"/>
    <s v="2a"/>
    <m/>
    <m/>
    <s v="8"/>
    <s v="https://libcat.colorado.edu/Record/in00000079227"/>
    <s v="https://libcat.colorado.edu/Record/in00000079227"/>
    <s v="y"/>
    <m/>
    <n v="9788997134403"/>
    <s v="899713440X"/>
    <n v="1402226754"/>
    <s v="Korean"/>
    <s v="Sejong Korean : vocabulary &amp; grammar book"/>
    <s v="Sejong Han'gugŏ: ŏhwi, p'yohyŏn kwa munpŏp = Sejong Korean: vocabulary &amp; grammar book"/>
    <s v="세종 한국어: 어휘, 표현 과 문법"/>
    <x v="45"/>
    <s v="n/a"/>
    <s v="Yi, Chŏng-hŭi ^ Munhwa Ch'eyuk Kwan'gwangbu Kungnip Kugŏwŏn"/>
    <s v="이 정희 ^ 문화 체육 관광부 국립 국어원, publisher"/>
    <s v="n/a"/>
    <s v="n/a"/>
    <x v="105"/>
    <x v="0"/>
    <s v="Ch'op'an"/>
    <s v="초판"/>
    <s v="Korean language -- Textbooks for foreign speakers ^ Korean language -- Vocabulary ^ Korean language -- Grammar ^ Korean language ^ Korean language -- Grammar ^ Korean language -- Vocabulary ^ Textbooks -- for foreign speakers"/>
    <s v="0"/>
    <m/>
    <m/>
  </r>
  <r>
    <s v="11/27/2023"/>
    <s v="n"/>
    <s v="sangbok.kim@colorado.edu"/>
    <s v="n"/>
    <s v="n"/>
    <s v="Panmun"/>
    <m/>
    <s v="n/a"/>
    <x v="4"/>
    <s v="2b"/>
    <m/>
    <m/>
    <s v="8"/>
    <s v="https://libcat.colorado.edu/Record/in00000079227"/>
    <s v="https://libcat.colorado.edu/Record/in00000079227"/>
    <s v="y"/>
    <m/>
    <n v="9788997134410"/>
    <s v="8997134418"/>
    <n v="1402226754"/>
    <s v="Korean"/>
    <s v="Sejong Korean : vocabulary &amp; grammar book"/>
    <s v="Sejong Han'gugŏ: ŏhwi, p'yohyŏn kwa munpŏp = Sejong Korean: vocabulary &amp; grammar book"/>
    <s v="세종 한국어: 어휘, 표현 과 문법"/>
    <x v="45"/>
    <s v="n/a"/>
    <s v="Yi, Chŏng-hŭi ^ Munhwa Ch'eyuk Kwan'gwangbu Kungnip Kugŏwŏn"/>
    <s v="이 정희 ^ 문화 체육 관광부 국립 국어원, publisher"/>
    <s v="n/a"/>
    <s v="n/a"/>
    <x v="105"/>
    <x v="0"/>
    <s v="Ch'op'an"/>
    <s v="초판"/>
    <s v="Korean language -- Textbooks for foreign speakers ^ Korean language -- Vocabulary ^ Korean language -- Grammar ^ Korean language ^ Korean language -- Grammar ^ Korean language -- Vocabulary ^ Textbooks -- for foreign speakers"/>
    <s v="0"/>
    <m/>
    <m/>
  </r>
  <r>
    <s v="11/27/2023"/>
    <s v="n"/>
    <s v="sangbok.kim@colorado.edu"/>
    <s v="n"/>
    <s v="n"/>
    <s v="Panmun"/>
    <m/>
    <s v="n/a"/>
    <x v="4"/>
    <s v="3a"/>
    <m/>
    <m/>
    <s v="8"/>
    <s v="https://libcat.colorado.edu/Record/in00000079227"/>
    <s v="https://libcat.colorado.edu/Record/in00000079227"/>
    <s v="y"/>
    <m/>
    <n v="9788997134427"/>
    <s v="8997134426"/>
    <n v="1402226754"/>
    <s v="Korean"/>
    <s v="Sejong Korean : vocabulary &amp; grammar book"/>
    <s v="Sejong Han'gugŏ: ŏhwi, p'yohyŏn kwa munpŏp = Sejong Korean: vocabulary &amp; grammar book"/>
    <s v="세종 한국어: 어휘, 표현 과 문법"/>
    <x v="45"/>
    <s v="n/a"/>
    <s v="Yi, Chŏng-hŭi ^ Munhwa Ch'eyuk Kwan'gwangbu Kungnip Kugŏwŏn"/>
    <s v="이 정희 ^ 문화 체육 관광부 국립 국어원, publisher"/>
    <s v="n/a"/>
    <s v="n/a"/>
    <x v="105"/>
    <x v="0"/>
    <s v="Ch'op'an"/>
    <s v="초판"/>
    <s v="Korean language -- Textbooks for foreign speakers ^ Korean language -- Vocabulary ^ Korean language -- Grammar ^ Korean language ^ Korean language -- Grammar ^ Korean language -- Vocabulary ^ Textbooks -- for foreign speakers"/>
    <s v="0"/>
    <m/>
    <m/>
  </r>
  <r>
    <s v="11/27/2023"/>
    <s v="n"/>
    <s v="sangbok.kim@colorado.edu"/>
    <s v="n"/>
    <s v="n"/>
    <s v="Panmun"/>
    <m/>
    <s v="n/a"/>
    <x v="4"/>
    <s v="3b"/>
    <m/>
    <m/>
    <s v="8"/>
    <s v="https://libcat.colorado.edu/Record/in00000079227"/>
    <s v="https://libcat.colorado.edu/Record/in00000079227"/>
    <s v="y"/>
    <m/>
    <n v="9788997134434"/>
    <s v="8997134434"/>
    <n v="1402226754"/>
    <s v="Korean"/>
    <s v="Sejong Korean : vocabulary &amp; grammar book"/>
    <s v="Sejong Han'gugŏ: ŏhwi, p'yohyŏn kwa munpŏp = Sejong Korean: vocabulary &amp; grammar book"/>
    <s v="세종 한국어: 어휘, 표현 과 문법"/>
    <x v="45"/>
    <s v="n/a"/>
    <s v="Yi, Chŏng-hŭi ^ Munhwa Ch'eyuk Kwan'gwangbu Kungnip Kugŏwŏn"/>
    <s v="이 정희 ^ 문화 체육 관광부 국립 국어원, publisher"/>
    <s v="n/a"/>
    <s v="n/a"/>
    <x v="105"/>
    <x v="0"/>
    <s v="Ch'op'an"/>
    <s v="초판"/>
    <s v="Korean language -- Textbooks for foreign speakers ^ Korean language -- Vocabulary ^ Korean language -- Grammar ^ Korean language ^ Korean language -- Grammar ^ Korean language -- Vocabulary ^ Textbooks -- for foreign speakers"/>
    <s v="0"/>
    <m/>
    <m/>
  </r>
  <r>
    <s v="11/27/2023"/>
    <s v="n"/>
    <s v="sangbok.kim@colorado.edu"/>
    <s v="n"/>
    <s v="n"/>
    <s v="Panmun"/>
    <m/>
    <s v="n/a"/>
    <x v="4"/>
    <s v="4a"/>
    <m/>
    <m/>
    <s v="8"/>
    <s v="https://libcat.colorado.edu/Record/in00000079227"/>
    <s v="https://libcat.colorado.edu/Record/in00000079227"/>
    <s v="y"/>
    <m/>
    <n v="9788997134441"/>
    <s v="8997134442"/>
    <n v="1402226754"/>
    <s v="Korean"/>
    <s v="Sejong Korean : vocabulary &amp; grammar book"/>
    <s v="Sejong Han'gugŏ: ŏhwi, p'yohyŏn kwa munpŏp = Sejong Korean: vocabulary &amp; grammar book"/>
    <s v="세종 한국어: 어휘, 표현 과 문법"/>
    <x v="45"/>
    <s v="n/a"/>
    <s v="Yi, Chŏng-hŭi ^ Munhwa Ch'eyuk Kwan'gwangbu Kungnip Kugŏwŏn"/>
    <s v="이 정희 ^ 문화 체육 관광부 국립 국어원, publisher"/>
    <s v="n/a"/>
    <s v="n/a"/>
    <x v="105"/>
    <x v="0"/>
    <s v="Ch'op'an"/>
    <s v="초판"/>
    <s v="Korean language -- Textbooks for foreign speakers ^ Korean language -- Vocabulary ^ Korean language -- Grammar ^ Korean language ^ Korean language -- Grammar ^ Korean language -- Vocabulary ^ Textbooks -- for foreign speakers"/>
    <s v="0"/>
    <m/>
    <m/>
  </r>
  <r>
    <s v="11/27/2023"/>
    <s v="n"/>
    <s v="sangbok.kim@colorado.edu"/>
    <s v="n"/>
    <s v="n"/>
    <s v="Panmun"/>
    <m/>
    <s v="n/a"/>
    <x v="4"/>
    <s v="4b"/>
    <m/>
    <m/>
    <s v="8"/>
    <s v="https://libcat.colorado.edu/Record/in00000079227"/>
    <s v="https://libcat.colorado.edu/Record/in00000079227"/>
    <s v="y"/>
    <m/>
    <n v="9788997134458"/>
    <s v="8997134450"/>
    <n v="1402226754"/>
    <s v="Korean"/>
    <s v="Sejong Korean : vocabulary &amp; grammar book"/>
    <s v="Sejong Han'gugŏ: ŏhwi, p'yohyŏn kwa munpŏp = Sejong Korean: vocabulary &amp; grammar book"/>
    <s v="세종 한국어: 어휘, 표현 과 문법"/>
    <x v="45"/>
    <s v="n/a"/>
    <s v="Yi, Chŏng-hŭi ^ Munhwa Ch'eyuk Kwan'gwangbu Kungnip Kugŏwŏn"/>
    <s v="이 정희 ^ 문화 체육 관광부 국립 국어원, publisher"/>
    <s v="n/a"/>
    <s v="n/a"/>
    <x v="105"/>
    <x v="0"/>
    <s v="Ch'op'an"/>
    <s v="초판"/>
    <s v="Korean language -- Textbooks for foreign speakers ^ Korean language -- Vocabulary ^ Korean language -- Grammar ^ Korean language ^ Korean language -- Grammar ^ Korean language -- Vocabulary ^ Textbooks -- for foreign speakers"/>
    <s v="0"/>
    <m/>
    <m/>
  </r>
  <r>
    <s v="11/14/2023"/>
    <s v="n"/>
    <s v="marjorie.burge@colorado.edu"/>
    <s v="n"/>
    <s v="n"/>
    <s v="Panmun"/>
    <m/>
    <s v="n/a"/>
    <x v="1"/>
    <s v="n/a"/>
    <m/>
    <m/>
    <s v="n/a"/>
    <s v="n"/>
    <s v="n"/>
    <s v="n/a"/>
    <m/>
    <n v="9788920046889"/>
    <s v="n/a"/>
    <s v="n/a"/>
    <s v="Korean"/>
    <s v="The Origin of Korean Buddhist Poetry: Uisang, Wonhyo, and Gyuni - ChatGPT translation"/>
    <s v="Han'guk Pulgyosi ŭi kiwŏn : Ŭisang kwa Wŏnhyo kŭrigo Kyunyŏ"/>
    <s v="한국 불교시의 기원 : 의상과 원효 그리고 균여"/>
    <x v="1"/>
    <s v="n/a"/>
    <s v="Sŏ, Ch'ŏr-wŏn"/>
    <s v="서철원著"/>
    <s v="n/a"/>
    <s v="n/a"/>
    <x v="107"/>
    <x v="79"/>
    <s v="n/a"/>
    <s v="n/a"/>
    <s v="n/a"/>
    <n v="16.680399999999999"/>
    <s v="krw"/>
    <n v="22000"/>
  </r>
  <r>
    <s v="11/14/2023"/>
    <s v="n"/>
    <s v="marjorie.burge@colorado.edu"/>
    <s v="n"/>
    <s v="n"/>
    <s v="Panmun"/>
    <m/>
    <s v="n/a"/>
    <x v="1"/>
    <s v="n/a"/>
    <m/>
    <m/>
    <s v="n/a"/>
    <s v="n"/>
    <s v="n"/>
    <s v="n/a"/>
    <m/>
    <n v="9788949967301"/>
    <s v="n/a"/>
    <s v="n/a"/>
    <s v="Korean"/>
    <s v="Korean Buddhist Sculpture: Goguryeo, Baekje, Silla Volume - ChatGPT translation"/>
    <s v="Han'guk ŭi pulsang : Koguryŏ, Paekche, Silla p'yŏn"/>
    <s v="한국의 불상 : 고구려, 백제, 신라 편"/>
    <x v="1"/>
    <s v="n/a"/>
    <s v="Pae, Chae-ho"/>
    <s v="배재호著"/>
    <s v="n/a"/>
    <s v="n/a"/>
    <x v="108"/>
    <x v="80"/>
    <s v="n/a"/>
    <s v="n/a"/>
    <s v="n/a"/>
    <n v="13.647600000000001"/>
    <s v="krw"/>
    <n v="18000"/>
  </r>
  <r>
    <s v="11/14/2023"/>
    <s v="n"/>
    <s v="marjorie.burge@colorado.edu"/>
    <s v="n"/>
    <s v="n"/>
    <s v="Panmun"/>
    <m/>
    <s v="n/a"/>
    <x v="1"/>
    <s v="n/a"/>
    <m/>
    <m/>
    <s v="n/a"/>
    <s v="n"/>
    <s v="n"/>
    <s v="n/a"/>
    <m/>
    <n v="9791169191357"/>
    <s v="n/a"/>
    <s v="n/a"/>
    <s v="Korean"/>
    <s v="Research on Korean Place Names: Place Names and History - ChatGPT translation"/>
    <s v="Han'guk kojimyŏng yŏn'gu : chimyŏng kwa yŏksa"/>
    <s v="한국 고지명 연구 : 지명과 역사"/>
    <x v="1"/>
    <s v="n/a"/>
    <s v="To, Su-hŭi"/>
    <s v="도수희著"/>
    <s v="n/a"/>
    <s v="n/a"/>
    <x v="93"/>
    <x v="81"/>
    <s v="n/a"/>
    <s v="n/a"/>
    <s v="n/a"/>
    <n v="21.9878"/>
    <s v="krw"/>
    <n v="29000"/>
  </r>
  <r>
    <s v="11/14/2023"/>
    <s v="n"/>
    <s v="marjorie.burge@colorado.edu"/>
    <s v="n"/>
    <s v="n"/>
    <s v="Panmun"/>
    <m/>
    <s v="n/a"/>
    <x v="1"/>
    <s v="n/a"/>
    <m/>
    <m/>
    <s v="n/a"/>
    <s v="n"/>
    <s v="n"/>
    <s v="n/a"/>
    <m/>
    <n v="9791197474040"/>
    <s v="n/a"/>
    <s v="n/a"/>
    <s v="Korean"/>
    <s v="Hyangga: Our Songs and Sounds - ChatGPT translation"/>
    <s v="Hyangga uri norae wa sori"/>
    <s v="향가 우리 노래와 소리"/>
    <x v="1"/>
    <s v="n/a"/>
    <s v="Yi, Sŭng-gi"/>
    <s v="이승기著"/>
    <s v="n/a"/>
    <s v="n/a"/>
    <x v="109"/>
    <x v="82"/>
    <s v="n/a"/>
    <s v="n/a"/>
    <s v="n/a"/>
    <n v="14.405799999999999"/>
    <s v="krw"/>
    <n v="19000"/>
  </r>
  <r>
    <s v="11/14/2023"/>
    <s v="n"/>
    <s v="marjorie.burge@colorado.edu"/>
    <s v="n"/>
    <s v="n"/>
    <s v="Panmun"/>
    <m/>
    <s v="n/a"/>
    <x v="1"/>
    <s v="n/a"/>
    <m/>
    <m/>
    <s v="n/a"/>
    <s v="n"/>
    <s v="n"/>
    <s v="n/a"/>
    <m/>
    <n v="9791128869907"/>
    <s v="n/a"/>
    <s v="n/a"/>
    <s v="Korean"/>
    <s v="Goguryeo and Sui's War: Northeast Asia's Greatest War Through &quot;Suseo&quot; - ChatGPT translation"/>
    <s v="Koguryŏ wa Su ŭi chŏnjaeng : &quot;susŏ&quot; rŭl t'onghae ponŭn Tongbuga ch'oedae ŭi chŏnjaeng iyagi"/>
    <s v="고구려와 수의 전쟁 : &quot;수서&quot;를 통해 보는 동북아 최대의 전쟁 이야기"/>
    <x v="1"/>
    <s v="n/a"/>
    <s v="Kwŏn, Yong-ho"/>
    <s v="권용호著"/>
    <s v="n/a"/>
    <s v="n/a"/>
    <x v="110"/>
    <x v="83"/>
    <s v="n/a"/>
    <s v="n/a"/>
    <s v="n/a"/>
    <n v="12.73776"/>
    <s v="krw"/>
    <n v="16800"/>
  </r>
  <r>
    <s v="11/14/2023"/>
    <s v="n"/>
    <s v="marjorie.burge@colorado.edu"/>
    <s v="n"/>
    <s v="n"/>
    <s v="Panmun"/>
    <m/>
    <s v="n/a"/>
    <x v="1"/>
    <s v="n/a"/>
    <m/>
    <m/>
    <s v="n/a"/>
    <s v="n"/>
    <s v="n"/>
    <s v="n/a"/>
    <m/>
    <n v="9791138821285"/>
    <s v="n/a"/>
    <s v="n/a"/>
    <s v="Korean"/>
    <s v="Hunminjeongeum Created by Scholars of Jiphyeonjeon - ChatGPT translation"/>
    <s v="Chiphyŏnjŏn haksadŭl i mandŭn Hunmin Chŏngŭm"/>
    <s v="집현전 학사들이 만든 훈민정음"/>
    <x v="1"/>
    <s v="n/a"/>
    <s v="Yi, Ch'ŏr-hŭi"/>
    <s v="이철희著"/>
    <s v="n/a"/>
    <s v="n/a"/>
    <x v="111"/>
    <x v="84"/>
    <s v="n/a"/>
    <s v="n/a"/>
    <s v="n/a"/>
    <n v="12.8894"/>
    <s v="krw"/>
    <n v="17000"/>
  </r>
  <r>
    <s v="11/14/2023"/>
    <s v="n"/>
    <s v="marjorie.burge@colorado.edu"/>
    <s v="n"/>
    <s v="n"/>
    <s v="Panmun"/>
    <m/>
    <s v="n/a"/>
    <x v="1"/>
    <s v="n/a"/>
    <m/>
    <m/>
    <s v="n/a"/>
    <s v="n"/>
    <s v="n"/>
    <s v="n/a"/>
    <m/>
    <n v="9788952131508"/>
    <s v="n/a"/>
    <s v="n/a"/>
    <s v="Korean"/>
    <s v="Ancient Korean Mural Tombs - ChatGPT translation"/>
    <s v="Kodae Han'guk ŭi pyŏkhwa kobun"/>
    <s v="고대 한국의 벽화고분"/>
    <x v="1"/>
    <s v="n/a"/>
    <s v="Chŏn, Ho-t'ae"/>
    <s v="전호태著"/>
    <s v="n/a"/>
    <s v="n/a"/>
    <x v="112"/>
    <x v="85"/>
    <s v="n/a"/>
    <s v="n/a"/>
    <s v="n/a"/>
    <n v="37.151800000000001"/>
    <s v="krw"/>
    <n v="49000"/>
  </r>
  <r>
    <s v="11/14/2023"/>
    <s v="n"/>
    <s v="katherine.henze@colorado.edu"/>
    <s v="y"/>
    <s v="n"/>
    <s v="JPT"/>
    <m/>
    <s v="https://www.amazon.co.jp/dp/4253181384"/>
    <x v="9"/>
    <s v="74-1"/>
    <m/>
    <m/>
    <s v="n/a"/>
    <s v="n/a"/>
    <s v="n/a"/>
    <s v="n"/>
    <m/>
    <n v="9784253181389"/>
    <s v="4253181384"/>
    <n v="907628723"/>
    <s v="Japanese"/>
    <s v="n/a"/>
    <s v="Cocoon"/>
    <s v="Cocoon"/>
    <x v="35"/>
    <s v="Heisei 27"/>
    <s v="Kyō, Machiko"/>
    <s v="今日マチ子 ^ artist"/>
    <s v="Akita bunko ; 74-1"/>
    <s v="秋田文庫 ; 74-1"/>
    <x v="113"/>
    <x v="0"/>
    <s v="n/a"/>
    <s v="n/a"/>
    <s v="Comic books, strips, etc. -- Japan ^ World War, 1939-1945 -- Women -- Japan -- Okinawa Island -- Comic books, strips, etc ^ Women and war -- Japan -- Okinawa Island -- History -- 20th century -- Comic books, strips, etc ^ Comic books, strips, etc ^ Women ^ Women and war ^ Comics (Graphic works) ^ History ^ Comics (Graphic works) ^ Bandes dessinées ^ 1900-1999 ^ Japan ^ Japan -- Okinawa Island"/>
    <s v="0"/>
    <m/>
    <m/>
  </r>
  <r>
    <s v="11/14/2023"/>
    <s v="n"/>
    <s v="katherine.henze@colorado.edu"/>
    <s v="y"/>
    <s v="n"/>
    <s v="JPT"/>
    <m/>
    <s v="n/a"/>
    <x v="1"/>
    <s v="n/a"/>
    <m/>
    <m/>
    <s v="n/a"/>
    <s v="n/a"/>
    <s v="n/a"/>
    <s v="n"/>
    <m/>
    <s v="n/a"/>
    <s v="n/a"/>
    <n v="1332767502"/>
    <s v="Japanese"/>
    <s v="n/a"/>
    <s v="Shukan manga sekai no ijin: Kodomo no yume jonetsu kokishin o sodateru. 49"/>
    <s v="週刊マンガ世界の偉人: 子どもの「夢」「情熱」「好奇心」を育てる. 49"/>
    <x v="33"/>
    <s v="Heisei 25"/>
    <s v="TNSK ^ Yamaguchi, Tadashi"/>
    <s v="山口正"/>
    <s v="Asahi junia shirizu"/>
    <s v="朝日ジュニアシリーズ"/>
    <x v="114"/>
    <x v="86"/>
    <s v="n/a"/>
    <s v="n/a"/>
    <s v="Jido tosho"/>
    <s v="0"/>
    <m/>
    <m/>
  </r>
  <r>
    <s v="10/9/2023"/>
    <s v="n"/>
    <s v="Juliana.Valverde@colorado.edu"/>
    <s v="y"/>
    <s v="n"/>
    <s v="?"/>
    <m/>
    <s v="n/a"/>
    <x v="0"/>
    <s v="n/a"/>
    <m/>
    <m/>
    <s v="n/a"/>
    <s v="n"/>
    <s v="n"/>
    <s v="n"/>
    <m/>
    <n v="9781498542142"/>
    <s v="149854214X"/>
    <n v="1078199054"/>
    <s v="English"/>
    <s v="n/a"/>
    <s v="Imagining prostitution in modern Japan, 1850-1913"/>
    <s v="n/a"/>
    <x v="2"/>
    <s v="n/a"/>
    <s v="Davis, Ann Marie L"/>
    <s v="n/a"/>
    <s v="New studies in modern Japan"/>
    <s v="n/a"/>
    <x v="115"/>
    <x v="0"/>
    <s v="n/a"/>
    <s v="n/a"/>
    <s v="Prostitution -- Japan -- History -- 19th century ^ Prostitution -- Japan -- History -- 20th century ^ Prostitution ^ Social conditions ^ Women -- Social conditions ^ Prostitution -- Japan -- History -- 19th century ^ Prostitution -- Japan -- History -- 20th century ^ History ^ 1800-1999 ^ Japan -- Social conditions ^ Japan -- History ^ Japan ^ Japan -- Social conditions ^ Japan -- History"/>
    <n v="87"/>
    <s v="usd"/>
    <n v="87"/>
  </r>
  <r>
    <s v="10/9/2023"/>
    <s v="n"/>
    <s v="marjorie.burge@colorado.edu"/>
    <s v="y"/>
    <s v="n"/>
    <s v="Panmun"/>
    <m/>
    <s v="https://www.amazon.com/dp/8963572579"/>
    <x v="1"/>
    <s v="1"/>
    <m/>
    <m/>
    <s v="3"/>
    <s v="n"/>
    <s v="n"/>
    <s v="n"/>
    <m/>
    <n v="9788963572574"/>
    <s v="8963572579"/>
    <n v="1341268687"/>
    <s v="Korean"/>
    <s v="New Compilation of Sabi Baekje History: A Fresh Perspective on Sabi Baekje - ChatGPT translation"/>
    <s v="Sinp'yŏn Sabi Paekchesa: Sabi Paekche ŭi saeroun insik"/>
    <s v="新編 사비 백제사: 사비 백제 의 새로운 인식"/>
    <x v="45"/>
    <s v="n/a"/>
    <s v="Puyŏ-gun (Korea)"/>
    <s v="부여군 (Korea)"/>
    <s v="n/a"/>
    <s v="n/a"/>
    <x v="116"/>
    <x v="0"/>
    <s v="Ch'op'an"/>
    <s v="초판"/>
    <s v="History ^ To 935 ^ 百濟 (Kingdom); History ^ Paekche (Kingdom) -- History ^ Korea -- History -- To 935 ^ Asia -- Paekche (Kingdom) ^ Korea"/>
    <s v="0"/>
    <m/>
    <m/>
  </r>
  <r>
    <s v="10/9/2023"/>
    <s v="n"/>
    <s v="marjorie.burge@colorado.edu"/>
    <s v="y"/>
    <s v="n"/>
    <s v="Panmun"/>
    <m/>
    <s v="https://www.amazon.com/dp/8963572587"/>
    <x v="1"/>
    <s v="2"/>
    <m/>
    <m/>
    <s v="3"/>
    <s v="n"/>
    <s v="n"/>
    <s v="n"/>
    <m/>
    <n v="9788963572581"/>
    <s v="8963572587"/>
    <n v="1341268687"/>
    <s v="Korean"/>
    <s v="New Compilation of Sabi Baekje History: A Fresh Perspective on Sabi Baekje - ChatGPT translation"/>
    <s v="Sinp'yŏn Sabi Paekchesa: Sabi Paekche ŭi saeroun insik"/>
    <s v="新編 사비 백제사: 사비 백제 의 새로운 인식"/>
    <x v="45"/>
    <s v="n/a"/>
    <s v="Puyŏ-gun (Korea)"/>
    <s v="부여군 (Korea)"/>
    <s v="n/a"/>
    <s v="n/a"/>
    <x v="116"/>
    <x v="0"/>
    <s v="Ch'op'an"/>
    <s v="초판"/>
    <s v="History ^ To 935 ^ 百濟 (Kingdom); History ^ Paekche (Kingdom) -- History ^ Korea -- History -- To 935 ^ Asia -- Paekche (Kingdom) ^ Korea"/>
    <s v="0"/>
    <m/>
    <m/>
  </r>
  <r>
    <s v="10/9/2023"/>
    <s v="n"/>
    <s v="marjorie.burge@colorado.edu"/>
    <s v="y"/>
    <s v="n"/>
    <s v="Panmun"/>
    <m/>
    <s v="https://www.amazon.com/dp/8963572595"/>
    <x v="1"/>
    <s v="3"/>
    <m/>
    <m/>
    <s v="3"/>
    <s v="n"/>
    <s v="n"/>
    <s v="n"/>
    <m/>
    <n v="9788963572598"/>
    <s v="8963572595"/>
    <n v="1341268687"/>
    <s v="Korean"/>
    <s v="New Compilation of Sabi Baekje History: A Fresh Perspective on Sabi Baekje - ChatGPT translation"/>
    <s v="Sinp'yŏn Sabi Paekchesa: Sabi Paekche ŭi saeroun insik"/>
    <s v="新編 사비 백제사: 사비 백제 의 새로운 인식"/>
    <x v="45"/>
    <s v="n/a"/>
    <s v="Puyŏ-gun (Korea)"/>
    <s v="부여군 (Korea)"/>
    <s v="n/a"/>
    <s v="n/a"/>
    <x v="116"/>
    <x v="0"/>
    <s v="Ch'op'an"/>
    <s v="초판"/>
    <s v="History ^ To 935 ^ 百濟 (Kingdom); History ^ Paekche (Kingdom) -- History ^ Korea -- History -- To 935 ^ Asia -- Paekche (Kingdom) ^ Korea"/>
    <s v="0"/>
    <m/>
    <m/>
  </r>
  <r>
    <s v="10/9/2023"/>
    <s v="n"/>
    <s v="adam.lisbon@colorado.edu"/>
    <s v="n"/>
    <s v="n"/>
    <s v="?"/>
    <m/>
    <s v="n/a"/>
    <x v="0"/>
    <s v="n/a"/>
    <m/>
    <m/>
    <s v="n/a"/>
    <s v="n"/>
    <s v="n"/>
    <s v="n"/>
    <m/>
    <n v="9781952636387"/>
    <s v="1952636388"/>
    <n v="1359604526"/>
    <s v="English"/>
    <s v="n/a"/>
    <s v="WOMEN IN JAPANESE STUDIES: memoirs from a trailblazing generation"/>
    <s v="n/a"/>
    <x v="0"/>
    <s v="n/a"/>
    <s v="FREEDMAN, ALISA"/>
    <s v="n/a"/>
    <s v="Asia past &amp; present"/>
    <s v="n/a"/>
    <x v="117"/>
    <x v="0"/>
    <s v="n/a"/>
    <s v="n/a"/>
    <s v="Japanologists -- United States ^ Women college teachers -- United States ^ Professeures (Enseignement supérieur) -- États-Unis ^ Education ^ Japanologists ^ Women college teachers ^ Japan -- Study and teaching -- United States ^ Japan ^ United States"/>
    <n v="35"/>
    <s v="usd"/>
    <n v="35"/>
  </r>
  <r>
    <s v="10/9/2023"/>
    <s v="n"/>
    <s v="adam.lisbon@colorado.edu"/>
    <s v="n"/>
    <s v="n"/>
    <s v="?"/>
    <m/>
    <s v="https://www.amazon.com/Theory-Practice-East-Asian-Library/dp/1527592014"/>
    <x v="0"/>
    <s v="n/a"/>
    <m/>
    <m/>
    <s v="n/a"/>
    <s v="n"/>
    <s v="n"/>
    <s v="n"/>
    <m/>
    <n v="9781527592018"/>
    <s v="1527592014"/>
    <n v="1363816090"/>
    <s v="English"/>
    <s v="n/a"/>
    <s v="The theory and practice of the East Asian library: a marginal science"/>
    <s v="n/a"/>
    <x v="0"/>
    <s v="n/a"/>
    <s v="Cheng, Hong (Librarian)"/>
    <s v="n/a"/>
    <s v="n/a"/>
    <s v="n/a"/>
    <x v="118"/>
    <x v="0"/>
    <s v="n/a"/>
    <s v="n/a"/>
    <s v="Libraries -- East Asia ^ Libraries ^ East Asia"/>
    <n v="142.94999999999999"/>
    <s v="usd"/>
    <n v="142.94999999999999"/>
  </r>
  <r>
    <s v="10/17/2023"/>
    <s v="n"/>
    <s v="adam.lisbon@colorado.edu"/>
    <s v="n"/>
    <s v="n"/>
    <s v="?"/>
    <s v="ebook"/>
    <s v="https://www.amazon.com/dp/0824896939"/>
    <x v="5"/>
    <s v="n/a"/>
    <m/>
    <m/>
    <s v="n/a"/>
    <s v="n"/>
    <s v="n"/>
    <s v="n"/>
    <m/>
    <n v="9780824896935"/>
    <s v="0824896939"/>
    <n v="1396438345"/>
    <s v="English"/>
    <s v="n/a"/>
    <s v="Reading the kimono in twentieth-century Japanese literature and film"/>
    <s v="n/a"/>
    <x v="0"/>
    <s v="n/a"/>
    <s v="Suzuki, Michiko"/>
    <s v="n/a"/>
    <s v="n/a"/>
    <s v="n/a"/>
    <x v="119"/>
    <x v="0"/>
    <s v="n/a"/>
    <s v="n/a"/>
    <s v="Kimonos in literature ^ Kimonos in motion pictures ^ Japanese fiction -- 20th century -- History and criticism ^ Motion pictures -- Japan -- 20th century ^ LITERARY CRITICISM / Asian / Japanese ^ Japanese fiction ^ Motion pictures ^ Criticism, interpretation, etc ^ Japan"/>
    <s v="0"/>
    <m/>
    <m/>
  </r>
  <r>
    <s v="1/8/2024"/>
    <s v="n"/>
    <s v="adam.lisbon@colorado.edu"/>
    <s v="n"/>
    <s v="n"/>
    <s v="JPT"/>
    <s v="This book should go to the same locations as this one: https://libcat.colorado.edu/Record/b9774231 - It's currently called &quot;Norlin Library - Reserves&quot; but I know that Brittany will actually be changing the name/code soon for this location."/>
    <s v="n/a"/>
    <x v="10"/>
    <s v="5"/>
    <m/>
    <m/>
    <s v="5"/>
    <s v="n"/>
    <s v="n"/>
    <s v="n"/>
    <m/>
    <n v="9784872177923"/>
    <s v="4872177924"/>
    <n v="858686313"/>
    <s v="Japanese"/>
    <s v="JLPT Review. N2: Listening Comprehension"/>
    <s v="Nihongo Sō Matome. N2: Chōkai"/>
    <s v="日本語総まとめ. N2: 聴解"/>
    <x v="24"/>
    <s v="Heisei 22"/>
    <s v="Sasaki, Hitoko ^ Matsumoto, Noriko"/>
    <s v="佐々木仁子 ^ 松本紀子"/>
    <s v="n/a"/>
    <s v="n/a"/>
    <x v="120"/>
    <x v="87"/>
    <s v="Shohan"/>
    <s v="初版"/>
    <s v="Japanese language -- Textbooks for foreign speakers ^ Japanese language -- Ability testing -- Study guides ^ Japanese language ^ Japanese language -- Ability testing ^ examination study guides ^ Study guides ^ Textbooks -- for foreign speakers ^ Study guides ^ Guides de l'étudiant"/>
    <s v="0"/>
    <m/>
    <m/>
  </r>
  <r>
    <s v="1/24/2024"/>
    <s v="n"/>
    <s v="adam.lisbon@colorado.edu"/>
    <s v="n"/>
    <s v="n"/>
    <s v="?"/>
    <s v="Purchase the 2002 reprint"/>
    <s v="n/a"/>
    <x v="0"/>
    <s v="n/a"/>
    <m/>
    <m/>
    <s v="n/a"/>
    <m/>
    <m/>
    <s v="n"/>
    <m/>
    <n v="9781578983926"/>
    <s v="1578983924"/>
    <n v="49925903"/>
    <s v="English"/>
    <s v="n/a"/>
    <s v="Bibliography of the Japanese Empire, 1906-1926"/>
    <s v="n/a"/>
    <x v="18"/>
    <s v="n/a"/>
    <s v="Nachod, Oskar"/>
    <s v="n/a"/>
    <s v="n/a"/>
    <s v="n/a"/>
    <x v="121"/>
    <x v="0"/>
    <s v="n/a"/>
    <s v="n/a"/>
    <s v="Periodicals -- Bibliography ^ Periodicals ^ Japan -- Bibliography ^ Japan"/>
    <s v="0"/>
    <m/>
    <m/>
  </r>
  <r>
    <s v="1/23/2024"/>
    <s v="n"/>
    <s v="marjorie.burge@colorado.edu"/>
    <s v="n"/>
    <s v="y"/>
    <s v="JPT"/>
    <m/>
    <s v="https://www.amazon.co.jp/dp/4642023453"/>
    <x v="1"/>
    <s v="n/a"/>
    <m/>
    <m/>
    <s v="n/a"/>
    <m/>
    <m/>
    <s v="n"/>
    <m/>
    <n v="9784642023450"/>
    <s v="4642023453"/>
    <n v="44470330"/>
    <s v="Japanese"/>
    <s v="Ancient Relations between Japan and Tang China and the Nihon Shoki"/>
    <s v="Kodai no Nitchō kankei to Nihon shoki"/>
    <s v="古代の日朝関係と日本書紀"/>
    <x v="63"/>
    <s v="Heisei 12"/>
    <s v="Kasai, Wajin"/>
    <s v="笠井倭人"/>
    <s v="n/a"/>
    <s v="n/a"/>
    <x v="9"/>
    <x v="9"/>
    <s v="n/a"/>
    <s v="n/a"/>
    <s v="日本-歴史-古代.; 日本-対外関係-朝鮮-歴史.; 日本書紀.; 百済 ^ Diplomatic relations ^ Nihon-Rekishi-Kodai ^ Nihon-Taigai kankei-Chōsen-Rekishi ^ Nihon shoki ^ Kudara ^ To 935 ^ Japan -- Foreign relations -- Korea ^ Korea -- Foreign relations -- Japan ^ Japan -- Foreign relations -- To 794 ^ Korea -- Foreign relations -- To 935 ^ Japan ^ Korea ^ Japan -- historia -- forntiden ^ 日本書紀 ^ Nihon shoki ^ Nihon shoki"/>
    <s v="0"/>
    <m/>
    <m/>
  </r>
  <r>
    <s v="1/2/2024"/>
    <s v="n"/>
    <s v="adam.lisbon@colorado.edu"/>
    <s v="n"/>
    <s v="n"/>
    <s v="n/a"/>
    <s v="Please obtain an Ebook Version, any edition okay"/>
    <s v="n/a"/>
    <x v="5"/>
    <s v="n/a"/>
    <m/>
    <m/>
    <s v="n/a"/>
    <s v="n/a"/>
    <s v="n/a"/>
    <s v="n"/>
    <m/>
    <n v="9780394170749"/>
    <s v="0394170741"/>
    <n v="767562684"/>
    <s v="English"/>
    <s v="n/a"/>
    <s v="World within walls: Japanese literature of the pre-modern era, 1600-1867"/>
    <s v="n/a"/>
    <x v="37"/>
    <s v="n/a"/>
    <s v="Keene, Donald"/>
    <s v="n/a"/>
    <s v="n/a"/>
    <s v="n/a"/>
    <x v="122"/>
    <x v="0"/>
    <s v="1st ed"/>
    <s v="n/a"/>
    <s v="Japanese literature -- Edo period, 1600-1868 -- History and criticism ^ Japanese literature -- Edo period ^ Letterkunde ^ Geschiedenis (vorm) ^ Tokoegawa-periode ^ Criticism, interpretation, etc ^ 1600-1868 ^ Master and use copy. Digital master created according to Benchmark for Faithful Digital Reproductions of Monographs and Serials, Version 1. Digital Library Federation, December 2002 ^ http://purl.oclc.org.colorado.idm.oclc.org/DLF/benchrepro0212"/>
    <s v="0"/>
    <m/>
    <m/>
  </r>
  <r>
    <s v="1/2/2024"/>
    <s v="n"/>
    <s v="adam.lisbon@colorado.edu"/>
    <s v="n"/>
    <s v="n"/>
    <s v="n/a"/>
    <s v="Please obtain an Ebook Version, any edition okay. We have it via Internet Archive but I would like a proper eBook version."/>
    <s v="n/a"/>
    <x v="9"/>
    <s v="n/a"/>
    <m/>
    <m/>
    <s v="n/a"/>
    <s v="n/a"/>
    <s v="n/a"/>
    <s v="y"/>
    <m/>
    <n v="9780805019995"/>
    <s v="0805019995"/>
    <n v="27813453"/>
    <s v="English"/>
    <s v="n/a"/>
    <s v="Seeds in the heart: Japanese literature from earliest times to the late sixteenth century"/>
    <s v="n/a"/>
    <x v="49"/>
    <s v="n/a"/>
    <s v="Keene, Donald"/>
    <s v="n/a"/>
    <s v="n/a"/>
    <s v="n/a"/>
    <x v="123"/>
    <x v="0"/>
    <s v="1st ed"/>
    <s v="n/a"/>
    <s v="Japanese literature -- To 1600 -- History and criticism ^ japán irodalom -- történet -- 17. sz-ig ^ 18.87 Japanese language and literature ^ Japanese literature ^ Letterkunde ^ Japans ^ Reference works ^ Criticism, interpretation, etc ^ Reference works ^ Ouvrages de référence ^ To 1600"/>
    <s v="0"/>
    <m/>
    <m/>
  </r>
  <r>
    <s v="1/2/2024"/>
    <s v="n"/>
    <s v="adam.lisbon@colorado.edu"/>
    <s v="n"/>
    <s v="n"/>
    <s v="n/a"/>
    <s v="Please obtain an Ebook Version, any edition okay"/>
    <s v="n/a"/>
    <x v="11"/>
    <s v="1"/>
    <m/>
    <m/>
    <s v="2"/>
    <s v="n"/>
    <s v="n"/>
    <s v="y"/>
    <m/>
    <n v="9780030628146"/>
    <s v="0030628148"/>
    <n v="8728400"/>
    <s v="English"/>
    <s v="n/a"/>
    <s v="Dawn to the West: Japanese literature of the modern era"/>
    <s v="n/a"/>
    <x v="64"/>
    <s v="n/a"/>
    <s v="Keene, Donald"/>
    <s v="n/a"/>
    <s v="n/a"/>
    <s v="n/a"/>
    <x v="124"/>
    <x v="0"/>
    <s v="First edition"/>
    <s v="n/a"/>
    <s v="Japanese literature -- 1868- -- History and criticism ^ Japanese literature ^ Japanese literature -- 1868- -- History and criticism ^ Criticism, interpretation, etc ^ Since 1868"/>
    <s v="0"/>
    <m/>
    <m/>
  </r>
  <r>
    <s v="1/2/2024"/>
    <s v="n"/>
    <s v="adam.lisbon@colorado.edu"/>
    <s v="n"/>
    <s v="n"/>
    <s v="n/a"/>
    <s v="Please obtain an Ebook Version, any edition okay"/>
    <s v="n/a"/>
    <x v="12"/>
    <s v="2"/>
    <m/>
    <m/>
    <s v="2"/>
    <s v="n"/>
    <s v="n"/>
    <s v="y"/>
    <m/>
    <n v="9780030628160"/>
    <s v="0030628164"/>
    <n v="8728400"/>
    <s v="English"/>
    <s v="n/a"/>
    <s v="Dawn to the West: Japanese literature of the modern era"/>
    <s v="n/a"/>
    <x v="64"/>
    <s v="n/a"/>
    <s v="Keene, Donald"/>
    <s v="n/a"/>
    <s v="n/a"/>
    <s v="n/a"/>
    <x v="124"/>
    <x v="0"/>
    <s v="First edition"/>
    <s v="n/a"/>
    <s v="Japanese literature -- 1868- -- History and criticism ^ Japanese literature ^ Japanese literature -- 1868- -- History and criticism ^ Criticism, interpretation, etc ^ Since 1868"/>
    <s v="0"/>
    <m/>
    <m/>
  </r>
  <r>
    <s v="1/18/2024"/>
    <s v="n"/>
    <s v="adam.lisbon@colorado.edu"/>
    <s v="n"/>
    <s v="n"/>
    <s v="n/a"/>
    <m/>
    <s v="https://www.amazon.co.jp/dp/4846017699"/>
    <x v="9"/>
    <s v="n/a"/>
    <m/>
    <m/>
    <s v="n/a"/>
    <s v="n/a"/>
    <s v="n/a"/>
    <s v="n"/>
    <m/>
    <n v="9784846017699"/>
    <s v="4846017699"/>
    <n v="1107647340"/>
    <s v="Japanese"/>
    <s v="Hayashi Fumiko"/>
    <s v="Hayashi Fumiko zenbungyōroku: mikan no hōrō = Hayashi Fumiko"/>
    <s v="林芙美子全文業錄: 未完の放浪"/>
    <x v="2"/>
    <s v="n/a"/>
    <s v="Hirohata, Kenji ^ Hayashi, Fumiko ^ Hirohata, Kenji ^ Hayashi, Fumiko"/>
    <s v="廣畑研二 ^ compiler ^ 林芙美子 ^ 廣畑研二 ^ 林芙美子の文業目録 ^ 林芙美子 ^ Works ^ Selections (2019)"/>
    <s v="n/a"/>
    <s v="n/a"/>
    <x v="125"/>
    <x v="0"/>
    <s v="Shohan"/>
    <s v="初版"/>
    <s v="Japanese literature -- 20th century ^ Japanese literature ^ 林芙美子, 1904-1951 Criticism and interpretation. 林芙美子, 1904-1951 Bibliography ^ Hayashi, Fumiko, 1904-1951 -- Criticism and interpretation ^ Hayashi, Fumiko, 1904-1951 -- Bibliography ^ Hayashi, Fumiko, 1904-1951 ^ Criticism, interpretation, etc ^ 1900-1999"/>
    <s v="0"/>
    <m/>
    <m/>
  </r>
  <r>
    <s v="1/18/2024"/>
    <s v="n"/>
    <s v="adam.lisbon@colorado.edu"/>
    <s v="n"/>
    <s v="n"/>
    <s v="JPT"/>
    <m/>
    <s v="https://www.amazon.co.jp/dp/4575309206"/>
    <x v="1"/>
    <s v="n/a"/>
    <m/>
    <m/>
    <s v="n/a"/>
    <s v="n"/>
    <s v="n"/>
    <s v="n"/>
    <m/>
    <n v="9784575309201"/>
    <s v="4575309206"/>
    <n v="914460009"/>
    <s v="Japanese"/>
    <s v="Manga to understand postwar Japan"/>
    <s v="Manga de wakaru sengo Nippon"/>
    <s v="マンガでわかる戦後ニッポン"/>
    <x v="35"/>
    <s v="Heisei 27"/>
    <s v="Tezuka, Osamu"/>
    <s v="手塚治虫 ^ 紙の砦"/>
    <s v="n/a"/>
    <s v="n/a"/>
    <x v="76"/>
    <x v="0"/>
    <s v="n/a"/>
    <s v="n/a"/>
    <s v="風俗・習慣; 漫画 ^ Manners and customs ^ Manga ^ Comics (Graphic works) ^ Comics (Graphic works) ^ Bandes dessinées ^ Since 1945 ^ 日本 ^ Japan -- Social life and customs -- 1945- -- Comic books, strips, etc ^ Japan"/>
    <s v="0"/>
    <m/>
    <m/>
  </r>
  <r>
    <s v="1/18/2024"/>
    <s v="n"/>
    <s v="marjorie.burge@colorado.edu"/>
    <s v="y"/>
    <s v="y"/>
    <s v="JPT"/>
    <m/>
    <s v="https://www.amazon.co.jp/dp/4762936839"/>
    <x v="1"/>
    <s v="n/a"/>
    <m/>
    <m/>
    <s v="n/a"/>
    <s v="https://libcat.colorado.edu/Record/in00000140070"/>
    <s v="https://libcat.colorado.edu/Record/in00000140070"/>
    <s v="n"/>
    <m/>
    <n v="9784762936838"/>
    <s v="4762936839"/>
    <n v="1377001580"/>
    <s v="Japanese"/>
    <s v="Kaifūsō's Poetry and Prose - ChatGPT translation"/>
    <s v="Kaifūsō no shi to bun"/>
    <s v="懐風藻の詩と文"/>
    <x v="0"/>
    <s v="Reiwa 5"/>
    <s v="Kawakami, Megumi"/>
    <s v="川上萌実"/>
    <s v="n/a"/>
    <s v="n/a"/>
    <x v="11"/>
    <x v="0"/>
    <s v="n/a"/>
    <s v="n/a"/>
    <s v="懐風藻 ^ Kaifūsō ^ 懐風藻 ^ Kaifūsō"/>
    <s v="0"/>
    <m/>
    <m/>
  </r>
  <r>
    <s v="1/18/2024"/>
    <s v="n"/>
    <s v="adam.lisbon@colorado.edu"/>
    <s v="y"/>
    <s v="n"/>
    <s v="?"/>
    <s v="Note: This is the ebook version. please do a 2 or 3 person license if possible, otherwise 1 license is fine. Let Adam know when this is available."/>
    <s v="n/a"/>
    <x v="13"/>
    <s v="n/a"/>
    <m/>
    <m/>
    <s v="n/a"/>
    <s v="n"/>
    <s v="https://libcat.colorado.edu/Record/b1580563"/>
    <s v="n"/>
    <m/>
    <n v="9780691008257"/>
    <s v="0691008256"/>
    <n v="1193036113"/>
    <s v="English"/>
    <s v="n/a"/>
    <s v="The Princeton companion to classical Japanese literature"/>
    <s v="n/a"/>
    <x v="65"/>
    <s v="n/a"/>
    <s v="Miner, Earl Roy ^ Odagiri, Hiroko ^ Morrell, Robert E"/>
    <s v="n/a"/>
    <s v="n/a"/>
    <s v="n/a"/>
    <x v="126"/>
    <x v="0"/>
    <s v="Second printing, 1988"/>
    <s v="n/a"/>
    <s v="Japanese literature -- To 1868 -- Handbooks, manuals, etc ^ LITERARY CRITICISM -- Asian -- Japanese ^ Japanese literature ^ Letterkunde ^ Japans ^ Handbooks and manuals ^ Reference works ^ Reference works ^ Ouvrages de référence ^ To 1868"/>
    <s v="0"/>
    <m/>
    <m/>
  </r>
  <r>
    <s v="1/18/2024"/>
    <s v="rush"/>
    <s v="marjorie.burge@colorado.edu"/>
    <s v="y"/>
    <s v="y"/>
    <s v="?"/>
    <m/>
    <s v="n/a"/>
    <x v="0"/>
    <s v="5"/>
    <m/>
    <m/>
    <s v="n/a"/>
    <s v="https://libcat.colorado.edu/Record/in00000138628"/>
    <s v="n"/>
    <s v="n"/>
    <m/>
    <n v="9789004437692"/>
    <s v="900443769X"/>
    <n v="1359610305"/>
    <s v="English"/>
    <s v="n/a"/>
    <s v="Cosmopolitan and vernacular in the world of Wen: reading Sheldon Pollock from the sinographic cosmopolis"/>
    <s v="&lt;td&gt;&lt;font size=2 face=&quot;Arial,Helvetica,sans-serif&quot;&gt;&lt;font size=&quot;3&quot;&gt;&lt;b&gt;&lt;div&gt;&lt;/div&gt;&lt;br&gt;Cosmopolitan and vernacular in the world of Wen :&lt;br&gt;reading Sheldon Pollock from the sinographic cosmopolis"/>
    <x v="0"/>
    <s v="n/a"/>
    <s v="King, Ross"/>
    <s v="n/a"/>
    <s v="Language, writing and literary culture in the sinographic cosmopolis ; 5"/>
    <s v="n/a"/>
    <x v="82"/>
    <x v="0"/>
    <s v="n/a"/>
    <s v="n/a"/>
    <s v="East Asian literature -- History and criticism -- Congresses ^ Chinese characters -- East Asia -- Congresses ^ Literature and society -- East Asia -- Congresses ^ Chinese language ^ Chinese literature ^ Influence (Literary, artistic, etc.) ^ Japanese language ^ Japanese literature ^ Korean language ^ Korean literature ^ Vietnamese language ^ Vietnamese literature ^ Pollock, Sheldon I. -- Congresses ^ Pollock, Sheldon I ^ proceedings (reports) ^ History ^ Conference papers and proceedings ^ Actes de congrès ^ East Asia -- Languages -- Congresses"/>
    <s v="0"/>
    <m/>
    <m/>
  </r>
  <r>
    <m/>
    <m/>
    <s v="mikhail.skovoronskikh@colorado.edu"/>
    <s v="n"/>
    <s v="n"/>
    <s v="JPT"/>
    <s v="The publisher lists the whole set for ¥320,000 per volume, sells directly throught Amazon.jp, not available on Furuhonya. OCLC number does not include Japanese volume titles but they are available with OCLC# 1020934870"/>
    <s v="https://www.amazon.co.jp/dp/4903530604"/>
    <x v="2"/>
    <s v="1"/>
    <m/>
    <m/>
    <s v="26"/>
    <s v="n"/>
    <s v="n"/>
    <s v="n"/>
    <m/>
    <n v="9784903530604"/>
    <s v="4903530604"/>
    <n v="613355682"/>
    <s v="Japanese"/>
    <s v="Compilation of Biographical Records of Early Modern Court Nobles - ChatGPT translation"/>
    <s v="Kinsei kuge meikan hennen shūsei"/>
    <s v="近世公家名鑑編年集成: 寛文7年-元禄10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12"/>
    <x v="2"/>
    <s v="2"/>
    <m/>
    <m/>
    <s v="26"/>
    <s v="n"/>
    <s v="n"/>
    <s v="n"/>
    <m/>
    <n v="9784903530611"/>
    <s v="4903530612"/>
    <n v="613355682"/>
    <s v="Japanese"/>
    <s v="Compilation of Biographical Records of Early Modern Court Nobles - ChatGPT translation"/>
    <s v="Kinsei kuge meikan hennen shūsei"/>
    <s v="近世公家名鑑編年集成: 元禄12年-正徳6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211"/>
    <x v="2"/>
    <s v="3"/>
    <m/>
    <m/>
    <s v="26"/>
    <s v="n"/>
    <s v="n"/>
    <s v="n"/>
    <m/>
    <n v="9784903530628"/>
    <s v="49035306211"/>
    <n v="613355682"/>
    <s v="Japanese"/>
    <s v="Compilation of Biographical Records of Early Modern Court Nobles - ChatGPT translation"/>
    <s v="Kinsei kuge meikan hennen shūsei"/>
    <s v="近世公家名鑑編年集成: 享保4年-元文元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39"/>
    <x v="2"/>
    <s v="4"/>
    <m/>
    <m/>
    <s v="26"/>
    <s v="n"/>
    <s v="n"/>
    <s v="n"/>
    <m/>
    <n v="9784903530635"/>
    <s v="4903530639"/>
    <n v="613355682"/>
    <s v="Japanese"/>
    <s v="Compilation of Biographical Records of Early Modern Court Nobles - ChatGPT translation"/>
    <s v="Kinsei kuge meikan hennen shūsei"/>
    <s v="近世公家名鑑編年集成: 元文2年-延享4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47"/>
    <x v="2"/>
    <s v="5"/>
    <m/>
    <m/>
    <s v="26"/>
    <s v="n"/>
    <s v="n"/>
    <s v="n"/>
    <m/>
    <n v="9784903530642"/>
    <s v="4903530647"/>
    <n v="613355682"/>
    <s v="Japanese"/>
    <s v="Compilation of Biographical Records of Early Modern Court Nobles - ChatGPT translation"/>
    <s v="Kinsei kuge meikan hennen shūsei"/>
    <s v="近世公家名鑑編年集成: 寛延2年‐宝暦7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55"/>
    <x v="2"/>
    <s v="6"/>
    <m/>
    <m/>
    <s v="26"/>
    <s v="n"/>
    <s v="n"/>
    <s v="n"/>
    <m/>
    <n v="9784903530659"/>
    <s v="4903530655"/>
    <n v="613355682"/>
    <s v="Japanese"/>
    <s v="Compilation of Biographical Records of Early Modern Court Nobles - ChatGPT translation"/>
    <s v="Kinsei kuge meikan hennen shūsei"/>
    <s v="近世公家名鑑編年集成: 宝暦9年-明和6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63"/>
    <x v="2"/>
    <s v="7"/>
    <m/>
    <m/>
    <s v="26"/>
    <s v="n"/>
    <s v="n"/>
    <s v="n"/>
    <m/>
    <n v="9784903530666"/>
    <s v="4903530663"/>
    <n v="613355682"/>
    <s v="Japanese"/>
    <s v="Compilation of Biographical Records of Early Modern Court Nobles - ChatGPT translation"/>
    <s v="Kinsei kuge meikan hennen shūsei"/>
    <s v="近世公家名鑑編年集成: 明和7年-安永6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71"/>
    <x v="2"/>
    <s v="8"/>
    <m/>
    <m/>
    <s v="26"/>
    <s v="n"/>
    <s v="n"/>
    <s v="n"/>
    <m/>
    <n v="9784903530673"/>
    <s v="4903530671"/>
    <n v="613355682"/>
    <s v="Japanese"/>
    <s v="Compilation of Biographical Records of Early Modern Court Nobles - ChatGPT translation"/>
    <s v="Kinsei kuge meikan hennen shūsei"/>
    <s v="近世公家名鑑編年集成: 安永7年-天明5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8X"/>
    <x v="2"/>
    <s v="9"/>
    <m/>
    <m/>
    <s v="26"/>
    <s v="n"/>
    <s v="n"/>
    <s v="n"/>
    <m/>
    <n v="9784903530680"/>
    <s v="490353068X"/>
    <n v="613355682"/>
    <s v="Japanese"/>
    <s v="Compilation of Biographical Records of Early Modern Court Nobles - ChatGPT translation"/>
    <s v="Kinsei kuge meikan hennen shūsei"/>
    <s v="近世公家名鑑編年集成: 天明6年-寛政4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698"/>
    <x v="2"/>
    <s v="10"/>
    <m/>
    <m/>
    <s v="26"/>
    <s v="n"/>
    <s v="n"/>
    <s v="n"/>
    <m/>
    <n v="9784903530697"/>
    <s v="4903530698"/>
    <n v="613355682"/>
    <s v="Japanese"/>
    <s v="Compilation of Biographical Records of Early Modern Court Nobles - ChatGPT translation"/>
    <s v="Kinsei kuge meikan hennen shūsei"/>
    <s v="近世公家名鑑編年集成: 寛政5年-寛政11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01"/>
    <x v="2"/>
    <s v="11"/>
    <m/>
    <m/>
    <s v="26"/>
    <s v="n"/>
    <s v="n"/>
    <s v="n"/>
    <m/>
    <n v="9784903530703"/>
    <s v="4903530701"/>
    <n v="613355682"/>
    <s v="Japanese"/>
    <s v="Compilation of Biographical Records of Early Modern Court Nobles - ChatGPT translation"/>
    <s v="Kinsei kuge meikan hennen shūsei"/>
    <s v="近世公家名鑑編年集成: 寛政12年-文化5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1X"/>
    <x v="2"/>
    <s v="12"/>
    <m/>
    <m/>
    <s v="26"/>
    <s v="n"/>
    <s v="n"/>
    <s v="n"/>
    <m/>
    <n v="9784903530710"/>
    <s v="490353071X"/>
    <n v="613355682"/>
    <s v="Japanese"/>
    <s v="Compilation of Biographical Records of Early Modern Court Nobles - ChatGPT translation"/>
    <s v="Kinsei kuge meikan hennen shūsei"/>
    <s v="近世公家名鑑編年集成: 文化6年-文化12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28"/>
    <x v="2"/>
    <s v="13"/>
    <m/>
    <m/>
    <s v="26"/>
    <s v="n"/>
    <s v="n"/>
    <s v="n"/>
    <m/>
    <n v="9784903530727"/>
    <s v="4903530728"/>
    <n v="613355682"/>
    <s v="Japanese"/>
    <s v="Compilation of Biographical Records of Early Modern Court Nobles - ChatGPT translation"/>
    <s v="Kinsei kuge meikan hennen shūsei"/>
    <s v="近世公家名鑑編年集成: 文化13年-文政5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36"/>
    <x v="2"/>
    <s v="14"/>
    <m/>
    <m/>
    <s v="26"/>
    <s v="n"/>
    <s v="n"/>
    <s v="n"/>
    <m/>
    <n v="9784903530734"/>
    <s v="4903530736"/>
    <n v="613355682"/>
    <s v="Japanese"/>
    <s v="Compilation of Biographical Records of Early Modern Court Nobles - ChatGPT translation"/>
    <s v="Kinsei kuge meikan hennen shūsei"/>
    <s v="近世公家名鑑編年集成: 文政6年-文政12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44"/>
    <x v="2"/>
    <s v="15"/>
    <m/>
    <m/>
    <s v="26"/>
    <s v="n"/>
    <s v="n"/>
    <s v="n"/>
    <m/>
    <n v="9784903530741"/>
    <s v="4903530744"/>
    <n v="613355682"/>
    <s v="Japanese"/>
    <s v="Compilation of Biographical Records of Early Modern Court Nobles - ChatGPT translation"/>
    <s v="Kinsei kuge meikan hennen shūsei"/>
    <s v="近世公家名鑑編年集成: 文政13年-天保6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52"/>
    <x v="2"/>
    <s v="16"/>
    <m/>
    <m/>
    <s v="26"/>
    <s v="n"/>
    <s v="n"/>
    <s v="n"/>
    <m/>
    <n v="9784903530758"/>
    <s v="4903530752"/>
    <n v="613355682"/>
    <s v="Japanese"/>
    <s v="Compilation of Biographical Records of Early Modern Court Nobles - ChatGPT translation"/>
    <s v="Kinsei kuge meikan hennen shūsei"/>
    <s v="近世公家名鑑編年集成: 天保7年-天保11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611"/>
    <x v="2"/>
    <s v="17"/>
    <m/>
    <m/>
    <s v="26"/>
    <s v="n"/>
    <s v="n"/>
    <s v="n"/>
    <m/>
    <n v="9784903530765"/>
    <s v="49035307611"/>
    <n v="613355682"/>
    <s v="Japanese"/>
    <s v="Compilation of Biographical Records of Early Modern Court Nobles - ChatGPT translation"/>
    <s v="Kinsei kuge meikan hennen shūsei"/>
    <s v="近世公家名鑑編年集成: 天保12年-弘化2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79"/>
    <x v="2"/>
    <s v="18"/>
    <m/>
    <m/>
    <s v="26"/>
    <s v="n"/>
    <s v="n"/>
    <s v="n"/>
    <m/>
    <n v="9784903530772"/>
    <s v="4903530779"/>
    <n v="613355682"/>
    <s v="Japanese"/>
    <s v="Compilation of Biographical Records of Early Modern Court Nobles - ChatGPT translation"/>
    <s v="Kinsei kuge meikan hennen shūsei"/>
    <s v="近世公家名鑑編年集成: 弘化3年-嘉永3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87"/>
    <x v="2"/>
    <s v="19"/>
    <m/>
    <m/>
    <s v="26"/>
    <s v="n"/>
    <s v="n"/>
    <s v="n"/>
    <m/>
    <n v="9784903530789"/>
    <s v="4903530787"/>
    <n v="613355682"/>
    <s v="Japanese"/>
    <s v="Compilation of Biographical Records of Early Modern Court Nobles - ChatGPT translation"/>
    <s v="Kinsei kuge meikan hennen shūsei"/>
    <s v="近世公家名鑑編年集成: 嘉永4年-安政2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795"/>
    <x v="2"/>
    <s v="20"/>
    <m/>
    <m/>
    <s v="26"/>
    <s v="n"/>
    <s v="n"/>
    <s v="n"/>
    <m/>
    <n v="9784903530796"/>
    <s v="4903530795"/>
    <n v="613355682"/>
    <s v="Japanese"/>
    <s v="Compilation of Biographical Records of Early Modern Court Nobles - ChatGPT translation"/>
    <s v="Kinsei kuge meikan hennen shūsei"/>
    <s v="近世公家名鑑編年集成: 安政3年-万延元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809"/>
    <x v="2"/>
    <s v="21"/>
    <m/>
    <m/>
    <s v="26"/>
    <s v="n"/>
    <s v="n"/>
    <s v="n"/>
    <m/>
    <n v="9784903530802"/>
    <s v="4903530809"/>
    <n v="613355682"/>
    <s v="Japanese"/>
    <s v="Compilation of Biographical Records of Early Modern Court Nobles - ChatGPT translation"/>
    <s v="Kinsei kuge meikan hennen shūsei"/>
    <s v="近世公家名鑑編年集成: 文久元年-慶応元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817"/>
    <x v="2"/>
    <s v="22"/>
    <m/>
    <m/>
    <s v="26"/>
    <s v="n"/>
    <s v="n"/>
    <s v="n"/>
    <m/>
    <n v="9784903530819"/>
    <s v="4903530817"/>
    <n v="613355682"/>
    <s v="Japanese"/>
    <s v="Compilation of Biographical Records of Early Modern Court Nobles - ChatGPT translation"/>
    <s v="Kinsei kuge meikan hennen shūsei"/>
    <s v="近世公家名鑑編年集成: 慶応2年-明治2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825"/>
    <x v="2"/>
    <s v="23"/>
    <m/>
    <m/>
    <s v="26"/>
    <s v="n"/>
    <s v="n"/>
    <s v="n"/>
    <m/>
    <n v="9784903530826"/>
    <s v="4903530825"/>
    <n v="613355682"/>
    <s v="Japanese"/>
    <s v="Compilation of Biographical Records of Early Modern Court Nobles - ChatGPT translation"/>
    <s v="Kinsei kuge meikan hennen shūsei"/>
    <s v="近世公家名鑑編年集成: 明和4年・嘉永5年-元治元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833"/>
    <x v="2"/>
    <s v="24"/>
    <m/>
    <m/>
    <s v="26"/>
    <s v="n"/>
    <s v="n"/>
    <s v="n"/>
    <m/>
    <n v="9784903530833"/>
    <s v="4903530833"/>
    <n v="613355682"/>
    <s v="Japanese"/>
    <s v="Compilation of Biographical Records of Early Modern Court Nobles - ChatGPT translation"/>
    <s v="Kinsei kuge meikan hennen shūsei"/>
    <s v="近世公家名鑑編年集成: 慶応元年-明治10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903530841"/>
    <x v="2"/>
    <s v="25"/>
    <m/>
    <m/>
    <s v="26"/>
    <s v="n"/>
    <s v="n"/>
    <s v="n"/>
    <m/>
    <n v="9784903530840"/>
    <s v="4903530841"/>
    <n v="613355682"/>
    <s v="Japanese"/>
    <s v="Compilation of Biographical Records of Early Modern Court Nobles - ChatGPT translation"/>
    <s v="Kinsei kuge meikan hennen shūsei"/>
    <s v="近世公家名鑑編年集成: 安永5年-文久元年"/>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m/>
    <s v="mikhail.skovoronskikh@colorado.edu"/>
    <s v="n"/>
    <s v="n"/>
    <s v="JPT"/>
    <s v="see above"/>
    <s v="https://www.amazon.co.jp/dp/4864980144"/>
    <x v="2"/>
    <s v="26"/>
    <m/>
    <m/>
    <s v="26"/>
    <s v="n"/>
    <s v="n"/>
    <s v="n"/>
    <m/>
    <n v="9784864980142"/>
    <s v="4864980144"/>
    <n v="613355682"/>
    <s v="Japanese"/>
    <s v="Compilation of Biographical Records of Early Modern Court Nobles - ChatGPT translation"/>
    <s v="Kinsei kuge meikan hennen shūsei"/>
    <s v="近世公家名鑑編年集成: 内裏・公家屋敷図 索引 寛文7年(1667)から明治2年(1869)までの「公家鑑」を影印翻刻し、年次をおって編集したもの"/>
    <x v="66"/>
    <s v="Heisei 21"/>
    <s v="Fukai, Masaumi ^ Fujizane, Kumiko"/>
    <s v="深井雅海 ^ 藤實久美子"/>
    <s v="n/a"/>
    <s v="n/a"/>
    <x v="127"/>
    <x v="88"/>
    <s v="n/a"/>
    <s v="n/a"/>
    <s v="Nobility -- Japan -- History -- 17th century -- Registers ^ Nobility -- Japan -- History -- 18th century -- Registers ^ Nobility -- Japan -- History -- 19th century -- Registers ^ Nobility ^ History ^ Registers (Lists) ^ 1600-1899 ^ Japan"/>
    <n v="239.43039999999999"/>
    <s v="jpy"/>
    <n v="35200"/>
  </r>
  <r>
    <m/>
    <s v="n"/>
    <s v="taoxuan.xu@colorado.edu"/>
    <s v="n"/>
    <s v="n"/>
    <s v="?"/>
    <s v="ISBN is for set, inform Taoxuan when added to collection. Chinese poetry written by Koreans"/>
    <s v="n/a"/>
    <x v="1"/>
    <s v="n/a"/>
    <m/>
    <m/>
    <s v="70"/>
    <s v="n"/>
    <s v="n"/>
    <s v="n"/>
    <m/>
    <n v="9787550626379"/>
    <s v="7550626375"/>
    <n v="1019996288"/>
    <s v="Chinese"/>
    <s v="Compilation of Han Poetry from Silla, Goryeo, and Joseon: Volume One - ChatGPT translation"/>
    <s v="Di yi ji"/>
    <s v="新罗高丽朝鲜汉诗集成. 第一辑"/>
    <x v="44"/>
    <s v="n/a"/>
    <s v="Zhao, Ji"/>
    <s v="赵季"/>
    <s v="n/a"/>
    <s v="n/a"/>
    <x v="24"/>
    <x v="0"/>
    <s v="Di 1 ban"/>
    <s v="第1版"/>
    <s v="Chinese poetry -- Korean authors ^ Chinese poetry -- Korean authors"/>
    <m/>
    <m/>
    <m/>
  </r>
  <r>
    <m/>
    <s v="n"/>
    <s v="haruka.fujii@colorado.edu"/>
    <s v="y"/>
    <s v="n"/>
    <s v="JPT"/>
    <m/>
    <s v="https://www.kosho.or.jp/products/detail.php?product_id=501326280"/>
    <x v="1"/>
    <s v="n/a"/>
    <m/>
    <m/>
    <s v="n/a"/>
    <s v="n/a"/>
    <s v="n"/>
    <s v="n"/>
    <m/>
    <s v="n/a"/>
    <s v="n/a"/>
    <n v="704058533"/>
    <s v="Japanese"/>
    <s v="n/a"/>
    <s v="Yokoyama yoshiharake shikō"/>
    <s v="横山吉原家史考"/>
    <x v="11"/>
    <s v="Heisei 3"/>
    <s v="Yoshihara, Ichirō"/>
    <s v="吉原維千郎"/>
    <s v="n/a"/>
    <s v="n/a"/>
    <x v="24"/>
    <x v="89"/>
    <s v="n/a"/>
    <s v="n/a"/>
    <s v="yoshihara(shi)"/>
    <m/>
    <m/>
    <m/>
  </r>
  <r>
    <m/>
    <m/>
    <m/>
    <m/>
    <m/>
    <m/>
    <m/>
    <s v="n/a"/>
    <x v="6"/>
    <s v="n/a"/>
    <m/>
    <m/>
    <s v="n/a"/>
    <m/>
    <m/>
    <s v="n"/>
    <s v="n/a"/>
    <n v="9788942390816"/>
    <s v="8942390811"/>
    <n v="1202608821"/>
    <s v="Korean"/>
    <s v="n/a"/>
    <s v="1, Paekche Sŏng Wang kwa Silla Chinhŭng Wang"/>
    <s v="역사 의 맞수. 1, 백제 성 왕 과 신라 진흥 왕"/>
    <x v="40"/>
    <s v="n/a"/>
    <s v="No, Chung-guk"/>
    <s v="노 중국"/>
    <s v="Yŏksa sok e sara innŭn inʼgan tʿamgu ;; 38"/>
    <s v="역사 속 에 살아 있는 인간 탐구"/>
    <x v="87"/>
    <x v="0"/>
    <s v="Ch'op'an"/>
    <s v="초판"/>
    <s v="International relations ^ 聖 王, King of Korea, ?-554. 眞興 王, King of Korea, 534-576 ^ Sŏng Wang, King of Korea, ?-554 ^ Chinhŭng Wang, King of Korea, 534-576 ^ Chinhŭng Wang, King of Korea, 534-576 ^ History ^ To 935 ^ 백제 (Kingdom); Relations; 신라 (Kingdom); 신라 (Kingdom); Relations; 백제 (Kingdom) ^ Paekche (Kingdom) -- Relations -- Silla (Kingdom) ^ Silla (Kingdom) -- Relations -- Korea (South) -- Paekche (Kingdom) ^ Korea -- History -- To 935 ^ Asia -- Paekche (Kingdom) ^ Asia -- Silla (Kingdom) ^ Korea"/>
    <m/>
    <m/>
    <m/>
  </r>
  <r>
    <m/>
    <m/>
    <m/>
    <m/>
    <m/>
    <m/>
    <m/>
    <m/>
    <x v="6"/>
    <m/>
    <m/>
    <m/>
    <m/>
    <m/>
    <m/>
    <m/>
    <m/>
    <m/>
    <m/>
    <n v="1202608821"/>
    <m/>
    <m/>
    <m/>
    <m/>
    <x v="67"/>
    <m/>
    <m/>
    <m/>
    <m/>
    <m/>
    <x v="128"/>
    <x v="90"/>
    <m/>
    <m/>
    <m/>
    <m/>
    <m/>
    <m/>
  </r>
  <r>
    <m/>
    <m/>
    <m/>
    <m/>
    <m/>
    <m/>
    <m/>
    <m/>
    <x v="6"/>
    <m/>
    <m/>
    <m/>
    <m/>
    <m/>
    <m/>
    <m/>
    <m/>
    <m/>
    <m/>
    <m/>
    <m/>
    <m/>
    <m/>
    <s v="新罗高丽朝鲜汉诗集成. 第一辑"/>
    <x v="67"/>
    <m/>
    <m/>
    <m/>
    <m/>
    <m/>
    <x v="128"/>
    <x v="90"/>
    <m/>
    <m/>
    <m/>
    <m/>
    <m/>
    <m/>
  </r>
  <r>
    <m/>
    <m/>
    <m/>
    <m/>
    <m/>
    <m/>
    <m/>
    <m/>
    <x v="6"/>
    <m/>
    <m/>
    <m/>
    <m/>
    <m/>
    <m/>
    <m/>
    <m/>
    <m/>
    <m/>
    <m/>
    <m/>
    <m/>
    <m/>
    <m/>
    <x v="67"/>
    <m/>
    <m/>
    <m/>
    <m/>
    <m/>
    <x v="128"/>
    <x v="90"/>
    <m/>
    <m/>
    <m/>
    <m/>
    <m/>
    <m/>
  </r>
  <r>
    <m/>
    <m/>
    <m/>
    <m/>
    <m/>
    <m/>
    <m/>
    <m/>
    <x v="6"/>
    <m/>
    <m/>
    <m/>
    <m/>
    <m/>
    <m/>
    <m/>
    <m/>
    <m/>
    <m/>
    <m/>
    <m/>
    <m/>
    <m/>
    <m/>
    <x v="67"/>
    <m/>
    <m/>
    <m/>
    <m/>
    <m/>
    <x v="128"/>
    <x v="90"/>
    <m/>
    <m/>
    <m/>
    <m/>
    <m/>
    <m/>
  </r>
  <r>
    <m/>
    <m/>
    <m/>
    <m/>
    <m/>
    <m/>
    <m/>
    <m/>
    <x v="6"/>
    <m/>
    <m/>
    <m/>
    <m/>
    <m/>
    <m/>
    <m/>
    <m/>
    <m/>
    <m/>
    <m/>
    <m/>
    <m/>
    <m/>
    <m/>
    <x v="67"/>
    <m/>
    <m/>
    <m/>
    <m/>
    <m/>
    <x v="128"/>
    <x v="90"/>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r>
  <r>
    <x v="0"/>
  </r>
  <r>
    <x v="0"/>
  </r>
  <r>
    <x v="0"/>
  </r>
  <r>
    <x v="0"/>
  </r>
  <r>
    <x v="1"/>
  </r>
  <r>
    <x v="2"/>
  </r>
  <r>
    <x v="3"/>
  </r>
  <r>
    <x v="3"/>
  </r>
  <r>
    <x v="3"/>
  </r>
  <r>
    <x v="3"/>
  </r>
  <r>
    <x v="4"/>
  </r>
  <r>
    <x v="5"/>
  </r>
  <r>
    <x v="5"/>
  </r>
  <r>
    <x v="5"/>
  </r>
  <r>
    <x v="5"/>
  </r>
  <r>
    <x v="5"/>
  </r>
  <r>
    <x v="5"/>
  </r>
  <r>
    <x v="5"/>
  </r>
  <r>
    <x v="6"/>
  </r>
  <r>
    <x v="6"/>
  </r>
  <r>
    <x v="6"/>
  </r>
  <r>
    <x v="6"/>
  </r>
  <r>
    <x v="6"/>
  </r>
  <r>
    <x v="6"/>
  </r>
  <r>
    <x v="6"/>
  </r>
  <r>
    <x v="6"/>
  </r>
  <r>
    <x v="6"/>
  </r>
  <r>
    <x v="6"/>
  </r>
  <r>
    <x v="6"/>
  </r>
  <r>
    <x v="6"/>
  </r>
  <r>
    <x v="6"/>
  </r>
  <r>
    <x v="7"/>
  </r>
  <r>
    <x v="8"/>
  </r>
  <r>
    <x v="8"/>
  </r>
  <r>
    <x v="8"/>
  </r>
  <r>
    <x v="8"/>
  </r>
  <r>
    <x v="9"/>
  </r>
  <r>
    <x v="10"/>
  </r>
  <r>
    <x v="11"/>
  </r>
  <r>
    <x v="12"/>
  </r>
  <r>
    <x v="13"/>
  </r>
  <r>
    <x v="13"/>
  </r>
  <r>
    <x v="13"/>
  </r>
  <r>
    <x v="13"/>
  </r>
  <r>
    <x v="13"/>
  </r>
  <r>
    <x v="13"/>
  </r>
  <r>
    <x v="13"/>
  </r>
  <r>
    <x v="13"/>
  </r>
  <r>
    <x v="14"/>
  </r>
  <r>
    <x v="14"/>
  </r>
  <r>
    <x v="15"/>
  </r>
  <r>
    <x v="16"/>
  </r>
  <r>
    <x v="17"/>
  </r>
  <r>
    <x v="18"/>
  </r>
  <r>
    <x v="19"/>
  </r>
  <r>
    <x v="20"/>
  </r>
  <r>
    <x v="21"/>
  </r>
  <r>
    <x v="22"/>
  </r>
  <r>
    <x v="21"/>
  </r>
  <r>
    <x v="23"/>
  </r>
  <r>
    <x v="24"/>
  </r>
  <r>
    <x v="5"/>
  </r>
  <r>
    <x v="11"/>
  </r>
  <r>
    <x v="25"/>
  </r>
  <r>
    <x v="26"/>
  </r>
  <r>
    <x v="27"/>
  </r>
  <r>
    <x v="20"/>
  </r>
  <r>
    <x v="26"/>
  </r>
  <r>
    <x v="28"/>
  </r>
  <r>
    <x v="28"/>
  </r>
  <r>
    <x v="28"/>
  </r>
  <r>
    <x v="28"/>
  </r>
  <r>
    <x v="28"/>
  </r>
  <r>
    <x v="29"/>
  </r>
  <r>
    <x v="30"/>
  </r>
  <r>
    <x v="30"/>
  </r>
  <r>
    <x v="30"/>
  </r>
  <r>
    <x v="31"/>
  </r>
  <r>
    <x v="32"/>
  </r>
  <r>
    <x v="32"/>
  </r>
  <r>
    <x v="32"/>
  </r>
  <r>
    <x v="32"/>
  </r>
  <r>
    <x v="32"/>
  </r>
  <r>
    <x v="32"/>
  </r>
  <r>
    <x v="32"/>
  </r>
  <r>
    <x v="32"/>
  </r>
  <r>
    <x v="32"/>
  </r>
  <r>
    <x v="32"/>
  </r>
  <r>
    <x v="32"/>
  </r>
  <r>
    <x v="14"/>
  </r>
  <r>
    <x v="13"/>
  </r>
  <r>
    <x v="6"/>
  </r>
  <r>
    <x v="33"/>
  </r>
  <r>
    <x v="34"/>
  </r>
  <r>
    <x v="35"/>
  </r>
  <r>
    <x v="35"/>
  </r>
  <r>
    <x v="36"/>
  </r>
  <r>
    <x v="36"/>
  </r>
  <r>
    <x v="0"/>
  </r>
  <r>
    <x v="29"/>
  </r>
  <r>
    <x v="33"/>
  </r>
  <r>
    <x v="37"/>
  </r>
  <r>
    <x v="38"/>
  </r>
  <r>
    <x v="37"/>
  </r>
  <r>
    <x v="35"/>
  </r>
  <r>
    <x v="0"/>
  </r>
  <r>
    <x v="36"/>
  </r>
  <r>
    <x v="0"/>
  </r>
  <r>
    <x v="36"/>
  </r>
  <r>
    <x v="39"/>
  </r>
  <r>
    <x v="39"/>
  </r>
  <r>
    <x v="39"/>
  </r>
  <r>
    <x v="0"/>
  </r>
  <r>
    <x v="0"/>
  </r>
  <r>
    <x v="0"/>
  </r>
  <r>
    <x v="0"/>
  </r>
  <r>
    <x v="37"/>
  </r>
  <r>
    <x v="35"/>
  </r>
  <r>
    <x v="40"/>
  </r>
  <r>
    <x v="35"/>
  </r>
  <r>
    <x v="35"/>
  </r>
  <r>
    <x v="35"/>
  </r>
  <r>
    <x v="35"/>
  </r>
  <r>
    <x v="41"/>
  </r>
  <r>
    <x v="42"/>
  </r>
  <r>
    <x v="4"/>
  </r>
  <r>
    <x v="4"/>
  </r>
  <r>
    <x v="1"/>
  </r>
  <r>
    <x v="43"/>
  </r>
  <r>
    <x v="44"/>
  </r>
  <r>
    <x v="30"/>
  </r>
  <r>
    <x v="35"/>
  </r>
  <r>
    <x v="33"/>
  </r>
  <r>
    <x v="17"/>
  </r>
  <r>
    <x v="33"/>
  </r>
  <r>
    <x v="4"/>
  </r>
  <r>
    <x v="1"/>
  </r>
  <r>
    <x v="0"/>
  </r>
  <r>
    <x v="39"/>
  </r>
  <r>
    <x v="39"/>
  </r>
  <r>
    <x v="39"/>
  </r>
  <r>
    <x v="39"/>
  </r>
  <r>
    <x v="0"/>
  </r>
  <r>
    <x v="0"/>
  </r>
  <r>
    <x v="0"/>
  </r>
  <r>
    <x v="0"/>
  </r>
  <r>
    <x v="39"/>
  </r>
  <r>
    <x v="0"/>
  </r>
  <r>
    <x v="0"/>
  </r>
  <r>
    <x v="0"/>
  </r>
  <r>
    <x v="0"/>
  </r>
  <r>
    <x v="0"/>
  </r>
  <r>
    <x v="0"/>
  </r>
  <r>
    <x v="39"/>
  </r>
  <r>
    <x v="39"/>
  </r>
  <r>
    <x v="39"/>
  </r>
  <r>
    <x v="0"/>
  </r>
  <r>
    <x v="0"/>
  </r>
  <r>
    <x v="45"/>
  </r>
  <r>
    <x v="0"/>
  </r>
  <r>
    <x v="14"/>
  </r>
  <r>
    <x v="22"/>
  </r>
  <r>
    <x v="0"/>
  </r>
  <r>
    <x v="39"/>
  </r>
  <r>
    <x v="15"/>
  </r>
  <r>
    <x v="0"/>
  </r>
  <r>
    <x v="33"/>
  </r>
  <r>
    <x v="35"/>
  </r>
  <r>
    <x v="39"/>
  </r>
  <r>
    <x v="25"/>
  </r>
  <r>
    <x v="46"/>
  </r>
  <r>
    <x v="47"/>
  </r>
  <r>
    <x v="48"/>
  </r>
  <r>
    <x v="38"/>
  </r>
  <r>
    <x v="26"/>
  </r>
  <r>
    <x v="39"/>
  </r>
  <r>
    <x v="22"/>
  </r>
  <r>
    <x v="38"/>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46"/>
  </r>
  <r>
    <x v="46"/>
  </r>
  <r>
    <x v="46"/>
  </r>
  <r>
    <x v="46"/>
  </r>
  <r>
    <x v="46"/>
  </r>
  <r>
    <x v="46"/>
  </r>
  <r>
    <x v="46"/>
  </r>
  <r>
    <x v="46"/>
  </r>
  <r>
    <x v="46"/>
  </r>
  <r>
    <x v="46"/>
  </r>
  <r>
    <x v="46"/>
  </r>
  <r>
    <x v="46"/>
  </r>
  <r>
    <x v="46"/>
  </r>
  <r>
    <x v="46"/>
  </r>
  <r>
    <x v="46"/>
  </r>
  <r>
    <x v="49"/>
  </r>
  <r>
    <x v="0"/>
  </r>
  <r>
    <x v="0"/>
  </r>
  <r>
    <x v="0"/>
  </r>
  <r>
    <x v="0"/>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39"/>
  </r>
  <r>
    <x v="0"/>
  </r>
  <r>
    <x v="0"/>
  </r>
  <r>
    <x v="0"/>
  </r>
  <r>
    <x v="0"/>
  </r>
  <r>
    <x v="0"/>
  </r>
  <r>
    <x v="0"/>
  </r>
  <r>
    <x v="0"/>
  </r>
  <r>
    <x v="32"/>
  </r>
  <r>
    <x v="30"/>
  </r>
  <r>
    <x v="1"/>
  </r>
  <r>
    <x v="39"/>
  </r>
  <r>
    <x v="39"/>
  </r>
  <r>
    <x v="39"/>
  </r>
  <r>
    <x v="0"/>
  </r>
  <r>
    <x v="0"/>
  </r>
  <r>
    <x v="0"/>
  </r>
  <r>
    <x v="22"/>
  </r>
  <r>
    <x v="16"/>
  </r>
  <r>
    <x v="50"/>
  </r>
  <r>
    <x v="6"/>
  </r>
  <r>
    <x v="41"/>
  </r>
  <r>
    <x v="51"/>
  </r>
  <r>
    <x v="51"/>
  </r>
  <r>
    <x v="1"/>
  </r>
  <r>
    <x v="32"/>
  </r>
  <r>
    <x v="0"/>
  </r>
  <r>
    <x v="52"/>
  </r>
  <r>
    <x v="0"/>
  </r>
  <r>
    <x v="40"/>
  </r>
  <r>
    <x v="40"/>
  </r>
  <r>
    <x v="40"/>
  </r>
  <r>
    <x v="40"/>
  </r>
  <r>
    <x v="40"/>
  </r>
  <r>
    <x v="40"/>
  </r>
  <r>
    <x v="40"/>
  </r>
  <r>
    <x v="40"/>
  </r>
  <r>
    <x v="40"/>
  </r>
  <r>
    <x v="40"/>
  </r>
  <r>
    <x v="40"/>
  </r>
  <r>
    <x v="40"/>
  </r>
  <r>
    <x v="40"/>
  </r>
  <r>
    <x v="40"/>
  </r>
  <r>
    <x v="40"/>
  </r>
  <r>
    <x v="40"/>
  </r>
  <r>
    <x v="40"/>
  </r>
  <r>
    <x v="40"/>
  </r>
  <r>
    <x v="40"/>
  </r>
  <r>
    <x v="40"/>
  </r>
  <r>
    <x v="40"/>
  </r>
  <r>
    <x v="40"/>
  </r>
  <r>
    <x v="40"/>
  </r>
  <r>
    <x v="40"/>
  </r>
  <r>
    <x v="40"/>
  </r>
  <r>
    <x v="40"/>
  </r>
  <r>
    <x v="37"/>
  </r>
  <r>
    <x v="10"/>
  </r>
  <r>
    <x v="35"/>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r>
    <x v="5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D67CE1-A354-439D-A747-953D7AF03A7F}" name="Collection"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Collection">
  <location ref="A1:B6" firstHeaderRow="1" firstDataRow="1" firstDataCol="1"/>
  <pivotFields count="38">
    <pivotField showAll="0"/>
    <pivotField showAll="0"/>
    <pivotField showAll="0"/>
    <pivotField showAll="0"/>
    <pivotField showAll="0"/>
    <pivotField showAll="0"/>
    <pivotField showAll="0"/>
    <pivotField showAll="0"/>
    <pivotField axis="axisRow" dataField="1" showAll="0">
      <items count="17">
        <item x="2"/>
        <item m="1" x="15"/>
        <item x="1"/>
        <item x="4"/>
        <item x="0"/>
        <item h="1" x="6"/>
        <item h="1" x="3"/>
        <item h="1" m="1" x="14"/>
        <item h="1" x="5"/>
        <item h="1" x="9"/>
        <item h="1" x="7"/>
        <item h="1" x="8"/>
        <item h="1" x="10"/>
        <item h="1" x="11"/>
        <item h="1" x="12"/>
        <item h="1"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5">
    <i>
      <x/>
    </i>
    <i>
      <x v="2"/>
    </i>
    <i>
      <x v="3"/>
    </i>
    <i>
      <x v="4"/>
    </i>
    <i t="grand">
      <x/>
    </i>
  </rowItems>
  <colItems count="1">
    <i/>
  </colItems>
  <dataFields count="1">
    <dataField name="Count" fld="8" subtotal="count" baseField="0" baseItem="0"/>
  </dataFields>
  <formats count="2">
    <format dxfId="24">
      <pivotArea field="8" type="button" dataOnly="0" labelOnly="1" outline="0" axis="axisRow" fieldPosition="0"/>
    </format>
    <format dxfId="23">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62BAF1-0640-4A7B-95FD-9892AEB1BE7D}" name="SeriesRE"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eries Title (RE)">
  <location ref="D1:E50" firstHeaderRow="1" firstDataRow="1" firstDataCol="1"/>
  <pivotFields count="1">
    <pivotField axis="axisRow" dataField="1" multipleItemSelectionAllowed="1" showAll="0" sortType="ascending">
      <items count="53">
        <item h="1" x="28"/>
        <item x="45"/>
        <item x="24"/>
        <item x="46"/>
        <item x="48"/>
        <item x="34"/>
        <item x="26"/>
        <item x="3"/>
        <item x="15"/>
        <item x="39"/>
        <item x="22"/>
        <item x="33"/>
        <item x="18"/>
        <item x="44"/>
        <item x="42"/>
        <item x="2"/>
        <item x="30"/>
        <item x="38"/>
        <item x="40"/>
        <item x="8"/>
        <item x="13"/>
        <item x="19"/>
        <item x="16"/>
        <item x="41"/>
        <item x="14"/>
        <item x="6"/>
        <item x="0"/>
        <item x="5"/>
        <item x="32"/>
        <item x="4"/>
        <item x="11"/>
        <item x="36"/>
        <item x="29"/>
        <item x="49"/>
        <item x="31"/>
        <item x="21"/>
        <item h="1" x="1"/>
        <item x="23"/>
        <item x="47"/>
        <item x="9"/>
        <item x="10"/>
        <item x="20"/>
        <item x="25"/>
        <item x="7"/>
        <item x="17"/>
        <item x="27"/>
        <item x="43"/>
        <item x="12"/>
        <item x="35"/>
        <item x="37"/>
        <item x="50"/>
        <item h="1" x="51"/>
        <item t="default"/>
      </items>
    </pivotField>
  </pivotFields>
  <rowFields count="1">
    <field x="0"/>
  </rowFields>
  <rowItems count="49">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7"/>
    </i>
    <i>
      <x v="38"/>
    </i>
    <i>
      <x v="39"/>
    </i>
    <i>
      <x v="40"/>
    </i>
    <i>
      <x v="41"/>
    </i>
    <i>
      <x v="42"/>
    </i>
    <i>
      <x v="43"/>
    </i>
    <i>
      <x v="44"/>
    </i>
    <i>
      <x v="45"/>
    </i>
    <i>
      <x v="46"/>
    </i>
    <i>
      <x v="47"/>
    </i>
    <i>
      <x v="48"/>
    </i>
    <i>
      <x v="49"/>
    </i>
    <i>
      <x v="50"/>
    </i>
  </rowItems>
  <colItems count="1">
    <i/>
  </colItems>
  <dataFields count="1">
    <dataField name="Count" fld="0" subtotal="count" baseField="0" baseItem="0"/>
  </dataFields>
  <formats count="4">
    <format dxfId="20">
      <pivotArea type="all" dataOnly="0" outline="0" fieldPosition="0"/>
    </format>
    <format dxfId="19">
      <pivotArea outline="0" collapsedLevelsAreSubtotals="1" fieldPosition="0"/>
    </format>
    <format dxfId="18">
      <pivotArea field="0" type="button" dataOnly="0" labelOnly="1" outline="0" axis="axisRow" fieldPosition="0"/>
    </format>
    <format dxfId="17">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0F819A-FA78-4700-8702-EE3476280161}" name="SeriesN"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eries Title (N)">
  <location ref="T1:U37" firstHeaderRow="1" firstDataRow="1" firstDataCol="1"/>
  <pivotFields count="1">
    <pivotField axis="axisRow" dataField="1" showAll="0" sortType="ascending">
      <items count="40">
        <item h="1" x="22"/>
        <item h="1" x="0"/>
        <item h="1" x="38"/>
        <item x="19"/>
        <item x="3"/>
        <item x="6"/>
        <item x="20"/>
        <item x="26"/>
        <item x="23"/>
        <item x="24"/>
        <item x="21"/>
        <item x="13"/>
        <item x="9"/>
        <item x="8"/>
        <item x="4"/>
        <item x="5"/>
        <item x="7"/>
        <item x="10"/>
        <item x="11"/>
        <item x="12"/>
        <item x="14"/>
        <item x="25"/>
        <item x="15"/>
        <item x="17"/>
        <item x="16"/>
        <item x="18"/>
        <item x="1"/>
        <item x="2"/>
        <item x="27"/>
        <item x="28"/>
        <item x="29"/>
        <item x="30"/>
        <item x="31"/>
        <item x="32"/>
        <item x="33"/>
        <item x="34"/>
        <item x="35"/>
        <item x="36"/>
        <item x="37"/>
        <item t="default"/>
      </items>
      <autoSortScope>
        <pivotArea dataOnly="0" outline="0" fieldPosition="0">
          <references count="1">
            <reference field="4294967294" count="1" selected="0">
              <x v="0"/>
            </reference>
          </references>
        </pivotArea>
      </autoSortScope>
    </pivotField>
  </pivotFields>
  <rowFields count="1">
    <field x="0"/>
  </rowFields>
  <rowItems count="36">
    <i>
      <x v="20"/>
    </i>
    <i>
      <x v="21"/>
    </i>
    <i>
      <x v="4"/>
    </i>
    <i>
      <x v="22"/>
    </i>
    <i>
      <x v="6"/>
    </i>
    <i>
      <x v="7"/>
    </i>
    <i>
      <x v="24"/>
    </i>
    <i>
      <x v="9"/>
    </i>
    <i>
      <x v="26"/>
    </i>
    <i>
      <x v="12"/>
    </i>
    <i>
      <x v="27"/>
    </i>
    <i>
      <x v="14"/>
    </i>
    <i>
      <x v="28"/>
    </i>
    <i>
      <x v="17"/>
    </i>
    <i>
      <x v="30"/>
    </i>
    <i>
      <x v="3"/>
    </i>
    <i>
      <x v="31"/>
    </i>
    <i>
      <x v="38"/>
    </i>
    <i>
      <x v="32"/>
    </i>
    <i>
      <x v="13"/>
    </i>
    <i>
      <x v="33"/>
    </i>
    <i>
      <x v="19"/>
    </i>
    <i>
      <x v="34"/>
    </i>
    <i>
      <x v="11"/>
    </i>
    <i>
      <x v="35"/>
    </i>
    <i>
      <x v="5"/>
    </i>
    <i>
      <x v="36"/>
    </i>
    <i>
      <x v="16"/>
    </i>
    <i>
      <x v="37"/>
    </i>
    <i>
      <x v="23"/>
    </i>
    <i>
      <x v="29"/>
    </i>
    <i>
      <x v="15"/>
    </i>
    <i>
      <x v="8"/>
    </i>
    <i>
      <x v="25"/>
    </i>
    <i>
      <x v="10"/>
    </i>
    <i>
      <x v="18"/>
    </i>
  </rowItems>
  <colItems count="1">
    <i/>
  </colItems>
  <dataFields count="1">
    <dataField name="Counts" fld="0" subtotal="count" baseField="0" baseItem="0"/>
  </dataFields>
  <formats count="2">
    <format dxfId="22">
      <pivotArea field="0" type="button" dataOnly="0" labelOnly="1" outline="0" axis="axisRow" fieldPosition="0"/>
    </format>
    <format dxfId="21">
      <pivotArea dataOnly="0" labelOnly="1" outline="0" axis="axisValues" fieldPosition="0"/>
    </format>
  </formats>
  <chartFormats count="1">
    <chartFormat chart="1"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886A0A-92A7-4082-9656-44E4227889F6}" name="PubN"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lishers (N)">
  <location ref="M1:N60" firstHeaderRow="1" firstDataRow="1" firstDataCol="1"/>
  <pivotFields count="3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101">
        <item x="40"/>
        <item h="1" x="0"/>
        <item x="63"/>
        <item x="42"/>
        <item x="44"/>
        <item x="55"/>
        <item x="59"/>
        <item x="54"/>
        <item x="60"/>
        <item x="53"/>
        <item x="56"/>
        <item m="1" x="93"/>
        <item x="61"/>
        <item x="21"/>
        <item x="6"/>
        <item x="62"/>
        <item x="9"/>
        <item x="23"/>
        <item x="37"/>
        <item x="33"/>
        <item x="51"/>
        <item x="15"/>
        <item x="58"/>
        <item x="39"/>
        <item x="52"/>
        <item x="25"/>
        <item x="12"/>
        <item x="31"/>
        <item x="27"/>
        <item x="18"/>
        <item x="10"/>
        <item m="1" x="92"/>
        <item x="7"/>
        <item x="48"/>
        <item x="45"/>
        <item x="64"/>
        <item x="20"/>
        <item x="30"/>
        <item x="24"/>
        <item x="28"/>
        <item x="86"/>
        <item x="32"/>
        <item m="1" x="94"/>
        <item m="1" x="99"/>
        <item m="1" x="96"/>
        <item x="88"/>
        <item x="14"/>
        <item x="11"/>
        <item x="13"/>
        <item x="49"/>
        <item x="19"/>
        <item x="50"/>
        <item x="35"/>
        <item x="17"/>
        <item m="1" x="98"/>
        <item x="38"/>
        <item m="1" x="91"/>
        <item x="16"/>
        <item m="1" x="97"/>
        <item x="8"/>
        <item x="29"/>
        <item x="36"/>
        <item x="34"/>
        <item x="26"/>
        <item x="57"/>
        <item x="46"/>
        <item x="47"/>
        <item x="22"/>
        <item h="1" x="90"/>
        <item h="1" m="1" x="95"/>
        <item h="1" x="43"/>
        <item h="1" x="41"/>
        <item h="1" x="5"/>
        <item h="1" x="1"/>
        <item h="1" x="2"/>
        <item h="1" x="3"/>
        <item h="1" x="4"/>
        <item h="1" x="79"/>
        <item h="1" x="80"/>
        <item h="1" x="81"/>
        <item h="1" x="82"/>
        <item h="1" x="83"/>
        <item h="1" x="84"/>
        <item h="1" x="85"/>
        <item h="1" x="65"/>
        <item h="1" x="66"/>
        <item h="1" x="67"/>
        <item h="1" x="68"/>
        <item h="1" x="69"/>
        <item h="1" x="70"/>
        <item h="1" x="71"/>
        <item h="1" x="72"/>
        <item h="1" x="73"/>
        <item h="1" x="74"/>
        <item h="1" x="75"/>
        <item h="1" x="76"/>
        <item h="1" x="77"/>
        <item h="1" x="78"/>
        <item h="1" x="87"/>
        <item h="1" x="8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31"/>
  </rowFields>
  <rowItems count="59">
    <i>
      <x v="29"/>
    </i>
    <i>
      <x v="66"/>
    </i>
    <i>
      <x v="67"/>
    </i>
    <i>
      <x v="4"/>
    </i>
    <i>
      <x v="34"/>
    </i>
    <i>
      <x v="6"/>
    </i>
    <i>
      <x v="35"/>
    </i>
    <i>
      <x v="9"/>
    </i>
    <i>
      <x v="36"/>
    </i>
    <i>
      <x v="12"/>
    </i>
    <i>
      <x v="37"/>
    </i>
    <i>
      <x v="14"/>
    </i>
    <i>
      <x v="38"/>
    </i>
    <i>
      <x v="17"/>
    </i>
    <i>
      <x v="40"/>
    </i>
    <i>
      <x v="19"/>
    </i>
    <i>
      <x v="41"/>
    </i>
    <i>
      <x v="23"/>
    </i>
    <i>
      <x v="48"/>
    </i>
    <i>
      <x v="25"/>
    </i>
    <i>
      <x v="49"/>
    </i>
    <i>
      <x v="2"/>
    </i>
    <i>
      <x v="50"/>
    </i>
    <i>
      <x v="8"/>
    </i>
    <i>
      <x v="51"/>
    </i>
    <i>
      <x v="13"/>
    </i>
    <i>
      <x v="52"/>
    </i>
    <i>
      <x v="18"/>
    </i>
    <i>
      <x v="55"/>
    </i>
    <i>
      <x v="24"/>
    </i>
    <i>
      <x v="57"/>
    </i>
    <i>
      <x v="5"/>
    </i>
    <i>
      <x v="60"/>
    </i>
    <i>
      <x v="15"/>
    </i>
    <i>
      <x v="61"/>
    </i>
    <i>
      <x v="28"/>
    </i>
    <i>
      <x v="63"/>
    </i>
    <i>
      <x v="20"/>
    </i>
    <i>
      <x v="64"/>
    </i>
    <i>
      <x v="10"/>
    </i>
    <i>
      <x v="65"/>
    </i>
    <i>
      <x v="30"/>
    </i>
    <i>
      <x v="7"/>
    </i>
    <i>
      <x v="39"/>
    </i>
    <i>
      <x v="22"/>
    </i>
    <i>
      <x v="27"/>
    </i>
    <i>
      <x v="33"/>
    </i>
    <i>
      <x/>
    </i>
    <i>
      <x v="3"/>
    </i>
    <i>
      <x v="53"/>
    </i>
    <i>
      <x v="26"/>
    </i>
    <i>
      <x v="21"/>
    </i>
    <i>
      <x v="46"/>
    </i>
    <i>
      <x v="59"/>
    </i>
    <i>
      <x v="62"/>
    </i>
    <i>
      <x v="32"/>
    </i>
    <i>
      <x v="47"/>
    </i>
    <i>
      <x v="16"/>
    </i>
    <i>
      <x v="45"/>
    </i>
  </rowItems>
  <colItems count="1">
    <i/>
  </colItems>
  <dataFields count="1">
    <dataField name="Count" fld="31" subtotal="count" baseField="0" baseItem="0"/>
  </dataFields>
  <formats count="7">
    <format dxfId="14">
      <pivotArea type="all" dataOnly="0" outline="0" fieldPosition="0"/>
    </format>
    <format dxfId="13">
      <pivotArea outline="0" collapsedLevelsAreSubtotals="1" fieldPosition="0"/>
    </format>
    <format dxfId="12">
      <pivotArea dataOnly="0" labelOnly="1" fieldPosition="0">
        <references count="1">
          <reference field="3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1">
      <pivotArea dataOnly="0" labelOnly="1" fieldPosition="0">
        <references count="1">
          <reference field="31" count="19">
            <x v="50"/>
            <x v="51"/>
            <x v="52"/>
            <x v="53"/>
            <x v="54"/>
            <x v="55"/>
            <x v="56"/>
            <x v="57"/>
            <x v="58"/>
            <x v="59"/>
            <x v="60"/>
            <x v="61"/>
            <x v="62"/>
            <x v="63"/>
            <x v="64"/>
            <x v="65"/>
            <x v="66"/>
            <x v="67"/>
            <x v="68"/>
          </reference>
        </references>
      </pivotArea>
    </format>
    <format dxfId="10">
      <pivotArea dataOnly="0" labelOnly="1" grandRow="1" outline="0" fieldPosition="0"/>
    </format>
    <format dxfId="9">
      <pivotArea field="31" type="button" dataOnly="0" labelOnly="1" outline="0" axis="axisRow" fieldPosition="0"/>
    </format>
    <format dxfId="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337FF1-00BC-436B-B4DD-36C47CC0B9DF}" name="pubRE"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Publishers (RE)">
  <location ref="A1:B65" firstHeaderRow="1" firstDataRow="1" firstDataCol="1"/>
  <pivotFields count="3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143">
        <item m="1" x="140"/>
        <item x="59"/>
        <item x="25"/>
        <item x="114"/>
        <item m="1" x="134"/>
        <item x="22"/>
        <item x="6"/>
        <item x="39"/>
        <item m="1" x="137"/>
        <item x="65"/>
        <item x="38"/>
        <item x="71"/>
        <item x="76"/>
        <item x="64"/>
        <item x="53"/>
        <item x="62"/>
        <item x="20"/>
        <item x="31"/>
        <item x="27"/>
        <item x="28"/>
        <item x="30"/>
        <item x="14"/>
        <item x="70"/>
        <item x="12"/>
        <item x="33"/>
        <item x="34"/>
        <item x="41"/>
        <item m="1" x="139"/>
        <item x="36"/>
        <item m="1" x="138"/>
        <item x="15"/>
        <item x="18"/>
        <item x="69"/>
        <item x="40"/>
        <item x="19"/>
        <item x="8"/>
        <item x="63"/>
        <item x="35"/>
        <item x="11"/>
        <item x="37"/>
        <item x="29"/>
        <item x="73"/>
        <item h="1" x="24"/>
        <item x="57"/>
        <item x="61"/>
        <item x="78"/>
        <item x="54"/>
        <item x="21"/>
        <item x="68"/>
        <item x="74"/>
        <item x="77"/>
        <item x="67"/>
        <item x="55"/>
        <item m="1" x="130"/>
        <item x="58"/>
        <item x="23"/>
        <item m="1" x="131"/>
        <item x="10"/>
        <item x="13"/>
        <item x="7"/>
        <item x="60"/>
        <item x="56"/>
        <item x="66"/>
        <item x="127"/>
        <item x="72"/>
        <item x="16"/>
        <item m="1" x="133"/>
        <item m="1" x="135"/>
        <item m="1" x="141"/>
        <item x="32"/>
        <item x="17"/>
        <item x="75"/>
        <item x="9"/>
        <item x="51"/>
        <item x="26"/>
        <item m="1" x="136"/>
        <item m="1" x="132"/>
        <item h="1" x="128"/>
        <item h="1" x="52"/>
        <item h="1" x="46"/>
        <item h="1" x="49"/>
        <item h="1" x="50"/>
        <item h="1" x="48"/>
        <item h="1" x="45"/>
        <item h="1" x="47"/>
        <item h="1" x="44"/>
        <item h="1" x="42"/>
        <item h="1" x="43"/>
        <item h="1" x="5"/>
        <item h="1" x="1"/>
        <item h="1" x="2"/>
        <item h="1" x="3"/>
        <item h="1" x="4"/>
        <item h="1" x="0"/>
        <item h="1" x="116"/>
        <item h="1" x="118"/>
        <item h="1" x="117"/>
        <item h="1" x="115"/>
        <item h="1" x="119"/>
        <item h="1" x="107"/>
        <item h="1" x="108"/>
        <item h="1" x="93"/>
        <item h="1" x="109"/>
        <item h="1" x="110"/>
        <item h="1" x="111"/>
        <item h="1" x="112"/>
        <item h="1" m="1" x="129"/>
        <item h="1" x="79"/>
        <item h="1" x="80"/>
        <item h="1" x="81"/>
        <item h="1" x="82"/>
        <item h="1" x="83"/>
        <item h="1" x="84"/>
        <item h="1" x="85"/>
        <item h="1" x="86"/>
        <item h="1" x="87"/>
        <item h="1" x="88"/>
        <item h="1" x="89"/>
        <item h="1" x="90"/>
        <item h="1" x="91"/>
        <item h="1" x="92"/>
        <item h="1" x="94"/>
        <item h="1" x="95"/>
        <item h="1" x="96"/>
        <item h="1" x="97"/>
        <item h="1" x="98"/>
        <item h="1" x="99"/>
        <item h="1" x="100"/>
        <item h="1" x="101"/>
        <item h="1" x="102"/>
        <item h="1" x="103"/>
        <item h="1" x="104"/>
        <item h="1" x="105"/>
        <item h="1" x="106"/>
        <item h="1" x="113"/>
        <item h="1" x="120"/>
        <item h="1" x="121"/>
        <item h="1" x="122"/>
        <item h="1" x="123"/>
        <item h="1" x="124"/>
        <item h="1" x="125"/>
        <item h="1"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30"/>
  </rowFields>
  <rowItems count="64">
    <i>
      <x v="36"/>
    </i>
    <i>
      <x v="37"/>
    </i>
    <i>
      <x v="2"/>
    </i>
    <i>
      <x v="1"/>
    </i>
    <i>
      <x v="3"/>
    </i>
    <i>
      <x v="6"/>
    </i>
    <i>
      <x v="9"/>
    </i>
    <i>
      <x v="71"/>
    </i>
    <i>
      <x v="39"/>
    </i>
    <i>
      <x v="11"/>
    </i>
    <i>
      <x v="40"/>
    </i>
    <i>
      <x v="14"/>
    </i>
    <i>
      <x v="41"/>
    </i>
    <i>
      <x v="16"/>
    </i>
    <i>
      <x v="43"/>
    </i>
    <i>
      <x v="19"/>
    </i>
    <i>
      <x v="44"/>
    </i>
    <i>
      <x v="21"/>
    </i>
    <i>
      <x v="45"/>
    </i>
    <i>
      <x v="24"/>
    </i>
    <i>
      <x v="46"/>
    </i>
    <i>
      <x v="28"/>
    </i>
    <i>
      <x v="47"/>
    </i>
    <i>
      <x v="33"/>
    </i>
    <i>
      <x v="49"/>
    </i>
    <i>
      <x v="74"/>
    </i>
    <i>
      <x v="50"/>
    </i>
    <i>
      <x v="10"/>
    </i>
    <i>
      <x v="51"/>
    </i>
    <i>
      <x v="15"/>
    </i>
    <i>
      <x v="52"/>
    </i>
    <i>
      <x v="20"/>
    </i>
    <i>
      <x v="54"/>
    </i>
    <i>
      <x v="26"/>
    </i>
    <i>
      <x v="55"/>
    </i>
    <i>
      <x v="34"/>
    </i>
    <i>
      <x v="57"/>
    </i>
    <i>
      <x v="13"/>
    </i>
    <i>
      <x v="58"/>
    </i>
    <i>
      <x v="22"/>
    </i>
    <i>
      <x v="61"/>
    </i>
    <i>
      <x v="7"/>
    </i>
    <i>
      <x v="62"/>
    </i>
    <i>
      <x v="32"/>
    </i>
    <i>
      <x v="69"/>
    </i>
    <i>
      <x v="18"/>
    </i>
    <i>
      <x v="70"/>
    </i>
    <i>
      <x v="5"/>
    </i>
    <i>
      <x v="12"/>
    </i>
    <i>
      <x v="60"/>
    </i>
    <i>
      <x v="65"/>
    </i>
    <i>
      <x v="17"/>
    </i>
    <i>
      <x v="48"/>
    </i>
    <i>
      <x v="64"/>
    </i>
    <i>
      <x v="31"/>
    </i>
    <i>
      <x v="73"/>
    </i>
    <i>
      <x v="23"/>
    </i>
    <i>
      <x v="30"/>
    </i>
    <i>
      <x v="25"/>
    </i>
    <i>
      <x v="35"/>
    </i>
    <i>
      <x v="59"/>
    </i>
    <i>
      <x v="38"/>
    </i>
    <i>
      <x v="72"/>
    </i>
    <i>
      <x v="63"/>
    </i>
  </rowItems>
  <colItems count="1">
    <i/>
  </colItems>
  <dataFields count="1">
    <dataField name="Counts" fld="30" subtotal="count" baseField="0" baseItem="0"/>
  </dataFields>
  <formats count="2">
    <format dxfId="16">
      <pivotArea field="30" type="button" dataOnly="0" labelOnly="1" outline="0" axis="axisRow" fieldPosition="0"/>
    </format>
    <format dxfId="1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27AB7F-5779-4886-9FDA-B69FA93EA51F}" name="dates"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Pub Dates">
  <location ref="A1:B50" firstHeaderRow="1" firstDataRow="1" firstDataCol="1"/>
  <pivotFields count="3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76">
        <item m="1" x="72"/>
        <item m="1" x="70"/>
        <item m="1" x="68"/>
        <item m="1" x="73"/>
        <item m="1" x="69"/>
        <item m="1" x="74"/>
        <item m="1" x="71"/>
        <item x="53"/>
        <item x="1"/>
        <item x="52"/>
        <item x="50"/>
        <item x="10"/>
        <item x="13"/>
        <item h="1" x="26"/>
        <item h="1" x="58"/>
        <item h="1" x="61"/>
        <item x="9"/>
        <item x="3"/>
        <item x="37"/>
        <item x="7"/>
        <item x="14"/>
        <item x="15"/>
        <item x="36"/>
        <item x="31"/>
        <item x="25"/>
        <item x="51"/>
        <item x="5"/>
        <item h="1" x="64"/>
        <item h="1" x="65"/>
        <item x="4"/>
        <item x="27"/>
        <item x="6"/>
        <item x="8"/>
        <item x="23"/>
        <item x="11"/>
        <item x="12"/>
        <item x="49"/>
        <item x="30"/>
        <item x="28"/>
        <item x="29"/>
        <item h="1" x="56"/>
        <item h="1" x="60"/>
        <item x="16"/>
        <item h="1" x="63"/>
        <item x="17"/>
        <item h="1" x="55"/>
        <item x="18"/>
        <item h="1" x="59"/>
        <item x="19"/>
        <item h="1" x="43"/>
        <item x="20"/>
        <item x="21"/>
        <item x="22"/>
        <item h="1" x="57"/>
        <item x="66"/>
        <item h="1" x="47"/>
        <item x="24"/>
        <item x="32"/>
        <item x="39"/>
        <item x="33"/>
        <item x="34"/>
        <item x="35"/>
        <item x="44"/>
        <item h="1" x="46"/>
        <item h="1" x="42"/>
        <item x="38"/>
        <item x="2"/>
        <item x="40"/>
        <item h="1" x="48"/>
        <item x="41"/>
        <item x="45"/>
        <item h="1" x="62"/>
        <item x="0"/>
        <item h="1" x="54"/>
        <item h="1" x="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4"/>
  </rowFields>
  <rowItems count="49">
    <i>
      <x v="7"/>
    </i>
    <i>
      <x v="8"/>
    </i>
    <i>
      <x v="9"/>
    </i>
    <i>
      <x v="10"/>
    </i>
    <i>
      <x v="11"/>
    </i>
    <i>
      <x v="12"/>
    </i>
    <i>
      <x v="16"/>
    </i>
    <i>
      <x v="17"/>
    </i>
    <i>
      <x v="18"/>
    </i>
    <i>
      <x v="19"/>
    </i>
    <i>
      <x v="20"/>
    </i>
    <i>
      <x v="21"/>
    </i>
    <i>
      <x v="22"/>
    </i>
    <i>
      <x v="23"/>
    </i>
    <i>
      <x v="24"/>
    </i>
    <i>
      <x v="25"/>
    </i>
    <i>
      <x v="26"/>
    </i>
    <i>
      <x v="29"/>
    </i>
    <i>
      <x v="30"/>
    </i>
    <i>
      <x v="31"/>
    </i>
    <i>
      <x v="32"/>
    </i>
    <i>
      <x v="33"/>
    </i>
    <i>
      <x v="34"/>
    </i>
    <i>
      <x v="35"/>
    </i>
    <i>
      <x v="36"/>
    </i>
    <i>
      <x v="37"/>
    </i>
    <i>
      <x v="38"/>
    </i>
    <i>
      <x v="39"/>
    </i>
    <i>
      <x v="42"/>
    </i>
    <i>
      <x v="44"/>
    </i>
    <i>
      <x v="46"/>
    </i>
    <i>
      <x v="48"/>
    </i>
    <i>
      <x v="50"/>
    </i>
    <i>
      <x v="51"/>
    </i>
    <i>
      <x v="52"/>
    </i>
    <i>
      <x v="54"/>
    </i>
    <i>
      <x v="56"/>
    </i>
    <i>
      <x v="57"/>
    </i>
    <i>
      <x v="58"/>
    </i>
    <i>
      <x v="59"/>
    </i>
    <i>
      <x v="60"/>
    </i>
    <i>
      <x v="61"/>
    </i>
    <i>
      <x v="62"/>
    </i>
    <i>
      <x v="65"/>
    </i>
    <i>
      <x v="66"/>
    </i>
    <i>
      <x v="67"/>
    </i>
    <i>
      <x v="69"/>
    </i>
    <i>
      <x v="70"/>
    </i>
    <i>
      <x v="72"/>
    </i>
  </rowItems>
  <colItems count="1">
    <i/>
  </colItems>
  <dataFields count="1">
    <dataField name="Counts" fld="24" subtotal="count" baseField="0" baseItem="0"/>
  </dataFields>
  <formats count="6">
    <format dxfId="5">
      <pivotArea type="all" dataOnly="0" outline="0" fieldPosition="0"/>
    </format>
    <format dxfId="4">
      <pivotArea outline="0" collapsedLevelsAreSubtotals="1" fieldPosition="0"/>
    </format>
    <format dxfId="3">
      <pivotArea dataOnly="0" labelOnly="1" fieldPosition="0">
        <references count="1">
          <reference field="24" count="43">
            <x v="0"/>
            <x v="1"/>
            <x v="2"/>
            <x v="3"/>
            <x v="4"/>
            <x v="5"/>
            <x v="6"/>
            <x v="7"/>
            <x v="8"/>
            <x v="9"/>
            <x v="10"/>
            <x v="11"/>
            <x v="12"/>
            <x v="16"/>
            <x v="17"/>
            <x v="18"/>
            <x v="19"/>
            <x v="20"/>
            <x v="21"/>
            <x v="22"/>
            <x v="23"/>
            <x v="24"/>
            <x v="25"/>
            <x v="26"/>
            <x v="29"/>
            <x v="30"/>
            <x v="31"/>
            <x v="32"/>
            <x v="33"/>
            <x v="34"/>
            <x v="35"/>
            <x v="36"/>
            <x v="37"/>
            <x v="38"/>
            <x v="39"/>
            <x v="42"/>
            <x v="44"/>
            <x v="46"/>
            <x v="48"/>
            <x v="50"/>
            <x v="51"/>
            <x v="52"/>
            <x v="54"/>
          </reference>
        </references>
      </pivotArea>
    </format>
    <format dxfId="2">
      <pivotArea dataOnly="0" labelOnly="1" fieldPosition="0">
        <references count="1">
          <reference field="24" count="13">
            <x v="56"/>
            <x v="57"/>
            <x v="58"/>
            <x v="59"/>
            <x v="60"/>
            <x v="61"/>
            <x v="62"/>
            <x v="65"/>
            <x v="66"/>
            <x v="67"/>
            <x v="69"/>
            <x v="70"/>
            <x v="72"/>
          </reference>
        </references>
      </pivotArea>
    </format>
    <format dxfId="1">
      <pivotArea field="24" type="button" dataOnly="0" labelOnly="1" outline="0" axis="axisRow" fieldPosition="0"/>
    </format>
    <format dxfId="0">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F6B9AF-233D-4BA2-8F08-1B280123A59C}" name="decades"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Decades">
  <location ref="Q1:R9" firstHeaderRow="1" firstDataRow="1" firstDataCol="1"/>
  <pivotFields count="1">
    <pivotField axis="axisRow" dataField="1" showAll="0">
      <items count="303">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s>
  <rowFields count="1">
    <field x="0"/>
  </rowFields>
  <rowItems count="8">
    <i>
      <x v="196"/>
    </i>
    <i>
      <x v="197"/>
    </i>
    <i>
      <x v="198"/>
    </i>
    <i>
      <x v="199"/>
    </i>
    <i>
      <x v="200"/>
    </i>
    <i>
      <x v="201"/>
    </i>
    <i>
      <x v="202"/>
    </i>
    <i>
      <x v="203"/>
    </i>
  </rowItems>
  <colItems count="1">
    <i/>
  </colItems>
  <dataFields count="1">
    <dataField name="Counts" fld="0" subtotal="count" baseField="0" baseItem="0"/>
  </dataFields>
  <formats count="2">
    <format dxfId="7">
      <pivotArea field="0" type="button" dataOnly="0" labelOnly="1" outline="0" axis="axisRow" fieldPosition="0"/>
    </format>
    <format dxfId="6">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9B8E5D5-57A8-48D3-B67A-3C8C00BA45A3}" name="Subjects"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ubjects">
  <location ref="B4:C490" firstHeaderRow="1" firstDataRow="1" firstDataCol="1"/>
  <pivotFields count="1">
    <pivotField axis="axisRow" dataField="1" showAll="0" sortType="ascending">
      <items count="585">
        <item x="353"/>
        <item x="21"/>
        <item x="389"/>
        <item x="189"/>
        <item x="292"/>
        <item m="1" x="537"/>
        <item x="334"/>
        <item x="297"/>
        <item x="420"/>
        <item x="244"/>
        <item x="195"/>
        <item x="192"/>
        <item x="19"/>
        <item x="381"/>
        <item x="401"/>
        <item x="272"/>
        <item x="164"/>
        <item x="78"/>
        <item x="274"/>
        <item m="1" x="569"/>
        <item x="316"/>
        <item x="433"/>
        <item m="1" x="583"/>
        <item x="227"/>
        <item x="73"/>
        <item x="299"/>
        <item m="1" x="486"/>
        <item m="1" x="492"/>
        <item x="218"/>
        <item x="147"/>
        <item m="1" x="556"/>
        <item x="219"/>
        <item m="1" x="523"/>
        <item x="266"/>
        <item x="310"/>
        <item x="59"/>
        <item x="343"/>
        <item x="149"/>
        <item x="51"/>
        <item m="1" x="528"/>
        <item x="167"/>
        <item m="1" x="498"/>
        <item m="1" x="496"/>
        <item x="273"/>
        <item x="211"/>
        <item x="45"/>
        <item x="260"/>
        <item x="384"/>
        <item x="403"/>
        <item x="209"/>
        <item x="355"/>
        <item x="422"/>
        <item m="1" x="527"/>
        <item x="375"/>
        <item x="226"/>
        <item x="72"/>
        <item x="214"/>
        <item m="1" x="505"/>
        <item x="314"/>
        <item x="225"/>
        <item x="141"/>
        <item x="263"/>
        <item x="49"/>
        <item x="269"/>
        <item x="223"/>
        <item x="86"/>
        <item m="1" x="540"/>
        <item m="1" x="533"/>
        <item x="418"/>
        <item x="267"/>
        <item x="376"/>
        <item x="151"/>
        <item x="262"/>
        <item m="1" x="502"/>
        <item m="1" x="519"/>
        <item x="232"/>
        <item m="1" x="553"/>
        <item x="64"/>
        <item x="79"/>
        <item m="1" x="517"/>
        <item m="1" x="557"/>
        <item x="378"/>
        <item x="239"/>
        <item x="143"/>
        <item x="52"/>
        <item x="89"/>
        <item x="44"/>
        <item x="373"/>
        <item x="168"/>
        <item x="87"/>
        <item x="270"/>
        <item m="1" x="544"/>
        <item x="213"/>
        <item x="365"/>
        <item x="216"/>
        <item x="144"/>
        <item x="53"/>
        <item x="66"/>
        <item m="1" x="578"/>
        <item x="104"/>
        <item x="184"/>
        <item x="180"/>
        <item x="135"/>
        <item m="1" x="536"/>
        <item x="351"/>
        <item x="163"/>
        <item x="307"/>
        <item x="245"/>
        <item x="332"/>
        <item x="112"/>
        <item x="366"/>
        <item x="249"/>
        <item m="1" x="539"/>
        <item m="1" x="526"/>
        <item x="444"/>
        <item x="161"/>
        <item m="1" x="559"/>
        <item x="160"/>
        <item m="1" x="488"/>
        <item x="169"/>
        <item x="261"/>
        <item x="139"/>
        <item x="402"/>
        <item m="1" x="575"/>
        <item m="1" x="567"/>
        <item x="388"/>
        <item x="411"/>
        <item x="363"/>
        <item x="14"/>
        <item x="181"/>
        <item x="101"/>
        <item x="137"/>
        <item m="1" x="541"/>
        <item m="1" x="552"/>
        <item x="240"/>
        <item x="166"/>
        <item x="54"/>
        <item x="82"/>
        <item x="288"/>
        <item x="4"/>
        <item x="154"/>
        <item x="399"/>
        <item x="313"/>
        <item x="278"/>
        <item x="250"/>
        <item x="110"/>
        <item x="421"/>
        <item x="346"/>
        <item x="362"/>
        <item x="187"/>
        <item x="277"/>
        <item x="116"/>
        <item x="0"/>
        <item m="1" x="518"/>
        <item m="1" x="582"/>
        <item x="242"/>
        <item x="159"/>
        <item x="207"/>
        <item x="409"/>
        <item x="108"/>
        <item x="321"/>
        <item x="276"/>
        <item x="445"/>
        <item x="215"/>
        <item x="443"/>
        <item x="380"/>
        <item x="349"/>
        <item x="396"/>
        <item m="1" x="532"/>
        <item x="348"/>
        <item m="1" x="568"/>
        <item m="1" x="495"/>
        <item x="417"/>
        <item x="315"/>
        <item x="435"/>
        <item x="395"/>
        <item x="382"/>
        <item x="416"/>
        <item m="1" x="538"/>
        <item x="390"/>
        <item x="114"/>
        <item x="22"/>
        <item x="13"/>
        <item x="182"/>
        <item x="202"/>
        <item x="347"/>
        <item x="157"/>
        <item m="1" x="547"/>
        <item m="1" x="563"/>
        <item x="84"/>
        <item m="1" x="573"/>
        <item m="1" x="550"/>
        <item m="1" x="493"/>
        <item x="77"/>
        <item x="289"/>
        <item x="134"/>
        <item x="67"/>
        <item x="155"/>
        <item m="1" x="571"/>
        <item x="41"/>
        <item m="1" x="551"/>
        <item m="1" x="530"/>
        <item m="1" x="503"/>
        <item m="1" x="512"/>
        <item m="1" x="506"/>
        <item x="286"/>
        <item m="1" x="572"/>
        <item m="1" x="515"/>
        <item x="280"/>
        <item x="152"/>
        <item x="309"/>
        <item x="90"/>
        <item x="71"/>
        <item x="83"/>
        <item x="81"/>
        <item x="319"/>
        <item x="383"/>
        <item x="46"/>
        <item x="271"/>
        <item x="317"/>
        <item x="427"/>
        <item x="56"/>
        <item x="60"/>
        <item m="1" x="562"/>
        <item x="162"/>
        <item x="76"/>
        <item x="408"/>
        <item x="107"/>
        <item x="203"/>
        <item x="128"/>
        <item m="1" x="542"/>
        <item m="1" x="507"/>
        <item m="1" x="521"/>
        <item x="350"/>
        <item x="105"/>
        <item x="42"/>
        <item x="222"/>
        <item x="228"/>
        <item x="371"/>
        <item x="37"/>
        <item x="331"/>
        <item x="246"/>
        <item x="429"/>
        <item x="364"/>
        <item x="295"/>
        <item x="440"/>
        <item x="345"/>
        <item x="153"/>
        <item x="221"/>
        <item x="65"/>
        <item x="312"/>
        <item x="268"/>
        <item x="188"/>
        <item x="404"/>
        <item x="241"/>
        <item x="7"/>
        <item x="326"/>
        <item x="99"/>
        <item x="178"/>
        <item x="100"/>
        <item x="6"/>
        <item x="243"/>
        <item x="436"/>
        <item x="194"/>
        <item x="115"/>
        <item x="344"/>
        <item x="62"/>
        <item m="1" x="560"/>
        <item x="142"/>
        <item x="50"/>
        <item x="220"/>
        <item m="1" x="576"/>
        <item x="400"/>
        <item x="74"/>
        <item x="377"/>
        <item x="231"/>
        <item x="150"/>
        <item x="63"/>
        <item x="88"/>
        <item x="320"/>
        <item m="1" x="535"/>
        <item x="275"/>
        <item x="158"/>
        <item x="466"/>
        <item m="1" x="511"/>
        <item x="217"/>
        <item x="146"/>
        <item x="255"/>
        <item x="34"/>
        <item x="190"/>
        <item x="117"/>
        <item x="17"/>
        <item x="379"/>
        <item x="229"/>
        <item x="69"/>
        <item x="291"/>
        <item x="102"/>
        <item x="342"/>
        <item x="212"/>
        <item x="318"/>
        <item x="138"/>
        <item x="165"/>
        <item x="352"/>
        <item x="80"/>
        <item x="179"/>
        <item x="5"/>
        <item x="335"/>
        <item x="329"/>
        <item m="1" x="525"/>
        <item m="1" x="516"/>
        <item x="39"/>
        <item x="328"/>
        <item x="12"/>
        <item x="185"/>
        <item m="1" x="499"/>
        <item m="1" x="565"/>
        <item x="290"/>
        <item x="265"/>
        <item x="57"/>
        <item m="1" x="491"/>
        <item x="75"/>
        <item x="15"/>
        <item x="330"/>
        <item x="451"/>
        <item x="410"/>
        <item x="387"/>
        <item x="308"/>
        <item x="47"/>
        <item x="398"/>
        <item x="439"/>
        <item m="1" x="564"/>
        <item m="1" x="554"/>
        <item x="43"/>
        <item m="1" x="574"/>
        <item x="183"/>
        <item x="103"/>
        <item x="9"/>
        <item x="230"/>
        <item x="61"/>
        <item m="1" x="508"/>
        <item m="1" x="489"/>
        <item m="1" x="514"/>
        <item m="1" x="504"/>
        <item x="68"/>
        <item x="224"/>
        <item x="156"/>
        <item x="85"/>
        <item x="140"/>
        <item m="1" x="529"/>
        <item x="48"/>
        <item x="361"/>
        <item x="106"/>
        <item x="374"/>
        <item x="423"/>
        <item x="354"/>
        <item m="1" x="545"/>
        <item m="1" x="490"/>
        <item m="1" x="548"/>
        <item m="1" x="579"/>
        <item x="333"/>
        <item x="18"/>
        <item x="20"/>
        <item x="247"/>
        <item x="191"/>
        <item x="248"/>
        <item x="113"/>
        <item x="193"/>
        <item m="1" x="555"/>
        <item m="1" x="500"/>
        <item x="434"/>
        <item x="259"/>
        <item x="208"/>
        <item x="145"/>
        <item x="279"/>
        <item x="70"/>
        <item x="397"/>
        <item x="419"/>
        <item x="311"/>
        <item m="1" x="494"/>
        <item x="200"/>
        <item x="298"/>
        <item x="293"/>
        <item x="428"/>
        <item x="186"/>
        <item x="294"/>
        <item m="1" x="543"/>
        <item m="1" x="534"/>
        <item x="109"/>
        <item m="1" x="510"/>
        <item m="1" x="497"/>
        <item m="1" x="513"/>
        <item x="24"/>
        <item x="327"/>
        <item x="8"/>
        <item m="1" x="531"/>
        <item m="1" x="546"/>
        <item x="16"/>
        <item x="111"/>
        <item m="1" x="509"/>
        <item m="1" x="561"/>
        <item m="1" x="549"/>
        <item x="148"/>
        <item x="58"/>
        <item x="264"/>
        <item x="55"/>
        <item x="412"/>
        <item x="296"/>
        <item x="23"/>
        <item x="11"/>
        <item x="10"/>
        <item x="485"/>
        <item x="453"/>
        <item x="454"/>
        <item m="1" x="577"/>
        <item x="446"/>
        <item x="447"/>
        <item x="449"/>
        <item x="448"/>
        <item x="458"/>
        <item x="460"/>
        <item x="459"/>
        <item x="455"/>
        <item x="456"/>
        <item x="465"/>
        <item x="464"/>
        <item x="462"/>
        <item x="470"/>
        <item x="469"/>
        <item m="1" x="524"/>
        <item m="1" x="520"/>
        <item x="467"/>
        <item x="472"/>
        <item x="475"/>
        <item x="473"/>
        <item x="477"/>
        <item x="476"/>
        <item x="479"/>
        <item m="1" x="501"/>
        <item x="478"/>
        <item x="481"/>
        <item m="1" x="487"/>
        <item x="480"/>
        <item m="1" x="558"/>
        <item x="482"/>
        <item x="483"/>
        <item x="484"/>
        <item m="1" x="522"/>
        <item x="93"/>
        <item x="172"/>
        <item x="136"/>
        <item x="235"/>
        <item x="210"/>
        <item x="283"/>
        <item x="358"/>
        <item x="341"/>
        <item x="386"/>
        <item m="1" x="581"/>
        <item m="1" x="566"/>
        <item m="1" x="570"/>
        <item x="25"/>
        <item x="118"/>
        <item x="196"/>
        <item x="251"/>
        <item x="336"/>
        <item x="367"/>
        <item x="391"/>
        <item x="413"/>
        <item x="430"/>
        <item x="26"/>
        <item x="29"/>
        <item x="27"/>
        <item x="28"/>
        <item x="119"/>
        <item x="122"/>
        <item x="120"/>
        <item x="121"/>
        <item x="197"/>
        <item x="198"/>
        <item x="199"/>
        <item x="252"/>
        <item x="253"/>
        <item x="254"/>
        <item x="300"/>
        <item x="301"/>
        <item x="337"/>
        <item x="338"/>
        <item x="368"/>
        <item x="369"/>
        <item x="392"/>
        <item x="414"/>
        <item x="431"/>
        <item x="441"/>
        <item x="372"/>
        <item x="450"/>
        <item x="359"/>
        <item x="463"/>
        <item x="31"/>
        <item x="33"/>
        <item m="1" x="580"/>
        <item x="32"/>
        <item x="124"/>
        <item x="127"/>
        <item x="125"/>
        <item x="302"/>
        <item x="30"/>
        <item x="35"/>
        <item x="36"/>
        <item x="38"/>
        <item x="40"/>
        <item x="91"/>
        <item x="92"/>
        <item x="123"/>
        <item x="126"/>
        <item x="129"/>
        <item x="130"/>
        <item x="131"/>
        <item x="132"/>
        <item x="133"/>
        <item x="170"/>
        <item x="171"/>
        <item x="201"/>
        <item x="204"/>
        <item x="205"/>
        <item x="95"/>
        <item x="206"/>
        <item x="233"/>
        <item x="234"/>
        <item x="256"/>
        <item x="257"/>
        <item x="258"/>
        <item x="281"/>
        <item x="282"/>
        <item x="303"/>
        <item x="304"/>
        <item x="305"/>
        <item x="306"/>
        <item x="322"/>
        <item x="339"/>
        <item x="340"/>
        <item x="285"/>
        <item x="356"/>
        <item x="357"/>
        <item x="370"/>
        <item x="385"/>
        <item x="393"/>
        <item x="394"/>
        <item x="405"/>
        <item x="415"/>
        <item x="424"/>
        <item x="425"/>
        <item x="432"/>
        <item x="437"/>
        <item x="442"/>
        <item x="452"/>
        <item x="457"/>
        <item x="461"/>
        <item x="468"/>
        <item x="471"/>
        <item x="474"/>
        <item x="174"/>
        <item x="237"/>
        <item x="324"/>
        <item x="1"/>
        <item x="2"/>
        <item x="3"/>
        <item x="94"/>
        <item x="96"/>
        <item x="97"/>
        <item x="98"/>
        <item x="173"/>
        <item x="175"/>
        <item x="176"/>
        <item x="177"/>
        <item x="236"/>
        <item x="238"/>
        <item x="284"/>
        <item x="287"/>
        <item x="323"/>
        <item x="325"/>
        <item x="360"/>
        <item x="406"/>
        <item x="407"/>
        <item x="426"/>
        <item x="438"/>
        <item t="default"/>
      </items>
      <autoSortScope>
        <pivotArea dataOnly="0" outline="0" fieldPosition="0">
          <references count="1">
            <reference field="4294967294" count="1" selected="0">
              <x v="0"/>
            </reference>
          </references>
        </pivotArea>
      </autoSortScope>
    </pivotField>
  </pivotFields>
  <rowFields count="1">
    <field x="0"/>
  </rowFields>
  <rowItems count="486">
    <i>
      <x v="410"/>
    </i>
    <i>
      <x v="304"/>
    </i>
    <i>
      <x v="305"/>
    </i>
    <i>
      <x v="3"/>
    </i>
    <i>
      <x v="306"/>
    </i>
    <i>
      <x v="7"/>
    </i>
    <i>
      <x v="307"/>
    </i>
    <i>
      <x v="9"/>
    </i>
    <i>
      <x v="311"/>
    </i>
    <i>
      <x v="12"/>
    </i>
    <i>
      <x v="312"/>
    </i>
    <i>
      <x v="14"/>
    </i>
    <i>
      <x v="313"/>
    </i>
    <i>
      <x v="18"/>
    </i>
    <i>
      <x v="317"/>
    </i>
    <i>
      <x v="25"/>
    </i>
    <i>
      <x v="318"/>
    </i>
    <i>
      <x v="29"/>
    </i>
    <i>
      <x v="320"/>
    </i>
    <i>
      <x v="35"/>
    </i>
    <i>
      <x v="322"/>
    </i>
    <i>
      <x v="37"/>
    </i>
    <i>
      <x v="324"/>
    </i>
    <i>
      <x v="44"/>
    </i>
    <i>
      <x v="325"/>
    </i>
    <i>
      <x v="47"/>
    </i>
    <i>
      <x v="328"/>
    </i>
    <i>
      <x v="49"/>
    </i>
    <i>
      <x v="332"/>
    </i>
    <i>
      <x v="51"/>
    </i>
    <i>
      <x v="338"/>
    </i>
    <i>
      <x v="54"/>
    </i>
    <i>
      <x v="343"/>
    </i>
    <i>
      <x v="58"/>
    </i>
    <i>
      <x v="344"/>
    </i>
    <i>
      <x v="63"/>
    </i>
    <i>
      <x v="345"/>
    </i>
    <i>
      <x v="68"/>
    </i>
    <i>
      <x v="346"/>
    </i>
    <i>
      <x v="70"/>
    </i>
    <i>
      <x v="347"/>
    </i>
    <i>
      <x v="72"/>
    </i>
    <i>
      <x v="349"/>
    </i>
    <i>
      <x v="81"/>
    </i>
    <i>
      <x v="350"/>
    </i>
    <i>
      <x v="83"/>
    </i>
    <i>
      <x v="351"/>
    </i>
    <i>
      <x v="85"/>
    </i>
    <i>
      <x v="353"/>
    </i>
    <i>
      <x v="88"/>
    </i>
    <i>
      <x v="354"/>
    </i>
    <i>
      <x v="90"/>
    </i>
    <i>
      <x v="361"/>
    </i>
    <i>
      <x v="99"/>
    </i>
    <i>
      <x v="362"/>
    </i>
    <i>
      <x v="104"/>
    </i>
    <i>
      <x v="363"/>
    </i>
    <i>
      <x v="106"/>
    </i>
    <i>
      <x v="365"/>
    </i>
    <i>
      <x v="109"/>
    </i>
    <i>
      <x v="366"/>
    </i>
    <i>
      <x v="111"/>
    </i>
    <i>
      <x v="369"/>
    </i>
    <i>
      <x v="115"/>
    </i>
    <i>
      <x v="370"/>
    </i>
    <i>
      <x v="122"/>
    </i>
    <i>
      <x v="373"/>
    </i>
    <i>
      <x v="126"/>
    </i>
    <i>
      <x v="375"/>
    </i>
    <i>
      <x v="128"/>
    </i>
    <i>
      <x v="376"/>
    </i>
    <i>
      <x v="130"/>
    </i>
    <i>
      <x v="377"/>
    </i>
    <i>
      <x v="138"/>
    </i>
    <i>
      <x v="380"/>
    </i>
    <i>
      <x v="140"/>
    </i>
    <i>
      <x v="381"/>
    </i>
    <i>
      <x v="142"/>
    </i>
    <i>
      <x v="382"/>
    </i>
    <i>
      <x v="144"/>
    </i>
    <i>
      <x v="383"/>
    </i>
    <i>
      <x v="146"/>
    </i>
    <i>
      <x v="384"/>
    </i>
    <i>
      <x v="151"/>
    </i>
    <i>
      <x v="387"/>
    </i>
    <i>
      <x v="156"/>
    </i>
    <i>
      <x v="392"/>
    </i>
    <i>
      <x v="159"/>
    </i>
    <i>
      <x v="393"/>
    </i>
    <i>
      <x v="161"/>
    </i>
    <i>
      <x v="396"/>
    </i>
    <i>
      <x v="166"/>
    </i>
    <i>
      <x v="397"/>
    </i>
    <i>
      <x v="173"/>
    </i>
    <i>
      <x v="401"/>
    </i>
    <i>
      <x v="177"/>
    </i>
    <i>
      <x v="402"/>
    </i>
    <i>
      <x v="180"/>
    </i>
    <i>
      <x v="403"/>
    </i>
    <i>
      <x v="185"/>
    </i>
    <i>
      <x v="404"/>
    </i>
    <i>
      <x v="193"/>
    </i>
    <i>
      <x v="405"/>
    </i>
    <i>
      <x v="199"/>
    </i>
    <i>
      <x v="406"/>
    </i>
    <i>
      <x v="208"/>
    </i>
    <i>
      <x v="407"/>
    </i>
    <i>
      <x v="211"/>
    </i>
    <i>
      <x v="408"/>
    </i>
    <i>
      <x v="213"/>
    </i>
    <i>
      <x v="409"/>
    </i>
    <i>
      <x v="216"/>
    </i>
    <i>
      <x v="1"/>
    </i>
    <i>
      <x v="219"/>
    </i>
    <i>
      <x v="411"/>
    </i>
    <i>
      <x v="221"/>
    </i>
    <i>
      <x v="412"/>
    </i>
    <i>
      <x v="225"/>
    </i>
    <i>
      <x v="414"/>
    </i>
    <i>
      <x v="227"/>
    </i>
    <i>
      <x v="415"/>
    </i>
    <i>
      <x v="229"/>
    </i>
    <i>
      <x v="417"/>
    </i>
    <i>
      <x v="234"/>
    </i>
    <i>
      <x v="418"/>
    </i>
    <i>
      <x v="240"/>
    </i>
    <i>
      <x v="419"/>
    </i>
    <i>
      <x v="242"/>
    </i>
    <i>
      <x v="420"/>
    </i>
    <i>
      <x v="244"/>
    </i>
    <i>
      <x v="421"/>
    </i>
    <i>
      <x v="246"/>
    </i>
    <i>
      <x v="422"/>
    </i>
    <i>
      <x v="249"/>
    </i>
    <i>
      <x v="423"/>
    </i>
    <i>
      <x v="251"/>
    </i>
    <i>
      <x v="424"/>
    </i>
    <i>
      <x v="253"/>
    </i>
    <i>
      <x v="426"/>
    </i>
    <i>
      <x v="255"/>
    </i>
    <i>
      <x v="427"/>
    </i>
    <i>
      <x v="259"/>
    </i>
    <i>
      <x v="430"/>
    </i>
    <i>
      <x v="262"/>
    </i>
    <i>
      <x v="431"/>
    </i>
    <i>
      <x v="264"/>
    </i>
    <i>
      <x v="432"/>
    </i>
    <i>
      <x v="266"/>
    </i>
    <i>
      <x v="433"/>
    </i>
    <i>
      <x v="273"/>
    </i>
    <i>
      <x v="434"/>
    </i>
    <i>
      <x v="276"/>
    </i>
    <i>
      <x v="435"/>
    </i>
    <i>
      <x v="279"/>
    </i>
    <i>
      <x v="436"/>
    </i>
    <i>
      <x v="282"/>
    </i>
    <i>
      <x v="438"/>
    </i>
    <i>
      <x v="285"/>
    </i>
    <i>
      <x v="439"/>
    </i>
    <i>
      <x v="287"/>
    </i>
    <i>
      <x v="441"/>
    </i>
    <i>
      <x v="290"/>
    </i>
    <i>
      <x v="443"/>
    </i>
    <i>
      <x v="293"/>
    </i>
    <i>
      <x v="444"/>
    </i>
    <i>
      <x v="295"/>
    </i>
    <i>
      <x v="445"/>
    </i>
    <i>
      <x v="297"/>
    </i>
    <i>
      <x v="468"/>
    </i>
    <i>
      <x v="300"/>
    </i>
    <i>
      <x v="469"/>
    </i>
    <i>
      <x v="302"/>
    </i>
    <i>
      <x v="470"/>
    </i>
    <i>
      <x v="581"/>
    </i>
    <i>
      <x v="471"/>
    </i>
    <i>
      <x v="8"/>
    </i>
    <i>
      <x v="472"/>
    </i>
    <i>
      <x v="13"/>
    </i>
    <i>
      <x v="473"/>
    </i>
    <i>
      <x v="21"/>
    </i>
    <i>
      <x v="474"/>
    </i>
    <i>
      <x v="34"/>
    </i>
    <i>
      <x v="475"/>
    </i>
    <i>
      <x v="40"/>
    </i>
    <i>
      <x v="476"/>
    </i>
    <i>
      <x v="48"/>
    </i>
    <i>
      <x v="477"/>
    </i>
    <i>
      <x v="53"/>
    </i>
    <i>
      <x v="478"/>
    </i>
    <i>
      <x v="59"/>
    </i>
    <i>
      <x v="479"/>
    </i>
    <i>
      <x v="69"/>
    </i>
    <i>
      <x v="480"/>
    </i>
    <i>
      <x v="77"/>
    </i>
    <i>
      <x v="481"/>
    </i>
    <i>
      <x v="84"/>
    </i>
    <i>
      <x v="482"/>
    </i>
    <i>
      <x v="89"/>
    </i>
    <i>
      <x v="483"/>
    </i>
    <i>
      <x v="100"/>
    </i>
    <i>
      <x v="484"/>
    </i>
    <i>
      <x v="108"/>
    </i>
    <i>
      <x v="485"/>
    </i>
    <i>
      <x v="114"/>
    </i>
    <i>
      <x v="486"/>
    </i>
    <i>
      <x v="125"/>
    </i>
    <i>
      <x v="487"/>
    </i>
    <i>
      <x v="129"/>
    </i>
    <i>
      <x v="490"/>
    </i>
    <i>
      <x v="139"/>
    </i>
    <i>
      <x v="491"/>
    </i>
    <i>
      <x v="143"/>
    </i>
    <i>
      <x v="493"/>
    </i>
    <i>
      <x v="147"/>
    </i>
    <i>
      <x v="495"/>
    </i>
    <i>
      <x v="158"/>
    </i>
    <i>
      <x v="496"/>
    </i>
    <i>
      <x v="162"/>
    </i>
    <i>
      <x v="500"/>
    </i>
    <i>
      <x v="174"/>
    </i>
    <i>
      <x v="504"/>
    </i>
    <i>
      <x v="183"/>
    </i>
    <i>
      <x v="505"/>
    </i>
    <i>
      <x v="196"/>
    </i>
    <i>
      <x v="506"/>
    </i>
    <i>
      <x v="210"/>
    </i>
    <i>
      <x v="507"/>
    </i>
    <i>
      <x v="215"/>
    </i>
    <i>
      <x v="508"/>
    </i>
    <i>
      <x v="220"/>
    </i>
    <i>
      <x v="509"/>
    </i>
    <i>
      <x v="226"/>
    </i>
    <i>
      <x v="510"/>
    </i>
    <i>
      <x v="233"/>
    </i>
    <i>
      <x v="511"/>
    </i>
    <i>
      <x v="241"/>
    </i>
    <i>
      <x v="512"/>
    </i>
    <i>
      <x v="245"/>
    </i>
    <i>
      <x v="513"/>
    </i>
    <i>
      <x v="250"/>
    </i>
    <i>
      <x v="514"/>
    </i>
    <i>
      <x v="254"/>
    </i>
    <i>
      <x v="516"/>
    </i>
    <i>
      <x v="260"/>
    </i>
    <i>
      <x v="517"/>
    </i>
    <i>
      <x v="265"/>
    </i>
    <i>
      <x v="518"/>
    </i>
    <i>
      <x v="274"/>
    </i>
    <i>
      <x v="519"/>
    </i>
    <i>
      <x v="281"/>
    </i>
    <i>
      <x v="520"/>
    </i>
    <i>
      <x v="286"/>
    </i>
    <i>
      <x v="521"/>
    </i>
    <i>
      <x v="291"/>
    </i>
    <i>
      <x v="524"/>
    </i>
    <i>
      <x v="296"/>
    </i>
    <i>
      <x v="525"/>
    </i>
    <i>
      <x v="301"/>
    </i>
    <i>
      <x v="526"/>
    </i>
    <i>
      <x v="6"/>
    </i>
    <i>
      <x v="527"/>
    </i>
    <i>
      <x v="17"/>
    </i>
    <i>
      <x v="528"/>
    </i>
    <i>
      <x v="36"/>
    </i>
    <i>
      <x v="530"/>
    </i>
    <i>
      <x v="50"/>
    </i>
    <i>
      <x v="531"/>
    </i>
    <i>
      <x v="64"/>
    </i>
    <i>
      <x v="532"/>
    </i>
    <i>
      <x v="82"/>
    </i>
    <i>
      <x v="535"/>
    </i>
    <i>
      <x v="97"/>
    </i>
    <i>
      <x v="536"/>
    </i>
    <i>
      <x v="110"/>
    </i>
    <i>
      <x v="537"/>
    </i>
    <i>
      <x v="127"/>
    </i>
    <i>
      <x v="540"/>
    </i>
    <i>
      <x v="141"/>
    </i>
    <i>
      <x v="541"/>
    </i>
    <i>
      <x v="155"/>
    </i>
    <i>
      <x v="542"/>
    </i>
    <i>
      <x v="169"/>
    </i>
    <i>
      <x v="543"/>
    </i>
    <i>
      <x v="186"/>
    </i>
    <i>
      <x v="545"/>
    </i>
    <i>
      <x v="212"/>
    </i>
    <i>
      <x v="546"/>
    </i>
    <i>
      <x v="222"/>
    </i>
    <i>
      <x v="547"/>
    </i>
    <i>
      <x v="236"/>
    </i>
    <i>
      <x v="548"/>
    </i>
    <i>
      <x v="247"/>
    </i>
    <i>
      <x v="549"/>
    </i>
    <i>
      <x v="258"/>
    </i>
    <i>
      <x v="550"/>
    </i>
    <i>
      <x v="272"/>
    </i>
    <i>
      <x v="551"/>
    </i>
    <i>
      <x v="283"/>
    </i>
    <i>
      <x v="552"/>
    </i>
    <i>
      <x v="294"/>
    </i>
    <i>
      <x v="553"/>
    </i>
    <i>
      <x v="303"/>
    </i>
    <i>
      <x v="554"/>
    </i>
    <i>
      <x v="28"/>
    </i>
    <i>
      <x v="555"/>
    </i>
    <i>
      <x v="55"/>
    </i>
    <i>
      <x v="556"/>
    </i>
    <i>
      <x v="87"/>
    </i>
    <i>
      <x v="557"/>
    </i>
    <i>
      <x v="117"/>
    </i>
    <i>
      <x v="558"/>
    </i>
    <i>
      <x v="145"/>
    </i>
    <i>
      <x v="562"/>
    </i>
    <i>
      <x v="179"/>
    </i>
    <i>
      <x v="563"/>
    </i>
    <i>
      <x v="218"/>
    </i>
    <i>
      <x v="565"/>
    </i>
    <i>
      <x v="243"/>
    </i>
    <i>
      <x v="566"/>
    </i>
    <i>
      <x v="263"/>
    </i>
    <i>
      <x v="567"/>
    </i>
    <i>
      <x v="288"/>
    </i>
    <i>
      <x v="569"/>
    </i>
    <i>
      <x v="11"/>
    </i>
    <i>
      <x v="570"/>
    </i>
    <i>
      <x v="71"/>
    </i>
    <i>
      <x v="571"/>
    </i>
    <i>
      <x v="131"/>
    </i>
    <i>
      <x v="572"/>
    </i>
    <i>
      <x v="205"/>
    </i>
    <i>
      <x v="573"/>
    </i>
    <i>
      <x v="252"/>
    </i>
    <i>
      <x v="574"/>
    </i>
    <i>
      <x v="298"/>
    </i>
    <i>
      <x v="575"/>
    </i>
    <i>
      <x v="105"/>
    </i>
    <i>
      <x v="576"/>
    </i>
    <i>
      <x v="228"/>
    </i>
    <i>
      <x v="577"/>
    </i>
    <i>
      <x v="45"/>
    </i>
    <i>
      <x v="578"/>
    </i>
    <i>
      <x v="277"/>
    </i>
    <i>
      <x v="579"/>
    </i>
    <i>
      <x v="160"/>
    </i>
    <i>
      <x v="580"/>
    </i>
    <i>
      <x v="299"/>
    </i>
    <i>
      <x v="257"/>
    </i>
    <i>
      <x v="582"/>
    </i>
    <i>
      <x v="583"/>
    </i>
    <i>
      <x v="148"/>
    </i>
    <i>
      <x v="374"/>
    </i>
    <i>
      <x v="235"/>
    </i>
    <i>
      <x v="522"/>
    </i>
    <i>
      <x v="238"/>
    </i>
    <i>
      <x v="175"/>
    </i>
    <i>
      <x v="239"/>
    </i>
    <i>
      <x v="261"/>
    </i>
    <i>
      <x v="336"/>
    </i>
    <i>
      <x v="379"/>
    </i>
    <i>
      <x v="31"/>
    </i>
    <i>
      <x v="529"/>
    </i>
    <i>
      <x v="489"/>
    </i>
    <i>
      <x v="38"/>
    </i>
    <i>
      <x v="10"/>
    </i>
    <i>
      <x v="181"/>
    </i>
    <i>
      <x v="20"/>
    </i>
    <i>
      <x v="533"/>
    </i>
    <i>
      <x v="499"/>
    </i>
    <i>
      <x v="534"/>
    </i>
    <i>
      <x v="502"/>
    </i>
    <i>
      <x v="391"/>
    </i>
    <i>
      <x v="78"/>
    </i>
    <i>
      <x v="538"/>
    </i>
    <i>
      <x v="224"/>
    </i>
    <i>
      <x v="270"/>
    </i>
    <i>
      <x v="256"/>
    </i>
    <i>
      <x v="544"/>
    </i>
    <i>
      <x v="149"/>
    </i>
    <i>
      <x v="275"/>
    </i>
    <i>
      <x v="329"/>
    </i>
    <i>
      <x v="189"/>
    </i>
    <i>
      <x v="337"/>
    </i>
    <i>
      <x v="278"/>
    </i>
    <i>
      <x v="33"/>
    </i>
    <i>
      <x v="195"/>
    </i>
    <i>
      <x v="497"/>
    </i>
    <i>
      <x v="197"/>
    </i>
    <i>
      <x v="359"/>
    </i>
    <i>
      <x v="289"/>
    </i>
    <i>
      <x v="515"/>
    </i>
    <i>
      <x v="416"/>
    </i>
    <i>
      <x v="237"/>
    </i>
    <i>
      <x v="564"/>
    </i>
    <i>
      <x v="488"/>
    </i>
    <i>
      <x v="292"/>
    </i>
    <i>
      <x v="248"/>
    </i>
    <i>
      <x v="568"/>
    </i>
    <i>
      <x v="101"/>
    </i>
    <i>
      <x v="214"/>
    </i>
    <i>
      <x v="75"/>
    </i>
    <i>
      <x v="425"/>
    </i>
    <i>
      <x v="335"/>
    </i>
    <i>
      <x v="16"/>
    </i>
    <i>
      <x v="364"/>
    </i>
    <i>
      <x v="65"/>
    </i>
    <i>
      <x v="371"/>
    </i>
    <i>
      <x v="503"/>
    </i>
    <i>
      <x v="15"/>
    </i>
    <i>
      <x v="559"/>
    </i>
    <i>
      <x v="360"/>
    </i>
    <i>
      <x v="560"/>
    </i>
    <i>
      <x v="24"/>
    </i>
    <i>
      <x v="561"/>
    </i>
    <i>
      <x v="43"/>
    </i>
    <i>
      <x v="492"/>
    </i>
    <i>
      <x v="184"/>
    </i>
    <i>
      <x v="209"/>
    </i>
    <i>
      <x v="164"/>
    </i>
    <i>
      <x v="4"/>
    </i>
    <i>
      <x v="321"/>
    </i>
    <i>
      <x v="217"/>
    </i>
    <i>
      <x v="119"/>
    </i>
    <i>
      <x v="451"/>
    </i>
    <i>
      <x v="194"/>
    </i>
    <i>
      <x v="454"/>
    </i>
    <i>
      <x v="323"/>
    </i>
    <i>
      <x v="464"/>
    </i>
    <i>
      <x v="463"/>
    </i>
    <i>
      <x v="465"/>
    </i>
    <i>
      <x v="459"/>
    </i>
    <i>
      <x v="107"/>
    </i>
    <i>
      <x v="94"/>
    </i>
    <i>
      <x v="467"/>
    </i>
    <i>
      <x v="95"/>
    </i>
    <i>
      <x v="462"/>
    </i>
    <i>
      <x v="96"/>
    </i>
    <i>
      <x v="449"/>
    </i>
    <i>
      <x v="501"/>
    </i>
    <i>
      <x v="461"/>
    </i>
    <i>
      <x v="86"/>
    </i>
    <i>
      <x v="268"/>
    </i>
    <i>
      <x v="269"/>
    </i>
    <i>
      <x v="93"/>
    </i>
    <i>
      <x v="523"/>
    </i>
    <i>
      <x v="539"/>
    </i>
    <i>
      <x v="172"/>
    </i>
    <i>
      <x v="61"/>
    </i>
    <i>
      <x v="62"/>
    </i>
    <i>
      <x v="316"/>
    </i>
    <i>
      <x v="56"/>
    </i>
    <i>
      <x v="60"/>
    </i>
    <i>
      <x v="136"/>
    </i>
    <i>
      <x v="494"/>
    </i>
    <i>
      <x v="334"/>
    </i>
    <i>
      <x v="2"/>
    </i>
    <i>
      <x v="182"/>
    </i>
    <i>
      <x v="176"/>
    </i>
    <i>
      <x v="466"/>
    </i>
    <i>
      <x v="460"/>
    </i>
    <i>
      <x v="372"/>
    </i>
    <i>
      <x v="137"/>
    </i>
    <i>
      <x v="165"/>
    </i>
    <i>
      <x v="46"/>
    </i>
    <i>
      <x v="134"/>
    </i>
    <i>
      <x v="150"/>
    </i>
    <i>
      <x v="310"/>
    </i>
    <i>
      <x v="157"/>
    </i>
    <i>
      <x v="120"/>
    </i>
    <i>
      <x v="327"/>
    </i>
    <i>
      <x v="352"/>
    </i>
    <i>
      <x v="121"/>
    </i>
    <i>
      <x v="92"/>
    </i>
    <i>
      <x v="326"/>
    </i>
    <i>
      <x v="167"/>
    </i>
    <i>
      <x v="135"/>
    </i>
    <i>
      <x/>
    </i>
    <i>
      <x v="23"/>
    </i>
    <i>
      <x v="452"/>
    </i>
    <i>
      <x v="450"/>
    </i>
    <i>
      <x v="447"/>
    </i>
    <i>
      <x v="453"/>
    </i>
    <i>
      <x v="448"/>
    </i>
    <i>
      <x v="455"/>
    </i>
    <i>
      <x v="102"/>
    </i>
    <i>
      <x v="152"/>
    </i>
    <i>
      <x v="163"/>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9A71D9F-D719-47ED-BCDE-232075C44DFD}" name="SubSubjects"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ubject Facets">
  <location ref="O4:P350" firstHeaderRow="1" firstDataRow="1" firstDataCol="1"/>
  <pivotFields count="1">
    <pivotField axis="axisRow" dataField="1" showAll="0" sortType="ascending">
      <items count="419">
        <item x="240"/>
        <item x="20"/>
        <item m="1" x="355"/>
        <item x="256"/>
        <item x="150"/>
        <item x="208"/>
        <item x="343"/>
        <item m="1" x="346"/>
        <item m="1" x="394"/>
        <item x="213"/>
        <item x="274"/>
        <item x="316"/>
        <item x="180"/>
        <item x="293"/>
        <item x="344"/>
        <item x="230"/>
        <item x="152"/>
        <item x="19"/>
        <item x="345"/>
        <item x="250"/>
        <item x="197"/>
        <item x="72"/>
        <item x="282"/>
        <item x="326"/>
        <item x="169"/>
        <item x="69"/>
        <item x="341"/>
        <item x="215"/>
        <item m="1" x="354"/>
        <item x="123"/>
        <item x="166"/>
        <item x="56"/>
        <item x="124"/>
        <item x="48"/>
        <item m="1" x="388"/>
        <item x="137"/>
        <item m="1" x="414"/>
        <item m="1" x="363"/>
        <item x="198"/>
        <item x="294"/>
        <item x="162"/>
        <item x="42"/>
        <item x="116"/>
        <item x="68"/>
        <item x="312"/>
        <item x="46"/>
        <item x="78"/>
        <item m="1" x="396"/>
        <item x="272"/>
        <item x="193"/>
        <item x="247"/>
        <item x="126"/>
        <item x="192"/>
        <item m="1" x="386"/>
        <item m="1" x="381"/>
        <item m="1" x="415"/>
        <item x="172"/>
        <item x="61"/>
        <item x="73"/>
        <item m="1" x="417"/>
        <item m="1" x="401"/>
        <item x="249"/>
        <item m="1" x="361"/>
        <item x="176"/>
        <item x="49"/>
        <item x="38"/>
        <item x="245"/>
        <item x="79"/>
        <item x="195"/>
        <item m="1" x="400"/>
        <item x="318"/>
        <item x="164"/>
        <item x="310"/>
        <item x="243"/>
        <item x="311"/>
        <item x="50"/>
        <item x="120"/>
        <item x="63"/>
        <item m="1" x="362"/>
        <item x="91"/>
        <item x="145"/>
        <item x="115"/>
        <item x="328"/>
        <item m="1" x="393"/>
        <item x="136"/>
        <item x="221"/>
        <item x="181"/>
        <item x="98"/>
        <item x="184"/>
        <item m="1" x="395"/>
        <item x="134"/>
        <item x="133"/>
        <item x="339"/>
        <item m="1" x="360"/>
        <item m="1" x="377"/>
        <item x="342"/>
        <item m="1" x="357"/>
        <item x="138"/>
        <item x="119"/>
        <item x="315"/>
        <item x="262"/>
        <item m="1" x="410"/>
        <item m="1" x="352"/>
        <item x="255"/>
        <item x="268"/>
        <item x="308"/>
        <item x="324"/>
        <item x="14"/>
        <item x="89"/>
        <item x="117"/>
        <item m="1" x="397"/>
        <item x="177"/>
        <item x="51"/>
        <item x="4"/>
        <item x="129"/>
        <item m="1" x="408"/>
        <item x="300"/>
        <item m="1" x="369"/>
        <item x="261"/>
        <item x="224"/>
        <item m="1" x="365"/>
        <item x="202"/>
        <item x="185"/>
        <item x="97"/>
        <item x="275"/>
        <item x="238"/>
        <item x="148"/>
        <item x="201"/>
        <item x="334"/>
        <item x="102"/>
        <item x="325"/>
        <item x="289"/>
        <item x="321"/>
        <item x="0"/>
        <item x="333"/>
        <item m="1" x="416"/>
        <item x="288"/>
        <item x="178"/>
        <item x="291"/>
        <item x="132"/>
        <item m="1" x="353"/>
        <item x="323"/>
        <item x="160"/>
        <item x="95"/>
        <item x="228"/>
        <item x="200"/>
        <item x="290"/>
        <item m="1" x="391"/>
        <item x="287"/>
        <item x="165"/>
        <item x="332"/>
        <item x="100"/>
        <item x="21"/>
        <item x="13"/>
        <item x="32"/>
        <item x="206"/>
        <item x="39"/>
        <item m="1" x="389"/>
        <item x="104"/>
        <item x="295"/>
        <item x="2"/>
        <item x="313"/>
        <item m="1" x="348"/>
        <item x="331"/>
        <item x="204"/>
        <item m="1" x="351"/>
        <item x="127"/>
        <item x="222"/>
        <item x="81"/>
        <item x="67"/>
        <item x="76"/>
        <item x="75"/>
        <item x="226"/>
        <item x="251"/>
        <item x="43"/>
        <item m="1" x="359"/>
        <item x="196"/>
        <item x="225"/>
        <item x="278"/>
        <item x="53"/>
        <item x="57"/>
        <item m="1" x="370"/>
        <item x="135"/>
        <item x="71"/>
        <item x="94"/>
        <item x="111"/>
        <item x="336"/>
        <item x="340"/>
        <item x="298"/>
        <item m="1" x="398"/>
        <item m="1" x="371"/>
        <item m="1" x="383"/>
        <item x="239"/>
        <item x="337"/>
        <item x="92"/>
        <item x="40"/>
        <item x="167"/>
        <item x="170"/>
        <item x="35"/>
        <item x="182"/>
        <item x="279"/>
        <item x="211"/>
        <item x="286"/>
        <item x="128"/>
        <item x="62"/>
        <item x="194"/>
        <item m="1" x="387"/>
        <item x="322"/>
        <item x="305"/>
        <item x="319"/>
        <item x="304"/>
        <item x="327"/>
        <item x="149"/>
        <item x="263"/>
        <item x="7"/>
        <item x="88"/>
        <item x="6"/>
        <item x="179"/>
        <item x="284"/>
        <item x="330"/>
        <item x="303"/>
        <item x="101"/>
        <item x="237"/>
        <item x="59"/>
        <item m="1" x="405"/>
        <item x="47"/>
        <item x="248"/>
        <item x="171"/>
        <item x="125"/>
        <item x="60"/>
        <item x="80"/>
        <item x="227"/>
        <item m="1" x="392"/>
        <item x="199"/>
        <item x="131"/>
        <item x="296"/>
        <item m="1" x="376"/>
        <item x="122"/>
        <item x="33"/>
        <item x="17"/>
        <item x="65"/>
        <item m="1" x="349"/>
        <item x="90"/>
        <item x="307"/>
        <item x="163"/>
        <item x="118"/>
        <item x="74"/>
        <item x="297"/>
        <item x="5"/>
        <item x="234"/>
        <item x="231"/>
        <item m="1" x="385"/>
        <item x="37"/>
        <item x="12"/>
        <item m="1" x="364"/>
        <item m="1" x="347"/>
        <item x="207"/>
        <item x="54"/>
        <item m="1" x="374"/>
        <item x="70"/>
        <item x="314"/>
        <item x="15"/>
        <item x="232"/>
        <item x="292"/>
        <item x="267"/>
        <item x="254"/>
        <item x="306"/>
        <item x="44"/>
        <item x="260"/>
        <item x="285"/>
        <item m="1" x="407"/>
        <item m="1" x="366"/>
        <item x="41"/>
        <item m="1" x="350"/>
        <item x="146"/>
        <item x="9"/>
        <item x="317"/>
        <item x="58"/>
        <item m="1" x="372"/>
        <item m="1" x="358"/>
        <item m="1" x="379"/>
        <item x="64"/>
        <item x="168"/>
        <item x="130"/>
        <item x="77"/>
        <item x="45"/>
        <item x="320"/>
        <item x="93"/>
        <item x="246"/>
        <item x="309"/>
        <item x="276"/>
        <item x="241"/>
        <item m="1" x="402"/>
        <item m="1" x="368"/>
        <item m="1" x="356"/>
        <item m="1" x="403"/>
        <item x="233"/>
        <item x="18"/>
        <item x="183"/>
        <item x="151"/>
        <item x="99"/>
        <item m="1" x="404"/>
        <item m="1" x="367"/>
        <item x="283"/>
        <item x="191"/>
        <item x="161"/>
        <item x="338"/>
        <item x="121"/>
        <item x="329"/>
        <item x="301"/>
        <item x="302"/>
        <item x="203"/>
        <item x="66"/>
        <item x="259"/>
        <item x="273"/>
        <item x="223"/>
        <item m="1" x="411"/>
        <item x="156"/>
        <item x="214"/>
        <item m="1" x="380"/>
        <item x="209"/>
        <item x="147"/>
        <item x="210"/>
        <item m="1" x="399"/>
        <item x="96"/>
        <item m="1" x="375"/>
        <item m="1" x="378"/>
        <item x="23"/>
        <item x="8"/>
        <item m="1" x="390"/>
        <item x="16"/>
        <item m="1" x="382"/>
        <item m="1" x="373"/>
        <item m="1" x="406"/>
        <item x="55"/>
        <item x="52"/>
        <item x="335"/>
        <item x="269"/>
        <item x="212"/>
        <item x="299"/>
        <item x="22"/>
        <item x="11"/>
        <item x="10"/>
        <item m="1" x="384"/>
        <item x="84"/>
        <item x="242"/>
        <item x="236"/>
        <item x="253"/>
        <item m="1" x="413"/>
        <item m="1" x="409"/>
        <item x="24"/>
        <item x="103"/>
        <item x="153"/>
        <item x="186"/>
        <item x="257"/>
        <item x="270"/>
        <item x="280"/>
        <item x="25"/>
        <item x="28"/>
        <item x="26"/>
        <item x="27"/>
        <item x="107"/>
        <item x="105"/>
        <item x="106"/>
        <item x="154"/>
        <item x="155"/>
        <item x="187"/>
        <item x="188"/>
        <item x="216"/>
        <item x="235"/>
        <item x="244"/>
        <item x="258"/>
        <item x="271"/>
        <item x="281"/>
        <item x="189"/>
        <item x="205"/>
        <item x="30"/>
        <item m="1" x="412"/>
        <item x="31"/>
        <item x="109"/>
        <item x="110"/>
        <item x="217"/>
        <item x="29"/>
        <item x="34"/>
        <item x="36"/>
        <item x="82"/>
        <item x="83"/>
        <item x="108"/>
        <item x="112"/>
        <item x="113"/>
        <item x="114"/>
        <item x="139"/>
        <item x="140"/>
        <item x="157"/>
        <item x="158"/>
        <item x="86"/>
        <item x="159"/>
        <item x="173"/>
        <item x="190"/>
        <item x="218"/>
        <item x="219"/>
        <item x="220"/>
        <item x="252"/>
        <item x="264"/>
        <item x="277"/>
        <item x="142"/>
        <item x="174"/>
        <item x="1"/>
        <item x="3"/>
        <item x="85"/>
        <item x="87"/>
        <item x="141"/>
        <item x="143"/>
        <item x="144"/>
        <item x="175"/>
        <item x="229"/>
        <item x="265"/>
        <item x="266"/>
        <item t="default"/>
      </items>
      <autoSortScope>
        <pivotArea dataOnly="0" outline="0" fieldPosition="0">
          <references count="1">
            <reference field="4294967294" count="1" selected="0">
              <x v="0"/>
            </reference>
          </references>
        </pivotArea>
      </autoSortScope>
    </pivotField>
  </pivotFields>
  <rowFields count="1">
    <field x="0"/>
  </rowFields>
  <rowItems count="346">
    <i>
      <x v="211"/>
    </i>
    <i>
      <x v="212"/>
    </i>
    <i>
      <x v="1"/>
    </i>
    <i>
      <x v="220"/>
    </i>
    <i>
      <x v="417"/>
    </i>
    <i>
      <x v="222"/>
    </i>
    <i>
      <x v="11"/>
    </i>
    <i>
      <x v="223"/>
    </i>
    <i>
      <x v="13"/>
    </i>
    <i>
      <x v="226"/>
    </i>
    <i>
      <x v="18"/>
    </i>
    <i>
      <x v="228"/>
    </i>
    <i>
      <x v="27"/>
    </i>
    <i>
      <x v="229"/>
    </i>
    <i>
      <x v="39"/>
    </i>
    <i>
      <x v="231"/>
    </i>
    <i>
      <x v="41"/>
    </i>
    <i>
      <x v="233"/>
    </i>
    <i>
      <x v="48"/>
    </i>
    <i>
      <x v="234"/>
    </i>
    <i>
      <x v="50"/>
    </i>
    <i>
      <x v="235"/>
    </i>
    <i>
      <x v="52"/>
    </i>
    <i>
      <x v="243"/>
    </i>
    <i>
      <x v="61"/>
    </i>
    <i>
      <x v="249"/>
    </i>
    <i>
      <x v="66"/>
    </i>
    <i>
      <x v="250"/>
    </i>
    <i>
      <x v="70"/>
    </i>
    <i>
      <x v="262"/>
    </i>
    <i>
      <x v="77"/>
    </i>
    <i>
      <x v="264"/>
    </i>
    <i>
      <x v="85"/>
    </i>
    <i>
      <x v="265"/>
    </i>
    <i>
      <x v="92"/>
    </i>
    <i>
      <x v="268"/>
    </i>
    <i>
      <x v="103"/>
    </i>
    <i>
      <x v="272"/>
    </i>
    <i>
      <x v="106"/>
    </i>
    <i>
      <x v="281"/>
    </i>
    <i>
      <x v="114"/>
    </i>
    <i>
      <x v="282"/>
    </i>
    <i>
      <x v="118"/>
    </i>
    <i>
      <x v="283"/>
    </i>
    <i>
      <x v="121"/>
    </i>
    <i>
      <x v="284"/>
    </i>
    <i>
      <x v="123"/>
    </i>
    <i>
      <x v="290"/>
    </i>
    <i>
      <x v="125"/>
    </i>
    <i>
      <x v="298"/>
    </i>
    <i>
      <x v="132"/>
    </i>
    <i>
      <x v="299"/>
    </i>
    <i>
      <x v="137"/>
    </i>
    <i>
      <x v="304"/>
    </i>
    <i>
      <x v="144"/>
    </i>
    <i>
      <x v="308"/>
    </i>
    <i>
      <x v="164"/>
    </i>
    <i>
      <x v="309"/>
    </i>
    <i>
      <x v="168"/>
    </i>
    <i>
      <x v="310"/>
    </i>
    <i>
      <x v="170"/>
    </i>
    <i>
      <x v="311"/>
    </i>
    <i>
      <x v="176"/>
    </i>
    <i>
      <x v="313"/>
    </i>
    <i>
      <x v="179"/>
    </i>
    <i>
      <x v="314"/>
    </i>
    <i>
      <x v="183"/>
    </i>
    <i>
      <x v="315"/>
    </i>
    <i>
      <x v="188"/>
    </i>
    <i>
      <x v="318"/>
    </i>
    <i>
      <x v="193"/>
    </i>
    <i>
      <x v="320"/>
    </i>
    <i>
      <x v="196"/>
    </i>
    <i>
      <x v="322"/>
    </i>
    <i>
      <x v="202"/>
    </i>
    <i>
      <x v="324"/>
    </i>
    <i>
      <x v="209"/>
    </i>
    <i>
      <x v="336"/>
    </i>
    <i>
      <x v="219"/>
    </i>
    <i>
      <x v="337"/>
    </i>
    <i>
      <x v="12"/>
    </i>
    <i>
      <x v="338"/>
    </i>
    <i>
      <x v="22"/>
    </i>
    <i>
      <x v="339"/>
    </i>
    <i>
      <x v="40"/>
    </i>
    <i>
      <x v="340"/>
    </i>
    <i>
      <x v="49"/>
    </i>
    <i>
      <x v="341"/>
    </i>
    <i>
      <x v="57"/>
    </i>
    <i>
      <x v="342"/>
    </i>
    <i>
      <x v="68"/>
    </i>
    <i>
      <x v="357"/>
    </i>
    <i>
      <x v="82"/>
    </i>
    <i>
      <x v="358"/>
    </i>
    <i>
      <x v="99"/>
    </i>
    <i>
      <x v="360"/>
    </i>
    <i>
      <x v="109"/>
    </i>
    <i>
      <x v="361"/>
    </i>
    <i>
      <x v="119"/>
    </i>
    <i>
      <x v="365"/>
    </i>
    <i>
      <x v="124"/>
    </i>
    <i>
      <x v="366"/>
    </i>
    <i>
      <x v="136"/>
    </i>
    <i>
      <x v="367"/>
    </i>
    <i>
      <x v="159"/>
    </i>
    <i>
      <x v="368"/>
    </i>
    <i>
      <x v="169"/>
    </i>
    <i>
      <x v="369"/>
    </i>
    <i>
      <x v="177"/>
    </i>
    <i>
      <x v="370"/>
    </i>
    <i>
      <x v="187"/>
    </i>
    <i>
      <x v="373"/>
    </i>
    <i>
      <x v="194"/>
    </i>
    <i>
      <x v="376"/>
    </i>
    <i>
      <x v="207"/>
    </i>
    <i>
      <x v="379"/>
    </i>
    <i>
      <x v="10"/>
    </i>
    <i>
      <x v="382"/>
    </i>
    <i>
      <x v="35"/>
    </i>
    <i>
      <x v="384"/>
    </i>
    <i>
      <x v="51"/>
    </i>
    <i>
      <x v="387"/>
    </i>
    <i>
      <x v="74"/>
    </i>
    <i>
      <x v="388"/>
    </i>
    <i>
      <x v="104"/>
    </i>
    <i>
      <x v="390"/>
    </i>
    <i>
      <x v="122"/>
    </i>
    <i>
      <x v="396"/>
    </i>
    <i>
      <x v="139"/>
    </i>
    <i>
      <x v="397"/>
    </i>
    <i>
      <x v="172"/>
    </i>
    <i>
      <x v="399"/>
    </i>
    <i>
      <x v="192"/>
    </i>
    <i>
      <x v="401"/>
    </i>
    <i>
      <x v="4"/>
    </i>
    <i>
      <x v="402"/>
    </i>
    <i>
      <x v="44"/>
    </i>
    <i>
      <x v="403"/>
    </i>
    <i>
      <x v="91"/>
    </i>
    <i>
      <x v="404"/>
    </i>
    <i>
      <x v="129"/>
    </i>
    <i>
      <x v="409"/>
    </i>
    <i>
      <x v="180"/>
    </i>
    <i>
      <x v="411"/>
    </i>
    <i>
      <x v="14"/>
    </i>
    <i>
      <x v="412"/>
    </i>
    <i>
      <x v="116"/>
    </i>
    <i>
      <x v="413"/>
    </i>
    <i>
      <x v="200"/>
    </i>
    <i>
      <x v="414"/>
    </i>
    <i>
      <x v="167"/>
    </i>
    <i>
      <x v="415"/>
    </i>
    <i>
      <x v="63"/>
    </i>
    <i>
      <x v="416"/>
    </i>
    <i>
      <x v="213"/>
    </i>
    <i>
      <x v="6"/>
    </i>
    <i>
      <x v="312"/>
    </i>
    <i>
      <x v="64"/>
    </i>
    <i>
      <x v="195"/>
    </i>
    <i>
      <x v="138"/>
    </i>
    <i>
      <x v="197"/>
    </i>
    <i>
      <x v="317"/>
    </i>
    <i>
      <x v="90"/>
    </i>
    <i>
      <x v="29"/>
    </i>
    <i>
      <x v="16"/>
    </i>
    <i>
      <x v="141"/>
    </i>
    <i>
      <x v="205"/>
    </i>
    <i>
      <x v="321"/>
    </i>
    <i>
      <x v="208"/>
    </i>
    <i>
      <x v="143"/>
    </i>
    <i>
      <x v="210"/>
    </i>
    <i>
      <x v="327"/>
    </i>
    <i>
      <x v="216"/>
    </i>
    <i>
      <x v="330"/>
    </i>
    <i>
      <x v="218"/>
    </i>
    <i>
      <x v="334"/>
    </i>
    <i>
      <x v="221"/>
    </i>
    <i>
      <x v="335"/>
    </i>
    <i>
      <x v="227"/>
    </i>
    <i>
      <x v="67"/>
    </i>
    <i>
      <x v="107"/>
    </i>
    <i>
      <x v="145"/>
    </i>
    <i>
      <x v="237"/>
    </i>
    <i>
      <x v="148"/>
    </i>
    <i>
      <x v="242"/>
    </i>
    <i>
      <x v="151"/>
    </i>
    <i>
      <x v="246"/>
    </i>
    <i>
      <x v="152"/>
    </i>
    <i>
      <x v="113"/>
    </i>
    <i>
      <x v="359"/>
    </i>
    <i>
      <x v="259"/>
    </i>
    <i>
      <x v="362"/>
    </i>
    <i>
      <x v="276"/>
    </i>
    <i>
      <x v="363"/>
    </i>
    <i>
      <x v="58"/>
    </i>
    <i>
      <x v="364"/>
    </i>
    <i>
      <x v="287"/>
    </i>
    <i>
      <x v="158"/>
    </i>
    <i>
      <x v="296"/>
    </i>
    <i>
      <x v="160"/>
    </i>
    <i>
      <x v="87"/>
    </i>
    <i>
      <x v="371"/>
    </i>
    <i>
      <x v="88"/>
    </i>
    <i>
      <x v="372"/>
    </i>
    <i>
      <x v="201"/>
    </i>
    <i>
      <x v="31"/>
    </i>
    <i>
      <x v="17"/>
    </i>
    <i>
      <x v="378"/>
    </i>
    <i>
      <x v="214"/>
    </i>
    <i>
      <x v="380"/>
    </i>
    <i>
      <x v="9"/>
    </i>
    <i>
      <x v="383"/>
    </i>
    <i>
      <x v="230"/>
    </i>
    <i>
      <x v="386"/>
    </i>
    <i>
      <x v="238"/>
    </i>
    <i>
      <x v="32"/>
    </i>
    <i>
      <x v="248"/>
    </i>
    <i>
      <x v="171"/>
    </i>
    <i>
      <x v="269"/>
    </i>
    <i>
      <x v="392"/>
    </i>
    <i>
      <x v="285"/>
    </i>
    <i>
      <x v="393"/>
    </i>
    <i>
      <x v="84"/>
    </i>
    <i>
      <x v="173"/>
    </i>
    <i>
      <x v="199"/>
    </i>
    <i>
      <x v="398"/>
    </i>
    <i>
      <x v="95"/>
    </i>
    <i>
      <x v="400"/>
    </i>
    <i>
      <x v="43"/>
    </i>
    <i>
      <x v="33"/>
    </i>
    <i>
      <x v="244"/>
    </i>
    <i>
      <x v="178"/>
    </i>
    <i>
      <x v="56"/>
    </i>
    <i>
      <x v="79"/>
    </i>
    <i>
      <x v="186"/>
    </i>
    <i>
      <x v="80"/>
    </i>
    <i>
      <x v="217"/>
    </i>
    <i>
      <x v="407"/>
    </i>
    <i>
      <x v="257"/>
    </i>
    <i>
      <x v="182"/>
    </i>
    <i>
      <x v="203"/>
    </i>
    <i>
      <x v="410"/>
    </i>
    <i>
      <x v="291"/>
    </i>
    <i>
      <x v="184"/>
    </i>
    <i>
      <x v="108"/>
    </i>
    <i>
      <x v="185"/>
    </i>
    <i>
      <x v="306"/>
    </i>
    <i>
      <x v="204"/>
    </i>
    <i>
      <x v="5"/>
    </i>
    <i>
      <x v="277"/>
    </i>
    <i>
      <x v="391"/>
    </i>
    <i>
      <x v="166"/>
    </i>
    <i>
      <x v="26"/>
    </i>
    <i>
      <x v="405"/>
    </i>
    <i>
      <x v="174"/>
    </i>
    <i>
      <x v="406"/>
    </i>
    <i>
      <x v="161"/>
    </i>
    <i>
      <x v="19"/>
    </i>
    <i>
      <x v="23"/>
    </i>
    <i>
      <x v="261"/>
    </i>
    <i>
      <x v="303"/>
    </i>
    <i>
      <x v="381"/>
    </i>
    <i>
      <x v="305"/>
    </i>
    <i>
      <x v="20"/>
    </i>
    <i>
      <x v="130"/>
    </i>
    <i>
      <x v="385"/>
    </i>
    <i>
      <x v="253"/>
    </i>
    <i>
      <x v="286"/>
    </i>
    <i>
      <x v="86"/>
    </i>
    <i>
      <x v="46"/>
    </i>
    <i>
      <x v="297"/>
    </i>
    <i>
      <x v="275"/>
    </i>
    <i>
      <x v="128"/>
    </i>
    <i>
      <x v="350"/>
    </i>
    <i>
      <x v="240"/>
    </i>
    <i>
      <x v="356"/>
    </i>
    <i>
      <x v="300"/>
    </i>
    <i>
      <x v="126"/>
    </i>
    <i>
      <x v="198"/>
    </i>
    <i>
      <x v="247"/>
    </i>
    <i>
      <x v="389"/>
    </i>
    <i>
      <x v="97"/>
    </i>
    <i>
      <x v="131"/>
    </i>
    <i>
      <x v="346"/>
    </i>
    <i>
      <x v="394"/>
    </i>
    <i>
      <x v="155"/>
    </i>
    <i>
      <x v="76"/>
    </i>
    <i>
      <x v="30"/>
    </i>
    <i>
      <x v="263"/>
    </i>
    <i>
      <x v="354"/>
    </i>
    <i>
      <x v="266"/>
    </i>
    <i>
      <x v="374"/>
    </i>
    <i>
      <x v="328"/>
    </i>
    <i>
      <x v="245"/>
    </i>
    <i>
      <x v="239"/>
    </i>
    <i>
      <x v="38"/>
    </i>
    <i>
      <x v="146"/>
    </i>
    <i>
      <x v="408"/>
    </i>
    <i>
      <x v="105"/>
    </i>
    <i>
      <x v="289"/>
    </i>
    <i>
      <x v="100"/>
    </i>
    <i>
      <x v="134"/>
    </i>
    <i>
      <x v="73"/>
    </i>
    <i>
      <x v="395"/>
    </i>
    <i>
      <x v="156"/>
    </i>
    <i>
      <x v="72"/>
    </i>
    <i>
      <x v="215"/>
    </i>
    <i>
      <x v="15"/>
    </i>
    <i>
      <x v="260"/>
    </i>
    <i>
      <x v="3"/>
    </i>
    <i>
      <x v="256"/>
    </i>
    <i>
      <x v="274"/>
    </i>
    <i>
      <x v="307"/>
    </i>
    <i>
      <x v="351"/>
    </i>
    <i>
      <x v="353"/>
    </i>
    <i>
      <x v="75"/>
    </i>
    <i>
      <x v="355"/>
    </i>
    <i>
      <x v="352"/>
    </i>
    <i>
      <x v="163"/>
    </i>
    <i>
      <x v="153"/>
    </i>
    <i>
      <x v="21"/>
    </i>
    <i>
      <x v="127"/>
    </i>
    <i>
      <x v="65"/>
    </i>
    <i>
      <x v="142"/>
    </i>
    <i>
      <x v="71"/>
    </i>
    <i>
      <x v="225"/>
    </i>
    <i>
      <x v="252"/>
    </i>
    <i>
      <x v="154"/>
    </i>
    <i>
      <x v="288"/>
    </i>
    <i>
      <x v="111"/>
    </i>
    <i>
      <x v="375"/>
    </i>
    <i>
      <x v="24"/>
    </i>
    <i>
      <x v="150"/>
    </i>
    <i>
      <x v="42"/>
    </i>
    <i>
      <x v="25"/>
    </i>
    <i>
      <x v="267"/>
    </i>
    <i>
      <x/>
    </i>
    <i>
      <x v="345"/>
    </i>
    <i>
      <x v="347"/>
    </i>
    <i>
      <x v="98"/>
    </i>
    <i>
      <x v="45"/>
    </i>
    <i>
      <x v="112"/>
    </i>
    <i>
      <x v="81"/>
    </i>
    <i>
      <x v="133"/>
    </i>
    <i>
      <x v="344"/>
    </i>
    <i>
      <x v="149"/>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en-US</v>
    <v>av554c</v>
    <v>268435456</v>
    <v>1</v>
    <v>Powered by Refinitiv</v>
    <v>0</v>
    <v>CNY/USD</v>
    <v>2</v>
    <v>3</v>
    <v>Finance</v>
    <v>4</v>
    <v>0.1467</v>
    <v>0.13600000000000001</v>
    <v>-3.6999999999999998E-5</v>
    <v>-2.6630000000000002E-4</v>
    <v>USD</v>
    <v>CNY</v>
    <v>0.13900000000000001</v>
    <v>Currency Pair</v>
    <v>45369.754861111112</v>
    <v>0.1389</v>
    <v>Chinese Renminbi/US Dollar FX Cross Rate</v>
    <v>0.1389</v>
    <v>0.13900000000000001</v>
    <v>0.1389</v>
    <v>CNYUSD</v>
    <v>CNY/USD</v>
  </rv>
  <rv s="1">
    <v>0</v>
  </rv>
  <rv s="0">
    <v>en-US</v>
    <v>ave8h7</v>
    <v>268435456</v>
    <v>1</v>
    <v>Powered by Refinitiv</v>
    <v>0</v>
    <v>JPY/USD</v>
    <v>2</v>
    <v>3</v>
    <v>Finance</v>
    <v>4</v>
    <v>7.7120000000000001E-3</v>
    <v>6.5799999999999999E-3</v>
    <v>-3.9999999999999998E-6</v>
    <v>-5.9610000000000002E-4</v>
    <v>USD</v>
    <v>JPY</v>
    <v>6.7149999999999996E-3</v>
    <v>Currency Pair</v>
    <v>45369.801793981482</v>
    <v>6.6969999999999998E-3</v>
    <v>Japanese Yen/US Dollar FX Cross Rate</v>
    <v>6.711E-3</v>
    <v>6.7099999999999998E-3</v>
    <v>6.7060000000000002E-3</v>
    <v>JPYUSD</v>
    <v>JPY/USD</v>
  </rv>
  <rv s="1">
    <v>2</v>
  </rv>
  <rv s="0">
    <v>en-US</v>
    <v>avffww</v>
    <v>268435456</v>
    <v>1</v>
    <v>Powered by Refinitiv</v>
    <v>0</v>
    <v>KRW/USD</v>
    <v>2</v>
    <v>3</v>
    <v>Finance</v>
    <v>4</v>
    <v>7.9540000000000003E-4</v>
    <v>7.3289999999999998E-4</v>
    <v>-2.9500000000000001E-6</v>
    <v>-3.9280000000000001E-3</v>
    <v>USD</v>
    <v>KRW</v>
    <v>7.5129999999999999E-4</v>
    <v>Currency Pair</v>
    <v>45369.801736111112</v>
    <v>7.4819999999999997E-4</v>
    <v>Korean Won/US Dollar FX Cross Rate</v>
    <v>7.5109999999999999E-4</v>
    <v>7.5109999999999999E-4</v>
    <v>7.4810000000000002E-4</v>
    <v>KRWUSD</v>
    <v>KRW/USD</v>
  </rv>
  <rv s="1">
    <v>4</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8818B-FB36-4A09-9BCC-4AF63CAE662C}" name="Orders" displayName="Orders" ref="A6:AL20" headerRowDxfId="107" dataDxfId="106" totalsRowDxfId="105">
  <sortState xmlns:xlrd2="http://schemas.microsoft.com/office/spreadsheetml/2017/richdata2" ref="A7:AL341">
    <sortCondition ref="A6:A341"/>
  </sortState>
  <tableColumns count="38">
    <tableColumn id="1" xr3:uid="{164DD769-42B0-4F61-8689-EFEFD9B22AB2}" name="PO#" totalsRowLabel="Total" dataDxfId="104" totalsRowDxfId="103"/>
    <tableColumn id="2" xr3:uid="{5F45AEB7-2D15-4A78-AE90-4B70EE552CB5}" name="Rush Order?" dataDxfId="102" totalsRowDxfId="101"/>
    <tableColumn id="3" xr3:uid="{9D5405BC-7373-4D34-A8EF-A588E26286A1}" name="Requester" dataDxfId="100" totalsRowDxfId="99"/>
    <tableColumn id="4" xr3:uid="{ADF9024B-0BCB-44FE-8E18-01DD7D8680F8}" name="To Circ for Pickup?" dataDxfId="98" totalsRowDxfId="97"/>
    <tableColumn id="5" xr3:uid="{17834532-FAC3-4E66-A73B-B4B2F7965574}" name="Prof Dev Funds?" dataDxfId="96" totalsRowDxfId="95"/>
    <tableColumn id="6" xr3:uid="{CC813C79-0EC0-445D-BA5A-9C1F23F33CB4}" name="Pref. Vendor" dataDxfId="94" totalsRowDxfId="93"/>
    <tableColumn id="7" xr3:uid="{6507E96F-45F6-4F1D-BEDD-CCA656589DA6}" name="Note" dataDxfId="92" totalsRowDxfId="91"/>
    <tableColumn id="8" xr3:uid="{2606E656-CA39-48E6-B1AA-703CB58749FD}" name="URL for Price Check" dataDxfId="90" totalsRowDxfId="89" dataCellStyle="Hyperlink"/>
    <tableColumn id="9" xr3:uid="{D49971DF-D4A2-4DA9-AC51-B9A56AB449C6}" name="Collection" dataDxfId="88" totalsRowDxfId="87" dataCellStyle="Normal"/>
    <tableColumn id="30" xr3:uid="{841A33E0-55B5-4C3E-883E-55542B8CB1FA}" name="Volume" dataDxfId="86" totalsRowDxfId="85" dataCellStyle="Normal"/>
    <tableColumn id="37" xr3:uid="{DC5C52EE-56CE-48D4-A630-687C33185F36}" name="上中下" dataDxfId="84"/>
    <tableColumn id="38" xr3:uid="{93D95EE2-C25A-4002-B732-CFE6D0CC22B2}" name="Issue" dataDxfId="83" totalsRowDxfId="82"/>
    <tableColumn id="10" xr3:uid="{011D61C8-E0AD-43CA-8342-DB557E35E367}" name="Total_x000a_Vols." dataDxfId="81" totalsRowDxfId="80" dataCellStyle="Normal"/>
    <tableColumn id="11" xr3:uid="{F3702C2E-811A-4CB0-AF3C-467881110DCD}" name="Dupe_x000a_ISBN_x000a_Check" dataDxfId="79" totalsRowDxfId="78" dataCellStyle="Hyperlink"/>
    <tableColumn id="12" xr3:uid="{85298E08-E0E5-4C90-9EB4-89F8EF5D5A00}" name="Dupe_x000a_Title_x000a_Check" dataDxfId="77" totalsRowDxfId="76" dataCellStyle="Hyperlink"/>
    <tableColumn id="13" xr3:uid="{F2BD018F-86D7-4AFB-AA23-BA172347F49D}" name="Dupe Check in WC / FS" dataDxfId="75" totalsRowDxfId="74"/>
    <tableColumn id="27" xr3:uid="{3024CE19-1B71-4942-BC43-0D77961C1CA5}" name="Libraries with Item" dataDxfId="73" totalsRowDxfId="72"/>
    <tableColumn id="14" xr3:uid="{65BCB0AC-61BE-40F2-BF94-CCC61AB617A9}" name="ISBN13#/_x000a_ISSN#" dataDxfId="71" totalsRowDxfId="70"/>
    <tableColumn id="15" xr3:uid="{F16D8CB6-6F11-4821-ADC7-A65201136AAB}" name="ISBN10#/_x000a_ISSN#" dataDxfId="69" totalsRowDxfId="68"/>
    <tableColumn id="16" xr3:uid="{F22F660A-28CE-4CA8-9DEE-DA6F3826BE3F}" name="OCLC#" dataDxfId="67" totalsRowDxfId="66"/>
    <tableColumn id="17" xr3:uid="{6D405B49-D2B1-4084-A69E-2535EA0DA200}" name="Language" dataDxfId="65" totalsRowDxfId="64"/>
    <tableColumn id="18" xr3:uid="{BB040FC6-458D-4DCB-9D30-AA5CFD7F6470}" name="Translated Title (Unofficial)" dataDxfId="63" totalsRowDxfId="62"/>
    <tableColumn id="19" xr3:uid="{B908489C-379C-4289-81D5-2B10CA3715C1}" name="Title (R/E)" dataDxfId="61" totalsRowDxfId="60"/>
    <tableColumn id="20" xr3:uid="{518F53C6-9D26-44E8-BB65-0B059F2A7CE2}" name="Title (N)" dataDxfId="59" totalsRowDxfId="58"/>
    <tableColumn id="28" xr3:uid="{45B0F1CF-EF66-4DBB-82A6-270FFE41779E}" name="Pub Date (RE)" dataDxfId="57" totalsRowDxfId="56"/>
    <tableColumn id="29" xr3:uid="{F6F35CFC-E77C-4488-AC67-5DDEAA24DD1E}" name="Pub Date (N)" dataDxfId="55" totalsRowDxfId="54"/>
    <tableColumn id="21" xr3:uid="{CE887185-0A87-4BD0-9579-5E18E33DEF72}" name="Creator (R/E)" dataDxfId="53" totalsRowDxfId="52"/>
    <tableColumn id="22" xr3:uid="{A7627DF9-359D-4424-B24E-7807AF106B3A}" name="Creator (N)" dataDxfId="51" totalsRowDxfId="50"/>
    <tableColumn id="23" xr3:uid="{713A7C17-672A-4EE4-B322-D37594A297E7}" name="Series (R/E)" dataDxfId="49" totalsRowDxfId="48"/>
    <tableColumn id="24" xr3:uid="{3FD419AC-7A4D-4371-83FA-711F749FF264}" name="Series (N)" dataDxfId="47" totalsRowDxfId="46"/>
    <tableColumn id="25" xr3:uid="{F70D5E3C-B8E8-4527-BFF5-D665F99B49E9}" name="Publisher (R/E)" dataDxfId="45" totalsRowDxfId="44"/>
    <tableColumn id="26" xr3:uid="{098EFEE4-8C23-41E8-BD09-6A05266D0872}" name="Publisher (N)" dataDxfId="43" totalsRowDxfId="42"/>
    <tableColumn id="31" xr3:uid="{A7DB3709-FE0E-4F79-9255-4EF51059913F}" name="Edition (RE)" dataDxfId="41" totalsRowDxfId="40"/>
    <tableColumn id="32" xr3:uid="{52AD4198-380C-4474-92F5-CB33DF7372D7}" name="Edition (N)" dataDxfId="39" totalsRowDxfId="38"/>
    <tableColumn id="33" xr3:uid="{2B9CE1C5-CC83-4F3F-8905-14D176494FF1}" name="Subject Headings" dataDxfId="37" totalsRowDxfId="36"/>
    <tableColumn id="34" xr3:uid="{FAAF6824-2486-4F5B-A088-1B814EF98B1C}" name="Your Currency" dataDxfId="35" totalsRowDxfId="34" dataCellStyle="Currency"/>
    <tableColumn id="35" xr3:uid="{A299FE06-5592-4335-A32C-7458F0D820E8}" name="Currency" dataDxfId="33" totalsRowDxfId="32"/>
    <tableColumn id="36" xr3:uid="{F49A9457-EABD-4646-B285-C806523CD43A}" name="Local Currency" totalsRowFunction="sum" dataDxfId="31" totalsRow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BDC1F6-2F06-4483-AFDE-9FB04953E46E}" name="Convert" displayName="Convert" ref="AN6:AP9" totalsRowShown="0" headerRowDxfId="29" dataDxfId="28">
  <autoFilter ref="AN6:AP9" xr:uid="{DDBDC1F6-2F06-4483-AFDE-9FB04953E46E}"/>
  <tableColumns count="3">
    <tableColumn id="3" xr3:uid="{E90E4867-069E-40E6-9271-90B167E580F4}" name="Code" dataDxfId="27"/>
    <tableColumn id="1" xr3:uid="{15D19676-DC47-48B7-871C-68CF0203D178}" name="Conversion" dataDxfId="26"/>
    <tableColumn id="2" xr3:uid="{12BEC47A-56E3-4421-A012-90044D09E436}" name="Exchange Rate" dataDxfId="25">
      <calculatedColumnFormula array="1">_FV(AO7,"Price",TRUE)</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3.bin"/><Relationship Id="rId7" Type="http://schemas.openxmlformats.org/officeDocument/2006/relationships/ctrlProp" Target="../ctrlProps/ctrlProp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3.xml"/><Relationship Id="rId5" Type="http://schemas.openxmlformats.org/officeDocument/2006/relationships/vmlDrawing" Target="../drawings/vmlDrawing3.vml"/><Relationship Id="rId10" Type="http://schemas.openxmlformats.org/officeDocument/2006/relationships/ctrlProp" Target="../ctrlProps/ctrlProp7.xml"/><Relationship Id="rId4" Type="http://schemas.openxmlformats.org/officeDocument/2006/relationships/drawing" Target="../drawings/drawing3.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4.bin"/><Relationship Id="rId7" Type="http://schemas.openxmlformats.org/officeDocument/2006/relationships/ctrlProp" Target="../ctrlProps/ctrlProp9.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8.x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4.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5.bin"/><Relationship Id="rId7" Type="http://schemas.openxmlformats.org/officeDocument/2006/relationships/ctrlProp" Target="../ctrlProps/ctrlProp14.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ctrlProp" Target="../ctrlProps/ctrlProp13.xml"/><Relationship Id="rId5" Type="http://schemas.openxmlformats.org/officeDocument/2006/relationships/vmlDrawing" Target="../drawings/vmlDrawing5.vml"/><Relationship Id="rId10" Type="http://schemas.openxmlformats.org/officeDocument/2006/relationships/ctrlProp" Target="../ctrlProps/ctrlProp17.xml"/><Relationship Id="rId4" Type="http://schemas.openxmlformats.org/officeDocument/2006/relationships/drawing" Target="../drawings/drawing5.xml"/><Relationship Id="rId9"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printerSettings" Target="../printerSettings/printerSettings6.bin"/><Relationship Id="rId7" Type="http://schemas.openxmlformats.org/officeDocument/2006/relationships/ctrlProp" Target="../ctrlProps/ctrlProp19.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ctrlProp" Target="../ctrlProps/ctrlProp18.xml"/><Relationship Id="rId5" Type="http://schemas.openxmlformats.org/officeDocument/2006/relationships/vmlDrawing" Target="../drawings/vmlDrawing6.vml"/><Relationship Id="rId10" Type="http://schemas.openxmlformats.org/officeDocument/2006/relationships/ctrlProp" Target="../ctrlProps/ctrlProp22.xml"/><Relationship Id="rId4" Type="http://schemas.openxmlformats.org/officeDocument/2006/relationships/drawing" Target="../drawings/drawing6.xml"/><Relationship Id="rId9"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7" Type="http://schemas.openxmlformats.org/officeDocument/2006/relationships/drawing" Target="../drawings/drawing7.xm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printerSettings" Target="../printerSettings/printerSettings7.bin"/><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sheetPr>
  <dimension ref="A1:AR2047"/>
  <sheetViews>
    <sheetView tabSelected="1" zoomScaleNormal="100" workbookViewId="0">
      <pane ySplit="6" topLeftCell="A7" activePane="bottomLeft" state="frozen"/>
      <selection pane="bottomLeft" activeCell="A7" sqref="A7"/>
    </sheetView>
  </sheetViews>
  <sheetFormatPr defaultRowHeight="18" customHeight="1" x14ac:dyDescent="0.25"/>
  <cols>
    <col min="1" max="1" width="10.7109375" style="112" customWidth="1"/>
    <col min="2" max="2" width="7.7109375" style="30" customWidth="1"/>
    <col min="3" max="3" width="15.7109375" style="41" customWidth="1"/>
    <col min="4" max="5" width="7.7109375" style="30" customWidth="1"/>
    <col min="6" max="6" width="7.7109375" style="42" customWidth="1"/>
    <col min="7" max="7" width="20.7109375" style="41" customWidth="1"/>
    <col min="8" max="8" width="7.7109375" style="71" customWidth="1"/>
    <col min="9" max="9" width="8.7109375" style="41" customWidth="1"/>
    <col min="10" max="10" width="7.7109375" style="87" customWidth="1"/>
    <col min="11" max="11" width="4.7109375" style="30" customWidth="1"/>
    <col min="12" max="12" width="7.7109375" style="30" customWidth="1"/>
    <col min="13" max="13" width="7.7109375" style="80" customWidth="1"/>
    <col min="14" max="15" width="7.7109375" style="72" customWidth="1"/>
    <col min="16" max="16" width="7.7109375" style="30" customWidth="1"/>
    <col min="17" max="17" width="7.7109375" style="114" customWidth="1"/>
    <col min="18" max="18" width="16.7109375" style="75" customWidth="1"/>
    <col min="19" max="19" width="14.7109375" style="30" customWidth="1"/>
    <col min="20" max="20" width="14.7109375" style="43" customWidth="1"/>
    <col min="21" max="21" width="10.7109375" style="42" customWidth="1"/>
    <col min="22" max="22" width="15.7109375" style="41" customWidth="1"/>
    <col min="23" max="23" width="15.7109375" style="82" customWidth="1"/>
    <col min="24" max="24" width="15.7109375" style="41" customWidth="1"/>
    <col min="25" max="25" width="9.7109375" style="30" customWidth="1"/>
    <col min="26" max="26" width="9.7109375" style="80" customWidth="1"/>
    <col min="27" max="32" width="15.7109375" style="41" customWidth="1"/>
    <col min="33" max="34" width="9.140625" style="8"/>
    <col min="35" max="35" width="12.7109375" style="41" customWidth="1"/>
    <col min="36" max="36" width="12.7109375" style="135" customWidth="1"/>
    <col min="37" max="37" width="5.7109375" style="73" customWidth="1"/>
    <col min="38" max="38" width="10.7109375" style="116" customWidth="1"/>
    <col min="39" max="39" width="3.7109375" style="73" customWidth="1"/>
    <col min="40" max="40" width="6.7109375" style="35" customWidth="1"/>
    <col min="41" max="42" width="12.7109375" style="35" customWidth="1"/>
    <col min="43" max="43" width="3.7109375" style="35" customWidth="1"/>
    <col min="44" max="44" width="12.7109375" style="35" customWidth="1"/>
    <col min="45" max="16384" width="9.140625" style="35"/>
  </cols>
  <sheetData>
    <row r="1" spans="1:44" s="119" customFormat="1" ht="20.100000000000001" customHeight="1" x14ac:dyDescent="0.25">
      <c r="A1" s="44" t="s">
        <v>1025</v>
      </c>
      <c r="B1" s="45"/>
      <c r="C1" s="45"/>
      <c r="D1" s="45"/>
      <c r="E1" s="45"/>
      <c r="F1" s="46" t="s">
        <v>0</v>
      </c>
      <c r="G1" s="45"/>
      <c r="H1" s="60"/>
      <c r="I1" s="47" t="s">
        <v>1</v>
      </c>
      <c r="J1" s="48"/>
      <c r="K1" s="48"/>
      <c r="L1" s="48"/>
      <c r="M1" s="48"/>
      <c r="N1" s="60"/>
      <c r="O1" s="60"/>
      <c r="P1" s="45"/>
      <c r="Q1" s="45"/>
      <c r="R1" s="45"/>
      <c r="S1" s="45"/>
      <c r="T1" s="45"/>
      <c r="U1" s="45"/>
      <c r="V1" s="45"/>
      <c r="W1" s="45"/>
      <c r="X1" s="45"/>
      <c r="Y1" s="45"/>
      <c r="Z1" s="45"/>
      <c r="AA1" s="45"/>
      <c r="AB1" s="45"/>
      <c r="AC1" s="45"/>
      <c r="AD1" s="45"/>
      <c r="AE1" s="45"/>
      <c r="AF1" s="45"/>
      <c r="AG1" s="45"/>
      <c r="AH1" s="45"/>
      <c r="AI1" s="49"/>
      <c r="AJ1" s="131" t="s">
        <v>2</v>
      </c>
      <c r="AK1" s="117"/>
      <c r="AL1" s="117"/>
      <c r="AM1" s="118"/>
    </row>
    <row r="2" spans="1:44" s="119" customFormat="1" ht="20.100000000000001" customHeight="1" x14ac:dyDescent="0.25">
      <c r="A2" s="61"/>
      <c r="B2" s="61"/>
      <c r="C2" s="62"/>
      <c r="D2" s="61"/>
      <c r="E2" s="61"/>
      <c r="F2" s="63" t="s">
        <v>0</v>
      </c>
      <c r="G2" s="61"/>
      <c r="H2" s="64"/>
      <c r="I2" s="65" t="s">
        <v>1</v>
      </c>
      <c r="J2" s="66"/>
      <c r="K2" s="66"/>
      <c r="L2" s="66"/>
      <c r="M2" s="66"/>
      <c r="N2" s="64"/>
      <c r="O2" s="64"/>
      <c r="P2" s="61"/>
      <c r="Q2" s="61"/>
      <c r="R2" s="61"/>
      <c r="S2" s="61"/>
      <c r="T2" s="61"/>
      <c r="U2" s="61"/>
      <c r="V2" s="61"/>
      <c r="W2" s="61"/>
      <c r="X2" s="61"/>
      <c r="Y2" s="61"/>
      <c r="Z2" s="61"/>
      <c r="AA2" s="61"/>
      <c r="AB2" s="61"/>
      <c r="AC2" s="61"/>
      <c r="AD2" s="61"/>
      <c r="AE2" s="61"/>
      <c r="AF2" s="61"/>
      <c r="AG2" s="61"/>
      <c r="AH2" s="61"/>
      <c r="AI2" s="67"/>
      <c r="AJ2" s="136">
        <f>SUM(Orders[Your Currency])</f>
        <v>0</v>
      </c>
      <c r="AK2" s="121"/>
      <c r="AL2" s="120"/>
      <c r="AM2" s="118"/>
    </row>
    <row r="3" spans="1:44" s="31" customFormat="1" ht="20.100000000000001" customHeight="1" x14ac:dyDescent="0.25">
      <c r="A3" s="55" t="s">
        <v>3</v>
      </c>
      <c r="B3" s="55"/>
      <c r="C3" s="56"/>
      <c r="D3" s="55"/>
      <c r="E3" s="57"/>
      <c r="F3" s="58" t="s">
        <v>4</v>
      </c>
      <c r="G3" s="55"/>
      <c r="H3" s="122"/>
      <c r="I3" s="59" t="s">
        <v>1</v>
      </c>
      <c r="J3" s="137"/>
      <c r="K3" s="137"/>
      <c r="L3" s="137"/>
      <c r="M3" s="137"/>
      <c r="N3" s="123"/>
      <c r="O3" s="122"/>
      <c r="P3" s="55"/>
      <c r="Q3" s="55"/>
      <c r="R3" s="55"/>
      <c r="S3" s="55"/>
      <c r="T3" s="57"/>
      <c r="U3" s="58" t="s">
        <v>980</v>
      </c>
      <c r="V3" s="55"/>
      <c r="W3" s="84" t="s">
        <v>981</v>
      </c>
      <c r="X3" s="55"/>
      <c r="Y3" s="55"/>
      <c r="Z3" s="85"/>
      <c r="AA3" s="55" t="s">
        <v>982</v>
      </c>
      <c r="AB3" s="55"/>
      <c r="AC3" s="55"/>
      <c r="AD3" s="55"/>
      <c r="AE3" s="55"/>
      <c r="AF3" s="55"/>
      <c r="AG3" s="55"/>
      <c r="AH3" s="55"/>
      <c r="AI3" s="57"/>
      <c r="AJ3" s="132" t="s">
        <v>5</v>
      </c>
      <c r="AK3" s="55"/>
      <c r="AL3" s="57"/>
      <c r="AN3" s="109" t="s">
        <v>1012</v>
      </c>
      <c r="AO3" s="110"/>
      <c r="AP3" s="111"/>
      <c r="AQ3" s="8"/>
      <c r="AR3" s="98" t="s">
        <v>1013</v>
      </c>
    </row>
    <row r="4" spans="1:44" s="23" customFormat="1" ht="14.1" customHeight="1" x14ac:dyDescent="0.25">
      <c r="A4" s="20">
        <v>1</v>
      </c>
      <c r="B4" s="20" t="s">
        <v>6</v>
      </c>
      <c r="C4" s="20" t="s">
        <v>7</v>
      </c>
      <c r="D4" s="20" t="s">
        <v>8</v>
      </c>
      <c r="E4" s="20" t="s">
        <v>9</v>
      </c>
      <c r="F4" s="21" t="s">
        <v>0</v>
      </c>
      <c r="G4" s="124" t="s">
        <v>10</v>
      </c>
      <c r="H4" s="125">
        <v>8</v>
      </c>
      <c r="I4" s="124">
        <v>9</v>
      </c>
      <c r="J4" s="126" t="s">
        <v>11</v>
      </c>
      <c r="K4" s="124" t="s">
        <v>12</v>
      </c>
      <c r="L4" s="124" t="s">
        <v>13</v>
      </c>
      <c r="M4" s="127" t="s">
        <v>14</v>
      </c>
      <c r="N4" s="125" t="s">
        <v>15</v>
      </c>
      <c r="O4" s="125" t="s">
        <v>16</v>
      </c>
      <c r="P4" s="20" t="s">
        <v>17</v>
      </c>
      <c r="Q4" s="89" t="s">
        <v>18</v>
      </c>
      <c r="R4" s="20" t="s">
        <v>19</v>
      </c>
      <c r="S4" s="20" t="s">
        <v>20</v>
      </c>
      <c r="T4" s="20" t="s">
        <v>21</v>
      </c>
      <c r="U4" s="21" t="s">
        <v>22</v>
      </c>
      <c r="V4" s="20" t="s">
        <v>23</v>
      </c>
      <c r="W4" s="77" t="s">
        <v>24</v>
      </c>
      <c r="X4" s="20" t="s">
        <v>25</v>
      </c>
      <c r="Y4" s="20" t="s">
        <v>26</v>
      </c>
      <c r="Z4" s="79" t="s">
        <v>27</v>
      </c>
      <c r="AA4" s="20" t="s">
        <v>28</v>
      </c>
      <c r="AB4" s="20" t="s">
        <v>29</v>
      </c>
      <c r="AC4" s="20" t="s">
        <v>30</v>
      </c>
      <c r="AD4" s="20" t="s">
        <v>31</v>
      </c>
      <c r="AE4" s="20" t="s">
        <v>32</v>
      </c>
      <c r="AF4" s="20" t="s">
        <v>33</v>
      </c>
      <c r="AG4" s="20" t="s">
        <v>971</v>
      </c>
      <c r="AH4" s="20" t="s">
        <v>34</v>
      </c>
      <c r="AI4" s="20" t="s">
        <v>972</v>
      </c>
      <c r="AJ4" s="133" t="s">
        <v>996</v>
      </c>
      <c r="AK4" s="20" t="s">
        <v>997</v>
      </c>
      <c r="AL4" s="22" t="s">
        <v>973</v>
      </c>
      <c r="AM4" s="32"/>
      <c r="AN4" s="138" t="s">
        <v>1014</v>
      </c>
      <c r="AO4" s="139"/>
      <c r="AP4" s="140"/>
      <c r="AQ4" s="33"/>
      <c r="AR4" s="99"/>
    </row>
    <row r="5" spans="1:44" s="23" customFormat="1" ht="14.1" customHeight="1" x14ac:dyDescent="0.25">
      <c r="A5" s="20" t="s">
        <v>35</v>
      </c>
      <c r="B5" s="20" t="s">
        <v>35</v>
      </c>
      <c r="C5" s="20" t="s">
        <v>35</v>
      </c>
      <c r="D5" s="20" t="s">
        <v>35</v>
      </c>
      <c r="E5" s="20" t="s">
        <v>35</v>
      </c>
      <c r="F5" s="21" t="s">
        <v>36</v>
      </c>
      <c r="G5" s="124" t="s">
        <v>36</v>
      </c>
      <c r="H5" s="125" t="s">
        <v>37</v>
      </c>
      <c r="I5" s="124" t="s">
        <v>36</v>
      </c>
      <c r="J5" s="126" t="s">
        <v>37</v>
      </c>
      <c r="K5" s="124" t="s">
        <v>35</v>
      </c>
      <c r="L5" s="124" t="s">
        <v>35</v>
      </c>
      <c r="M5" s="127" t="s">
        <v>37</v>
      </c>
      <c r="N5" s="125" t="s">
        <v>37</v>
      </c>
      <c r="O5" s="125" t="s">
        <v>37</v>
      </c>
      <c r="P5" s="20" t="s">
        <v>37</v>
      </c>
      <c r="Q5" s="89" t="s">
        <v>37</v>
      </c>
      <c r="R5" s="20" t="s">
        <v>37</v>
      </c>
      <c r="S5" s="20" t="s">
        <v>37</v>
      </c>
      <c r="T5" s="20" t="s">
        <v>37</v>
      </c>
      <c r="U5" s="21" t="s">
        <v>37</v>
      </c>
      <c r="V5" s="20" t="s">
        <v>37</v>
      </c>
      <c r="W5" s="77" t="s">
        <v>38</v>
      </c>
      <c r="X5" s="20" t="s">
        <v>37</v>
      </c>
      <c r="Y5" s="20" t="s">
        <v>37</v>
      </c>
      <c r="Z5" s="79" t="s">
        <v>37</v>
      </c>
      <c r="AA5" s="20" t="s">
        <v>37</v>
      </c>
      <c r="AB5" s="20" t="s">
        <v>37</v>
      </c>
      <c r="AC5" s="20" t="s">
        <v>37</v>
      </c>
      <c r="AD5" s="20" t="s">
        <v>37</v>
      </c>
      <c r="AE5" s="20" t="s">
        <v>37</v>
      </c>
      <c r="AF5" s="20" t="s">
        <v>37</v>
      </c>
      <c r="AG5" s="20" t="s">
        <v>37</v>
      </c>
      <c r="AH5" s="20" t="s">
        <v>37</v>
      </c>
      <c r="AI5" s="20" t="s">
        <v>37</v>
      </c>
      <c r="AJ5" s="133" t="s">
        <v>37</v>
      </c>
      <c r="AK5" s="20" t="s">
        <v>37</v>
      </c>
      <c r="AL5" s="22" t="s">
        <v>37</v>
      </c>
      <c r="AM5" s="32"/>
      <c r="AN5" s="138"/>
      <c r="AO5" s="139"/>
      <c r="AP5" s="140"/>
      <c r="AR5" s="99"/>
    </row>
    <row r="6" spans="1:44" s="103" customFormat="1" ht="39.950000000000003" customHeight="1" x14ac:dyDescent="0.25">
      <c r="A6" s="50" t="s">
        <v>39</v>
      </c>
      <c r="B6" s="51" t="s">
        <v>1022</v>
      </c>
      <c r="C6" s="50" t="s">
        <v>40</v>
      </c>
      <c r="D6" s="52" t="s">
        <v>1023</v>
      </c>
      <c r="E6" s="50" t="s">
        <v>1024</v>
      </c>
      <c r="F6" s="53" t="s">
        <v>41</v>
      </c>
      <c r="G6" s="50" t="s">
        <v>1020</v>
      </c>
      <c r="H6" s="128" t="s">
        <v>42</v>
      </c>
      <c r="I6" s="54" t="s">
        <v>43</v>
      </c>
      <c r="J6" s="88" t="s">
        <v>993</v>
      </c>
      <c r="K6" s="86" t="s">
        <v>994</v>
      </c>
      <c r="L6" s="91" t="s">
        <v>995</v>
      </c>
      <c r="M6" s="90" t="s">
        <v>44</v>
      </c>
      <c r="N6" s="128" t="s">
        <v>45</v>
      </c>
      <c r="O6" s="129" t="s">
        <v>46</v>
      </c>
      <c r="P6" s="52" t="s">
        <v>47</v>
      </c>
      <c r="Q6" s="92" t="s">
        <v>992</v>
      </c>
      <c r="R6" s="78" t="s">
        <v>48</v>
      </c>
      <c r="S6" s="50" t="s">
        <v>49</v>
      </c>
      <c r="T6" s="52" t="s">
        <v>50</v>
      </c>
      <c r="U6" s="93" t="s">
        <v>51</v>
      </c>
      <c r="V6" s="52" t="s">
        <v>52</v>
      </c>
      <c r="W6" s="74" t="s">
        <v>53</v>
      </c>
      <c r="X6" s="52" t="s">
        <v>54</v>
      </c>
      <c r="Y6" s="50" t="s">
        <v>61</v>
      </c>
      <c r="Z6" s="95" t="s">
        <v>62</v>
      </c>
      <c r="AA6" s="50" t="s">
        <v>55</v>
      </c>
      <c r="AB6" s="52" t="s">
        <v>56</v>
      </c>
      <c r="AC6" s="50" t="s">
        <v>57</v>
      </c>
      <c r="AD6" s="52" t="s">
        <v>58</v>
      </c>
      <c r="AE6" s="50" t="s">
        <v>59</v>
      </c>
      <c r="AF6" s="52" t="s">
        <v>60</v>
      </c>
      <c r="AG6" s="50" t="s">
        <v>63</v>
      </c>
      <c r="AH6" s="52" t="s">
        <v>64</v>
      </c>
      <c r="AI6" s="50" t="s">
        <v>65</v>
      </c>
      <c r="AJ6" s="134" t="s">
        <v>1018</v>
      </c>
      <c r="AK6" s="94" t="s">
        <v>66</v>
      </c>
      <c r="AL6" s="97" t="s">
        <v>1021</v>
      </c>
      <c r="AM6" s="130"/>
      <c r="AN6" s="100" t="s">
        <v>1015</v>
      </c>
      <c r="AO6" s="101" t="s">
        <v>1016</v>
      </c>
      <c r="AP6" s="102" t="s">
        <v>1017</v>
      </c>
      <c r="AR6" s="104" t="s">
        <v>1018</v>
      </c>
    </row>
    <row r="7" spans="1:44" ht="18" customHeight="1" x14ac:dyDescent="0.25">
      <c r="C7" s="26"/>
      <c r="AG7" s="41"/>
      <c r="AH7" s="41"/>
      <c r="AK7" s="28"/>
      <c r="AL7" s="29"/>
      <c r="AM7" s="34"/>
      <c r="AN7" s="105" t="s">
        <v>1019</v>
      </c>
      <c r="AO7" s="31" t="e" vm="1">
        <v>#VALUE!</v>
      </c>
      <c r="AP7" s="106" cm="1">
        <f t="array" ref="AP7">_FV(AO7,"Price",TRUE)</f>
        <v>0.1389</v>
      </c>
      <c r="AQ7" s="107"/>
      <c r="AR7" s="108" t="s">
        <v>210</v>
      </c>
    </row>
    <row r="8" spans="1:44" ht="18" customHeight="1" x14ac:dyDescent="0.25">
      <c r="C8" s="26"/>
      <c r="AG8" s="41"/>
      <c r="AH8" s="41"/>
      <c r="AK8" s="28"/>
      <c r="AL8" s="29"/>
      <c r="AM8" s="34" t="s">
        <v>76</v>
      </c>
      <c r="AN8" s="105" t="s">
        <v>72</v>
      </c>
      <c r="AO8" s="31" t="e" vm="2">
        <v>#VALUE!</v>
      </c>
      <c r="AP8" s="106" cm="1">
        <f t="array" ref="AP8">_FV(AO8,"Price",TRUE)</f>
        <v>6.7060000000000002E-3</v>
      </c>
      <c r="AQ8" s="107"/>
      <c r="AR8" s="107"/>
    </row>
    <row r="9" spans="1:44" ht="18" customHeight="1" x14ac:dyDescent="0.25">
      <c r="C9" s="26"/>
      <c r="AG9" s="41"/>
      <c r="AH9" s="41"/>
      <c r="AK9" s="28"/>
      <c r="AL9" s="29"/>
      <c r="AM9" s="34" t="s">
        <v>76</v>
      </c>
      <c r="AN9" s="105" t="s">
        <v>219</v>
      </c>
      <c r="AO9" s="31" t="e" vm="3">
        <v>#VALUE!</v>
      </c>
      <c r="AP9" s="106" cm="1">
        <f t="array" ref="AP9">_FV(AO9,"Price",TRUE)</f>
        <v>7.4810000000000002E-4</v>
      </c>
      <c r="AQ9" s="107"/>
      <c r="AR9" s="107"/>
    </row>
    <row r="10" spans="1:44" ht="18" customHeight="1" x14ac:dyDescent="0.25">
      <c r="C10" s="26"/>
      <c r="AG10" s="41"/>
      <c r="AH10" s="41"/>
      <c r="AK10" s="28"/>
      <c r="AL10" s="29"/>
      <c r="AM10" s="34" t="s">
        <v>76</v>
      </c>
    </row>
    <row r="11" spans="1:44" ht="18" customHeight="1" x14ac:dyDescent="0.25">
      <c r="C11" s="26"/>
      <c r="AG11" s="41"/>
      <c r="AH11" s="41"/>
      <c r="AK11" s="28"/>
      <c r="AL11" s="29"/>
      <c r="AM11" s="34" t="s">
        <v>76</v>
      </c>
    </row>
    <row r="12" spans="1:44" ht="18" customHeight="1" x14ac:dyDescent="0.25">
      <c r="C12" s="26"/>
      <c r="H12" s="26"/>
      <c r="N12" s="27"/>
      <c r="O12" s="27"/>
      <c r="AG12" s="41"/>
      <c r="AH12" s="41"/>
      <c r="AK12" s="28"/>
      <c r="AL12" s="29"/>
      <c r="AM12" s="34" t="s">
        <v>76</v>
      </c>
    </row>
    <row r="13" spans="1:44" ht="18" customHeight="1" x14ac:dyDescent="0.25">
      <c r="C13" s="26"/>
      <c r="H13" s="26"/>
      <c r="N13" s="27"/>
      <c r="O13" s="27"/>
      <c r="AG13" s="41"/>
      <c r="AH13" s="41"/>
      <c r="AK13" s="28"/>
      <c r="AL13" s="29"/>
      <c r="AM13" s="34" t="s">
        <v>76</v>
      </c>
    </row>
    <row r="14" spans="1:44" ht="18" customHeight="1" x14ac:dyDescent="0.25">
      <c r="C14" s="26"/>
      <c r="H14" s="26"/>
      <c r="N14" s="27"/>
      <c r="O14" s="27"/>
      <c r="AG14" s="41"/>
      <c r="AH14" s="41"/>
      <c r="AK14" s="28"/>
      <c r="AL14" s="29"/>
      <c r="AM14" s="34" t="s">
        <v>76</v>
      </c>
    </row>
    <row r="15" spans="1:44" ht="18" customHeight="1" x14ac:dyDescent="0.25">
      <c r="C15" s="26"/>
      <c r="H15" s="26"/>
      <c r="N15" s="27"/>
      <c r="O15" s="27"/>
      <c r="AG15" s="41"/>
      <c r="AH15" s="41"/>
      <c r="AK15" s="28"/>
      <c r="AL15" s="29"/>
      <c r="AM15" s="34" t="s">
        <v>76</v>
      </c>
    </row>
    <row r="16" spans="1:44" ht="18" customHeight="1" x14ac:dyDescent="0.25">
      <c r="C16" s="26"/>
      <c r="R16" s="76"/>
      <c r="AG16" s="41"/>
      <c r="AH16" s="41"/>
      <c r="AK16" s="28"/>
      <c r="AL16" s="29"/>
      <c r="AM16" s="34"/>
    </row>
    <row r="17" spans="3:39" ht="18" customHeight="1" x14ac:dyDescent="0.25">
      <c r="C17" s="26"/>
      <c r="AG17" s="41"/>
      <c r="AH17" s="41"/>
      <c r="AK17" s="28"/>
      <c r="AL17" s="29"/>
      <c r="AM17" s="34"/>
    </row>
    <row r="18" spans="3:39" ht="18" customHeight="1" x14ac:dyDescent="0.25">
      <c r="C18" s="26"/>
      <c r="H18" s="26"/>
      <c r="N18" s="27"/>
      <c r="O18" s="27"/>
      <c r="AG18" s="41"/>
      <c r="AH18" s="41"/>
      <c r="AK18" s="28"/>
      <c r="AL18" s="29"/>
      <c r="AM18" s="34"/>
    </row>
    <row r="19" spans="3:39" ht="18" customHeight="1" x14ac:dyDescent="0.25">
      <c r="C19" s="69"/>
      <c r="H19" s="26"/>
      <c r="N19" s="27"/>
      <c r="O19" s="27"/>
      <c r="AG19" s="41"/>
      <c r="AH19" s="41"/>
      <c r="AK19" s="28"/>
      <c r="AL19" s="29"/>
      <c r="AM19" s="34"/>
    </row>
    <row r="20" spans="3:39" ht="18" customHeight="1" x14ac:dyDescent="0.25">
      <c r="C20" s="36"/>
      <c r="H20" s="26"/>
      <c r="N20" s="27"/>
      <c r="O20" s="27"/>
      <c r="AG20" s="41"/>
      <c r="AH20" s="41"/>
      <c r="AK20" s="28"/>
      <c r="AL20" s="29"/>
      <c r="AM20" s="34" t="s">
        <v>76</v>
      </c>
    </row>
    <row r="21" spans="3:39" ht="18" customHeight="1" x14ac:dyDescent="0.25">
      <c r="C21" s="36"/>
      <c r="H21" s="26"/>
      <c r="N21" s="27"/>
      <c r="O21" s="27"/>
      <c r="AG21" s="41"/>
      <c r="AH21" s="41"/>
      <c r="AK21" s="28"/>
      <c r="AL21" s="29"/>
      <c r="AM21" s="34" t="s">
        <v>76</v>
      </c>
    </row>
    <row r="22" spans="3:39" ht="18" customHeight="1" x14ac:dyDescent="0.25">
      <c r="C22" s="36"/>
      <c r="H22" s="26"/>
      <c r="N22" s="27"/>
      <c r="O22" s="27"/>
      <c r="AG22" s="41"/>
      <c r="AH22" s="41"/>
      <c r="AK22" s="28"/>
      <c r="AL22" s="29"/>
      <c r="AM22" s="34" t="s">
        <v>76</v>
      </c>
    </row>
    <row r="23" spans="3:39" ht="18" customHeight="1" x14ac:dyDescent="0.25">
      <c r="C23" s="36"/>
      <c r="H23" s="26"/>
      <c r="N23" s="27"/>
      <c r="O23" s="27"/>
      <c r="AG23" s="41"/>
      <c r="AH23" s="41"/>
      <c r="AK23" s="28"/>
      <c r="AL23" s="29"/>
      <c r="AM23" s="34" t="s">
        <v>76</v>
      </c>
    </row>
    <row r="24" spans="3:39" ht="18" customHeight="1" x14ac:dyDescent="0.25">
      <c r="C24" s="36"/>
      <c r="H24" s="26"/>
      <c r="N24" s="27"/>
      <c r="O24" s="27"/>
      <c r="AG24" s="41"/>
      <c r="AH24" s="41"/>
      <c r="AK24" s="28"/>
      <c r="AL24" s="29"/>
      <c r="AM24" s="34" t="s">
        <v>76</v>
      </c>
    </row>
    <row r="25" spans="3:39" ht="18" customHeight="1" x14ac:dyDescent="0.25">
      <c r="C25" s="36"/>
      <c r="H25" s="26"/>
      <c r="N25" s="27"/>
      <c r="O25" s="27"/>
      <c r="AG25" s="41"/>
      <c r="AH25" s="41"/>
      <c r="AK25" s="28"/>
      <c r="AL25" s="29"/>
      <c r="AM25" s="34" t="s">
        <v>76</v>
      </c>
    </row>
    <row r="26" spans="3:39" ht="18" customHeight="1" x14ac:dyDescent="0.25">
      <c r="C26" s="69"/>
      <c r="H26" s="26"/>
      <c r="N26" s="27"/>
      <c r="O26" s="27"/>
      <c r="AG26" s="41"/>
      <c r="AH26" s="41"/>
      <c r="AK26" s="28"/>
      <c r="AL26" s="29"/>
      <c r="AM26" s="34" t="s">
        <v>76</v>
      </c>
    </row>
    <row r="27" spans="3:39" ht="18" customHeight="1" x14ac:dyDescent="0.25">
      <c r="C27" s="69"/>
      <c r="H27" s="26"/>
      <c r="N27" s="27"/>
      <c r="O27" s="27"/>
      <c r="AG27" s="41"/>
      <c r="AH27" s="41"/>
      <c r="AK27" s="28"/>
      <c r="AL27" s="29"/>
      <c r="AM27" s="34"/>
    </row>
    <row r="28" spans="3:39" ht="18" customHeight="1" x14ac:dyDescent="0.25">
      <c r="C28" s="69"/>
      <c r="H28" s="26"/>
      <c r="N28" s="27"/>
      <c r="O28" s="27"/>
      <c r="AG28" s="41"/>
      <c r="AH28" s="41"/>
      <c r="AK28" s="28"/>
      <c r="AL28" s="29"/>
      <c r="AM28" s="34"/>
    </row>
    <row r="29" spans="3:39" ht="18" customHeight="1" x14ac:dyDescent="0.25">
      <c r="C29" s="69"/>
      <c r="H29" s="26"/>
      <c r="N29" s="27"/>
      <c r="O29" s="27"/>
      <c r="AG29" s="41"/>
      <c r="AH29" s="41"/>
      <c r="AK29" s="28"/>
      <c r="AL29" s="29"/>
      <c r="AM29" s="34"/>
    </row>
    <row r="30" spans="3:39" ht="18" customHeight="1" x14ac:dyDescent="0.25">
      <c r="C30" s="69"/>
      <c r="H30" s="26"/>
      <c r="N30" s="27"/>
      <c r="O30" s="27"/>
      <c r="AG30" s="41"/>
      <c r="AH30" s="41"/>
      <c r="AK30" s="28"/>
      <c r="AL30" s="29"/>
      <c r="AM30" s="34" t="s">
        <v>76</v>
      </c>
    </row>
    <row r="31" spans="3:39" ht="18" customHeight="1" x14ac:dyDescent="0.25">
      <c r="C31" s="69"/>
      <c r="H31" s="26"/>
      <c r="N31" s="27"/>
      <c r="O31" s="27"/>
      <c r="AG31" s="41"/>
      <c r="AH31" s="41"/>
      <c r="AK31" s="28"/>
      <c r="AL31" s="29"/>
      <c r="AM31" s="34" t="s">
        <v>76</v>
      </c>
    </row>
    <row r="32" spans="3:39" ht="18" customHeight="1" x14ac:dyDescent="0.25">
      <c r="C32" s="69"/>
      <c r="H32" s="26"/>
      <c r="N32" s="27"/>
      <c r="O32" s="27"/>
      <c r="AG32" s="41"/>
      <c r="AH32" s="41"/>
      <c r="AK32" s="28"/>
      <c r="AL32" s="29"/>
      <c r="AM32" s="34" t="s">
        <v>76</v>
      </c>
    </row>
    <row r="33" spans="3:39" ht="18" customHeight="1" x14ac:dyDescent="0.25">
      <c r="C33" s="69"/>
      <c r="H33" s="26"/>
      <c r="N33" s="27"/>
      <c r="O33" s="27"/>
      <c r="AG33" s="41"/>
      <c r="AH33" s="41"/>
      <c r="AK33" s="28"/>
      <c r="AL33" s="29"/>
      <c r="AM33" s="34" t="s">
        <v>76</v>
      </c>
    </row>
    <row r="34" spans="3:39" ht="18" customHeight="1" x14ac:dyDescent="0.25">
      <c r="C34" s="69"/>
      <c r="H34" s="26"/>
      <c r="N34" s="27"/>
      <c r="O34" s="27"/>
      <c r="AG34" s="41"/>
      <c r="AH34" s="41"/>
      <c r="AK34" s="28"/>
      <c r="AL34" s="29"/>
      <c r="AM34" s="34" t="s">
        <v>76</v>
      </c>
    </row>
    <row r="35" spans="3:39" ht="18" customHeight="1" x14ac:dyDescent="0.25">
      <c r="C35" s="69"/>
      <c r="H35" s="26"/>
      <c r="N35" s="27"/>
      <c r="O35" s="27"/>
      <c r="AG35" s="41"/>
      <c r="AH35" s="41"/>
      <c r="AK35" s="28"/>
      <c r="AL35" s="29"/>
      <c r="AM35" s="34" t="s">
        <v>76</v>
      </c>
    </row>
    <row r="36" spans="3:39" ht="18" customHeight="1" x14ac:dyDescent="0.25">
      <c r="C36" s="69"/>
      <c r="H36" s="26"/>
      <c r="N36" s="27"/>
      <c r="O36" s="27"/>
      <c r="AG36" s="41"/>
      <c r="AH36" s="41"/>
      <c r="AK36" s="28"/>
      <c r="AL36" s="29"/>
      <c r="AM36" s="34" t="s">
        <v>76</v>
      </c>
    </row>
    <row r="37" spans="3:39" ht="18" customHeight="1" x14ac:dyDescent="0.25">
      <c r="C37" s="69"/>
      <c r="H37" s="26"/>
      <c r="N37" s="27"/>
      <c r="O37" s="27"/>
      <c r="AG37" s="41"/>
      <c r="AH37" s="41"/>
      <c r="AK37" s="28"/>
      <c r="AL37" s="29"/>
      <c r="AM37" s="34" t="s">
        <v>76</v>
      </c>
    </row>
    <row r="38" spans="3:39" ht="18" customHeight="1" x14ac:dyDescent="0.25">
      <c r="C38" s="69"/>
      <c r="H38" s="26"/>
      <c r="N38" s="27"/>
      <c r="O38" s="27"/>
      <c r="AG38" s="41"/>
      <c r="AH38" s="41"/>
      <c r="AK38" s="28"/>
      <c r="AL38" s="29"/>
      <c r="AM38" s="34" t="s">
        <v>76</v>
      </c>
    </row>
    <row r="39" spans="3:39" ht="18" customHeight="1" x14ac:dyDescent="0.25">
      <c r="C39" s="69"/>
      <c r="H39" s="26"/>
      <c r="N39" s="27"/>
      <c r="O39" s="27"/>
      <c r="AG39" s="41"/>
      <c r="AH39" s="41"/>
      <c r="AK39" s="28"/>
      <c r="AL39" s="29"/>
      <c r="AM39" s="34" t="s">
        <v>76</v>
      </c>
    </row>
    <row r="40" spans="3:39" ht="18" customHeight="1" x14ac:dyDescent="0.25">
      <c r="C40" s="69"/>
      <c r="H40" s="26"/>
      <c r="N40" s="27"/>
      <c r="O40" s="27"/>
      <c r="AG40" s="41"/>
      <c r="AH40" s="41"/>
      <c r="AK40" s="28"/>
      <c r="AL40" s="29"/>
      <c r="AM40" s="34" t="s">
        <v>76</v>
      </c>
    </row>
    <row r="41" spans="3:39" ht="18" customHeight="1" x14ac:dyDescent="0.25">
      <c r="C41" s="69"/>
      <c r="H41" s="26"/>
      <c r="N41" s="27"/>
      <c r="O41" s="27"/>
      <c r="AG41" s="41"/>
      <c r="AH41" s="41"/>
      <c r="AK41" s="28"/>
      <c r="AL41" s="29"/>
      <c r="AM41" s="34" t="s">
        <v>76</v>
      </c>
    </row>
    <row r="42" spans="3:39" ht="18" customHeight="1" x14ac:dyDescent="0.25">
      <c r="C42" s="69"/>
      <c r="H42" s="26"/>
      <c r="N42" s="27"/>
      <c r="O42" s="27"/>
      <c r="AG42" s="41"/>
      <c r="AH42" s="41"/>
      <c r="AK42" s="28"/>
      <c r="AL42" s="29"/>
      <c r="AM42" s="34" t="s">
        <v>76</v>
      </c>
    </row>
    <row r="43" spans="3:39" ht="18" customHeight="1" x14ac:dyDescent="0.25">
      <c r="C43" s="69"/>
      <c r="H43" s="26"/>
      <c r="N43" s="27"/>
      <c r="O43" s="27"/>
      <c r="AG43" s="41"/>
      <c r="AH43" s="41"/>
      <c r="AK43" s="28"/>
      <c r="AL43" s="29"/>
      <c r="AM43" s="34" t="s">
        <v>76</v>
      </c>
    </row>
    <row r="44" spans="3:39" ht="18" customHeight="1" x14ac:dyDescent="0.25">
      <c r="C44" s="69"/>
      <c r="H44" s="26"/>
      <c r="N44" s="27"/>
      <c r="O44" s="27"/>
      <c r="AG44" s="41"/>
      <c r="AH44" s="41"/>
      <c r="AK44" s="28"/>
      <c r="AL44" s="29"/>
      <c r="AM44" s="34" t="s">
        <v>76</v>
      </c>
    </row>
    <row r="45" spans="3:39" ht="18" customHeight="1" x14ac:dyDescent="0.25">
      <c r="C45" s="69"/>
      <c r="H45" s="26"/>
      <c r="N45" s="27"/>
      <c r="O45" s="27"/>
      <c r="AG45" s="41"/>
      <c r="AH45" s="41"/>
      <c r="AK45" s="28"/>
      <c r="AL45" s="29"/>
      <c r="AM45" s="34" t="s">
        <v>76</v>
      </c>
    </row>
    <row r="46" spans="3:39" ht="18" customHeight="1" x14ac:dyDescent="0.25">
      <c r="C46" s="69"/>
      <c r="H46" s="26"/>
      <c r="N46" s="27"/>
      <c r="O46" s="27"/>
      <c r="AG46" s="41"/>
      <c r="AH46" s="41"/>
      <c r="AK46" s="28"/>
      <c r="AL46" s="29"/>
      <c r="AM46" s="34" t="s">
        <v>76</v>
      </c>
    </row>
    <row r="47" spans="3:39" ht="18" customHeight="1" x14ac:dyDescent="0.25">
      <c r="C47" s="69"/>
      <c r="H47" s="26"/>
      <c r="N47" s="27"/>
      <c r="O47" s="27"/>
      <c r="AG47" s="41"/>
      <c r="AH47" s="41"/>
      <c r="AK47" s="28"/>
      <c r="AL47" s="29"/>
      <c r="AM47" s="34" t="s">
        <v>76</v>
      </c>
    </row>
    <row r="48" spans="3:39" ht="18" customHeight="1" x14ac:dyDescent="0.25">
      <c r="C48" s="69"/>
      <c r="H48" s="26"/>
      <c r="N48" s="27"/>
      <c r="O48" s="27"/>
      <c r="AG48" s="41"/>
      <c r="AH48" s="41"/>
      <c r="AK48" s="28"/>
      <c r="AL48" s="29"/>
      <c r="AM48" s="34" t="s">
        <v>76</v>
      </c>
    </row>
    <row r="49" spans="3:39" ht="18" customHeight="1" x14ac:dyDescent="0.25">
      <c r="C49" s="69"/>
      <c r="H49" s="26"/>
      <c r="N49" s="27"/>
      <c r="O49" s="27"/>
      <c r="AG49" s="41"/>
      <c r="AH49" s="41"/>
      <c r="AK49" s="28"/>
      <c r="AL49" s="29"/>
      <c r="AM49" s="34" t="s">
        <v>76</v>
      </c>
    </row>
    <row r="50" spans="3:39" ht="18" customHeight="1" x14ac:dyDescent="0.25">
      <c r="C50" s="69"/>
      <c r="H50" s="26"/>
      <c r="N50" s="27"/>
      <c r="O50" s="27"/>
      <c r="AG50" s="41"/>
      <c r="AH50" s="41"/>
      <c r="AK50" s="28"/>
      <c r="AL50" s="29"/>
      <c r="AM50" s="34" t="s">
        <v>76</v>
      </c>
    </row>
    <row r="51" spans="3:39" ht="18" customHeight="1" x14ac:dyDescent="0.25">
      <c r="C51" s="69"/>
      <c r="H51" s="26"/>
      <c r="N51" s="27"/>
      <c r="O51" s="27"/>
      <c r="AG51" s="41"/>
      <c r="AH51" s="41"/>
      <c r="AK51" s="28"/>
      <c r="AL51" s="29"/>
      <c r="AM51" s="34" t="s">
        <v>76</v>
      </c>
    </row>
    <row r="52" spans="3:39" ht="18" customHeight="1" x14ac:dyDescent="0.25">
      <c r="C52" s="69"/>
      <c r="H52" s="26"/>
      <c r="N52" s="27"/>
      <c r="O52" s="27"/>
      <c r="AG52" s="41"/>
      <c r="AH52" s="41"/>
      <c r="AK52" s="28"/>
      <c r="AL52" s="29"/>
      <c r="AM52" s="34" t="s">
        <v>76</v>
      </c>
    </row>
    <row r="53" spans="3:39" ht="18" customHeight="1" x14ac:dyDescent="0.25">
      <c r="C53" s="69"/>
      <c r="H53" s="26"/>
      <c r="N53" s="27"/>
      <c r="O53" s="27"/>
      <c r="AG53" s="41"/>
      <c r="AH53" s="41"/>
      <c r="AK53" s="28"/>
      <c r="AL53" s="29"/>
      <c r="AM53" s="34" t="s">
        <v>76</v>
      </c>
    </row>
    <row r="54" spans="3:39" ht="18" customHeight="1" x14ac:dyDescent="0.25">
      <c r="C54" s="69"/>
      <c r="H54" s="26"/>
      <c r="N54" s="27"/>
      <c r="O54" s="27"/>
      <c r="AG54" s="41"/>
      <c r="AH54" s="41"/>
      <c r="AK54" s="28"/>
      <c r="AL54" s="29"/>
      <c r="AM54" s="34" t="s">
        <v>76</v>
      </c>
    </row>
    <row r="55" spans="3:39" ht="18" customHeight="1" x14ac:dyDescent="0.25">
      <c r="C55" s="69"/>
      <c r="H55" s="26"/>
      <c r="N55" s="27"/>
      <c r="O55" s="27"/>
      <c r="AG55" s="41"/>
      <c r="AH55" s="41"/>
      <c r="AK55" s="28"/>
      <c r="AL55" s="29"/>
      <c r="AM55" s="34" t="s">
        <v>76</v>
      </c>
    </row>
    <row r="56" spans="3:39" ht="18" customHeight="1" x14ac:dyDescent="0.25">
      <c r="C56" s="69"/>
      <c r="H56" s="26"/>
      <c r="N56" s="27"/>
      <c r="O56" s="27"/>
      <c r="AG56" s="41"/>
      <c r="AH56" s="41"/>
      <c r="AK56" s="28"/>
      <c r="AL56" s="29"/>
      <c r="AM56" s="34" t="s">
        <v>76</v>
      </c>
    </row>
    <row r="57" spans="3:39" ht="18" customHeight="1" x14ac:dyDescent="0.25">
      <c r="C57" s="69"/>
      <c r="H57" s="26"/>
      <c r="N57" s="27"/>
      <c r="O57" s="27"/>
      <c r="AG57" s="41"/>
      <c r="AH57" s="41"/>
      <c r="AK57" s="28"/>
      <c r="AL57" s="29"/>
      <c r="AM57" s="34" t="s">
        <v>76</v>
      </c>
    </row>
    <row r="58" spans="3:39" ht="18" customHeight="1" x14ac:dyDescent="0.25">
      <c r="C58" s="69"/>
      <c r="H58" s="26"/>
      <c r="N58" s="27"/>
      <c r="O58" s="27"/>
      <c r="AG58" s="41"/>
      <c r="AH58" s="41"/>
      <c r="AK58" s="28"/>
      <c r="AL58" s="29"/>
      <c r="AM58" s="34" t="s">
        <v>76</v>
      </c>
    </row>
    <row r="59" spans="3:39" ht="18" customHeight="1" x14ac:dyDescent="0.25">
      <c r="C59" s="69"/>
      <c r="H59" s="26"/>
      <c r="N59" s="27"/>
      <c r="O59" s="27"/>
      <c r="AG59" s="41"/>
      <c r="AH59" s="41"/>
      <c r="AK59" s="28"/>
      <c r="AL59" s="29"/>
      <c r="AM59" s="34" t="s">
        <v>76</v>
      </c>
    </row>
    <row r="60" spans="3:39" ht="18" customHeight="1" x14ac:dyDescent="0.25">
      <c r="C60" s="69"/>
      <c r="H60" s="26"/>
      <c r="N60" s="27"/>
      <c r="O60" s="27"/>
      <c r="AG60" s="41"/>
      <c r="AH60" s="41"/>
      <c r="AK60" s="28"/>
      <c r="AL60" s="29"/>
      <c r="AM60" s="34" t="s">
        <v>76</v>
      </c>
    </row>
    <row r="61" spans="3:39" ht="18" customHeight="1" x14ac:dyDescent="0.25">
      <c r="C61" s="69"/>
      <c r="H61" s="26"/>
      <c r="N61" s="27"/>
      <c r="O61" s="27"/>
      <c r="AG61" s="41"/>
      <c r="AH61" s="41"/>
      <c r="AK61" s="28"/>
      <c r="AL61" s="29"/>
      <c r="AM61" s="34" t="s">
        <v>76</v>
      </c>
    </row>
    <row r="62" spans="3:39" ht="18" customHeight="1" x14ac:dyDescent="0.25">
      <c r="C62" s="69"/>
      <c r="H62" s="26"/>
      <c r="N62" s="27"/>
      <c r="O62" s="27"/>
      <c r="AG62" s="41"/>
      <c r="AH62" s="41"/>
      <c r="AK62" s="28"/>
      <c r="AL62" s="29"/>
      <c r="AM62" s="34" t="s">
        <v>76</v>
      </c>
    </row>
    <row r="63" spans="3:39" ht="18" customHeight="1" x14ac:dyDescent="0.25">
      <c r="C63" s="69"/>
      <c r="H63" s="26"/>
      <c r="N63" s="27"/>
      <c r="O63" s="27"/>
      <c r="AG63" s="41"/>
      <c r="AH63" s="41"/>
      <c r="AK63" s="28"/>
      <c r="AL63" s="29"/>
      <c r="AM63" s="34" t="s">
        <v>76</v>
      </c>
    </row>
    <row r="64" spans="3:39" ht="18" customHeight="1" x14ac:dyDescent="0.25">
      <c r="C64" s="69"/>
      <c r="H64" s="26"/>
      <c r="N64" s="27"/>
      <c r="O64" s="27"/>
      <c r="AG64" s="41"/>
      <c r="AH64" s="41"/>
      <c r="AK64" s="28"/>
      <c r="AL64" s="29"/>
      <c r="AM64" s="34" t="s">
        <v>76</v>
      </c>
    </row>
    <row r="65" spans="3:39" ht="18" customHeight="1" x14ac:dyDescent="0.25">
      <c r="C65" s="69"/>
      <c r="H65" s="26"/>
      <c r="N65" s="27"/>
      <c r="O65" s="27"/>
      <c r="AG65" s="41"/>
      <c r="AH65" s="41"/>
      <c r="AK65" s="28"/>
      <c r="AL65" s="29"/>
      <c r="AM65" s="34" t="s">
        <v>76</v>
      </c>
    </row>
    <row r="66" spans="3:39" ht="18" customHeight="1" x14ac:dyDescent="0.25">
      <c r="C66" s="69"/>
      <c r="H66" s="26"/>
      <c r="N66" s="27"/>
      <c r="O66" s="27"/>
      <c r="AG66" s="41"/>
      <c r="AH66" s="41"/>
      <c r="AK66" s="28"/>
      <c r="AL66" s="29"/>
      <c r="AM66" s="34" t="s">
        <v>76</v>
      </c>
    </row>
    <row r="67" spans="3:39" ht="18" customHeight="1" x14ac:dyDescent="0.25">
      <c r="C67" s="69"/>
      <c r="H67" s="26"/>
      <c r="N67" s="27"/>
      <c r="O67" s="27"/>
      <c r="AG67" s="41"/>
      <c r="AH67" s="41"/>
      <c r="AK67" s="28"/>
      <c r="AL67" s="29"/>
      <c r="AM67" s="34" t="s">
        <v>76</v>
      </c>
    </row>
    <row r="68" spans="3:39" ht="18" customHeight="1" x14ac:dyDescent="0.25">
      <c r="C68" s="69"/>
      <c r="H68" s="26"/>
      <c r="N68" s="27"/>
      <c r="O68" s="27"/>
      <c r="AG68" s="41"/>
      <c r="AH68" s="41"/>
      <c r="AK68" s="28"/>
      <c r="AL68" s="29"/>
      <c r="AM68" s="34" t="s">
        <v>76</v>
      </c>
    </row>
    <row r="69" spans="3:39" ht="18" customHeight="1" x14ac:dyDescent="0.25">
      <c r="C69" s="69"/>
      <c r="H69" s="26"/>
      <c r="N69" s="27"/>
      <c r="O69" s="27"/>
      <c r="AG69" s="41"/>
      <c r="AH69" s="41"/>
      <c r="AK69" s="28"/>
      <c r="AL69" s="29"/>
      <c r="AM69" s="34" t="s">
        <v>76</v>
      </c>
    </row>
    <row r="70" spans="3:39" ht="18" customHeight="1" x14ac:dyDescent="0.25">
      <c r="C70" s="69"/>
      <c r="H70" s="26"/>
      <c r="N70" s="27"/>
      <c r="O70" s="27"/>
      <c r="AG70" s="41"/>
      <c r="AH70" s="41"/>
      <c r="AK70" s="28"/>
      <c r="AL70" s="29"/>
      <c r="AM70" s="34" t="s">
        <v>76</v>
      </c>
    </row>
    <row r="71" spans="3:39" ht="18" customHeight="1" x14ac:dyDescent="0.25">
      <c r="C71" s="69"/>
      <c r="H71" s="26"/>
      <c r="N71" s="27"/>
      <c r="O71" s="27"/>
      <c r="AG71" s="41"/>
      <c r="AH71" s="41"/>
      <c r="AK71" s="28"/>
      <c r="AL71" s="29"/>
      <c r="AM71" s="34" t="s">
        <v>76</v>
      </c>
    </row>
    <row r="72" spans="3:39" ht="18" customHeight="1" x14ac:dyDescent="0.25">
      <c r="C72" s="69"/>
      <c r="H72" s="26"/>
      <c r="N72" s="27"/>
      <c r="O72" s="27"/>
      <c r="AG72" s="41"/>
      <c r="AH72" s="41"/>
      <c r="AK72" s="28"/>
      <c r="AL72" s="29"/>
      <c r="AM72" s="34" t="s">
        <v>76</v>
      </c>
    </row>
    <row r="73" spans="3:39" ht="18" customHeight="1" x14ac:dyDescent="0.25">
      <c r="C73" s="69"/>
      <c r="H73" s="26"/>
      <c r="N73" s="27"/>
      <c r="O73" s="27"/>
      <c r="AG73" s="41"/>
      <c r="AH73" s="41"/>
      <c r="AK73" s="28"/>
      <c r="AL73" s="29"/>
      <c r="AM73" s="34" t="s">
        <v>76</v>
      </c>
    </row>
    <row r="74" spans="3:39" ht="18" customHeight="1" x14ac:dyDescent="0.25">
      <c r="C74" s="69"/>
      <c r="H74" s="26"/>
      <c r="N74" s="27"/>
      <c r="O74" s="27"/>
      <c r="AG74" s="41"/>
      <c r="AH74" s="41"/>
      <c r="AK74" s="28"/>
      <c r="AL74" s="29"/>
      <c r="AM74" s="34" t="s">
        <v>76</v>
      </c>
    </row>
    <row r="75" spans="3:39" ht="18" customHeight="1" x14ac:dyDescent="0.25">
      <c r="C75" s="69"/>
      <c r="H75" s="26"/>
      <c r="N75" s="27"/>
      <c r="O75" s="27"/>
      <c r="AG75" s="41"/>
      <c r="AH75" s="41"/>
      <c r="AK75" s="28"/>
      <c r="AL75" s="29"/>
      <c r="AM75" s="34" t="s">
        <v>76</v>
      </c>
    </row>
    <row r="76" spans="3:39" ht="18" customHeight="1" x14ac:dyDescent="0.25">
      <c r="C76" s="69"/>
      <c r="H76" s="26"/>
      <c r="N76" s="27"/>
      <c r="O76" s="27"/>
      <c r="AG76" s="41"/>
      <c r="AH76" s="41"/>
      <c r="AK76" s="28"/>
      <c r="AL76" s="29"/>
      <c r="AM76" s="34" t="s">
        <v>76</v>
      </c>
    </row>
    <row r="77" spans="3:39" ht="18" customHeight="1" x14ac:dyDescent="0.25">
      <c r="C77" s="69"/>
      <c r="H77" s="26"/>
      <c r="N77" s="27"/>
      <c r="O77" s="27"/>
      <c r="AG77" s="41"/>
      <c r="AH77" s="41"/>
      <c r="AK77" s="28"/>
      <c r="AL77" s="29"/>
      <c r="AM77" s="34" t="s">
        <v>76</v>
      </c>
    </row>
    <row r="78" spans="3:39" ht="18" customHeight="1" x14ac:dyDescent="0.25">
      <c r="C78" s="69"/>
      <c r="H78" s="26"/>
      <c r="N78" s="27"/>
      <c r="O78" s="27"/>
      <c r="AG78" s="41"/>
      <c r="AH78" s="41"/>
      <c r="AK78" s="28"/>
      <c r="AL78" s="29"/>
      <c r="AM78" s="34" t="s">
        <v>76</v>
      </c>
    </row>
    <row r="79" spans="3:39" ht="18" customHeight="1" x14ac:dyDescent="0.25">
      <c r="C79" s="69"/>
      <c r="H79" s="26"/>
      <c r="N79" s="27"/>
      <c r="O79" s="27"/>
      <c r="AG79" s="41"/>
      <c r="AH79" s="41"/>
      <c r="AK79" s="28"/>
      <c r="AL79" s="29"/>
      <c r="AM79" s="34" t="s">
        <v>76</v>
      </c>
    </row>
    <row r="80" spans="3:39" ht="18" customHeight="1" x14ac:dyDescent="0.25">
      <c r="C80" s="69"/>
      <c r="H80" s="26"/>
      <c r="N80" s="27"/>
      <c r="O80" s="27"/>
      <c r="AG80" s="41"/>
      <c r="AH80" s="41"/>
      <c r="AK80" s="28"/>
      <c r="AL80" s="29"/>
      <c r="AM80" s="34" t="s">
        <v>76</v>
      </c>
    </row>
    <row r="81" spans="3:39" ht="18" customHeight="1" x14ac:dyDescent="0.25">
      <c r="C81" s="69"/>
      <c r="H81" s="26"/>
      <c r="N81" s="27"/>
      <c r="O81" s="27"/>
      <c r="AG81" s="41"/>
      <c r="AH81" s="41"/>
      <c r="AK81" s="28"/>
      <c r="AL81" s="29"/>
      <c r="AM81" s="34" t="s">
        <v>76</v>
      </c>
    </row>
    <row r="82" spans="3:39" ht="18" customHeight="1" x14ac:dyDescent="0.25">
      <c r="C82" s="69"/>
      <c r="H82" s="26"/>
      <c r="N82" s="27"/>
      <c r="O82" s="27"/>
      <c r="AG82" s="41"/>
      <c r="AH82" s="41"/>
      <c r="AK82" s="28"/>
      <c r="AL82" s="29"/>
      <c r="AM82" s="34" t="s">
        <v>76</v>
      </c>
    </row>
    <row r="83" spans="3:39" ht="18" customHeight="1" x14ac:dyDescent="0.25">
      <c r="C83" s="69"/>
      <c r="H83" s="26"/>
      <c r="N83" s="27"/>
      <c r="O83" s="27"/>
      <c r="AG83" s="41"/>
      <c r="AH83" s="41"/>
      <c r="AK83" s="28"/>
      <c r="AL83" s="29"/>
      <c r="AM83" s="34" t="s">
        <v>76</v>
      </c>
    </row>
    <row r="84" spans="3:39" ht="18" customHeight="1" x14ac:dyDescent="0.25">
      <c r="C84" s="69"/>
      <c r="H84" s="26"/>
      <c r="N84" s="27"/>
      <c r="O84" s="27"/>
      <c r="AG84" s="41"/>
      <c r="AH84" s="41"/>
      <c r="AK84" s="28"/>
      <c r="AL84" s="29"/>
      <c r="AM84" s="34" t="s">
        <v>76</v>
      </c>
    </row>
    <row r="85" spans="3:39" ht="18" customHeight="1" x14ac:dyDescent="0.25">
      <c r="C85" s="69"/>
      <c r="H85" s="26"/>
      <c r="N85" s="27"/>
      <c r="O85" s="27"/>
      <c r="AG85" s="41"/>
      <c r="AH85" s="41"/>
      <c r="AK85" s="28"/>
      <c r="AL85" s="29"/>
      <c r="AM85" s="34" t="s">
        <v>76</v>
      </c>
    </row>
    <row r="86" spans="3:39" ht="18" customHeight="1" x14ac:dyDescent="0.25">
      <c r="C86" s="69"/>
      <c r="H86" s="26"/>
      <c r="N86" s="27"/>
      <c r="O86" s="27"/>
      <c r="AG86" s="41"/>
      <c r="AH86" s="41"/>
      <c r="AK86" s="28"/>
      <c r="AL86" s="29"/>
      <c r="AM86" s="34" t="s">
        <v>76</v>
      </c>
    </row>
    <row r="87" spans="3:39" ht="18" customHeight="1" x14ac:dyDescent="0.25">
      <c r="C87" s="69"/>
      <c r="H87" s="26"/>
      <c r="N87" s="27"/>
      <c r="O87" s="27"/>
      <c r="AG87" s="41"/>
      <c r="AH87" s="41"/>
      <c r="AK87" s="28"/>
      <c r="AL87" s="29"/>
      <c r="AM87" s="34" t="s">
        <v>76</v>
      </c>
    </row>
    <row r="88" spans="3:39" ht="18" customHeight="1" x14ac:dyDescent="0.25">
      <c r="C88" s="69"/>
      <c r="H88" s="26"/>
      <c r="N88" s="27"/>
      <c r="O88" s="27"/>
      <c r="AG88" s="41"/>
      <c r="AH88" s="41"/>
      <c r="AK88" s="28"/>
      <c r="AL88" s="29"/>
      <c r="AM88" s="34" t="s">
        <v>76</v>
      </c>
    </row>
    <row r="89" spans="3:39" ht="18" customHeight="1" x14ac:dyDescent="0.25">
      <c r="C89" s="69"/>
      <c r="H89" s="26"/>
      <c r="N89" s="27"/>
      <c r="O89" s="27"/>
      <c r="AG89" s="41"/>
      <c r="AH89" s="41"/>
      <c r="AK89" s="28"/>
      <c r="AL89" s="29"/>
      <c r="AM89" s="34" t="s">
        <v>76</v>
      </c>
    </row>
    <row r="90" spans="3:39" ht="18" customHeight="1" x14ac:dyDescent="0.25">
      <c r="C90" s="69"/>
      <c r="H90" s="26"/>
      <c r="N90" s="27"/>
      <c r="O90" s="27"/>
      <c r="AG90" s="41"/>
      <c r="AH90" s="41"/>
      <c r="AK90" s="28"/>
      <c r="AL90" s="29"/>
      <c r="AM90" s="34" t="s">
        <v>76</v>
      </c>
    </row>
    <row r="91" spans="3:39" ht="18" customHeight="1" x14ac:dyDescent="0.25">
      <c r="C91" s="69"/>
      <c r="H91" s="26"/>
      <c r="N91" s="27"/>
      <c r="O91" s="27"/>
      <c r="AG91" s="41"/>
      <c r="AH91" s="41"/>
      <c r="AK91" s="28"/>
      <c r="AL91" s="29"/>
      <c r="AM91" s="34" t="s">
        <v>76</v>
      </c>
    </row>
    <row r="92" spans="3:39" ht="18" customHeight="1" x14ac:dyDescent="0.25">
      <c r="C92" s="69"/>
      <c r="H92" s="26"/>
      <c r="N92" s="27"/>
      <c r="O92" s="27"/>
      <c r="AG92" s="41"/>
      <c r="AH92" s="41"/>
      <c r="AK92" s="28"/>
      <c r="AL92" s="29"/>
      <c r="AM92" s="34" t="s">
        <v>76</v>
      </c>
    </row>
    <row r="93" spans="3:39" ht="18" customHeight="1" x14ac:dyDescent="0.25">
      <c r="C93" s="69"/>
      <c r="H93" s="26"/>
      <c r="N93" s="27"/>
      <c r="O93" s="27"/>
      <c r="AG93" s="41"/>
      <c r="AH93" s="41"/>
      <c r="AK93" s="28"/>
      <c r="AL93" s="29"/>
      <c r="AM93" s="34" t="s">
        <v>76</v>
      </c>
    </row>
    <row r="94" spans="3:39" ht="18" customHeight="1" x14ac:dyDescent="0.25">
      <c r="C94" s="69"/>
      <c r="H94" s="26"/>
      <c r="N94" s="27"/>
      <c r="O94" s="27"/>
      <c r="AG94" s="41"/>
      <c r="AH94" s="41"/>
      <c r="AK94" s="28"/>
      <c r="AL94" s="29"/>
      <c r="AM94" s="34" t="s">
        <v>76</v>
      </c>
    </row>
    <row r="95" spans="3:39" ht="18" customHeight="1" x14ac:dyDescent="0.25">
      <c r="C95" s="69"/>
      <c r="H95" s="26"/>
      <c r="N95" s="27"/>
      <c r="O95" s="27"/>
      <c r="AG95" s="41"/>
      <c r="AH95" s="41"/>
      <c r="AK95" s="28"/>
      <c r="AL95" s="29"/>
      <c r="AM95" s="34" t="s">
        <v>76</v>
      </c>
    </row>
    <row r="96" spans="3:39" ht="18" customHeight="1" x14ac:dyDescent="0.25">
      <c r="C96" s="69"/>
      <c r="H96" s="26"/>
      <c r="N96" s="27"/>
      <c r="O96" s="27"/>
      <c r="AG96" s="41"/>
      <c r="AH96" s="41"/>
      <c r="AK96" s="28"/>
      <c r="AL96" s="29"/>
      <c r="AM96" s="34" t="s">
        <v>76</v>
      </c>
    </row>
    <row r="97" spans="3:39" ht="18" customHeight="1" x14ac:dyDescent="0.25">
      <c r="C97" s="69"/>
      <c r="H97" s="26"/>
      <c r="N97" s="27"/>
      <c r="O97" s="27"/>
      <c r="AG97" s="41"/>
      <c r="AH97" s="41"/>
      <c r="AK97" s="28"/>
      <c r="AL97" s="29"/>
      <c r="AM97" s="34" t="s">
        <v>76</v>
      </c>
    </row>
    <row r="98" spans="3:39" ht="18" customHeight="1" x14ac:dyDescent="0.25">
      <c r="C98" s="69"/>
      <c r="H98" s="26"/>
      <c r="N98" s="27"/>
      <c r="O98" s="27"/>
      <c r="AG98" s="41"/>
      <c r="AH98" s="41"/>
      <c r="AK98" s="28"/>
      <c r="AL98" s="29"/>
      <c r="AM98" s="34" t="s">
        <v>76</v>
      </c>
    </row>
    <row r="99" spans="3:39" ht="18" customHeight="1" x14ac:dyDescent="0.25">
      <c r="C99" s="69"/>
      <c r="H99" s="26"/>
      <c r="N99" s="27"/>
      <c r="O99" s="27"/>
      <c r="AG99" s="41"/>
      <c r="AH99" s="41"/>
      <c r="AK99" s="28"/>
      <c r="AL99" s="29"/>
      <c r="AM99" s="34" t="s">
        <v>76</v>
      </c>
    </row>
    <row r="100" spans="3:39" ht="18" customHeight="1" x14ac:dyDescent="0.25">
      <c r="C100" s="69"/>
      <c r="H100" s="26"/>
      <c r="N100" s="27"/>
      <c r="O100" s="27"/>
      <c r="AG100" s="41"/>
      <c r="AH100" s="41"/>
      <c r="AK100" s="28"/>
      <c r="AL100" s="29"/>
      <c r="AM100" s="34" t="s">
        <v>76</v>
      </c>
    </row>
    <row r="101" spans="3:39" ht="18" customHeight="1" x14ac:dyDescent="0.25">
      <c r="C101" s="69"/>
      <c r="H101" s="26"/>
      <c r="N101" s="27"/>
      <c r="O101" s="27"/>
      <c r="AG101" s="41"/>
      <c r="AH101" s="41"/>
      <c r="AK101" s="28"/>
      <c r="AL101" s="29"/>
      <c r="AM101" s="34" t="s">
        <v>76</v>
      </c>
    </row>
    <row r="102" spans="3:39" ht="18" customHeight="1" x14ac:dyDescent="0.25">
      <c r="C102" s="69"/>
      <c r="H102" s="26"/>
      <c r="N102" s="27"/>
      <c r="O102" s="27"/>
      <c r="AG102" s="41"/>
      <c r="AH102" s="41"/>
      <c r="AK102" s="28"/>
      <c r="AL102" s="29"/>
      <c r="AM102" s="34" t="s">
        <v>76</v>
      </c>
    </row>
    <row r="103" spans="3:39" ht="18" customHeight="1" x14ac:dyDescent="0.25">
      <c r="C103" s="69"/>
      <c r="H103" s="26"/>
      <c r="N103" s="27"/>
      <c r="O103" s="27"/>
      <c r="AG103" s="41"/>
      <c r="AH103" s="41"/>
      <c r="AK103" s="28"/>
      <c r="AL103" s="29"/>
      <c r="AM103" s="34" t="s">
        <v>76</v>
      </c>
    </row>
    <row r="104" spans="3:39" ht="18" customHeight="1" x14ac:dyDescent="0.25">
      <c r="C104" s="69"/>
      <c r="H104" s="26"/>
      <c r="N104" s="27"/>
      <c r="O104" s="27"/>
      <c r="AG104" s="41"/>
      <c r="AH104" s="41"/>
      <c r="AK104" s="28"/>
      <c r="AL104" s="29"/>
      <c r="AM104" s="34" t="s">
        <v>76</v>
      </c>
    </row>
    <row r="105" spans="3:39" ht="18" customHeight="1" x14ac:dyDescent="0.25">
      <c r="C105" s="69"/>
      <c r="H105" s="26"/>
      <c r="N105" s="27"/>
      <c r="O105" s="27"/>
      <c r="AG105" s="41"/>
      <c r="AH105" s="41"/>
      <c r="AK105" s="28"/>
      <c r="AL105" s="29"/>
      <c r="AM105" s="34" t="s">
        <v>76</v>
      </c>
    </row>
    <row r="106" spans="3:39" ht="18" customHeight="1" x14ac:dyDescent="0.25">
      <c r="C106" s="69"/>
      <c r="H106" s="26"/>
      <c r="N106" s="27"/>
      <c r="O106" s="27"/>
      <c r="AG106" s="41"/>
      <c r="AH106" s="41"/>
      <c r="AK106" s="28"/>
      <c r="AL106" s="29"/>
      <c r="AM106" s="34" t="s">
        <v>76</v>
      </c>
    </row>
    <row r="107" spans="3:39" ht="18" customHeight="1" x14ac:dyDescent="0.25">
      <c r="C107" s="69"/>
      <c r="H107" s="26"/>
      <c r="N107" s="27"/>
      <c r="O107" s="27"/>
      <c r="AG107" s="41"/>
      <c r="AH107" s="41"/>
      <c r="AK107" s="28"/>
      <c r="AL107" s="29"/>
      <c r="AM107" s="34"/>
    </row>
    <row r="108" spans="3:39" ht="18" customHeight="1" x14ac:dyDescent="0.25">
      <c r="C108" s="69"/>
      <c r="H108" s="26"/>
      <c r="N108" s="27"/>
      <c r="O108" s="27"/>
      <c r="AG108" s="41"/>
      <c r="AH108" s="41"/>
      <c r="AK108" s="28"/>
      <c r="AL108" s="29"/>
      <c r="AM108" s="34"/>
    </row>
    <row r="109" spans="3:39" ht="18" customHeight="1" x14ac:dyDescent="0.25">
      <c r="C109" s="69"/>
      <c r="H109" s="26"/>
      <c r="N109" s="27"/>
      <c r="O109" s="27"/>
      <c r="AG109" s="41"/>
      <c r="AH109" s="41"/>
      <c r="AK109" s="28"/>
      <c r="AL109" s="29"/>
      <c r="AM109" s="34"/>
    </row>
    <row r="110" spans="3:39" ht="18" customHeight="1" x14ac:dyDescent="0.25">
      <c r="C110" s="69"/>
      <c r="H110" s="26"/>
      <c r="N110" s="27"/>
      <c r="O110" s="27"/>
      <c r="AG110" s="41"/>
      <c r="AH110" s="41"/>
      <c r="AK110" s="28"/>
      <c r="AL110" s="29"/>
      <c r="AM110" s="34"/>
    </row>
    <row r="111" spans="3:39" ht="18" customHeight="1" x14ac:dyDescent="0.25">
      <c r="C111" s="69"/>
      <c r="H111" s="26"/>
      <c r="N111" s="27"/>
      <c r="O111" s="27"/>
      <c r="AG111" s="41"/>
      <c r="AH111" s="41"/>
      <c r="AK111" s="28"/>
      <c r="AL111" s="29"/>
      <c r="AM111" s="34"/>
    </row>
    <row r="112" spans="3:39" ht="18" customHeight="1" x14ac:dyDescent="0.25">
      <c r="C112" s="69"/>
      <c r="H112" s="26"/>
      <c r="N112" s="27"/>
      <c r="O112" s="27"/>
      <c r="AG112" s="41"/>
      <c r="AH112" s="41"/>
      <c r="AK112" s="28"/>
      <c r="AL112" s="29"/>
      <c r="AM112" s="34"/>
    </row>
    <row r="113" spans="3:39" ht="18" customHeight="1" x14ac:dyDescent="0.25">
      <c r="C113" s="69"/>
      <c r="H113" s="26"/>
      <c r="N113" s="27"/>
      <c r="O113" s="27"/>
      <c r="AG113" s="41"/>
      <c r="AH113" s="41"/>
      <c r="AK113" s="28"/>
      <c r="AL113" s="29"/>
      <c r="AM113" s="34"/>
    </row>
    <row r="114" spans="3:39" ht="18" customHeight="1" x14ac:dyDescent="0.25">
      <c r="C114" s="69"/>
      <c r="H114" s="26"/>
      <c r="N114" s="27"/>
      <c r="O114" s="27"/>
      <c r="AG114" s="41"/>
      <c r="AH114" s="41"/>
      <c r="AK114" s="28"/>
      <c r="AL114" s="29"/>
      <c r="AM114" s="34"/>
    </row>
    <row r="115" spans="3:39" ht="18" customHeight="1" x14ac:dyDescent="0.25">
      <c r="C115" s="69"/>
      <c r="H115" s="26"/>
      <c r="N115" s="27"/>
      <c r="O115" s="27"/>
      <c r="AG115" s="41"/>
      <c r="AH115" s="41"/>
      <c r="AK115" s="28"/>
      <c r="AL115" s="29"/>
      <c r="AM115" s="34"/>
    </row>
    <row r="116" spans="3:39" ht="18" customHeight="1" x14ac:dyDescent="0.25">
      <c r="C116" s="69"/>
      <c r="H116" s="26"/>
      <c r="N116" s="27"/>
      <c r="O116" s="27"/>
      <c r="AG116" s="41"/>
      <c r="AH116" s="41"/>
      <c r="AK116" s="28"/>
      <c r="AL116" s="29"/>
      <c r="AM116" s="34"/>
    </row>
    <row r="117" spans="3:39" ht="18" customHeight="1" x14ac:dyDescent="0.25">
      <c r="C117" s="69"/>
      <c r="H117" s="26"/>
      <c r="N117" s="27"/>
      <c r="O117" s="27"/>
      <c r="AG117" s="41"/>
      <c r="AH117" s="41"/>
      <c r="AK117" s="28"/>
      <c r="AL117" s="29"/>
      <c r="AM117" s="34"/>
    </row>
    <row r="118" spans="3:39" ht="18" customHeight="1" x14ac:dyDescent="0.25">
      <c r="C118" s="69"/>
      <c r="H118" s="26"/>
      <c r="N118" s="27"/>
      <c r="O118" s="27"/>
      <c r="AG118" s="41"/>
      <c r="AH118" s="41"/>
      <c r="AK118" s="28"/>
      <c r="AL118" s="29"/>
      <c r="AM118" s="34"/>
    </row>
    <row r="119" spans="3:39" ht="18" customHeight="1" x14ac:dyDescent="0.25">
      <c r="C119" s="69"/>
      <c r="H119" s="26"/>
      <c r="N119" s="27"/>
      <c r="O119" s="27"/>
      <c r="AG119" s="41"/>
      <c r="AH119" s="41"/>
      <c r="AK119" s="28"/>
      <c r="AL119" s="29"/>
      <c r="AM119" s="34"/>
    </row>
    <row r="120" spans="3:39" ht="18" customHeight="1" x14ac:dyDescent="0.25">
      <c r="C120" s="69"/>
      <c r="H120" s="26"/>
      <c r="N120" s="27"/>
      <c r="O120" s="27"/>
      <c r="AG120" s="41"/>
      <c r="AH120" s="41"/>
      <c r="AK120" s="28"/>
      <c r="AL120" s="29"/>
      <c r="AM120" s="34"/>
    </row>
    <row r="121" spans="3:39" ht="18" customHeight="1" x14ac:dyDescent="0.25">
      <c r="C121" s="69"/>
      <c r="H121" s="26"/>
      <c r="N121" s="27"/>
      <c r="O121" s="27"/>
      <c r="AG121" s="41"/>
      <c r="AH121" s="41"/>
      <c r="AK121" s="28"/>
      <c r="AL121" s="29"/>
      <c r="AM121" s="34"/>
    </row>
    <row r="122" spans="3:39" ht="18" customHeight="1" x14ac:dyDescent="0.25">
      <c r="C122" s="69"/>
      <c r="H122" s="26"/>
      <c r="N122" s="27"/>
      <c r="O122" s="27"/>
      <c r="AG122" s="41"/>
      <c r="AH122" s="41"/>
      <c r="AK122" s="28"/>
      <c r="AL122" s="29"/>
      <c r="AM122" s="34"/>
    </row>
    <row r="123" spans="3:39" ht="18" customHeight="1" x14ac:dyDescent="0.25">
      <c r="C123" s="69"/>
      <c r="H123" s="26"/>
      <c r="N123" s="27"/>
      <c r="O123" s="27"/>
      <c r="AG123" s="41"/>
      <c r="AH123" s="41"/>
      <c r="AK123" s="28"/>
      <c r="AL123" s="29"/>
      <c r="AM123" s="34"/>
    </row>
    <row r="124" spans="3:39" ht="18" customHeight="1" x14ac:dyDescent="0.25">
      <c r="C124" s="69"/>
      <c r="H124" s="26"/>
      <c r="N124" s="27"/>
      <c r="O124" s="27"/>
      <c r="AG124" s="41"/>
      <c r="AH124" s="41"/>
      <c r="AK124" s="28"/>
      <c r="AL124" s="29"/>
      <c r="AM124" s="34"/>
    </row>
    <row r="125" spans="3:39" ht="18" customHeight="1" x14ac:dyDescent="0.25">
      <c r="C125" s="69"/>
      <c r="H125" s="26"/>
      <c r="N125" s="27"/>
      <c r="O125" s="27"/>
      <c r="AG125" s="41"/>
      <c r="AH125" s="41"/>
      <c r="AK125" s="28"/>
      <c r="AL125" s="29"/>
      <c r="AM125" s="34"/>
    </row>
    <row r="126" spans="3:39" ht="18" customHeight="1" x14ac:dyDescent="0.25">
      <c r="C126" s="69"/>
      <c r="H126" s="26"/>
      <c r="N126" s="27"/>
      <c r="O126" s="27"/>
      <c r="AG126" s="41"/>
      <c r="AH126" s="41"/>
      <c r="AK126" s="28"/>
      <c r="AL126" s="29"/>
      <c r="AM126" s="34"/>
    </row>
    <row r="127" spans="3:39" ht="18" customHeight="1" x14ac:dyDescent="0.25">
      <c r="C127" s="69"/>
      <c r="H127" s="26"/>
      <c r="N127" s="27"/>
      <c r="O127" s="27"/>
      <c r="AG127" s="41"/>
      <c r="AH127" s="41"/>
      <c r="AK127" s="28"/>
      <c r="AL127" s="29"/>
      <c r="AM127" s="34"/>
    </row>
    <row r="128" spans="3:39" ht="18" customHeight="1" x14ac:dyDescent="0.25">
      <c r="C128" s="69"/>
      <c r="H128" s="26"/>
      <c r="N128" s="27"/>
      <c r="O128" s="27"/>
      <c r="AG128" s="41"/>
      <c r="AH128" s="41"/>
      <c r="AK128" s="28"/>
      <c r="AL128" s="29"/>
      <c r="AM128" s="34"/>
    </row>
    <row r="129" spans="3:39" ht="18" customHeight="1" x14ac:dyDescent="0.25">
      <c r="C129" s="69"/>
      <c r="H129" s="26"/>
      <c r="N129" s="27"/>
      <c r="O129" s="27"/>
      <c r="AG129" s="41"/>
      <c r="AH129" s="41"/>
      <c r="AK129" s="28"/>
      <c r="AL129" s="29"/>
      <c r="AM129" s="34"/>
    </row>
    <row r="130" spans="3:39" ht="18" customHeight="1" x14ac:dyDescent="0.25">
      <c r="C130" s="69"/>
      <c r="H130" s="26"/>
      <c r="N130" s="27"/>
      <c r="O130" s="27"/>
      <c r="AG130" s="41"/>
      <c r="AH130" s="41"/>
      <c r="AK130" s="28"/>
      <c r="AL130" s="29"/>
      <c r="AM130" s="34"/>
    </row>
    <row r="131" spans="3:39" ht="18" customHeight="1" x14ac:dyDescent="0.25">
      <c r="C131" s="69"/>
      <c r="H131" s="26"/>
      <c r="N131" s="27"/>
      <c r="O131" s="27"/>
      <c r="AG131" s="41"/>
      <c r="AH131" s="41"/>
      <c r="AK131" s="28"/>
      <c r="AL131" s="29"/>
      <c r="AM131" s="34"/>
    </row>
    <row r="132" spans="3:39" ht="18" customHeight="1" x14ac:dyDescent="0.25">
      <c r="C132" s="69"/>
      <c r="H132" s="26"/>
      <c r="N132" s="27"/>
      <c r="O132" s="27"/>
      <c r="AG132" s="41"/>
      <c r="AH132" s="41"/>
      <c r="AK132" s="28"/>
      <c r="AL132" s="29"/>
      <c r="AM132" s="34"/>
    </row>
    <row r="133" spans="3:39" ht="18" customHeight="1" x14ac:dyDescent="0.25">
      <c r="C133" s="69"/>
      <c r="H133" s="26"/>
      <c r="N133" s="27"/>
      <c r="O133" s="27"/>
      <c r="AG133" s="41"/>
      <c r="AH133" s="41"/>
      <c r="AK133" s="28"/>
      <c r="AL133" s="29"/>
      <c r="AM133" s="34"/>
    </row>
    <row r="134" spans="3:39" ht="18" customHeight="1" x14ac:dyDescent="0.25">
      <c r="C134" s="26"/>
      <c r="H134" s="26"/>
      <c r="N134" s="27"/>
      <c r="O134" s="27"/>
      <c r="AG134" s="41"/>
      <c r="AH134" s="41"/>
      <c r="AK134" s="28"/>
      <c r="AL134" s="29"/>
      <c r="AM134" s="34"/>
    </row>
    <row r="135" spans="3:39" ht="18" customHeight="1" x14ac:dyDescent="0.25">
      <c r="C135" s="26"/>
      <c r="H135" s="26"/>
      <c r="N135" s="27"/>
      <c r="O135" s="27"/>
      <c r="AG135" s="41"/>
      <c r="AH135" s="41"/>
      <c r="AK135" s="28"/>
      <c r="AL135" s="29"/>
      <c r="AM135" s="34"/>
    </row>
    <row r="136" spans="3:39" ht="18" customHeight="1" x14ac:dyDescent="0.25">
      <c r="C136" s="26"/>
      <c r="H136" s="26"/>
      <c r="N136" s="27"/>
      <c r="O136" s="27"/>
      <c r="AG136" s="41"/>
      <c r="AH136" s="41"/>
      <c r="AK136" s="28"/>
      <c r="AL136" s="29"/>
      <c r="AM136" s="34"/>
    </row>
    <row r="137" spans="3:39" ht="18" customHeight="1" x14ac:dyDescent="0.25">
      <c r="C137" s="26"/>
      <c r="H137" s="26"/>
      <c r="N137" s="27"/>
      <c r="O137" s="27"/>
      <c r="AG137" s="41"/>
      <c r="AH137" s="41"/>
      <c r="AK137" s="28"/>
      <c r="AL137" s="29"/>
      <c r="AM137" s="34"/>
    </row>
    <row r="138" spans="3:39" ht="18" customHeight="1" x14ac:dyDescent="0.25">
      <c r="C138" s="26"/>
      <c r="H138" s="26"/>
      <c r="N138" s="27"/>
      <c r="O138" s="27"/>
      <c r="AG138" s="41"/>
      <c r="AH138" s="41"/>
      <c r="AK138" s="28"/>
      <c r="AL138" s="29"/>
      <c r="AM138" s="34"/>
    </row>
    <row r="139" spans="3:39" ht="18" customHeight="1" x14ac:dyDescent="0.25">
      <c r="C139" s="26"/>
      <c r="H139" s="26"/>
      <c r="N139" s="27"/>
      <c r="O139" s="27"/>
      <c r="AG139" s="41"/>
      <c r="AH139" s="41"/>
      <c r="AK139" s="28"/>
      <c r="AL139" s="29"/>
      <c r="AM139" s="34"/>
    </row>
    <row r="140" spans="3:39" ht="18" customHeight="1" x14ac:dyDescent="0.25">
      <c r="C140" s="26"/>
      <c r="H140" s="26"/>
      <c r="N140" s="27"/>
      <c r="O140" s="27"/>
      <c r="AG140" s="41"/>
      <c r="AH140" s="41"/>
      <c r="AK140" s="28"/>
      <c r="AL140" s="29"/>
      <c r="AM140" s="34"/>
    </row>
    <row r="141" spans="3:39" ht="18" customHeight="1" x14ac:dyDescent="0.25">
      <c r="C141" s="26"/>
      <c r="H141" s="26"/>
      <c r="N141" s="27"/>
      <c r="O141" s="27"/>
      <c r="AG141" s="41"/>
      <c r="AH141" s="41"/>
      <c r="AK141" s="28"/>
      <c r="AL141" s="29"/>
      <c r="AM141" s="34"/>
    </row>
    <row r="142" spans="3:39" ht="18" customHeight="1" x14ac:dyDescent="0.25">
      <c r="C142" s="26"/>
      <c r="H142" s="26"/>
      <c r="N142" s="27"/>
      <c r="O142" s="27"/>
      <c r="AG142" s="41"/>
      <c r="AH142" s="41"/>
      <c r="AK142" s="28"/>
      <c r="AL142" s="29"/>
      <c r="AM142" s="34"/>
    </row>
    <row r="143" spans="3:39" ht="18" customHeight="1" x14ac:dyDescent="0.25">
      <c r="C143" s="26"/>
      <c r="H143" s="26"/>
      <c r="N143" s="27"/>
      <c r="O143" s="27"/>
      <c r="AG143" s="41"/>
      <c r="AH143" s="41"/>
      <c r="AK143" s="28"/>
      <c r="AL143" s="29"/>
      <c r="AM143" s="34"/>
    </row>
    <row r="144" spans="3:39" ht="18" customHeight="1" x14ac:dyDescent="0.25">
      <c r="C144" s="26"/>
      <c r="H144" s="26"/>
      <c r="N144" s="27"/>
      <c r="O144" s="27"/>
      <c r="AG144" s="41"/>
      <c r="AH144" s="41"/>
      <c r="AK144" s="28"/>
      <c r="AL144" s="29"/>
      <c r="AM144" s="34"/>
    </row>
    <row r="145" spans="3:39" ht="18" customHeight="1" x14ac:dyDescent="0.25">
      <c r="C145" s="26"/>
      <c r="H145" s="26"/>
      <c r="N145" s="27"/>
      <c r="O145" s="27"/>
      <c r="AG145" s="41"/>
      <c r="AH145" s="41"/>
      <c r="AK145" s="28"/>
      <c r="AL145" s="29"/>
      <c r="AM145" s="34"/>
    </row>
    <row r="146" spans="3:39" ht="18" customHeight="1" x14ac:dyDescent="0.25">
      <c r="C146" s="26"/>
      <c r="H146" s="26"/>
      <c r="N146" s="27"/>
      <c r="O146" s="27"/>
      <c r="AG146" s="41"/>
      <c r="AH146" s="41"/>
      <c r="AK146" s="28"/>
      <c r="AL146" s="29"/>
      <c r="AM146" s="34"/>
    </row>
    <row r="147" spans="3:39" ht="18" customHeight="1" x14ac:dyDescent="0.25">
      <c r="C147" s="26"/>
      <c r="H147" s="26"/>
      <c r="N147" s="27"/>
      <c r="O147" s="27"/>
      <c r="AG147" s="41"/>
      <c r="AH147" s="41"/>
      <c r="AK147" s="28"/>
      <c r="AL147" s="29"/>
      <c r="AM147" s="34"/>
    </row>
    <row r="148" spans="3:39" ht="18" customHeight="1" x14ac:dyDescent="0.25">
      <c r="C148" s="26"/>
      <c r="AG148" s="41"/>
      <c r="AH148" s="41"/>
      <c r="AK148" s="28"/>
      <c r="AL148" s="29"/>
      <c r="AM148" s="34"/>
    </row>
    <row r="149" spans="3:39" ht="18" customHeight="1" x14ac:dyDescent="0.25">
      <c r="C149" s="26"/>
      <c r="AG149" s="41"/>
      <c r="AH149" s="41"/>
      <c r="AK149" s="28"/>
      <c r="AL149" s="29"/>
      <c r="AM149" s="34"/>
    </row>
    <row r="150" spans="3:39" ht="18" customHeight="1" x14ac:dyDescent="0.25">
      <c r="C150" s="26"/>
      <c r="AG150" s="41"/>
      <c r="AH150" s="41"/>
      <c r="AK150" s="28"/>
      <c r="AL150" s="29"/>
      <c r="AM150" s="34"/>
    </row>
    <row r="151" spans="3:39" ht="18" customHeight="1" x14ac:dyDescent="0.25">
      <c r="C151" s="26"/>
      <c r="AG151" s="41"/>
      <c r="AH151" s="41"/>
      <c r="AK151" s="28"/>
      <c r="AL151" s="29"/>
      <c r="AM151" s="34"/>
    </row>
    <row r="152" spans="3:39" ht="18" customHeight="1" x14ac:dyDescent="0.25">
      <c r="C152" s="26"/>
      <c r="AG152" s="41"/>
      <c r="AH152" s="41"/>
      <c r="AK152" s="28"/>
      <c r="AL152" s="29"/>
      <c r="AM152" s="34"/>
    </row>
    <row r="153" spans="3:39" ht="18" customHeight="1" x14ac:dyDescent="0.25">
      <c r="C153" s="26"/>
      <c r="AG153" s="41"/>
      <c r="AH153" s="41"/>
      <c r="AK153" s="28"/>
      <c r="AL153" s="29"/>
      <c r="AM153" s="34"/>
    </row>
    <row r="154" spans="3:39" ht="18" customHeight="1" x14ac:dyDescent="0.25">
      <c r="H154" s="26"/>
      <c r="N154" s="27"/>
      <c r="O154" s="27"/>
      <c r="AG154" s="41"/>
      <c r="AH154" s="41"/>
      <c r="AK154" s="28"/>
      <c r="AL154" s="29"/>
      <c r="AM154" s="34"/>
    </row>
    <row r="155" spans="3:39" ht="18" customHeight="1" x14ac:dyDescent="0.25">
      <c r="H155" s="26"/>
      <c r="N155" s="27"/>
      <c r="O155" s="27"/>
      <c r="AG155" s="41"/>
      <c r="AH155" s="41"/>
      <c r="AK155" s="28"/>
      <c r="AL155" s="29"/>
      <c r="AM155" s="34"/>
    </row>
    <row r="156" spans="3:39" ht="18" customHeight="1" x14ac:dyDescent="0.25">
      <c r="H156" s="26"/>
      <c r="N156" s="27"/>
      <c r="O156" s="27"/>
      <c r="AG156" s="41"/>
      <c r="AH156" s="41"/>
      <c r="AK156" s="28"/>
      <c r="AL156" s="29"/>
      <c r="AM156" s="34"/>
    </row>
    <row r="157" spans="3:39" ht="18" customHeight="1" x14ac:dyDescent="0.25">
      <c r="H157" s="26"/>
      <c r="N157" s="27"/>
      <c r="O157" s="27"/>
      <c r="AG157" s="41"/>
      <c r="AH157" s="41"/>
      <c r="AK157" s="28"/>
      <c r="AL157" s="29"/>
      <c r="AM157" s="34"/>
    </row>
    <row r="158" spans="3:39" ht="18" customHeight="1" x14ac:dyDescent="0.25">
      <c r="H158" s="26"/>
      <c r="N158" s="27"/>
      <c r="O158" s="27"/>
      <c r="AG158" s="41"/>
      <c r="AH158" s="41"/>
      <c r="AK158" s="28"/>
      <c r="AL158" s="29"/>
      <c r="AM158" s="34"/>
    </row>
    <row r="159" spans="3:39" ht="18" customHeight="1" x14ac:dyDescent="0.25">
      <c r="G159" s="24"/>
      <c r="H159" s="26"/>
      <c r="N159" s="27"/>
      <c r="O159" s="27"/>
      <c r="AG159" s="41"/>
      <c r="AH159" s="41"/>
      <c r="AK159" s="28"/>
      <c r="AL159" s="29"/>
      <c r="AM159" s="34"/>
    </row>
    <row r="160" spans="3:39" ht="18" customHeight="1" x14ac:dyDescent="0.25">
      <c r="H160" s="26"/>
      <c r="N160" s="27"/>
      <c r="O160" s="27"/>
      <c r="AG160" s="41"/>
      <c r="AH160" s="41"/>
      <c r="AK160" s="28"/>
      <c r="AL160" s="29"/>
      <c r="AM160" s="34"/>
    </row>
    <row r="161" spans="8:39" ht="18" customHeight="1" x14ac:dyDescent="0.25">
      <c r="H161" s="26"/>
      <c r="N161" s="27"/>
      <c r="O161" s="27"/>
      <c r="AG161" s="41"/>
      <c r="AH161" s="41"/>
      <c r="AK161" s="28"/>
      <c r="AL161" s="29"/>
      <c r="AM161" s="34"/>
    </row>
    <row r="162" spans="8:39" ht="18" customHeight="1" x14ac:dyDescent="0.25">
      <c r="H162" s="26"/>
      <c r="N162" s="27"/>
      <c r="O162" s="27"/>
      <c r="AG162" s="41"/>
      <c r="AH162" s="41"/>
      <c r="AK162" s="28"/>
      <c r="AL162" s="29"/>
      <c r="AM162" s="34"/>
    </row>
    <row r="163" spans="8:39" ht="18" customHeight="1" x14ac:dyDescent="0.25">
      <c r="H163" s="26"/>
      <c r="N163" s="27"/>
      <c r="O163" s="27"/>
      <c r="AG163" s="41"/>
      <c r="AH163" s="41"/>
      <c r="AK163" s="28"/>
      <c r="AL163" s="29"/>
      <c r="AM163" s="34"/>
    </row>
    <row r="164" spans="8:39" ht="18" customHeight="1" x14ac:dyDescent="0.25">
      <c r="H164" s="26"/>
      <c r="N164" s="27"/>
      <c r="O164" s="27"/>
      <c r="AG164" s="41"/>
      <c r="AH164" s="41"/>
      <c r="AK164" s="28"/>
      <c r="AL164" s="29"/>
      <c r="AM164" s="34"/>
    </row>
    <row r="165" spans="8:39" ht="18" customHeight="1" x14ac:dyDescent="0.25">
      <c r="H165" s="26"/>
      <c r="N165" s="27"/>
      <c r="O165" s="27"/>
      <c r="AG165" s="41"/>
      <c r="AH165" s="41"/>
      <c r="AK165" s="28"/>
      <c r="AL165" s="29"/>
      <c r="AM165" s="34"/>
    </row>
    <row r="166" spans="8:39" ht="18" customHeight="1" x14ac:dyDescent="0.25">
      <c r="H166" s="26"/>
      <c r="N166" s="27"/>
      <c r="O166" s="27"/>
      <c r="AG166" s="41"/>
      <c r="AH166" s="41"/>
      <c r="AK166" s="28"/>
      <c r="AL166" s="29"/>
      <c r="AM166" s="34"/>
    </row>
    <row r="167" spans="8:39" ht="18" customHeight="1" x14ac:dyDescent="0.25">
      <c r="H167" s="26"/>
      <c r="N167" s="27"/>
      <c r="O167" s="27"/>
      <c r="AG167" s="41"/>
      <c r="AH167" s="41"/>
      <c r="AK167" s="28"/>
      <c r="AL167" s="29"/>
      <c r="AM167" s="34"/>
    </row>
    <row r="168" spans="8:39" ht="18" customHeight="1" x14ac:dyDescent="0.25">
      <c r="H168" s="26"/>
      <c r="N168" s="27"/>
      <c r="O168" s="27"/>
      <c r="AG168" s="41"/>
      <c r="AH168" s="41"/>
      <c r="AK168" s="28"/>
      <c r="AL168" s="29"/>
      <c r="AM168" s="34"/>
    </row>
    <row r="169" spans="8:39" ht="18" customHeight="1" x14ac:dyDescent="0.25">
      <c r="H169" s="26"/>
      <c r="N169" s="27"/>
      <c r="O169" s="27"/>
      <c r="AG169" s="41"/>
      <c r="AH169" s="41"/>
      <c r="AK169" s="28"/>
      <c r="AL169" s="29"/>
      <c r="AM169" s="34"/>
    </row>
    <row r="170" spans="8:39" ht="18" customHeight="1" x14ac:dyDescent="0.25">
      <c r="H170" s="26"/>
      <c r="N170" s="27"/>
      <c r="O170" s="27"/>
      <c r="AG170" s="41"/>
      <c r="AH170" s="41"/>
      <c r="AK170" s="28"/>
      <c r="AL170" s="29"/>
      <c r="AM170" s="34"/>
    </row>
    <row r="171" spans="8:39" ht="18" customHeight="1" x14ac:dyDescent="0.25">
      <c r="H171" s="26"/>
      <c r="N171" s="27"/>
      <c r="O171" s="27"/>
      <c r="AG171" s="41"/>
      <c r="AH171" s="41"/>
      <c r="AK171" s="28"/>
      <c r="AL171" s="29"/>
      <c r="AM171" s="34"/>
    </row>
    <row r="172" spans="8:39" ht="18" customHeight="1" x14ac:dyDescent="0.25">
      <c r="H172" s="26"/>
      <c r="N172" s="27"/>
      <c r="O172" s="27"/>
      <c r="AG172" s="41"/>
      <c r="AH172" s="41"/>
      <c r="AK172" s="28"/>
      <c r="AL172" s="29"/>
      <c r="AM172" s="34"/>
    </row>
    <row r="173" spans="8:39" ht="18" customHeight="1" x14ac:dyDescent="0.25">
      <c r="H173" s="26"/>
      <c r="N173" s="27"/>
      <c r="O173" s="27"/>
      <c r="AG173" s="41"/>
      <c r="AH173" s="41"/>
      <c r="AK173" s="28"/>
      <c r="AL173" s="29"/>
      <c r="AM173" s="34"/>
    </row>
    <row r="174" spans="8:39" ht="18" customHeight="1" x14ac:dyDescent="0.25">
      <c r="H174" s="26"/>
      <c r="N174" s="27"/>
      <c r="O174" s="27"/>
      <c r="AG174" s="41"/>
      <c r="AH174" s="41"/>
      <c r="AK174" s="28"/>
      <c r="AL174" s="29"/>
      <c r="AM174" s="34"/>
    </row>
    <row r="175" spans="8:39" ht="18" customHeight="1" x14ac:dyDescent="0.25">
      <c r="H175" s="26"/>
      <c r="N175" s="27"/>
      <c r="O175" s="27"/>
      <c r="AG175" s="41"/>
      <c r="AH175" s="41"/>
      <c r="AK175" s="28"/>
      <c r="AL175" s="29"/>
      <c r="AM175" s="34"/>
    </row>
    <row r="176" spans="8:39" ht="18" customHeight="1" x14ac:dyDescent="0.25">
      <c r="H176" s="26"/>
      <c r="N176" s="27"/>
      <c r="O176" s="27"/>
      <c r="AG176" s="41"/>
      <c r="AH176" s="41"/>
      <c r="AK176" s="28"/>
      <c r="AL176" s="29"/>
      <c r="AM176" s="34"/>
    </row>
    <row r="177" spans="8:39" ht="18" customHeight="1" x14ac:dyDescent="0.25">
      <c r="H177" s="26"/>
      <c r="N177" s="27"/>
      <c r="O177" s="27"/>
      <c r="AG177" s="41"/>
      <c r="AH177" s="41"/>
      <c r="AK177" s="28"/>
      <c r="AL177" s="29"/>
      <c r="AM177" s="34"/>
    </row>
    <row r="178" spans="8:39" ht="18" customHeight="1" x14ac:dyDescent="0.25">
      <c r="H178" s="26"/>
      <c r="N178" s="27"/>
      <c r="O178" s="27"/>
      <c r="AG178" s="41"/>
      <c r="AH178" s="41"/>
      <c r="AK178" s="28"/>
      <c r="AL178" s="29"/>
      <c r="AM178" s="35"/>
    </row>
    <row r="179" spans="8:39" ht="18" customHeight="1" x14ac:dyDescent="0.25">
      <c r="H179" s="26"/>
      <c r="N179" s="27"/>
      <c r="O179" s="27"/>
      <c r="AG179" s="41"/>
      <c r="AH179" s="41"/>
      <c r="AK179" s="28"/>
      <c r="AL179" s="29"/>
      <c r="AM179" s="35"/>
    </row>
    <row r="180" spans="8:39" ht="18" customHeight="1" x14ac:dyDescent="0.25">
      <c r="H180" s="26"/>
      <c r="N180" s="27"/>
      <c r="O180" s="27"/>
      <c r="AG180" s="41"/>
      <c r="AH180" s="41"/>
      <c r="AK180" s="28"/>
      <c r="AL180" s="29"/>
      <c r="AM180" s="35"/>
    </row>
    <row r="181" spans="8:39" ht="18" customHeight="1" x14ac:dyDescent="0.25">
      <c r="H181" s="26"/>
      <c r="N181" s="27"/>
      <c r="O181" s="27"/>
      <c r="AG181" s="41"/>
      <c r="AH181" s="41"/>
      <c r="AK181" s="28"/>
      <c r="AL181" s="29"/>
      <c r="AM181" s="35"/>
    </row>
    <row r="182" spans="8:39" ht="18" customHeight="1" x14ac:dyDescent="0.25">
      <c r="H182" s="26"/>
      <c r="N182" s="27"/>
      <c r="O182" s="27"/>
      <c r="AG182" s="41"/>
      <c r="AH182" s="41"/>
      <c r="AK182" s="28"/>
      <c r="AL182" s="29"/>
      <c r="AM182" s="35"/>
    </row>
    <row r="183" spans="8:39" ht="18" customHeight="1" x14ac:dyDescent="0.25">
      <c r="H183" s="26"/>
      <c r="N183" s="27"/>
      <c r="O183" s="27"/>
      <c r="AG183" s="41"/>
      <c r="AH183" s="41"/>
      <c r="AK183" s="28"/>
      <c r="AL183" s="29"/>
      <c r="AM183" s="35"/>
    </row>
    <row r="184" spans="8:39" ht="18" customHeight="1" x14ac:dyDescent="0.25">
      <c r="H184" s="26"/>
      <c r="N184" s="27"/>
      <c r="O184" s="27"/>
      <c r="AG184" s="41"/>
      <c r="AH184" s="41"/>
      <c r="AK184" s="28"/>
      <c r="AL184" s="29"/>
      <c r="AM184" s="35"/>
    </row>
    <row r="185" spans="8:39" ht="18" customHeight="1" x14ac:dyDescent="0.25">
      <c r="H185" s="26"/>
      <c r="N185" s="27"/>
      <c r="O185" s="27"/>
      <c r="AG185" s="41"/>
      <c r="AH185" s="41"/>
      <c r="AK185" s="28"/>
      <c r="AL185" s="29"/>
      <c r="AM185" s="35"/>
    </row>
    <row r="186" spans="8:39" ht="18" customHeight="1" x14ac:dyDescent="0.25">
      <c r="H186" s="26"/>
      <c r="N186" s="27"/>
      <c r="O186" s="27"/>
      <c r="AG186" s="41"/>
      <c r="AH186" s="41"/>
      <c r="AK186" s="28"/>
      <c r="AL186" s="29"/>
      <c r="AM186" s="35"/>
    </row>
    <row r="187" spans="8:39" ht="18" customHeight="1" x14ac:dyDescent="0.25">
      <c r="H187" s="26"/>
      <c r="N187" s="27"/>
      <c r="O187" s="27"/>
      <c r="AG187" s="41"/>
      <c r="AH187" s="41"/>
      <c r="AK187" s="28"/>
      <c r="AL187" s="29"/>
      <c r="AM187" s="35"/>
    </row>
    <row r="188" spans="8:39" ht="18" customHeight="1" x14ac:dyDescent="0.25">
      <c r="H188" s="26"/>
      <c r="N188" s="27"/>
      <c r="O188" s="27"/>
      <c r="AG188" s="41"/>
      <c r="AH188" s="41"/>
      <c r="AK188" s="28"/>
      <c r="AL188" s="29"/>
      <c r="AM188" s="35"/>
    </row>
    <row r="189" spans="8:39" ht="18" customHeight="1" x14ac:dyDescent="0.25">
      <c r="H189" s="26"/>
      <c r="N189" s="27"/>
      <c r="O189" s="27"/>
      <c r="AG189" s="41"/>
      <c r="AH189" s="41"/>
      <c r="AK189" s="28"/>
      <c r="AL189" s="29"/>
      <c r="AM189" s="35"/>
    </row>
    <row r="190" spans="8:39" ht="18" customHeight="1" x14ac:dyDescent="0.25">
      <c r="H190" s="26"/>
      <c r="N190" s="27"/>
      <c r="O190" s="27"/>
      <c r="AG190" s="41"/>
      <c r="AH190" s="41"/>
      <c r="AK190" s="28"/>
      <c r="AL190" s="29"/>
      <c r="AM190" s="35"/>
    </row>
    <row r="191" spans="8:39" ht="18" customHeight="1" x14ac:dyDescent="0.25">
      <c r="H191" s="26"/>
      <c r="N191" s="27"/>
      <c r="O191" s="27"/>
      <c r="AG191" s="41"/>
      <c r="AH191" s="41"/>
      <c r="AK191" s="28"/>
      <c r="AL191" s="29"/>
      <c r="AM191" s="35"/>
    </row>
    <row r="192" spans="8:39" ht="18" customHeight="1" x14ac:dyDescent="0.25">
      <c r="H192" s="26"/>
      <c r="N192" s="27"/>
      <c r="O192" s="27"/>
      <c r="AG192" s="41"/>
      <c r="AH192" s="41"/>
      <c r="AK192" s="28"/>
      <c r="AL192" s="29"/>
      <c r="AM192" s="35"/>
    </row>
    <row r="193" spans="8:39" ht="18" customHeight="1" x14ac:dyDescent="0.25">
      <c r="H193" s="26"/>
      <c r="N193" s="27"/>
      <c r="O193" s="27"/>
      <c r="AG193" s="41"/>
      <c r="AH193" s="41"/>
      <c r="AK193" s="28"/>
      <c r="AL193" s="29"/>
      <c r="AM193" s="35"/>
    </row>
    <row r="194" spans="8:39" ht="18" customHeight="1" x14ac:dyDescent="0.25">
      <c r="H194" s="26"/>
      <c r="N194" s="27"/>
      <c r="O194" s="27"/>
      <c r="AG194" s="41"/>
      <c r="AH194" s="41"/>
      <c r="AK194" s="28"/>
      <c r="AL194" s="29"/>
      <c r="AM194" s="35"/>
    </row>
    <row r="195" spans="8:39" ht="18" customHeight="1" x14ac:dyDescent="0.25">
      <c r="H195" s="26"/>
      <c r="N195" s="27"/>
      <c r="O195" s="27"/>
      <c r="AG195" s="41"/>
      <c r="AH195" s="41"/>
      <c r="AK195" s="28"/>
      <c r="AL195" s="29"/>
      <c r="AM195" s="35"/>
    </row>
    <row r="196" spans="8:39" ht="18" customHeight="1" x14ac:dyDescent="0.25">
      <c r="H196" s="26"/>
      <c r="N196" s="27"/>
      <c r="O196" s="27"/>
      <c r="AG196" s="41"/>
      <c r="AH196" s="41"/>
      <c r="AK196" s="28"/>
      <c r="AL196" s="29"/>
      <c r="AM196" s="35"/>
    </row>
    <row r="197" spans="8:39" ht="18" customHeight="1" x14ac:dyDescent="0.25">
      <c r="H197" s="26"/>
      <c r="N197" s="27"/>
      <c r="O197" s="27"/>
      <c r="AG197" s="41"/>
      <c r="AH197" s="41"/>
      <c r="AK197" s="28"/>
      <c r="AL197" s="29"/>
      <c r="AM197" s="35"/>
    </row>
    <row r="198" spans="8:39" ht="18" customHeight="1" x14ac:dyDescent="0.25">
      <c r="H198" s="26"/>
      <c r="N198" s="27"/>
      <c r="O198" s="27"/>
      <c r="AG198" s="41"/>
      <c r="AH198" s="41"/>
      <c r="AK198" s="28"/>
      <c r="AL198" s="29"/>
      <c r="AM198" s="35"/>
    </row>
    <row r="199" spans="8:39" ht="18" customHeight="1" x14ac:dyDescent="0.25">
      <c r="H199" s="26"/>
      <c r="N199" s="27"/>
      <c r="O199" s="27"/>
      <c r="AG199" s="41"/>
      <c r="AH199" s="41"/>
      <c r="AK199" s="28"/>
      <c r="AL199" s="29"/>
      <c r="AM199" s="35"/>
    </row>
    <row r="200" spans="8:39" ht="18" customHeight="1" x14ac:dyDescent="0.25">
      <c r="H200" s="26"/>
      <c r="N200" s="27"/>
      <c r="O200" s="27"/>
      <c r="AG200" s="41"/>
      <c r="AH200" s="41"/>
      <c r="AK200" s="28"/>
      <c r="AL200" s="29"/>
      <c r="AM200" s="35"/>
    </row>
    <row r="201" spans="8:39" ht="18" customHeight="1" x14ac:dyDescent="0.25">
      <c r="H201" s="26"/>
      <c r="N201" s="27"/>
      <c r="O201" s="27"/>
      <c r="AG201" s="41"/>
      <c r="AH201" s="41"/>
      <c r="AK201" s="28"/>
      <c r="AL201" s="29"/>
      <c r="AM201" s="35"/>
    </row>
    <row r="202" spans="8:39" ht="18" customHeight="1" x14ac:dyDescent="0.25">
      <c r="H202" s="26"/>
      <c r="N202" s="27"/>
      <c r="O202" s="27"/>
      <c r="AG202" s="41"/>
      <c r="AH202" s="41"/>
      <c r="AK202" s="28"/>
      <c r="AL202" s="29"/>
      <c r="AM202" s="35"/>
    </row>
    <row r="203" spans="8:39" ht="18" customHeight="1" x14ac:dyDescent="0.25">
      <c r="H203" s="26"/>
      <c r="N203" s="27"/>
      <c r="O203" s="27"/>
      <c r="AG203" s="41"/>
      <c r="AH203" s="41"/>
      <c r="AK203" s="28"/>
      <c r="AL203" s="29"/>
      <c r="AM203" s="35"/>
    </row>
    <row r="204" spans="8:39" ht="18" customHeight="1" x14ac:dyDescent="0.25">
      <c r="H204" s="26"/>
      <c r="N204" s="27"/>
      <c r="O204" s="27"/>
      <c r="AG204" s="41"/>
      <c r="AH204" s="41"/>
      <c r="AK204" s="28"/>
      <c r="AL204" s="29"/>
      <c r="AM204" s="35"/>
    </row>
    <row r="205" spans="8:39" ht="18" customHeight="1" x14ac:dyDescent="0.25">
      <c r="H205" s="26"/>
      <c r="N205" s="27"/>
      <c r="O205" s="27"/>
      <c r="AG205" s="41"/>
      <c r="AH205" s="41"/>
      <c r="AK205" s="28"/>
      <c r="AL205" s="29"/>
      <c r="AM205" s="35"/>
    </row>
    <row r="206" spans="8:39" ht="18" customHeight="1" x14ac:dyDescent="0.25">
      <c r="H206" s="26"/>
      <c r="N206" s="27"/>
      <c r="O206" s="27"/>
      <c r="AG206" s="41"/>
      <c r="AH206" s="41"/>
      <c r="AK206" s="28"/>
      <c r="AL206" s="29"/>
      <c r="AM206" s="35"/>
    </row>
    <row r="207" spans="8:39" ht="18" customHeight="1" x14ac:dyDescent="0.25">
      <c r="H207" s="26"/>
      <c r="N207" s="27"/>
      <c r="O207" s="27"/>
      <c r="AG207" s="41"/>
      <c r="AH207" s="41"/>
      <c r="AK207" s="28"/>
      <c r="AL207" s="29"/>
      <c r="AM207" s="35"/>
    </row>
    <row r="208" spans="8:39" ht="18" customHeight="1" x14ac:dyDescent="0.25">
      <c r="H208" s="26"/>
      <c r="N208" s="27"/>
      <c r="O208" s="27"/>
      <c r="AG208" s="41"/>
      <c r="AH208" s="41"/>
      <c r="AK208" s="28"/>
      <c r="AL208" s="29"/>
      <c r="AM208" s="35"/>
    </row>
    <row r="209" spans="3:39" ht="18" customHeight="1" x14ac:dyDescent="0.25">
      <c r="H209" s="26"/>
      <c r="N209" s="27"/>
      <c r="O209" s="27"/>
      <c r="AG209" s="41"/>
      <c r="AH209" s="41"/>
      <c r="AK209" s="28"/>
      <c r="AL209" s="29"/>
      <c r="AM209" s="35"/>
    </row>
    <row r="210" spans="3:39" ht="18" customHeight="1" x14ac:dyDescent="0.25">
      <c r="H210" s="26"/>
      <c r="N210" s="27"/>
      <c r="O210" s="27"/>
      <c r="AG210" s="41"/>
      <c r="AH210" s="41"/>
      <c r="AK210" s="28"/>
      <c r="AL210" s="29"/>
      <c r="AM210" s="35"/>
    </row>
    <row r="211" spans="3:39" ht="18" customHeight="1" x14ac:dyDescent="0.25">
      <c r="H211" s="26"/>
      <c r="N211" s="27"/>
      <c r="O211" s="27"/>
      <c r="AG211" s="41"/>
      <c r="AH211" s="41"/>
      <c r="AK211" s="28"/>
      <c r="AL211" s="29"/>
      <c r="AM211" s="35"/>
    </row>
    <row r="212" spans="3:39" ht="18" customHeight="1" x14ac:dyDescent="0.25">
      <c r="H212" s="26"/>
      <c r="N212" s="27"/>
      <c r="O212" s="27"/>
      <c r="AG212" s="41"/>
      <c r="AH212" s="41"/>
      <c r="AK212" s="28"/>
      <c r="AL212" s="29"/>
      <c r="AM212" s="35"/>
    </row>
    <row r="213" spans="3:39" ht="18" customHeight="1" x14ac:dyDescent="0.25">
      <c r="C213" s="36"/>
      <c r="H213" s="26"/>
      <c r="N213" s="27"/>
      <c r="O213" s="27"/>
      <c r="AG213" s="41"/>
      <c r="AH213" s="41"/>
      <c r="AK213" s="28"/>
      <c r="AL213" s="29"/>
      <c r="AM213" s="35"/>
    </row>
    <row r="214" spans="3:39" ht="18" customHeight="1" x14ac:dyDescent="0.25">
      <c r="C214" s="36"/>
      <c r="H214" s="26"/>
      <c r="N214" s="27"/>
      <c r="O214" s="27"/>
      <c r="AG214" s="41"/>
      <c r="AH214" s="41"/>
      <c r="AK214" s="28"/>
      <c r="AL214" s="29"/>
      <c r="AM214" s="35"/>
    </row>
    <row r="215" spans="3:39" ht="18" customHeight="1" x14ac:dyDescent="0.25">
      <c r="C215" s="36"/>
      <c r="H215" s="26"/>
      <c r="N215" s="27"/>
      <c r="O215" s="27"/>
      <c r="AG215" s="41"/>
      <c r="AH215" s="41"/>
      <c r="AK215" s="28"/>
      <c r="AL215" s="29"/>
      <c r="AM215" s="35"/>
    </row>
    <row r="216" spans="3:39" ht="18" customHeight="1" x14ac:dyDescent="0.25">
      <c r="C216" s="36"/>
      <c r="H216" s="26"/>
      <c r="N216" s="27"/>
      <c r="O216" s="27"/>
      <c r="AG216" s="41"/>
      <c r="AH216" s="41"/>
      <c r="AK216" s="28"/>
      <c r="AL216" s="29"/>
      <c r="AM216" s="35"/>
    </row>
    <row r="217" spans="3:39" ht="18" customHeight="1" x14ac:dyDescent="0.25">
      <c r="C217" s="36"/>
      <c r="H217" s="26"/>
      <c r="N217" s="27"/>
      <c r="O217" s="27"/>
      <c r="AG217" s="41"/>
      <c r="AH217" s="41"/>
      <c r="AK217" s="28"/>
      <c r="AL217" s="29"/>
      <c r="AM217" s="35"/>
    </row>
    <row r="218" spans="3:39" ht="18" customHeight="1" x14ac:dyDescent="0.25">
      <c r="C218" s="36"/>
      <c r="H218" s="26"/>
      <c r="N218" s="27"/>
      <c r="O218" s="27"/>
      <c r="AG218" s="41"/>
      <c r="AH218" s="41"/>
      <c r="AK218" s="28"/>
      <c r="AL218" s="29"/>
      <c r="AM218" s="35"/>
    </row>
    <row r="219" spans="3:39" ht="18" customHeight="1" x14ac:dyDescent="0.25">
      <c r="C219" s="36"/>
      <c r="H219" s="26"/>
      <c r="N219" s="27"/>
      <c r="O219" s="27"/>
      <c r="AG219" s="41"/>
      <c r="AH219" s="41"/>
      <c r="AK219" s="28"/>
      <c r="AL219" s="29"/>
      <c r="AM219" s="35"/>
    </row>
    <row r="220" spans="3:39" ht="18" customHeight="1" x14ac:dyDescent="0.25">
      <c r="C220" s="36"/>
      <c r="H220" s="26"/>
      <c r="N220" s="27"/>
      <c r="O220" s="27"/>
      <c r="AG220" s="41"/>
      <c r="AH220" s="41"/>
      <c r="AK220" s="28"/>
      <c r="AL220" s="29"/>
      <c r="AM220" s="35"/>
    </row>
    <row r="221" spans="3:39" ht="18" customHeight="1" x14ac:dyDescent="0.25">
      <c r="C221" s="36"/>
      <c r="H221" s="26"/>
      <c r="N221" s="27"/>
      <c r="O221" s="27"/>
      <c r="AG221" s="41"/>
      <c r="AH221" s="41"/>
      <c r="AK221" s="28"/>
      <c r="AL221" s="29"/>
      <c r="AM221" s="35"/>
    </row>
    <row r="222" spans="3:39" ht="18" customHeight="1" x14ac:dyDescent="0.25">
      <c r="C222" s="36"/>
      <c r="H222" s="26"/>
      <c r="N222" s="27"/>
      <c r="O222" s="27"/>
      <c r="AG222" s="41"/>
      <c r="AH222" s="41"/>
      <c r="AK222" s="28"/>
      <c r="AL222" s="29"/>
      <c r="AM222" s="35"/>
    </row>
    <row r="223" spans="3:39" ht="18" customHeight="1" x14ac:dyDescent="0.25">
      <c r="C223" s="36"/>
      <c r="H223" s="26"/>
      <c r="N223" s="27"/>
      <c r="O223" s="27"/>
      <c r="AG223" s="41"/>
      <c r="AH223" s="41"/>
      <c r="AK223" s="28"/>
      <c r="AL223" s="29"/>
      <c r="AM223" s="35"/>
    </row>
    <row r="224" spans="3:39" ht="18" customHeight="1" x14ac:dyDescent="0.25">
      <c r="C224" s="36"/>
      <c r="H224" s="26"/>
      <c r="N224" s="27"/>
      <c r="O224" s="27"/>
      <c r="AG224" s="41"/>
      <c r="AH224" s="41"/>
      <c r="AK224" s="28"/>
      <c r="AL224" s="29"/>
      <c r="AM224" s="35"/>
    </row>
    <row r="225" spans="3:39" ht="18" customHeight="1" x14ac:dyDescent="0.25">
      <c r="C225" s="36"/>
      <c r="H225" s="26"/>
      <c r="N225" s="27"/>
      <c r="O225" s="27"/>
      <c r="AG225" s="41"/>
      <c r="AH225" s="41"/>
      <c r="AK225" s="28"/>
      <c r="AL225" s="29"/>
      <c r="AM225" s="35"/>
    </row>
    <row r="226" spans="3:39" ht="18" customHeight="1" x14ac:dyDescent="0.25">
      <c r="C226" s="36"/>
      <c r="H226" s="26"/>
      <c r="N226" s="27"/>
      <c r="O226" s="27"/>
      <c r="AG226" s="41"/>
      <c r="AH226" s="41"/>
      <c r="AK226" s="28"/>
      <c r="AL226" s="29"/>
      <c r="AM226" s="35"/>
    </row>
    <row r="227" spans="3:39" ht="18" customHeight="1" x14ac:dyDescent="0.25">
      <c r="C227" s="36"/>
      <c r="H227" s="26"/>
      <c r="N227" s="27"/>
      <c r="O227" s="27"/>
      <c r="AG227" s="41"/>
      <c r="AH227" s="41"/>
      <c r="AK227" s="28"/>
      <c r="AL227" s="29"/>
      <c r="AM227" s="35"/>
    </row>
    <row r="228" spans="3:39" ht="18" customHeight="1" x14ac:dyDescent="0.25">
      <c r="C228" s="36"/>
      <c r="H228" s="26"/>
      <c r="N228" s="27"/>
      <c r="O228" s="27"/>
      <c r="AG228" s="41"/>
      <c r="AH228" s="41"/>
      <c r="AK228" s="28"/>
      <c r="AL228" s="29"/>
      <c r="AM228" s="35"/>
    </row>
    <row r="229" spans="3:39" ht="18" customHeight="1" x14ac:dyDescent="0.25">
      <c r="C229" s="36"/>
      <c r="H229" s="26"/>
      <c r="N229" s="27"/>
      <c r="O229" s="27"/>
      <c r="AG229" s="41"/>
      <c r="AH229" s="41"/>
      <c r="AK229" s="28"/>
      <c r="AL229" s="29"/>
      <c r="AM229" s="35"/>
    </row>
    <row r="230" spans="3:39" ht="18" customHeight="1" x14ac:dyDescent="0.25">
      <c r="C230" s="36"/>
      <c r="H230" s="26"/>
      <c r="N230" s="27"/>
      <c r="O230" s="27"/>
      <c r="AG230" s="41"/>
      <c r="AH230" s="41"/>
      <c r="AK230" s="28"/>
      <c r="AL230" s="29"/>
      <c r="AM230" s="35"/>
    </row>
    <row r="231" spans="3:39" ht="18" customHeight="1" x14ac:dyDescent="0.25">
      <c r="C231" s="36"/>
      <c r="H231" s="26"/>
      <c r="N231" s="27"/>
      <c r="O231" s="27"/>
      <c r="AG231" s="41"/>
      <c r="AH231" s="41"/>
      <c r="AK231" s="28"/>
      <c r="AL231" s="29"/>
      <c r="AM231" s="35"/>
    </row>
    <row r="232" spans="3:39" ht="18" customHeight="1" x14ac:dyDescent="0.25">
      <c r="C232" s="36"/>
      <c r="H232" s="26"/>
      <c r="N232" s="27"/>
      <c r="O232" s="27"/>
      <c r="AG232" s="41"/>
      <c r="AH232" s="41"/>
      <c r="AK232" s="28"/>
      <c r="AL232" s="29"/>
      <c r="AM232" s="35"/>
    </row>
    <row r="233" spans="3:39" ht="18" customHeight="1" x14ac:dyDescent="0.25">
      <c r="C233" s="36"/>
      <c r="H233" s="26"/>
      <c r="N233" s="27"/>
      <c r="O233" s="27"/>
      <c r="AG233" s="41"/>
      <c r="AH233" s="41"/>
      <c r="AK233" s="28"/>
      <c r="AL233" s="29"/>
      <c r="AM233" s="35"/>
    </row>
    <row r="234" spans="3:39" ht="18" customHeight="1" x14ac:dyDescent="0.25">
      <c r="C234" s="36"/>
      <c r="H234" s="26"/>
      <c r="N234" s="27"/>
      <c r="O234" s="27"/>
      <c r="AG234" s="41"/>
      <c r="AH234" s="41"/>
      <c r="AK234" s="28"/>
      <c r="AL234" s="29"/>
      <c r="AM234" s="35"/>
    </row>
    <row r="235" spans="3:39" ht="18" customHeight="1" x14ac:dyDescent="0.25">
      <c r="C235" s="36"/>
      <c r="H235" s="26"/>
      <c r="N235" s="27"/>
      <c r="O235" s="27"/>
      <c r="AG235" s="41"/>
      <c r="AH235" s="41"/>
      <c r="AK235" s="28"/>
      <c r="AL235" s="29"/>
      <c r="AM235" s="35"/>
    </row>
    <row r="236" spans="3:39" ht="18" customHeight="1" x14ac:dyDescent="0.25">
      <c r="C236" s="36"/>
      <c r="H236" s="26"/>
      <c r="N236" s="27"/>
      <c r="O236" s="27"/>
      <c r="AG236" s="41"/>
      <c r="AH236" s="41"/>
      <c r="AK236" s="28"/>
      <c r="AL236" s="29"/>
      <c r="AM236" s="35"/>
    </row>
    <row r="237" spans="3:39" ht="18" customHeight="1" x14ac:dyDescent="0.25">
      <c r="C237" s="36"/>
      <c r="H237" s="26"/>
      <c r="N237" s="27"/>
      <c r="O237" s="27"/>
      <c r="AG237" s="41"/>
      <c r="AH237" s="41"/>
      <c r="AK237" s="28"/>
      <c r="AL237" s="29"/>
      <c r="AM237" s="35"/>
    </row>
    <row r="238" spans="3:39" ht="18" customHeight="1" x14ac:dyDescent="0.25">
      <c r="C238" s="36"/>
      <c r="H238" s="26"/>
      <c r="N238" s="27"/>
      <c r="O238" s="27"/>
      <c r="AG238" s="41"/>
      <c r="AH238" s="41"/>
      <c r="AK238" s="28"/>
      <c r="AL238" s="29"/>
      <c r="AM238" s="35"/>
    </row>
    <row r="239" spans="3:39" ht="18" customHeight="1" x14ac:dyDescent="0.25">
      <c r="C239" s="36"/>
      <c r="H239" s="26"/>
      <c r="N239" s="27"/>
      <c r="O239" s="27"/>
      <c r="AG239" s="41"/>
      <c r="AH239" s="41"/>
      <c r="AK239" s="28"/>
      <c r="AL239" s="29"/>
      <c r="AM239" s="35"/>
    </row>
    <row r="240" spans="3:39" ht="18" customHeight="1" x14ac:dyDescent="0.25">
      <c r="C240" s="36"/>
      <c r="H240" s="26"/>
      <c r="N240" s="27"/>
      <c r="O240" s="27"/>
      <c r="AG240" s="41"/>
      <c r="AH240" s="41"/>
      <c r="AK240" s="28"/>
      <c r="AL240" s="29"/>
      <c r="AM240" s="35"/>
    </row>
    <row r="241" spans="3:39" ht="18" customHeight="1" x14ac:dyDescent="0.25">
      <c r="C241" s="36"/>
      <c r="H241" s="26"/>
      <c r="N241" s="27"/>
      <c r="O241" s="27"/>
      <c r="AG241" s="41"/>
      <c r="AH241" s="41"/>
      <c r="AK241" s="28"/>
      <c r="AL241" s="29"/>
      <c r="AM241" s="35"/>
    </row>
    <row r="242" spans="3:39" ht="18" customHeight="1" x14ac:dyDescent="0.25">
      <c r="C242" s="36"/>
      <c r="H242" s="26"/>
      <c r="N242" s="27"/>
      <c r="O242" s="27"/>
      <c r="AG242" s="41"/>
      <c r="AH242" s="41"/>
      <c r="AK242" s="28"/>
      <c r="AL242" s="29"/>
      <c r="AM242" s="35"/>
    </row>
    <row r="243" spans="3:39" ht="18" customHeight="1" x14ac:dyDescent="0.25">
      <c r="C243" s="36"/>
      <c r="H243" s="26"/>
      <c r="N243" s="27"/>
      <c r="O243" s="27"/>
      <c r="AG243" s="41"/>
      <c r="AH243" s="41"/>
      <c r="AK243" s="28"/>
      <c r="AL243" s="29"/>
      <c r="AM243" s="35"/>
    </row>
    <row r="244" spans="3:39" ht="18" customHeight="1" x14ac:dyDescent="0.25">
      <c r="C244" s="36"/>
      <c r="H244" s="26"/>
      <c r="N244" s="27"/>
      <c r="O244" s="27"/>
      <c r="AG244" s="41"/>
      <c r="AH244" s="41"/>
      <c r="AK244" s="28"/>
      <c r="AL244" s="29"/>
      <c r="AM244" s="35"/>
    </row>
    <row r="245" spans="3:39" ht="18" customHeight="1" x14ac:dyDescent="0.25">
      <c r="C245" s="36"/>
      <c r="H245" s="26"/>
      <c r="N245" s="27"/>
      <c r="O245" s="27"/>
      <c r="AG245" s="41"/>
      <c r="AH245" s="41"/>
      <c r="AK245" s="28"/>
      <c r="AL245" s="29"/>
      <c r="AM245" s="35"/>
    </row>
    <row r="246" spans="3:39" ht="18" customHeight="1" x14ac:dyDescent="0.25">
      <c r="C246" s="36"/>
      <c r="H246" s="26"/>
      <c r="N246" s="27"/>
      <c r="O246" s="27"/>
      <c r="AG246" s="41"/>
      <c r="AH246" s="41"/>
      <c r="AK246" s="28"/>
      <c r="AL246" s="29"/>
      <c r="AM246" s="35"/>
    </row>
    <row r="247" spans="3:39" ht="18" customHeight="1" x14ac:dyDescent="0.25">
      <c r="C247" s="36"/>
      <c r="H247" s="26"/>
      <c r="N247" s="27"/>
      <c r="O247" s="27"/>
      <c r="AG247" s="41"/>
      <c r="AH247" s="41"/>
      <c r="AK247" s="28"/>
      <c r="AL247" s="29"/>
      <c r="AM247" s="35"/>
    </row>
    <row r="248" spans="3:39" ht="18" customHeight="1" x14ac:dyDescent="0.25">
      <c r="C248" s="36"/>
      <c r="H248" s="26"/>
      <c r="N248" s="27"/>
      <c r="O248" s="27"/>
      <c r="AG248" s="41"/>
      <c r="AH248" s="41"/>
      <c r="AK248" s="28"/>
      <c r="AL248" s="29"/>
      <c r="AM248" s="35"/>
    </row>
    <row r="249" spans="3:39" ht="18" customHeight="1" x14ac:dyDescent="0.25">
      <c r="C249" s="36"/>
      <c r="H249" s="26"/>
      <c r="N249" s="27"/>
      <c r="O249" s="27"/>
      <c r="AG249" s="41"/>
      <c r="AH249" s="41"/>
      <c r="AK249" s="28"/>
      <c r="AL249" s="29"/>
      <c r="AM249" s="35"/>
    </row>
    <row r="250" spans="3:39" ht="18" customHeight="1" x14ac:dyDescent="0.25">
      <c r="C250" s="36"/>
      <c r="H250" s="26"/>
      <c r="N250" s="27"/>
      <c r="O250" s="27"/>
      <c r="AG250" s="41"/>
      <c r="AH250" s="41"/>
      <c r="AK250" s="28"/>
      <c r="AL250" s="29"/>
      <c r="AM250" s="35"/>
    </row>
    <row r="251" spans="3:39" ht="18" customHeight="1" x14ac:dyDescent="0.25">
      <c r="C251" s="36"/>
      <c r="H251" s="26"/>
      <c r="N251" s="27"/>
      <c r="O251" s="27"/>
      <c r="AG251" s="41"/>
      <c r="AH251" s="41"/>
      <c r="AK251" s="28"/>
      <c r="AL251" s="29"/>
      <c r="AM251" s="35"/>
    </row>
    <row r="252" spans="3:39" ht="18" customHeight="1" x14ac:dyDescent="0.25">
      <c r="C252" s="36"/>
      <c r="H252" s="26"/>
      <c r="N252" s="27"/>
      <c r="O252" s="27"/>
      <c r="AG252" s="41"/>
      <c r="AH252" s="41"/>
      <c r="AK252" s="28"/>
      <c r="AL252" s="29"/>
      <c r="AM252" s="35"/>
    </row>
    <row r="253" spans="3:39" ht="18" customHeight="1" x14ac:dyDescent="0.25">
      <c r="C253" s="36"/>
      <c r="H253" s="26"/>
      <c r="N253" s="27"/>
      <c r="O253" s="27"/>
      <c r="AG253" s="41"/>
      <c r="AH253" s="41"/>
      <c r="AK253" s="28"/>
      <c r="AL253" s="29"/>
      <c r="AM253" s="35"/>
    </row>
    <row r="254" spans="3:39" ht="18" customHeight="1" x14ac:dyDescent="0.25">
      <c r="C254" s="36"/>
      <c r="H254" s="26"/>
      <c r="N254" s="27"/>
      <c r="O254" s="27"/>
      <c r="AG254" s="41"/>
      <c r="AH254" s="41"/>
      <c r="AK254" s="28"/>
      <c r="AL254" s="29"/>
      <c r="AM254" s="35"/>
    </row>
    <row r="255" spans="3:39" ht="18" customHeight="1" x14ac:dyDescent="0.25">
      <c r="C255" s="36"/>
      <c r="H255" s="26"/>
      <c r="N255" s="27"/>
      <c r="O255" s="27"/>
      <c r="AG255" s="41"/>
      <c r="AH255" s="41"/>
      <c r="AK255" s="28"/>
      <c r="AL255" s="29"/>
      <c r="AM255" s="35"/>
    </row>
    <row r="256" spans="3:39" ht="18" customHeight="1" x14ac:dyDescent="0.25">
      <c r="C256" s="36"/>
      <c r="H256" s="26"/>
      <c r="N256" s="27"/>
      <c r="O256" s="27"/>
      <c r="AG256" s="41"/>
      <c r="AH256" s="41"/>
      <c r="AK256" s="28"/>
      <c r="AL256" s="29"/>
      <c r="AM256" s="35"/>
    </row>
    <row r="257" spans="3:39" ht="18" customHeight="1" x14ac:dyDescent="0.25">
      <c r="C257" s="36"/>
      <c r="H257" s="26"/>
      <c r="N257" s="27"/>
      <c r="O257" s="27"/>
      <c r="AG257" s="41"/>
      <c r="AH257" s="41"/>
      <c r="AK257" s="28"/>
      <c r="AL257" s="29"/>
      <c r="AM257" s="35"/>
    </row>
    <row r="258" spans="3:39" ht="18" customHeight="1" x14ac:dyDescent="0.25">
      <c r="C258" s="36"/>
      <c r="H258" s="26"/>
      <c r="N258" s="27"/>
      <c r="O258" s="27"/>
      <c r="AG258" s="41"/>
      <c r="AH258" s="41"/>
      <c r="AK258" s="28"/>
      <c r="AL258" s="29"/>
      <c r="AM258" s="35"/>
    </row>
    <row r="259" spans="3:39" ht="18" customHeight="1" x14ac:dyDescent="0.25">
      <c r="C259" s="36"/>
      <c r="H259" s="26"/>
      <c r="N259" s="27"/>
      <c r="O259" s="27"/>
      <c r="AG259" s="41"/>
      <c r="AH259" s="41"/>
      <c r="AK259" s="28"/>
      <c r="AL259" s="29"/>
      <c r="AM259" s="35"/>
    </row>
    <row r="260" spans="3:39" ht="18" customHeight="1" x14ac:dyDescent="0.25">
      <c r="C260" s="36"/>
      <c r="H260" s="26"/>
      <c r="N260" s="27"/>
      <c r="O260" s="27"/>
      <c r="AG260" s="41"/>
      <c r="AH260" s="41"/>
      <c r="AK260" s="28"/>
      <c r="AL260" s="29"/>
      <c r="AM260" s="35"/>
    </row>
    <row r="261" spans="3:39" ht="18" customHeight="1" x14ac:dyDescent="0.25">
      <c r="C261" s="36"/>
      <c r="H261" s="26"/>
      <c r="N261" s="27"/>
      <c r="O261" s="27"/>
      <c r="AG261" s="41"/>
      <c r="AH261" s="41"/>
      <c r="AK261" s="28"/>
      <c r="AL261" s="29"/>
      <c r="AM261" s="35"/>
    </row>
    <row r="262" spans="3:39" ht="18" customHeight="1" x14ac:dyDescent="0.25">
      <c r="C262" s="36"/>
      <c r="H262" s="26"/>
      <c r="N262" s="27"/>
      <c r="O262" s="27"/>
      <c r="AG262" s="41"/>
      <c r="AH262" s="41"/>
      <c r="AK262" s="28"/>
      <c r="AL262" s="29"/>
      <c r="AM262" s="35"/>
    </row>
    <row r="263" spans="3:39" ht="18" customHeight="1" x14ac:dyDescent="0.25">
      <c r="C263" s="36"/>
      <c r="H263" s="26"/>
      <c r="N263" s="27"/>
      <c r="O263" s="27"/>
      <c r="AG263" s="41"/>
      <c r="AH263" s="41"/>
      <c r="AK263" s="28"/>
      <c r="AL263" s="29"/>
      <c r="AM263" s="35"/>
    </row>
    <row r="264" spans="3:39" ht="18" customHeight="1" x14ac:dyDescent="0.25">
      <c r="C264" s="36"/>
      <c r="H264" s="26"/>
      <c r="N264" s="27"/>
      <c r="O264" s="27"/>
      <c r="AG264" s="41"/>
      <c r="AH264" s="41"/>
      <c r="AK264" s="28"/>
      <c r="AL264" s="29"/>
      <c r="AM264" s="35"/>
    </row>
    <row r="265" spans="3:39" ht="18" customHeight="1" x14ac:dyDescent="0.25">
      <c r="C265" s="36"/>
      <c r="H265" s="26"/>
      <c r="N265" s="27"/>
      <c r="O265" s="27"/>
      <c r="AG265" s="41"/>
      <c r="AH265" s="41"/>
      <c r="AK265" s="28"/>
      <c r="AL265" s="29"/>
      <c r="AM265" s="35"/>
    </row>
    <row r="266" spans="3:39" ht="18" customHeight="1" x14ac:dyDescent="0.25">
      <c r="C266" s="36"/>
      <c r="H266" s="26"/>
      <c r="N266" s="27"/>
      <c r="O266" s="27"/>
      <c r="AG266" s="41"/>
      <c r="AH266" s="41"/>
      <c r="AK266" s="28"/>
      <c r="AL266" s="29"/>
      <c r="AM266" s="35"/>
    </row>
    <row r="267" spans="3:39" ht="18" customHeight="1" x14ac:dyDescent="0.25">
      <c r="C267" s="36"/>
      <c r="H267" s="26"/>
      <c r="N267" s="27"/>
      <c r="O267" s="27"/>
      <c r="AG267" s="41"/>
      <c r="AH267" s="41"/>
      <c r="AK267" s="28"/>
      <c r="AL267" s="29"/>
      <c r="AM267" s="35"/>
    </row>
    <row r="268" spans="3:39" ht="18" customHeight="1" x14ac:dyDescent="0.25">
      <c r="C268" s="36"/>
      <c r="H268" s="26"/>
      <c r="N268" s="27"/>
      <c r="O268" s="27"/>
      <c r="AG268" s="41"/>
      <c r="AH268" s="41"/>
      <c r="AK268" s="28"/>
      <c r="AL268" s="29"/>
      <c r="AM268" s="35"/>
    </row>
    <row r="269" spans="3:39" ht="18" customHeight="1" x14ac:dyDescent="0.25">
      <c r="C269" s="36"/>
      <c r="H269" s="26"/>
      <c r="N269" s="27"/>
      <c r="O269" s="27"/>
      <c r="AG269" s="41"/>
      <c r="AH269" s="41"/>
      <c r="AK269" s="28"/>
      <c r="AL269" s="29"/>
      <c r="AM269" s="35"/>
    </row>
    <row r="270" spans="3:39" ht="18" customHeight="1" x14ac:dyDescent="0.25">
      <c r="C270" s="36"/>
      <c r="H270" s="26"/>
      <c r="N270" s="27"/>
      <c r="O270" s="27"/>
      <c r="AG270" s="41"/>
      <c r="AH270" s="41"/>
      <c r="AK270" s="28"/>
      <c r="AL270" s="29"/>
      <c r="AM270" s="35"/>
    </row>
    <row r="271" spans="3:39" ht="18" customHeight="1" x14ac:dyDescent="0.25">
      <c r="C271" s="36"/>
      <c r="H271" s="26"/>
      <c r="N271" s="27"/>
      <c r="O271" s="27"/>
      <c r="AG271" s="41"/>
      <c r="AH271" s="41"/>
      <c r="AK271" s="28"/>
      <c r="AL271" s="29"/>
      <c r="AM271" s="35"/>
    </row>
    <row r="272" spans="3:39" ht="18" customHeight="1" x14ac:dyDescent="0.25">
      <c r="C272" s="36"/>
      <c r="H272" s="26"/>
      <c r="N272" s="27"/>
      <c r="O272" s="27"/>
      <c r="AG272" s="41"/>
      <c r="AH272" s="41"/>
      <c r="AK272" s="28"/>
      <c r="AL272" s="29"/>
      <c r="AM272" s="35"/>
    </row>
    <row r="273" spans="3:39" ht="18" customHeight="1" x14ac:dyDescent="0.25">
      <c r="C273" s="36"/>
      <c r="H273" s="26"/>
      <c r="N273" s="27"/>
      <c r="O273" s="27"/>
      <c r="AG273" s="41"/>
      <c r="AH273" s="41"/>
      <c r="AK273" s="28"/>
      <c r="AL273" s="29"/>
      <c r="AM273" s="35"/>
    </row>
    <row r="274" spans="3:39" ht="18" customHeight="1" x14ac:dyDescent="0.25">
      <c r="C274" s="36"/>
      <c r="H274" s="26"/>
      <c r="N274" s="27"/>
      <c r="O274" s="27"/>
      <c r="AG274" s="41"/>
      <c r="AH274" s="41"/>
      <c r="AK274" s="28"/>
      <c r="AL274" s="29"/>
      <c r="AM274" s="35"/>
    </row>
    <row r="275" spans="3:39" ht="18" customHeight="1" x14ac:dyDescent="0.25">
      <c r="C275" s="36"/>
      <c r="H275" s="26"/>
      <c r="N275" s="27"/>
      <c r="O275" s="27"/>
      <c r="AG275" s="41"/>
      <c r="AH275" s="41"/>
      <c r="AK275" s="28"/>
      <c r="AL275" s="29"/>
      <c r="AM275" s="35"/>
    </row>
    <row r="276" spans="3:39" ht="18" customHeight="1" x14ac:dyDescent="0.25">
      <c r="C276" s="36"/>
      <c r="H276" s="26"/>
      <c r="N276" s="27"/>
      <c r="O276" s="27"/>
      <c r="AG276" s="41"/>
      <c r="AH276" s="41"/>
      <c r="AK276" s="28"/>
      <c r="AL276" s="29"/>
      <c r="AM276" s="35"/>
    </row>
    <row r="277" spans="3:39" ht="18" customHeight="1" x14ac:dyDescent="0.25">
      <c r="C277" s="36"/>
      <c r="H277" s="26"/>
      <c r="N277" s="27"/>
      <c r="O277" s="27"/>
      <c r="AG277" s="41"/>
      <c r="AH277" s="41"/>
      <c r="AK277" s="28"/>
      <c r="AL277" s="29"/>
      <c r="AM277" s="35"/>
    </row>
    <row r="278" spans="3:39" ht="18" customHeight="1" x14ac:dyDescent="0.25">
      <c r="C278" s="36"/>
      <c r="H278" s="26"/>
      <c r="N278" s="27"/>
      <c r="O278" s="27"/>
      <c r="AG278" s="41"/>
      <c r="AH278" s="41"/>
      <c r="AK278" s="28"/>
      <c r="AL278" s="29"/>
      <c r="AM278" s="35"/>
    </row>
    <row r="279" spans="3:39" ht="18" customHeight="1" x14ac:dyDescent="0.25">
      <c r="C279" s="36"/>
      <c r="H279" s="26"/>
      <c r="N279" s="27"/>
      <c r="O279" s="27"/>
      <c r="AG279" s="41"/>
      <c r="AH279" s="41"/>
      <c r="AK279" s="28"/>
      <c r="AL279" s="29"/>
      <c r="AM279" s="35"/>
    </row>
    <row r="280" spans="3:39" ht="18" customHeight="1" x14ac:dyDescent="0.25">
      <c r="C280" s="36"/>
      <c r="H280" s="26"/>
      <c r="N280" s="27"/>
      <c r="O280" s="27"/>
      <c r="AG280" s="41"/>
      <c r="AH280" s="41"/>
      <c r="AK280" s="28"/>
      <c r="AL280" s="29"/>
      <c r="AM280" s="35"/>
    </row>
    <row r="281" spans="3:39" ht="18" customHeight="1" x14ac:dyDescent="0.25">
      <c r="C281" s="36"/>
      <c r="H281" s="26"/>
      <c r="N281" s="27"/>
      <c r="O281" s="27"/>
      <c r="AG281" s="41"/>
      <c r="AH281" s="41"/>
      <c r="AK281" s="28"/>
      <c r="AL281" s="29"/>
      <c r="AM281" s="35"/>
    </row>
    <row r="282" spans="3:39" ht="18" customHeight="1" x14ac:dyDescent="0.25">
      <c r="C282" s="36"/>
      <c r="H282" s="26"/>
      <c r="N282" s="27"/>
      <c r="O282" s="27"/>
      <c r="AG282" s="41"/>
      <c r="AH282" s="41"/>
      <c r="AK282" s="28"/>
      <c r="AL282" s="29"/>
      <c r="AM282" s="35"/>
    </row>
    <row r="283" spans="3:39" ht="18" customHeight="1" x14ac:dyDescent="0.25">
      <c r="C283" s="36"/>
      <c r="H283" s="26"/>
      <c r="N283" s="27"/>
      <c r="O283" s="27"/>
      <c r="AG283" s="41"/>
      <c r="AH283" s="41"/>
      <c r="AK283" s="28"/>
      <c r="AL283" s="29"/>
      <c r="AM283" s="35"/>
    </row>
    <row r="284" spans="3:39" ht="18" customHeight="1" x14ac:dyDescent="0.25">
      <c r="C284" s="36"/>
      <c r="H284" s="26"/>
      <c r="N284" s="27"/>
      <c r="O284" s="27"/>
      <c r="AG284" s="41"/>
      <c r="AH284" s="41"/>
      <c r="AK284" s="28"/>
      <c r="AL284" s="29"/>
      <c r="AM284" s="35"/>
    </row>
    <row r="285" spans="3:39" ht="18" customHeight="1" x14ac:dyDescent="0.25">
      <c r="C285" s="36"/>
      <c r="H285" s="26"/>
      <c r="N285" s="27"/>
      <c r="O285" s="27"/>
      <c r="AG285" s="41"/>
      <c r="AH285" s="41"/>
      <c r="AK285" s="28"/>
      <c r="AL285" s="29"/>
      <c r="AM285" s="35"/>
    </row>
    <row r="286" spans="3:39" ht="18" customHeight="1" x14ac:dyDescent="0.25">
      <c r="C286" s="36"/>
      <c r="H286" s="26"/>
      <c r="N286" s="27"/>
      <c r="O286" s="27"/>
      <c r="AG286" s="41"/>
      <c r="AH286" s="41"/>
      <c r="AK286" s="28"/>
      <c r="AL286" s="29"/>
      <c r="AM286" s="35"/>
    </row>
    <row r="287" spans="3:39" ht="18" customHeight="1" x14ac:dyDescent="0.25">
      <c r="C287" s="36"/>
      <c r="H287" s="26"/>
      <c r="N287" s="27"/>
      <c r="O287" s="27"/>
      <c r="AG287" s="41"/>
      <c r="AH287" s="41"/>
      <c r="AK287" s="28"/>
      <c r="AL287" s="29"/>
      <c r="AM287" s="35"/>
    </row>
    <row r="288" spans="3:39" ht="18" customHeight="1" x14ac:dyDescent="0.25">
      <c r="C288" s="36"/>
      <c r="H288" s="26"/>
      <c r="N288" s="27"/>
      <c r="O288" s="27"/>
      <c r="AG288" s="41"/>
      <c r="AH288" s="41"/>
      <c r="AK288" s="28"/>
      <c r="AL288" s="29"/>
      <c r="AM288" s="35"/>
    </row>
    <row r="289" spans="3:39" ht="18" customHeight="1" x14ac:dyDescent="0.25">
      <c r="C289" s="36"/>
      <c r="H289" s="26"/>
      <c r="N289" s="27"/>
      <c r="O289" s="27"/>
      <c r="AG289" s="41"/>
      <c r="AH289" s="41"/>
      <c r="AK289" s="28"/>
      <c r="AL289" s="29"/>
      <c r="AM289" s="35"/>
    </row>
    <row r="290" spans="3:39" ht="18" customHeight="1" x14ac:dyDescent="0.25">
      <c r="C290" s="36"/>
      <c r="H290" s="26"/>
      <c r="N290" s="27"/>
      <c r="O290" s="27"/>
      <c r="AG290" s="41"/>
      <c r="AH290" s="41"/>
      <c r="AK290" s="28"/>
      <c r="AL290" s="29"/>
      <c r="AM290" s="35"/>
    </row>
    <row r="291" spans="3:39" ht="18" customHeight="1" x14ac:dyDescent="0.25">
      <c r="C291" s="36"/>
      <c r="H291" s="26"/>
      <c r="N291" s="27"/>
      <c r="O291" s="27"/>
      <c r="AG291" s="41"/>
      <c r="AH291" s="41"/>
      <c r="AK291" s="28"/>
      <c r="AL291" s="29"/>
      <c r="AM291" s="35"/>
    </row>
    <row r="292" spans="3:39" ht="18" customHeight="1" x14ac:dyDescent="0.25">
      <c r="C292" s="36"/>
      <c r="H292" s="26"/>
      <c r="N292" s="27"/>
      <c r="O292" s="27"/>
      <c r="AG292" s="41"/>
      <c r="AH292" s="41"/>
      <c r="AK292" s="28"/>
      <c r="AL292" s="29"/>
      <c r="AM292" s="35"/>
    </row>
    <row r="293" spans="3:39" ht="18" customHeight="1" x14ac:dyDescent="0.25">
      <c r="C293" s="36"/>
      <c r="H293" s="26"/>
      <c r="N293" s="27"/>
      <c r="O293" s="27"/>
      <c r="AG293" s="41"/>
      <c r="AH293" s="41"/>
      <c r="AK293" s="28"/>
      <c r="AL293" s="29"/>
      <c r="AM293" s="35"/>
    </row>
    <row r="294" spans="3:39" ht="18" customHeight="1" x14ac:dyDescent="0.25">
      <c r="C294" s="36"/>
      <c r="H294" s="26"/>
      <c r="N294" s="27"/>
      <c r="O294" s="27"/>
      <c r="AG294" s="41"/>
      <c r="AH294" s="41"/>
      <c r="AK294" s="28"/>
      <c r="AL294" s="29"/>
      <c r="AM294" s="35"/>
    </row>
    <row r="295" spans="3:39" ht="18" customHeight="1" x14ac:dyDescent="0.25">
      <c r="C295" s="36"/>
      <c r="H295" s="26"/>
      <c r="N295" s="27"/>
      <c r="O295" s="27"/>
      <c r="AG295" s="41"/>
      <c r="AH295" s="41"/>
      <c r="AK295" s="28"/>
      <c r="AL295" s="29"/>
      <c r="AM295" s="35"/>
    </row>
    <row r="296" spans="3:39" ht="18" customHeight="1" x14ac:dyDescent="0.25">
      <c r="C296" s="36"/>
      <c r="H296" s="26"/>
      <c r="N296" s="27"/>
      <c r="O296" s="27"/>
      <c r="AG296" s="41"/>
      <c r="AH296" s="41"/>
      <c r="AK296" s="28"/>
      <c r="AL296" s="29"/>
      <c r="AM296" s="35"/>
    </row>
    <row r="297" spans="3:39" ht="18" customHeight="1" x14ac:dyDescent="0.25">
      <c r="C297" s="36"/>
      <c r="H297" s="26"/>
      <c r="N297" s="27"/>
      <c r="O297" s="27"/>
      <c r="AG297" s="41"/>
      <c r="AH297" s="41"/>
      <c r="AK297" s="28"/>
      <c r="AL297" s="29"/>
      <c r="AM297" s="35"/>
    </row>
    <row r="298" spans="3:39" ht="18" customHeight="1" x14ac:dyDescent="0.25">
      <c r="C298" s="36"/>
      <c r="H298" s="26"/>
      <c r="N298" s="27"/>
      <c r="O298" s="27"/>
      <c r="AG298" s="41"/>
      <c r="AH298" s="41"/>
      <c r="AK298" s="28"/>
      <c r="AL298" s="29"/>
      <c r="AM298" s="35"/>
    </row>
    <row r="299" spans="3:39" ht="18" customHeight="1" x14ac:dyDescent="0.25">
      <c r="C299" s="36"/>
      <c r="H299" s="26"/>
      <c r="N299" s="27"/>
      <c r="O299" s="27"/>
      <c r="AG299" s="41"/>
      <c r="AH299" s="41"/>
      <c r="AK299" s="28"/>
      <c r="AL299" s="29"/>
      <c r="AM299" s="35"/>
    </row>
    <row r="300" spans="3:39" ht="18" customHeight="1" x14ac:dyDescent="0.25">
      <c r="C300" s="36"/>
      <c r="F300" s="25"/>
      <c r="G300" s="24"/>
      <c r="H300" s="38"/>
      <c r="N300" s="27"/>
      <c r="O300" s="27"/>
      <c r="P300" s="37"/>
      <c r="Q300" s="115"/>
      <c r="R300" s="76"/>
      <c r="S300" s="37"/>
      <c r="T300" s="39"/>
      <c r="U300" s="40"/>
      <c r="V300" s="36"/>
      <c r="W300" s="83"/>
      <c r="X300" s="36"/>
      <c r="Y300" s="37"/>
      <c r="Z300" s="81"/>
      <c r="AA300" s="36"/>
      <c r="AB300" s="36"/>
      <c r="AC300" s="36"/>
      <c r="AD300" s="36"/>
      <c r="AE300" s="36"/>
      <c r="AF300" s="36"/>
      <c r="AG300" s="41"/>
      <c r="AH300" s="41"/>
      <c r="AK300" s="28"/>
      <c r="AL300" s="29"/>
      <c r="AM300" s="35"/>
    </row>
    <row r="301" spans="3:39" ht="18" customHeight="1" x14ac:dyDescent="0.25">
      <c r="C301" s="36"/>
      <c r="H301" s="26"/>
      <c r="N301" s="27"/>
      <c r="O301" s="27"/>
      <c r="AG301" s="41"/>
      <c r="AH301" s="41"/>
      <c r="AK301" s="28"/>
      <c r="AL301" s="29"/>
      <c r="AM301" s="35"/>
    </row>
    <row r="302" spans="3:39" ht="18" customHeight="1" x14ac:dyDescent="0.25">
      <c r="C302" s="36"/>
      <c r="H302" s="26"/>
      <c r="N302" s="27"/>
      <c r="O302" s="27"/>
      <c r="AG302" s="41"/>
      <c r="AH302" s="41"/>
      <c r="AK302" s="28"/>
      <c r="AL302" s="29"/>
      <c r="AM302" s="35"/>
    </row>
    <row r="303" spans="3:39" ht="18" customHeight="1" x14ac:dyDescent="0.25">
      <c r="C303" s="36"/>
      <c r="H303" s="26"/>
      <c r="N303" s="27"/>
      <c r="O303" s="27"/>
      <c r="AG303" s="41"/>
      <c r="AH303" s="41"/>
      <c r="AK303" s="28"/>
      <c r="AL303" s="29"/>
      <c r="AM303" s="35"/>
    </row>
    <row r="304" spans="3:39" ht="18" customHeight="1" x14ac:dyDescent="0.25">
      <c r="C304" s="36"/>
      <c r="H304" s="26"/>
      <c r="N304" s="27"/>
      <c r="O304" s="27"/>
      <c r="AG304" s="41"/>
      <c r="AH304" s="41"/>
      <c r="AK304" s="28"/>
      <c r="AL304" s="29"/>
      <c r="AM304" s="35"/>
    </row>
    <row r="305" spans="1:39" ht="18" customHeight="1" x14ac:dyDescent="0.25">
      <c r="C305" s="36"/>
      <c r="H305" s="26"/>
      <c r="N305" s="27"/>
      <c r="O305" s="27"/>
      <c r="AG305" s="41"/>
      <c r="AH305" s="41"/>
      <c r="AK305" s="28"/>
      <c r="AL305" s="29"/>
      <c r="AM305" s="35"/>
    </row>
    <row r="306" spans="1:39" ht="18" customHeight="1" x14ac:dyDescent="0.25">
      <c r="C306" s="36"/>
      <c r="H306" s="26"/>
      <c r="N306" s="27"/>
      <c r="O306" s="27"/>
      <c r="AG306" s="41"/>
      <c r="AH306" s="41"/>
      <c r="AK306" s="28"/>
      <c r="AL306" s="29"/>
      <c r="AM306" s="35"/>
    </row>
    <row r="307" spans="1:39" ht="18" customHeight="1" x14ac:dyDescent="0.25">
      <c r="H307" s="26"/>
      <c r="N307" s="27"/>
      <c r="O307" s="27"/>
      <c r="AG307" s="41"/>
      <c r="AH307" s="41"/>
      <c r="AK307" s="28"/>
      <c r="AL307" s="29"/>
      <c r="AM307" s="35"/>
    </row>
    <row r="308" spans="1:39" ht="18" customHeight="1" x14ac:dyDescent="0.25">
      <c r="H308" s="26"/>
      <c r="N308" s="27"/>
      <c r="O308" s="27"/>
      <c r="AG308" s="41"/>
      <c r="AH308" s="41"/>
      <c r="AK308" s="28"/>
      <c r="AL308" s="29"/>
      <c r="AM308" s="35"/>
    </row>
    <row r="309" spans="1:39" ht="18" customHeight="1" x14ac:dyDescent="0.25">
      <c r="H309" s="26"/>
      <c r="N309" s="27"/>
      <c r="O309" s="27"/>
      <c r="AG309" s="41"/>
      <c r="AH309" s="41"/>
      <c r="AK309" s="28"/>
      <c r="AL309" s="29"/>
      <c r="AM309" s="35"/>
    </row>
    <row r="310" spans="1:39" ht="18" customHeight="1" x14ac:dyDescent="0.25">
      <c r="H310" s="26"/>
      <c r="N310" s="27"/>
      <c r="O310" s="27"/>
      <c r="U310" s="96"/>
      <c r="AG310" s="41"/>
      <c r="AH310" s="41"/>
      <c r="AK310" s="28"/>
      <c r="AL310" s="29"/>
      <c r="AM310" s="35"/>
    </row>
    <row r="311" spans="1:39" ht="18" customHeight="1" x14ac:dyDescent="0.25">
      <c r="H311" s="26"/>
      <c r="N311" s="27"/>
      <c r="O311" s="27"/>
      <c r="AG311" s="41"/>
      <c r="AH311" s="41"/>
      <c r="AK311" s="28"/>
      <c r="AL311" s="29"/>
      <c r="AM311" s="35"/>
    </row>
    <row r="312" spans="1:39" ht="18" customHeight="1" x14ac:dyDescent="0.25">
      <c r="H312" s="26"/>
      <c r="N312" s="27"/>
      <c r="O312" s="27"/>
      <c r="AG312" s="41"/>
      <c r="AH312" s="41"/>
      <c r="AK312" s="28"/>
      <c r="AL312" s="29"/>
      <c r="AM312" s="35"/>
    </row>
    <row r="313" spans="1:39" ht="18" customHeight="1" x14ac:dyDescent="0.25">
      <c r="A313" s="113"/>
      <c r="C313" s="36"/>
      <c r="H313" s="26"/>
      <c r="N313" s="27"/>
      <c r="O313" s="27"/>
      <c r="X313" s="8"/>
      <c r="AG313" s="41"/>
      <c r="AH313" s="41"/>
      <c r="AK313" s="28"/>
      <c r="AL313" s="29"/>
      <c r="AM313" s="35"/>
    </row>
    <row r="314" spans="1:39" ht="18" customHeight="1" x14ac:dyDescent="0.25">
      <c r="C314" s="36"/>
      <c r="H314" s="26"/>
      <c r="N314" s="27"/>
      <c r="O314" s="27"/>
      <c r="X314" s="8"/>
      <c r="AG314" s="41"/>
      <c r="AH314" s="41"/>
      <c r="AK314" s="28"/>
      <c r="AL314" s="29"/>
      <c r="AM314" s="35"/>
    </row>
    <row r="315" spans="1:39" ht="18" customHeight="1" x14ac:dyDescent="0.25">
      <c r="C315" s="36"/>
      <c r="H315" s="26"/>
      <c r="N315" s="27"/>
      <c r="O315" s="27"/>
      <c r="X315" s="8"/>
      <c r="AG315" s="41"/>
      <c r="AH315" s="41"/>
      <c r="AK315" s="28"/>
      <c r="AL315" s="29"/>
      <c r="AM315" s="35"/>
    </row>
    <row r="316" spans="1:39" ht="18" customHeight="1" x14ac:dyDescent="0.25">
      <c r="A316" s="113"/>
      <c r="C316" s="36"/>
      <c r="H316" s="26"/>
      <c r="N316" s="27"/>
      <c r="O316" s="27"/>
      <c r="X316" s="8"/>
      <c r="AG316" s="41"/>
      <c r="AH316" s="41"/>
      <c r="AK316" s="28"/>
      <c r="AL316" s="29"/>
      <c r="AM316" s="35"/>
    </row>
    <row r="317" spans="1:39" ht="18" customHeight="1" x14ac:dyDescent="0.25">
      <c r="C317" s="36"/>
      <c r="H317" s="26"/>
      <c r="N317" s="27"/>
      <c r="O317" s="27"/>
      <c r="X317" s="8"/>
      <c r="AG317" s="41"/>
      <c r="AH317" s="41"/>
      <c r="AK317" s="28"/>
      <c r="AL317" s="29"/>
      <c r="AM317" s="35"/>
    </row>
    <row r="318" spans="1:39" ht="18" customHeight="1" x14ac:dyDescent="0.25">
      <c r="C318" s="36"/>
      <c r="H318" s="26"/>
      <c r="N318" s="27"/>
      <c r="O318" s="27"/>
      <c r="X318" s="8"/>
      <c r="AG318" s="41"/>
      <c r="AH318" s="41"/>
      <c r="AK318" s="28"/>
      <c r="AL318" s="29"/>
      <c r="AM318" s="35"/>
    </row>
    <row r="319" spans="1:39" ht="18" customHeight="1" x14ac:dyDescent="0.25">
      <c r="A319" s="113"/>
      <c r="C319" s="36"/>
      <c r="H319" s="26"/>
      <c r="N319" s="27"/>
      <c r="O319" s="27"/>
      <c r="X319" s="8"/>
      <c r="AG319" s="41"/>
      <c r="AH319" s="41"/>
      <c r="AK319" s="28"/>
      <c r="AL319" s="29"/>
      <c r="AM319" s="35"/>
    </row>
    <row r="320" spans="1:39" ht="18" customHeight="1" x14ac:dyDescent="0.25">
      <c r="C320" s="36"/>
      <c r="H320" s="26"/>
      <c r="N320" s="27"/>
      <c r="O320" s="27"/>
      <c r="X320" s="8"/>
      <c r="AG320" s="41"/>
      <c r="AH320" s="41"/>
      <c r="AK320" s="28"/>
      <c r="AL320" s="29"/>
      <c r="AM320" s="35"/>
    </row>
    <row r="321" spans="1:39" ht="18" customHeight="1" x14ac:dyDescent="0.25">
      <c r="C321" s="36"/>
      <c r="H321" s="26"/>
      <c r="N321" s="27"/>
      <c r="O321" s="27"/>
      <c r="X321" s="8"/>
      <c r="AG321" s="41"/>
      <c r="AH321" s="41"/>
      <c r="AK321" s="28"/>
      <c r="AL321" s="29"/>
      <c r="AM321" s="35"/>
    </row>
    <row r="322" spans="1:39" ht="18" customHeight="1" x14ac:dyDescent="0.25">
      <c r="A322" s="113"/>
      <c r="C322" s="36"/>
      <c r="H322" s="26"/>
      <c r="N322" s="27"/>
      <c r="O322" s="27"/>
      <c r="X322" s="8"/>
      <c r="AG322" s="41"/>
      <c r="AH322" s="41"/>
      <c r="AK322" s="28"/>
      <c r="AL322" s="29"/>
      <c r="AM322" s="35"/>
    </row>
    <row r="323" spans="1:39" ht="18" customHeight="1" x14ac:dyDescent="0.25">
      <c r="C323" s="36"/>
      <c r="H323" s="26"/>
      <c r="N323" s="27"/>
      <c r="O323" s="27"/>
      <c r="X323" s="8"/>
      <c r="AG323" s="41"/>
      <c r="AH323" s="41"/>
      <c r="AK323" s="28"/>
      <c r="AL323" s="29"/>
      <c r="AM323" s="35"/>
    </row>
    <row r="324" spans="1:39" ht="18" customHeight="1" x14ac:dyDescent="0.25">
      <c r="C324" s="36"/>
      <c r="H324" s="26"/>
      <c r="N324" s="27"/>
      <c r="O324" s="27"/>
      <c r="X324" s="8"/>
      <c r="AG324" s="41"/>
      <c r="AH324" s="41"/>
      <c r="AK324" s="28"/>
      <c r="AL324" s="29"/>
      <c r="AM324" s="35"/>
    </row>
    <row r="325" spans="1:39" ht="18" customHeight="1" x14ac:dyDescent="0.25">
      <c r="A325" s="113"/>
      <c r="C325" s="36"/>
      <c r="H325" s="26"/>
      <c r="N325" s="27"/>
      <c r="O325" s="27"/>
      <c r="T325" s="70"/>
      <c r="X325" s="8"/>
      <c r="AG325" s="41"/>
      <c r="AH325" s="41"/>
      <c r="AK325" s="28"/>
      <c r="AL325" s="29"/>
      <c r="AM325" s="35"/>
    </row>
    <row r="326" spans="1:39" ht="18" customHeight="1" x14ac:dyDescent="0.25">
      <c r="C326" s="36"/>
      <c r="H326" s="26"/>
      <c r="N326" s="27"/>
      <c r="O326" s="27"/>
      <c r="X326" s="8"/>
      <c r="AG326" s="41"/>
      <c r="AH326" s="41"/>
      <c r="AK326" s="28"/>
      <c r="AL326" s="29"/>
      <c r="AM326" s="35"/>
    </row>
    <row r="327" spans="1:39" ht="18" customHeight="1" x14ac:dyDescent="0.25">
      <c r="C327" s="36"/>
      <c r="H327" s="26"/>
      <c r="N327" s="27"/>
      <c r="O327" s="27"/>
      <c r="X327" s="8"/>
      <c r="AG327" s="41"/>
      <c r="AH327" s="41"/>
      <c r="AK327" s="28"/>
      <c r="AL327" s="29"/>
      <c r="AM327" s="35"/>
    </row>
    <row r="328" spans="1:39" ht="18" customHeight="1" x14ac:dyDescent="0.25">
      <c r="A328" s="113"/>
      <c r="C328" s="36"/>
      <c r="H328" s="26"/>
      <c r="N328" s="27"/>
      <c r="O328" s="27"/>
      <c r="X328" s="8"/>
      <c r="AG328" s="41"/>
      <c r="AH328" s="41"/>
      <c r="AK328" s="28"/>
      <c r="AL328" s="29"/>
      <c r="AM328" s="35"/>
    </row>
    <row r="329" spans="1:39" ht="18" customHeight="1" x14ac:dyDescent="0.25">
      <c r="C329" s="36"/>
      <c r="H329" s="26"/>
      <c r="N329" s="27"/>
      <c r="O329" s="27"/>
      <c r="X329" s="8"/>
      <c r="AG329" s="41"/>
      <c r="AH329" s="41"/>
      <c r="AK329" s="28"/>
      <c r="AL329" s="29"/>
      <c r="AM329" s="35"/>
    </row>
    <row r="330" spans="1:39" ht="18" customHeight="1" x14ac:dyDescent="0.25">
      <c r="C330" s="36"/>
      <c r="H330" s="26"/>
      <c r="N330" s="27"/>
      <c r="O330" s="27"/>
      <c r="X330" s="8"/>
      <c r="AG330" s="41"/>
      <c r="AH330" s="41"/>
      <c r="AK330" s="28"/>
      <c r="AL330" s="29"/>
      <c r="AM330" s="35"/>
    </row>
    <row r="331" spans="1:39" ht="18" customHeight="1" x14ac:dyDescent="0.25">
      <c r="A331" s="113"/>
      <c r="C331" s="36"/>
      <c r="H331" s="26"/>
      <c r="N331" s="27"/>
      <c r="O331" s="27"/>
      <c r="X331" s="8"/>
      <c r="AG331" s="41"/>
      <c r="AH331" s="41"/>
      <c r="AK331" s="28"/>
      <c r="AL331" s="29"/>
      <c r="AM331" s="35"/>
    </row>
    <row r="332" spans="1:39" ht="18" customHeight="1" x14ac:dyDescent="0.25">
      <c r="C332" s="36"/>
      <c r="H332" s="26"/>
      <c r="N332" s="27"/>
      <c r="O332" s="27"/>
      <c r="X332" s="8"/>
      <c r="AG332" s="41"/>
      <c r="AH332" s="41"/>
      <c r="AK332" s="28"/>
      <c r="AL332" s="29"/>
      <c r="AM332" s="35"/>
    </row>
    <row r="333" spans="1:39" ht="18" customHeight="1" x14ac:dyDescent="0.25">
      <c r="C333" s="36"/>
      <c r="H333" s="26"/>
      <c r="N333" s="27"/>
      <c r="O333" s="27"/>
      <c r="X333" s="8"/>
      <c r="AG333" s="41"/>
      <c r="AH333" s="41"/>
      <c r="AK333" s="28"/>
      <c r="AL333" s="29"/>
      <c r="AM333" s="35"/>
    </row>
    <row r="334" spans="1:39" ht="18" customHeight="1" x14ac:dyDescent="0.25">
      <c r="A334" s="113"/>
      <c r="C334" s="36"/>
      <c r="H334" s="26"/>
      <c r="N334" s="27"/>
      <c r="O334" s="27"/>
      <c r="X334" s="8"/>
      <c r="AG334" s="41"/>
      <c r="AH334" s="41"/>
      <c r="AK334" s="28"/>
      <c r="AL334" s="29"/>
      <c r="AM334" s="35"/>
    </row>
    <row r="335" spans="1:39" ht="18" customHeight="1" x14ac:dyDescent="0.25">
      <c r="C335" s="36"/>
      <c r="H335" s="26"/>
      <c r="N335" s="27"/>
      <c r="O335" s="27"/>
      <c r="X335" s="8"/>
      <c r="AG335" s="41"/>
      <c r="AH335" s="41"/>
      <c r="AK335" s="28"/>
      <c r="AL335" s="29"/>
      <c r="AM335" s="35"/>
    </row>
    <row r="336" spans="1:39" ht="18" customHeight="1" x14ac:dyDescent="0.25">
      <c r="C336" s="36"/>
      <c r="H336" s="26"/>
      <c r="N336" s="27"/>
      <c r="O336" s="27"/>
      <c r="X336" s="8"/>
      <c r="AG336" s="41"/>
      <c r="AH336" s="41"/>
      <c r="AK336" s="28"/>
      <c r="AL336" s="29"/>
      <c r="AM336" s="35"/>
    </row>
    <row r="337" spans="1:39" ht="18" customHeight="1" x14ac:dyDescent="0.25">
      <c r="A337" s="113"/>
      <c r="C337" s="36"/>
      <c r="H337" s="26"/>
      <c r="N337" s="27"/>
      <c r="O337" s="27"/>
      <c r="X337" s="8"/>
      <c r="AG337" s="41"/>
      <c r="AH337" s="41"/>
      <c r="AK337" s="28"/>
      <c r="AL337" s="29"/>
      <c r="AM337" s="35"/>
    </row>
    <row r="338" spans="1:39" ht="18" customHeight="1" x14ac:dyDescent="0.25">
      <c r="C338" s="36"/>
      <c r="H338" s="26"/>
      <c r="N338" s="27"/>
      <c r="O338" s="27"/>
      <c r="X338" s="8"/>
      <c r="AG338" s="41"/>
      <c r="AH338" s="41"/>
      <c r="AK338" s="28"/>
      <c r="AL338" s="29"/>
      <c r="AM338" s="35"/>
    </row>
    <row r="339" spans="1:39" ht="18" customHeight="1" x14ac:dyDescent="0.25">
      <c r="C339" s="26"/>
      <c r="AG339" s="41"/>
      <c r="AH339" s="41"/>
      <c r="AK339" s="28"/>
      <c r="AL339" s="29"/>
      <c r="AM339" s="35"/>
    </row>
    <row r="340" spans="1:39" ht="18" customHeight="1" x14ac:dyDescent="0.25">
      <c r="C340" s="26"/>
      <c r="AG340" s="41"/>
      <c r="AH340" s="41"/>
      <c r="AK340" s="28"/>
      <c r="AL340" s="29"/>
      <c r="AM340" s="35"/>
    </row>
    <row r="341" spans="1:39" ht="18" customHeight="1" x14ac:dyDescent="0.25">
      <c r="AG341" s="41"/>
      <c r="AH341" s="41"/>
      <c r="AK341" s="28"/>
      <c r="AL341" s="29"/>
      <c r="AM341" s="35"/>
    </row>
    <row r="342" spans="1:39" ht="18" customHeight="1" x14ac:dyDescent="0.25">
      <c r="AG342" s="41"/>
      <c r="AH342" s="41"/>
      <c r="AK342" s="28"/>
      <c r="AL342" s="29"/>
      <c r="AM342" s="28"/>
    </row>
    <row r="343" spans="1:39" ht="18" customHeight="1" x14ac:dyDescent="0.25">
      <c r="AM343" s="28"/>
    </row>
    <row r="344" spans="1:39" ht="18" customHeight="1" x14ac:dyDescent="0.25">
      <c r="AM344" s="28"/>
    </row>
    <row r="345" spans="1:39" ht="18" customHeight="1" x14ac:dyDescent="0.25">
      <c r="AM345" s="28"/>
    </row>
    <row r="346" spans="1:39" ht="18" customHeight="1" x14ac:dyDescent="0.25">
      <c r="AM346" s="28"/>
    </row>
    <row r="347" spans="1:39" ht="18" customHeight="1" x14ac:dyDescent="0.25">
      <c r="AM347" s="28"/>
    </row>
    <row r="348" spans="1:39" ht="18" customHeight="1" x14ac:dyDescent="0.25">
      <c r="AM348" s="28"/>
    </row>
    <row r="349" spans="1:39" ht="18" customHeight="1" x14ac:dyDescent="0.25">
      <c r="AM349" s="28"/>
    </row>
    <row r="350" spans="1:39" ht="18" customHeight="1" x14ac:dyDescent="0.25">
      <c r="AM350" s="28"/>
    </row>
    <row r="351" spans="1:39" ht="18" customHeight="1" x14ac:dyDescent="0.25">
      <c r="AM351" s="28"/>
    </row>
    <row r="352" spans="1:39" ht="18" customHeight="1" x14ac:dyDescent="0.25">
      <c r="AM352" s="28"/>
    </row>
    <row r="353" spans="39:39" ht="18" customHeight="1" x14ac:dyDescent="0.25">
      <c r="AM353" s="28"/>
    </row>
    <row r="354" spans="39:39" ht="18" customHeight="1" x14ac:dyDescent="0.25">
      <c r="AM354" s="28"/>
    </row>
    <row r="355" spans="39:39" ht="18" customHeight="1" x14ac:dyDescent="0.25">
      <c r="AM355" s="28"/>
    </row>
    <row r="356" spans="39:39" ht="18" customHeight="1" x14ac:dyDescent="0.25">
      <c r="AM356" s="28"/>
    </row>
    <row r="357" spans="39:39" ht="18" customHeight="1" x14ac:dyDescent="0.25">
      <c r="AM357" s="28"/>
    </row>
    <row r="358" spans="39:39" ht="18" customHeight="1" x14ac:dyDescent="0.25">
      <c r="AM358" s="28"/>
    </row>
    <row r="359" spans="39:39" ht="18" customHeight="1" x14ac:dyDescent="0.25">
      <c r="AM359" s="28"/>
    </row>
    <row r="360" spans="39:39" ht="18" customHeight="1" x14ac:dyDescent="0.25">
      <c r="AM360" s="28"/>
    </row>
    <row r="361" spans="39:39" ht="18" customHeight="1" x14ac:dyDescent="0.25">
      <c r="AM361" s="28"/>
    </row>
    <row r="362" spans="39:39" ht="18" customHeight="1" x14ac:dyDescent="0.25">
      <c r="AM362" s="28"/>
    </row>
    <row r="363" spans="39:39" ht="18" customHeight="1" x14ac:dyDescent="0.25">
      <c r="AM363" s="28"/>
    </row>
    <row r="364" spans="39:39" ht="18" customHeight="1" x14ac:dyDescent="0.25">
      <c r="AM364" s="28"/>
    </row>
    <row r="365" spans="39:39" ht="18" customHeight="1" x14ac:dyDescent="0.25">
      <c r="AM365" s="28"/>
    </row>
    <row r="366" spans="39:39" ht="18" customHeight="1" x14ac:dyDescent="0.25">
      <c r="AM366" s="28"/>
    </row>
    <row r="367" spans="39:39" ht="18" customHeight="1" x14ac:dyDescent="0.25">
      <c r="AM367" s="28"/>
    </row>
    <row r="368" spans="39:39" ht="18" customHeight="1" x14ac:dyDescent="0.25">
      <c r="AM368" s="28"/>
    </row>
    <row r="369" spans="39:39" ht="18" customHeight="1" x14ac:dyDescent="0.25">
      <c r="AM369" s="28"/>
    </row>
    <row r="370" spans="39:39" ht="18" customHeight="1" x14ac:dyDescent="0.25">
      <c r="AM370" s="28"/>
    </row>
    <row r="371" spans="39:39" ht="18" customHeight="1" x14ac:dyDescent="0.25">
      <c r="AM371" s="28"/>
    </row>
    <row r="372" spans="39:39" ht="18" customHeight="1" x14ac:dyDescent="0.25">
      <c r="AM372" s="28"/>
    </row>
    <row r="373" spans="39:39" ht="18" customHeight="1" x14ac:dyDescent="0.25">
      <c r="AM373" s="28"/>
    </row>
    <row r="374" spans="39:39" ht="18" customHeight="1" x14ac:dyDescent="0.25">
      <c r="AM374" s="28"/>
    </row>
    <row r="375" spans="39:39" ht="18" customHeight="1" x14ac:dyDescent="0.25">
      <c r="AM375" s="28"/>
    </row>
    <row r="376" spans="39:39" ht="18" customHeight="1" x14ac:dyDescent="0.25">
      <c r="AM376" s="28"/>
    </row>
    <row r="377" spans="39:39" ht="18" customHeight="1" x14ac:dyDescent="0.25">
      <c r="AM377" s="28"/>
    </row>
    <row r="378" spans="39:39" ht="18" customHeight="1" x14ac:dyDescent="0.25">
      <c r="AM378" s="28"/>
    </row>
    <row r="379" spans="39:39" ht="18" customHeight="1" x14ac:dyDescent="0.25">
      <c r="AM379" s="28"/>
    </row>
    <row r="380" spans="39:39" ht="18" customHeight="1" x14ac:dyDescent="0.25">
      <c r="AM380" s="28"/>
    </row>
    <row r="381" spans="39:39" ht="18" customHeight="1" x14ac:dyDescent="0.25">
      <c r="AM381" s="28"/>
    </row>
    <row r="382" spans="39:39" ht="18" customHeight="1" x14ac:dyDescent="0.25">
      <c r="AM382" s="28"/>
    </row>
    <row r="383" spans="39:39" ht="18" customHeight="1" x14ac:dyDescent="0.25">
      <c r="AM383" s="28"/>
    </row>
    <row r="384" spans="39:39" ht="18" customHeight="1" x14ac:dyDescent="0.25">
      <c r="AM384" s="28"/>
    </row>
    <row r="385" spans="39:39" ht="18" customHeight="1" x14ac:dyDescent="0.25">
      <c r="AM385" s="28"/>
    </row>
    <row r="386" spans="39:39" ht="18" customHeight="1" x14ac:dyDescent="0.25">
      <c r="AM386" s="28"/>
    </row>
    <row r="387" spans="39:39" ht="18" customHeight="1" x14ac:dyDescent="0.25">
      <c r="AM387" s="28"/>
    </row>
    <row r="388" spans="39:39" ht="18" customHeight="1" x14ac:dyDescent="0.25">
      <c r="AM388" s="28"/>
    </row>
    <row r="389" spans="39:39" ht="18" customHeight="1" x14ac:dyDescent="0.25">
      <c r="AM389" s="28"/>
    </row>
    <row r="390" spans="39:39" ht="18" customHeight="1" x14ac:dyDescent="0.25">
      <c r="AM390" s="28"/>
    </row>
    <row r="391" spans="39:39" ht="18" customHeight="1" x14ac:dyDescent="0.25">
      <c r="AM391" s="28"/>
    </row>
    <row r="392" spans="39:39" ht="18" customHeight="1" x14ac:dyDescent="0.25">
      <c r="AM392" s="28"/>
    </row>
    <row r="393" spans="39:39" ht="18" customHeight="1" x14ac:dyDescent="0.25">
      <c r="AM393" s="28"/>
    </row>
    <row r="394" spans="39:39" ht="18" customHeight="1" x14ac:dyDescent="0.25">
      <c r="AM394" s="28"/>
    </row>
    <row r="395" spans="39:39" ht="18" customHeight="1" x14ac:dyDescent="0.25">
      <c r="AM395" s="28"/>
    </row>
    <row r="396" spans="39:39" ht="18" customHeight="1" x14ac:dyDescent="0.25">
      <c r="AM396" s="28"/>
    </row>
    <row r="397" spans="39:39" ht="18" customHeight="1" x14ac:dyDescent="0.25">
      <c r="AM397" s="28"/>
    </row>
    <row r="398" spans="39:39" ht="18" customHeight="1" x14ac:dyDescent="0.25">
      <c r="AM398" s="28"/>
    </row>
    <row r="399" spans="39:39" ht="18" customHeight="1" x14ac:dyDescent="0.25">
      <c r="AM399" s="28"/>
    </row>
    <row r="400" spans="39:39" ht="18" customHeight="1" x14ac:dyDescent="0.25">
      <c r="AM400" s="28"/>
    </row>
    <row r="401" spans="39:39" ht="18" customHeight="1" x14ac:dyDescent="0.25">
      <c r="AM401" s="28"/>
    </row>
    <row r="402" spans="39:39" ht="18" customHeight="1" x14ac:dyDescent="0.25">
      <c r="AM402" s="28"/>
    </row>
    <row r="403" spans="39:39" ht="18" customHeight="1" x14ac:dyDescent="0.25">
      <c r="AM403" s="28"/>
    </row>
    <row r="404" spans="39:39" ht="18" customHeight="1" x14ac:dyDescent="0.25">
      <c r="AM404" s="28"/>
    </row>
    <row r="405" spans="39:39" ht="18" customHeight="1" x14ac:dyDescent="0.25">
      <c r="AM405" s="28"/>
    </row>
    <row r="406" spans="39:39" ht="18" customHeight="1" x14ac:dyDescent="0.25">
      <c r="AM406" s="28"/>
    </row>
    <row r="407" spans="39:39" ht="18" customHeight="1" x14ac:dyDescent="0.25">
      <c r="AM407" s="28"/>
    </row>
    <row r="408" spans="39:39" ht="18" customHeight="1" x14ac:dyDescent="0.25">
      <c r="AM408" s="28"/>
    </row>
    <row r="409" spans="39:39" ht="18" customHeight="1" x14ac:dyDescent="0.25">
      <c r="AM409" s="28"/>
    </row>
    <row r="410" spans="39:39" ht="18" customHeight="1" x14ac:dyDescent="0.25">
      <c r="AM410" s="28"/>
    </row>
    <row r="411" spans="39:39" ht="18" customHeight="1" x14ac:dyDescent="0.25">
      <c r="AM411" s="28"/>
    </row>
    <row r="412" spans="39:39" ht="18" customHeight="1" x14ac:dyDescent="0.25">
      <c r="AM412" s="28"/>
    </row>
    <row r="413" spans="39:39" ht="18" customHeight="1" x14ac:dyDescent="0.25">
      <c r="AM413" s="28"/>
    </row>
    <row r="414" spans="39:39" ht="18" customHeight="1" x14ac:dyDescent="0.25">
      <c r="AM414" s="28"/>
    </row>
    <row r="415" spans="39:39" ht="18" customHeight="1" x14ac:dyDescent="0.25">
      <c r="AM415" s="28"/>
    </row>
    <row r="416" spans="39:39" ht="18" customHeight="1" x14ac:dyDescent="0.25">
      <c r="AM416" s="28"/>
    </row>
    <row r="417" spans="39:39" ht="18" customHeight="1" x14ac:dyDescent="0.25">
      <c r="AM417" s="28"/>
    </row>
    <row r="418" spans="39:39" ht="18" customHeight="1" x14ac:dyDescent="0.25">
      <c r="AM418" s="28"/>
    </row>
    <row r="419" spans="39:39" ht="18" customHeight="1" x14ac:dyDescent="0.25">
      <c r="AM419" s="28"/>
    </row>
    <row r="420" spans="39:39" ht="18" customHeight="1" x14ac:dyDescent="0.25">
      <c r="AM420" s="28"/>
    </row>
    <row r="421" spans="39:39" ht="18" customHeight="1" x14ac:dyDescent="0.25">
      <c r="AM421" s="28"/>
    </row>
    <row r="422" spans="39:39" ht="18" customHeight="1" x14ac:dyDescent="0.25">
      <c r="AM422" s="28"/>
    </row>
    <row r="423" spans="39:39" ht="18" customHeight="1" x14ac:dyDescent="0.25">
      <c r="AM423" s="28"/>
    </row>
    <row r="424" spans="39:39" ht="18" customHeight="1" x14ac:dyDescent="0.25">
      <c r="AM424" s="28"/>
    </row>
    <row r="425" spans="39:39" ht="18" customHeight="1" x14ac:dyDescent="0.25">
      <c r="AM425" s="28"/>
    </row>
    <row r="426" spans="39:39" ht="18" customHeight="1" x14ac:dyDescent="0.25">
      <c r="AM426" s="28"/>
    </row>
    <row r="427" spans="39:39" ht="18" customHeight="1" x14ac:dyDescent="0.25">
      <c r="AM427" s="28"/>
    </row>
    <row r="428" spans="39:39" ht="18" customHeight="1" x14ac:dyDescent="0.25">
      <c r="AM428" s="28"/>
    </row>
    <row r="429" spans="39:39" ht="18" customHeight="1" x14ac:dyDescent="0.25">
      <c r="AM429" s="28"/>
    </row>
    <row r="430" spans="39:39" ht="18" customHeight="1" x14ac:dyDescent="0.25">
      <c r="AM430" s="28"/>
    </row>
    <row r="431" spans="39:39" ht="18" customHeight="1" x14ac:dyDescent="0.25">
      <c r="AM431" s="28"/>
    </row>
    <row r="432" spans="39:39" ht="18" customHeight="1" x14ac:dyDescent="0.25">
      <c r="AM432" s="28"/>
    </row>
    <row r="433" spans="39:39" ht="18" customHeight="1" x14ac:dyDescent="0.25">
      <c r="AM433" s="28"/>
    </row>
    <row r="434" spans="39:39" ht="18" customHeight="1" x14ac:dyDescent="0.25">
      <c r="AM434" s="28"/>
    </row>
    <row r="435" spans="39:39" ht="18" customHeight="1" x14ac:dyDescent="0.25">
      <c r="AM435" s="28"/>
    </row>
    <row r="436" spans="39:39" ht="18" customHeight="1" x14ac:dyDescent="0.25">
      <c r="AM436" s="28"/>
    </row>
    <row r="437" spans="39:39" ht="18" customHeight="1" x14ac:dyDescent="0.25">
      <c r="AM437" s="28"/>
    </row>
    <row r="438" spans="39:39" ht="18" customHeight="1" x14ac:dyDescent="0.25">
      <c r="AM438" s="28"/>
    </row>
    <row r="439" spans="39:39" ht="18" customHeight="1" x14ac:dyDescent="0.25">
      <c r="AM439" s="28"/>
    </row>
    <row r="440" spans="39:39" ht="18" customHeight="1" x14ac:dyDescent="0.25">
      <c r="AM440" s="28"/>
    </row>
    <row r="441" spans="39:39" ht="18" customHeight="1" x14ac:dyDescent="0.25">
      <c r="AM441" s="28"/>
    </row>
    <row r="442" spans="39:39" ht="18" customHeight="1" x14ac:dyDescent="0.25">
      <c r="AM442" s="28"/>
    </row>
    <row r="443" spans="39:39" ht="18" customHeight="1" x14ac:dyDescent="0.25">
      <c r="AM443" s="28"/>
    </row>
    <row r="444" spans="39:39" ht="18" customHeight="1" x14ac:dyDescent="0.25">
      <c r="AM444" s="28"/>
    </row>
    <row r="445" spans="39:39" ht="18" customHeight="1" x14ac:dyDescent="0.25">
      <c r="AM445" s="28"/>
    </row>
    <row r="446" spans="39:39" ht="18" customHeight="1" x14ac:dyDescent="0.25">
      <c r="AM446" s="28"/>
    </row>
    <row r="447" spans="39:39" ht="18" customHeight="1" x14ac:dyDescent="0.25">
      <c r="AM447" s="28"/>
    </row>
    <row r="448" spans="39:39" ht="18" customHeight="1" x14ac:dyDescent="0.25">
      <c r="AM448" s="28"/>
    </row>
    <row r="449" spans="39:39" ht="18" customHeight="1" x14ac:dyDescent="0.25">
      <c r="AM449" s="28"/>
    </row>
    <row r="450" spans="39:39" ht="18" customHeight="1" x14ac:dyDescent="0.25">
      <c r="AM450" s="28"/>
    </row>
    <row r="451" spans="39:39" ht="18" customHeight="1" x14ac:dyDescent="0.25">
      <c r="AM451" s="28"/>
    </row>
    <row r="452" spans="39:39" ht="18" customHeight="1" x14ac:dyDescent="0.25">
      <c r="AM452" s="28"/>
    </row>
    <row r="453" spans="39:39" ht="18" customHeight="1" x14ac:dyDescent="0.25">
      <c r="AM453" s="28"/>
    </row>
    <row r="454" spans="39:39" ht="18" customHeight="1" x14ac:dyDescent="0.25">
      <c r="AM454" s="28"/>
    </row>
    <row r="455" spans="39:39" ht="18" customHeight="1" x14ac:dyDescent="0.25">
      <c r="AM455" s="28"/>
    </row>
    <row r="456" spans="39:39" ht="18" customHeight="1" x14ac:dyDescent="0.25">
      <c r="AM456" s="28"/>
    </row>
    <row r="457" spans="39:39" ht="18" customHeight="1" x14ac:dyDescent="0.25">
      <c r="AM457" s="28"/>
    </row>
    <row r="458" spans="39:39" ht="18" customHeight="1" x14ac:dyDescent="0.25">
      <c r="AM458" s="28"/>
    </row>
    <row r="459" spans="39:39" ht="18" customHeight="1" x14ac:dyDescent="0.25">
      <c r="AM459" s="28"/>
    </row>
    <row r="460" spans="39:39" ht="18" customHeight="1" x14ac:dyDescent="0.25">
      <c r="AM460" s="28"/>
    </row>
    <row r="461" spans="39:39" ht="18" customHeight="1" x14ac:dyDescent="0.25">
      <c r="AM461" s="28"/>
    </row>
    <row r="462" spans="39:39" ht="18" customHeight="1" x14ac:dyDescent="0.25">
      <c r="AM462" s="28"/>
    </row>
    <row r="463" spans="39:39" ht="18" customHeight="1" x14ac:dyDescent="0.25">
      <c r="AM463" s="28"/>
    </row>
    <row r="464" spans="39:39" ht="18" customHeight="1" x14ac:dyDescent="0.25">
      <c r="AM464" s="28"/>
    </row>
    <row r="465" spans="39:39" ht="18" customHeight="1" x14ac:dyDescent="0.25">
      <c r="AM465" s="28"/>
    </row>
    <row r="466" spans="39:39" ht="18" customHeight="1" x14ac:dyDescent="0.25">
      <c r="AM466" s="28"/>
    </row>
    <row r="467" spans="39:39" ht="18" customHeight="1" x14ac:dyDescent="0.25">
      <c r="AM467" s="28"/>
    </row>
    <row r="468" spans="39:39" ht="18" customHeight="1" x14ac:dyDescent="0.25">
      <c r="AM468" s="28"/>
    </row>
    <row r="469" spans="39:39" ht="18" customHeight="1" x14ac:dyDescent="0.25">
      <c r="AM469" s="28"/>
    </row>
    <row r="470" spans="39:39" ht="18" customHeight="1" x14ac:dyDescent="0.25">
      <c r="AM470" s="28"/>
    </row>
    <row r="471" spans="39:39" ht="18" customHeight="1" x14ac:dyDescent="0.25">
      <c r="AM471" s="28"/>
    </row>
    <row r="472" spans="39:39" ht="18" customHeight="1" x14ac:dyDescent="0.25">
      <c r="AM472" s="28"/>
    </row>
    <row r="473" spans="39:39" ht="18" customHeight="1" x14ac:dyDescent="0.25">
      <c r="AM473" s="28"/>
    </row>
    <row r="474" spans="39:39" ht="18" customHeight="1" x14ac:dyDescent="0.25">
      <c r="AM474" s="28"/>
    </row>
    <row r="475" spans="39:39" ht="18" customHeight="1" x14ac:dyDescent="0.25">
      <c r="AM475" s="28"/>
    </row>
    <row r="476" spans="39:39" ht="18" customHeight="1" x14ac:dyDescent="0.25">
      <c r="AM476" s="28"/>
    </row>
    <row r="477" spans="39:39" ht="18" customHeight="1" x14ac:dyDescent="0.25">
      <c r="AM477" s="28"/>
    </row>
    <row r="478" spans="39:39" ht="18" customHeight="1" x14ac:dyDescent="0.25">
      <c r="AM478" s="28"/>
    </row>
    <row r="479" spans="39:39" ht="18" customHeight="1" x14ac:dyDescent="0.25">
      <c r="AM479" s="28"/>
    </row>
    <row r="480" spans="39:39" ht="18" customHeight="1" x14ac:dyDescent="0.25">
      <c r="AM480" s="28"/>
    </row>
    <row r="481" spans="39:39" ht="18" customHeight="1" x14ac:dyDescent="0.25">
      <c r="AM481" s="28"/>
    </row>
    <row r="482" spans="39:39" ht="18" customHeight="1" x14ac:dyDescent="0.25">
      <c r="AM482" s="28"/>
    </row>
    <row r="483" spans="39:39" ht="18" customHeight="1" x14ac:dyDescent="0.25">
      <c r="AM483" s="28"/>
    </row>
    <row r="484" spans="39:39" ht="18" customHeight="1" x14ac:dyDescent="0.25">
      <c r="AM484" s="28"/>
    </row>
    <row r="485" spans="39:39" ht="18" customHeight="1" x14ac:dyDescent="0.25">
      <c r="AM485" s="28"/>
    </row>
    <row r="486" spans="39:39" ht="18" customHeight="1" x14ac:dyDescent="0.25">
      <c r="AM486" s="28"/>
    </row>
    <row r="487" spans="39:39" ht="18" customHeight="1" x14ac:dyDescent="0.25">
      <c r="AM487" s="28"/>
    </row>
    <row r="488" spans="39:39" ht="18" customHeight="1" x14ac:dyDescent="0.25">
      <c r="AM488" s="28"/>
    </row>
    <row r="489" spans="39:39" ht="18" customHeight="1" x14ac:dyDescent="0.25">
      <c r="AM489" s="28"/>
    </row>
    <row r="490" spans="39:39" ht="18" customHeight="1" x14ac:dyDescent="0.25">
      <c r="AM490" s="28"/>
    </row>
    <row r="491" spans="39:39" ht="18" customHeight="1" x14ac:dyDescent="0.25">
      <c r="AM491" s="28"/>
    </row>
    <row r="492" spans="39:39" ht="18" customHeight="1" x14ac:dyDescent="0.25">
      <c r="AM492" s="28"/>
    </row>
    <row r="493" spans="39:39" ht="18" customHeight="1" x14ac:dyDescent="0.25">
      <c r="AM493" s="28"/>
    </row>
    <row r="494" spans="39:39" ht="18" customHeight="1" x14ac:dyDescent="0.25">
      <c r="AM494" s="28"/>
    </row>
    <row r="495" spans="39:39" ht="18" customHeight="1" x14ac:dyDescent="0.25">
      <c r="AM495" s="28"/>
    </row>
    <row r="496" spans="39:39" ht="18" customHeight="1" x14ac:dyDescent="0.25">
      <c r="AM496" s="28"/>
    </row>
    <row r="497" spans="39:39" ht="18" customHeight="1" x14ac:dyDescent="0.25">
      <c r="AM497" s="28"/>
    </row>
    <row r="498" spans="39:39" ht="18" customHeight="1" x14ac:dyDescent="0.25">
      <c r="AM498" s="28"/>
    </row>
    <row r="499" spans="39:39" ht="18" customHeight="1" x14ac:dyDescent="0.25">
      <c r="AM499" s="28"/>
    </row>
    <row r="500" spans="39:39" ht="18" customHeight="1" x14ac:dyDescent="0.25">
      <c r="AM500" s="28"/>
    </row>
    <row r="501" spans="39:39" ht="18" customHeight="1" x14ac:dyDescent="0.25">
      <c r="AM501" s="28"/>
    </row>
    <row r="502" spans="39:39" ht="18" customHeight="1" x14ac:dyDescent="0.25">
      <c r="AM502" s="28"/>
    </row>
    <row r="503" spans="39:39" ht="18" customHeight="1" x14ac:dyDescent="0.25">
      <c r="AM503" s="28"/>
    </row>
    <row r="504" spans="39:39" ht="18" customHeight="1" x14ac:dyDescent="0.25">
      <c r="AM504" s="28"/>
    </row>
    <row r="505" spans="39:39" ht="18" customHeight="1" x14ac:dyDescent="0.25">
      <c r="AM505" s="28"/>
    </row>
    <row r="506" spans="39:39" ht="18" customHeight="1" x14ac:dyDescent="0.25">
      <c r="AM506" s="28"/>
    </row>
    <row r="507" spans="39:39" ht="18" customHeight="1" x14ac:dyDescent="0.25">
      <c r="AM507" s="28"/>
    </row>
    <row r="508" spans="39:39" ht="18" customHeight="1" x14ac:dyDescent="0.25">
      <c r="AM508" s="28"/>
    </row>
    <row r="509" spans="39:39" ht="18" customHeight="1" x14ac:dyDescent="0.25">
      <c r="AM509" s="28"/>
    </row>
    <row r="510" spans="39:39" ht="18" customHeight="1" x14ac:dyDescent="0.25">
      <c r="AM510" s="28"/>
    </row>
    <row r="511" spans="39:39" ht="18" customHeight="1" x14ac:dyDescent="0.25">
      <c r="AM511" s="28"/>
    </row>
    <row r="512" spans="39:39" ht="18" customHeight="1" x14ac:dyDescent="0.25">
      <c r="AM512" s="28"/>
    </row>
    <row r="513" spans="39:39" ht="18" customHeight="1" x14ac:dyDescent="0.25">
      <c r="AM513" s="28"/>
    </row>
    <row r="514" spans="39:39" ht="18" customHeight="1" x14ac:dyDescent="0.25">
      <c r="AM514" s="28"/>
    </row>
    <row r="515" spans="39:39" ht="18" customHeight="1" x14ac:dyDescent="0.25">
      <c r="AM515" s="28"/>
    </row>
    <row r="516" spans="39:39" ht="18" customHeight="1" x14ac:dyDescent="0.25">
      <c r="AM516" s="28"/>
    </row>
    <row r="517" spans="39:39" ht="18" customHeight="1" x14ac:dyDescent="0.25">
      <c r="AM517" s="28"/>
    </row>
    <row r="518" spans="39:39" ht="18" customHeight="1" x14ac:dyDescent="0.25">
      <c r="AM518" s="28"/>
    </row>
    <row r="519" spans="39:39" ht="18" customHeight="1" x14ac:dyDescent="0.25">
      <c r="AM519" s="28"/>
    </row>
    <row r="520" spans="39:39" ht="18" customHeight="1" x14ac:dyDescent="0.25">
      <c r="AM520" s="28"/>
    </row>
    <row r="521" spans="39:39" ht="18" customHeight="1" x14ac:dyDescent="0.25">
      <c r="AM521" s="28"/>
    </row>
    <row r="522" spans="39:39" ht="18" customHeight="1" x14ac:dyDescent="0.25">
      <c r="AM522" s="28"/>
    </row>
    <row r="523" spans="39:39" ht="18" customHeight="1" x14ac:dyDescent="0.25">
      <c r="AM523" s="28"/>
    </row>
    <row r="524" spans="39:39" ht="18" customHeight="1" x14ac:dyDescent="0.25">
      <c r="AM524" s="28"/>
    </row>
    <row r="525" spans="39:39" ht="18" customHeight="1" x14ac:dyDescent="0.25">
      <c r="AM525" s="28"/>
    </row>
    <row r="526" spans="39:39" ht="18" customHeight="1" x14ac:dyDescent="0.25">
      <c r="AM526" s="28"/>
    </row>
    <row r="527" spans="39:39" ht="18" customHeight="1" x14ac:dyDescent="0.25">
      <c r="AM527" s="28"/>
    </row>
    <row r="528" spans="39:39" ht="18" customHeight="1" x14ac:dyDescent="0.25">
      <c r="AM528" s="28"/>
    </row>
    <row r="529" spans="39:39" ht="18" customHeight="1" x14ac:dyDescent="0.25">
      <c r="AM529" s="28"/>
    </row>
    <row r="530" spans="39:39" ht="18" customHeight="1" x14ac:dyDescent="0.25">
      <c r="AM530" s="28"/>
    </row>
    <row r="531" spans="39:39" ht="18" customHeight="1" x14ac:dyDescent="0.25">
      <c r="AM531" s="28"/>
    </row>
    <row r="532" spans="39:39" ht="18" customHeight="1" x14ac:dyDescent="0.25">
      <c r="AM532" s="28"/>
    </row>
    <row r="533" spans="39:39" ht="18" customHeight="1" x14ac:dyDescent="0.25">
      <c r="AM533" s="28"/>
    </row>
    <row r="534" spans="39:39" ht="18" customHeight="1" x14ac:dyDescent="0.25">
      <c r="AM534" s="28"/>
    </row>
    <row r="535" spans="39:39" ht="18" customHeight="1" x14ac:dyDescent="0.25">
      <c r="AM535" s="28"/>
    </row>
    <row r="536" spans="39:39" ht="18" customHeight="1" x14ac:dyDescent="0.25">
      <c r="AM536" s="28"/>
    </row>
    <row r="537" spans="39:39" ht="18" customHeight="1" x14ac:dyDescent="0.25">
      <c r="AM537" s="28"/>
    </row>
    <row r="538" spans="39:39" ht="18" customHeight="1" x14ac:dyDescent="0.25">
      <c r="AM538" s="28"/>
    </row>
    <row r="539" spans="39:39" ht="18" customHeight="1" x14ac:dyDescent="0.25">
      <c r="AM539" s="28"/>
    </row>
    <row r="540" spans="39:39" ht="18" customHeight="1" x14ac:dyDescent="0.25">
      <c r="AM540" s="28"/>
    </row>
    <row r="541" spans="39:39" ht="18" customHeight="1" x14ac:dyDescent="0.25">
      <c r="AM541" s="28"/>
    </row>
    <row r="542" spans="39:39" ht="18" customHeight="1" x14ac:dyDescent="0.25">
      <c r="AM542" s="28"/>
    </row>
    <row r="543" spans="39:39" ht="18" customHeight="1" x14ac:dyDescent="0.25">
      <c r="AM543" s="28"/>
    </row>
    <row r="544" spans="39:39" ht="18" customHeight="1" x14ac:dyDescent="0.25">
      <c r="AM544" s="28"/>
    </row>
    <row r="545" spans="39:39" ht="18" customHeight="1" x14ac:dyDescent="0.25">
      <c r="AM545" s="28"/>
    </row>
    <row r="546" spans="39:39" ht="18" customHeight="1" x14ac:dyDescent="0.25">
      <c r="AM546" s="28"/>
    </row>
    <row r="547" spans="39:39" ht="18" customHeight="1" x14ac:dyDescent="0.25">
      <c r="AM547" s="28"/>
    </row>
    <row r="548" spans="39:39" ht="18" customHeight="1" x14ac:dyDescent="0.25">
      <c r="AM548" s="28"/>
    </row>
    <row r="549" spans="39:39" ht="18" customHeight="1" x14ac:dyDescent="0.25">
      <c r="AM549" s="28"/>
    </row>
    <row r="550" spans="39:39" ht="18" customHeight="1" x14ac:dyDescent="0.25">
      <c r="AM550" s="28"/>
    </row>
    <row r="551" spans="39:39" ht="18" customHeight="1" x14ac:dyDescent="0.25">
      <c r="AM551" s="28"/>
    </row>
    <row r="552" spans="39:39" ht="18" customHeight="1" x14ac:dyDescent="0.25">
      <c r="AM552" s="28"/>
    </row>
    <row r="553" spans="39:39" ht="18" customHeight="1" x14ac:dyDescent="0.25">
      <c r="AM553" s="28"/>
    </row>
    <row r="554" spans="39:39" ht="18" customHeight="1" x14ac:dyDescent="0.25">
      <c r="AM554" s="28"/>
    </row>
    <row r="555" spans="39:39" ht="18" customHeight="1" x14ac:dyDescent="0.25">
      <c r="AM555" s="28"/>
    </row>
    <row r="556" spans="39:39" ht="18" customHeight="1" x14ac:dyDescent="0.25">
      <c r="AM556" s="28"/>
    </row>
    <row r="557" spans="39:39" ht="18" customHeight="1" x14ac:dyDescent="0.25">
      <c r="AM557" s="28"/>
    </row>
    <row r="558" spans="39:39" ht="18" customHeight="1" x14ac:dyDescent="0.25">
      <c r="AM558" s="28"/>
    </row>
    <row r="559" spans="39:39" ht="18" customHeight="1" x14ac:dyDescent="0.25">
      <c r="AM559" s="28"/>
    </row>
    <row r="560" spans="39:39" ht="18" customHeight="1" x14ac:dyDescent="0.25">
      <c r="AM560" s="28"/>
    </row>
    <row r="561" spans="39:39" ht="18" customHeight="1" x14ac:dyDescent="0.25">
      <c r="AM561" s="28"/>
    </row>
    <row r="562" spans="39:39" ht="18" customHeight="1" x14ac:dyDescent="0.25">
      <c r="AM562" s="28"/>
    </row>
    <row r="563" spans="39:39" ht="18" customHeight="1" x14ac:dyDescent="0.25">
      <c r="AM563" s="28"/>
    </row>
    <row r="564" spans="39:39" ht="18" customHeight="1" x14ac:dyDescent="0.25">
      <c r="AM564" s="28"/>
    </row>
    <row r="565" spans="39:39" ht="18" customHeight="1" x14ac:dyDescent="0.25">
      <c r="AM565" s="28"/>
    </row>
    <row r="566" spans="39:39" ht="18" customHeight="1" x14ac:dyDescent="0.25">
      <c r="AM566" s="28"/>
    </row>
    <row r="567" spans="39:39" ht="18" customHeight="1" x14ac:dyDescent="0.25">
      <c r="AM567" s="28"/>
    </row>
    <row r="568" spans="39:39" ht="18" customHeight="1" x14ac:dyDescent="0.25">
      <c r="AM568" s="28"/>
    </row>
    <row r="569" spans="39:39" ht="18" customHeight="1" x14ac:dyDescent="0.25">
      <c r="AM569" s="28"/>
    </row>
    <row r="570" spans="39:39" ht="18" customHeight="1" x14ac:dyDescent="0.25">
      <c r="AM570" s="28"/>
    </row>
    <row r="571" spans="39:39" ht="18" customHeight="1" x14ac:dyDescent="0.25">
      <c r="AM571" s="28"/>
    </row>
    <row r="572" spans="39:39" ht="18" customHeight="1" x14ac:dyDescent="0.25">
      <c r="AM572" s="28"/>
    </row>
    <row r="573" spans="39:39" ht="18" customHeight="1" x14ac:dyDescent="0.25">
      <c r="AM573" s="28"/>
    </row>
    <row r="574" spans="39:39" ht="18" customHeight="1" x14ac:dyDescent="0.25">
      <c r="AM574" s="28"/>
    </row>
    <row r="575" spans="39:39" ht="18" customHeight="1" x14ac:dyDescent="0.25">
      <c r="AM575" s="28"/>
    </row>
    <row r="576" spans="39:39" ht="18" customHeight="1" x14ac:dyDescent="0.25">
      <c r="AM576" s="28"/>
    </row>
    <row r="577" spans="39:39" ht="18" customHeight="1" x14ac:dyDescent="0.25">
      <c r="AM577" s="28"/>
    </row>
    <row r="578" spans="39:39" ht="18" customHeight="1" x14ac:dyDescent="0.25">
      <c r="AM578" s="28"/>
    </row>
    <row r="579" spans="39:39" ht="18" customHeight="1" x14ac:dyDescent="0.25">
      <c r="AM579" s="28"/>
    </row>
    <row r="580" spans="39:39" ht="18" customHeight="1" x14ac:dyDescent="0.25">
      <c r="AM580" s="28"/>
    </row>
    <row r="581" spans="39:39" ht="18" customHeight="1" x14ac:dyDescent="0.25">
      <c r="AM581" s="28"/>
    </row>
    <row r="582" spans="39:39" ht="18" customHeight="1" x14ac:dyDescent="0.25">
      <c r="AM582" s="28"/>
    </row>
    <row r="583" spans="39:39" ht="18" customHeight="1" x14ac:dyDescent="0.25">
      <c r="AM583" s="28"/>
    </row>
    <row r="584" spans="39:39" ht="18" customHeight="1" x14ac:dyDescent="0.25">
      <c r="AM584" s="28"/>
    </row>
    <row r="585" spans="39:39" ht="18" customHeight="1" x14ac:dyDescent="0.25">
      <c r="AM585" s="28"/>
    </row>
    <row r="586" spans="39:39" ht="18" customHeight="1" x14ac:dyDescent="0.25">
      <c r="AM586" s="28"/>
    </row>
    <row r="587" spans="39:39" ht="18" customHeight="1" x14ac:dyDescent="0.25">
      <c r="AM587" s="28"/>
    </row>
    <row r="588" spans="39:39" ht="18" customHeight="1" x14ac:dyDescent="0.25">
      <c r="AM588" s="28"/>
    </row>
    <row r="589" spans="39:39" ht="18" customHeight="1" x14ac:dyDescent="0.25">
      <c r="AM589" s="28"/>
    </row>
    <row r="590" spans="39:39" ht="18" customHeight="1" x14ac:dyDescent="0.25">
      <c r="AM590" s="28"/>
    </row>
    <row r="591" spans="39:39" ht="18" customHeight="1" x14ac:dyDescent="0.25">
      <c r="AM591" s="28"/>
    </row>
    <row r="592" spans="39:39" ht="18" customHeight="1" x14ac:dyDescent="0.25">
      <c r="AM592" s="28"/>
    </row>
    <row r="593" spans="39:39" ht="18" customHeight="1" x14ac:dyDescent="0.25">
      <c r="AM593" s="28"/>
    </row>
    <row r="594" spans="39:39" ht="18" customHeight="1" x14ac:dyDescent="0.25">
      <c r="AM594" s="28"/>
    </row>
    <row r="595" spans="39:39" ht="18" customHeight="1" x14ac:dyDescent="0.25">
      <c r="AM595" s="28"/>
    </row>
    <row r="596" spans="39:39" ht="18" customHeight="1" x14ac:dyDescent="0.25">
      <c r="AM596" s="28"/>
    </row>
    <row r="597" spans="39:39" ht="18" customHeight="1" x14ac:dyDescent="0.25">
      <c r="AM597" s="28"/>
    </row>
    <row r="598" spans="39:39" ht="18" customHeight="1" x14ac:dyDescent="0.25">
      <c r="AM598" s="28"/>
    </row>
    <row r="599" spans="39:39" ht="18" customHeight="1" x14ac:dyDescent="0.25">
      <c r="AM599" s="28"/>
    </row>
    <row r="600" spans="39:39" ht="18" customHeight="1" x14ac:dyDescent="0.25">
      <c r="AM600" s="28"/>
    </row>
    <row r="601" spans="39:39" ht="18" customHeight="1" x14ac:dyDescent="0.25">
      <c r="AM601" s="28"/>
    </row>
    <row r="602" spans="39:39" ht="18" customHeight="1" x14ac:dyDescent="0.25">
      <c r="AM602" s="28"/>
    </row>
    <row r="603" spans="39:39" ht="18" customHeight="1" x14ac:dyDescent="0.25">
      <c r="AM603" s="28"/>
    </row>
    <row r="604" spans="39:39" ht="18" customHeight="1" x14ac:dyDescent="0.25">
      <c r="AM604" s="28"/>
    </row>
    <row r="605" spans="39:39" ht="18" customHeight="1" x14ac:dyDescent="0.25">
      <c r="AM605" s="28"/>
    </row>
    <row r="606" spans="39:39" ht="18" customHeight="1" x14ac:dyDescent="0.25">
      <c r="AM606" s="28"/>
    </row>
    <row r="607" spans="39:39" ht="18" customHeight="1" x14ac:dyDescent="0.25">
      <c r="AM607" s="28"/>
    </row>
    <row r="608" spans="39:39" ht="18" customHeight="1" x14ac:dyDescent="0.25">
      <c r="AM608" s="28"/>
    </row>
    <row r="609" spans="39:39" ht="18" customHeight="1" x14ac:dyDescent="0.25">
      <c r="AM609" s="28"/>
    </row>
    <row r="610" spans="39:39" ht="18" customHeight="1" x14ac:dyDescent="0.25">
      <c r="AM610" s="28"/>
    </row>
    <row r="611" spans="39:39" ht="18" customHeight="1" x14ac:dyDescent="0.25">
      <c r="AM611" s="28"/>
    </row>
    <row r="612" spans="39:39" ht="18" customHeight="1" x14ac:dyDescent="0.25">
      <c r="AM612" s="28"/>
    </row>
    <row r="613" spans="39:39" ht="18" customHeight="1" x14ac:dyDescent="0.25">
      <c r="AM613" s="28"/>
    </row>
    <row r="614" spans="39:39" ht="18" customHeight="1" x14ac:dyDescent="0.25">
      <c r="AM614" s="28"/>
    </row>
    <row r="615" spans="39:39" ht="18" customHeight="1" x14ac:dyDescent="0.25">
      <c r="AM615" s="28"/>
    </row>
    <row r="616" spans="39:39" ht="18" customHeight="1" x14ac:dyDescent="0.25">
      <c r="AM616" s="28"/>
    </row>
    <row r="617" spans="39:39" ht="18" customHeight="1" x14ac:dyDescent="0.25">
      <c r="AM617" s="28"/>
    </row>
    <row r="618" spans="39:39" ht="18" customHeight="1" x14ac:dyDescent="0.25">
      <c r="AM618" s="28"/>
    </row>
    <row r="619" spans="39:39" ht="18" customHeight="1" x14ac:dyDescent="0.25">
      <c r="AM619" s="28"/>
    </row>
    <row r="620" spans="39:39" ht="18" customHeight="1" x14ac:dyDescent="0.25">
      <c r="AM620" s="28"/>
    </row>
    <row r="621" spans="39:39" ht="18" customHeight="1" x14ac:dyDescent="0.25">
      <c r="AM621" s="28"/>
    </row>
    <row r="622" spans="39:39" ht="18" customHeight="1" x14ac:dyDescent="0.25">
      <c r="AM622" s="28"/>
    </row>
    <row r="623" spans="39:39" ht="18" customHeight="1" x14ac:dyDescent="0.25">
      <c r="AM623" s="28"/>
    </row>
    <row r="624" spans="39:39" ht="18" customHeight="1" x14ac:dyDescent="0.25">
      <c r="AM624" s="28"/>
    </row>
    <row r="625" spans="39:39" ht="18" customHeight="1" x14ac:dyDescent="0.25">
      <c r="AM625" s="28"/>
    </row>
    <row r="626" spans="39:39" ht="18" customHeight="1" x14ac:dyDescent="0.25">
      <c r="AM626" s="28"/>
    </row>
    <row r="627" spans="39:39" ht="18" customHeight="1" x14ac:dyDescent="0.25">
      <c r="AM627" s="28"/>
    </row>
    <row r="628" spans="39:39" ht="18" customHeight="1" x14ac:dyDescent="0.25">
      <c r="AM628" s="28"/>
    </row>
    <row r="629" spans="39:39" ht="18" customHeight="1" x14ac:dyDescent="0.25">
      <c r="AM629" s="28"/>
    </row>
    <row r="630" spans="39:39" ht="18" customHeight="1" x14ac:dyDescent="0.25">
      <c r="AM630" s="28"/>
    </row>
    <row r="631" spans="39:39" ht="18" customHeight="1" x14ac:dyDescent="0.25">
      <c r="AM631" s="28"/>
    </row>
    <row r="632" spans="39:39" ht="18" customHeight="1" x14ac:dyDescent="0.25">
      <c r="AM632" s="28"/>
    </row>
    <row r="633" spans="39:39" ht="18" customHeight="1" x14ac:dyDescent="0.25">
      <c r="AM633" s="28"/>
    </row>
    <row r="634" spans="39:39" ht="18" customHeight="1" x14ac:dyDescent="0.25">
      <c r="AM634" s="28"/>
    </row>
    <row r="635" spans="39:39" ht="18" customHeight="1" x14ac:dyDescent="0.25">
      <c r="AM635" s="28"/>
    </row>
    <row r="636" spans="39:39" ht="18" customHeight="1" x14ac:dyDescent="0.25">
      <c r="AM636" s="28"/>
    </row>
    <row r="637" spans="39:39" ht="18" customHeight="1" x14ac:dyDescent="0.25">
      <c r="AM637" s="28"/>
    </row>
    <row r="638" spans="39:39" ht="18" customHeight="1" x14ac:dyDescent="0.25">
      <c r="AM638" s="28"/>
    </row>
    <row r="639" spans="39:39" ht="18" customHeight="1" x14ac:dyDescent="0.25">
      <c r="AM639" s="28"/>
    </row>
    <row r="640" spans="39:39" ht="18" customHeight="1" x14ac:dyDescent="0.25">
      <c r="AM640" s="28"/>
    </row>
    <row r="641" spans="39:39" ht="18" customHeight="1" x14ac:dyDescent="0.25">
      <c r="AM641" s="28"/>
    </row>
    <row r="642" spans="39:39" ht="18" customHeight="1" x14ac:dyDescent="0.25">
      <c r="AM642" s="28"/>
    </row>
    <row r="643" spans="39:39" ht="18" customHeight="1" x14ac:dyDescent="0.25">
      <c r="AM643" s="28"/>
    </row>
    <row r="644" spans="39:39" ht="18" customHeight="1" x14ac:dyDescent="0.25">
      <c r="AM644" s="28"/>
    </row>
    <row r="645" spans="39:39" ht="18" customHeight="1" x14ac:dyDescent="0.25">
      <c r="AM645" s="28"/>
    </row>
    <row r="646" spans="39:39" ht="18" customHeight="1" x14ac:dyDescent="0.25">
      <c r="AM646" s="28"/>
    </row>
    <row r="647" spans="39:39" ht="18" customHeight="1" x14ac:dyDescent="0.25">
      <c r="AM647" s="28"/>
    </row>
    <row r="648" spans="39:39" ht="18" customHeight="1" x14ac:dyDescent="0.25">
      <c r="AM648" s="28"/>
    </row>
    <row r="649" spans="39:39" ht="18" customHeight="1" x14ac:dyDescent="0.25">
      <c r="AM649" s="28"/>
    </row>
    <row r="650" spans="39:39" ht="18" customHeight="1" x14ac:dyDescent="0.25">
      <c r="AM650" s="28"/>
    </row>
    <row r="651" spans="39:39" ht="18" customHeight="1" x14ac:dyDescent="0.25">
      <c r="AM651" s="28"/>
    </row>
    <row r="652" spans="39:39" ht="18" customHeight="1" x14ac:dyDescent="0.25">
      <c r="AM652" s="28"/>
    </row>
    <row r="653" spans="39:39" ht="18" customHeight="1" x14ac:dyDescent="0.25">
      <c r="AM653" s="28"/>
    </row>
    <row r="654" spans="39:39" ht="18" customHeight="1" x14ac:dyDescent="0.25">
      <c r="AM654" s="28"/>
    </row>
    <row r="655" spans="39:39" ht="18" customHeight="1" x14ac:dyDescent="0.25">
      <c r="AM655" s="28"/>
    </row>
    <row r="656" spans="39:39" ht="18" customHeight="1" x14ac:dyDescent="0.25">
      <c r="AM656" s="28"/>
    </row>
    <row r="657" spans="39:39" ht="18" customHeight="1" x14ac:dyDescent="0.25">
      <c r="AM657" s="28"/>
    </row>
    <row r="658" spans="39:39" ht="18" customHeight="1" x14ac:dyDescent="0.25">
      <c r="AM658" s="28"/>
    </row>
    <row r="659" spans="39:39" ht="18" customHeight="1" x14ac:dyDescent="0.25">
      <c r="AM659" s="28"/>
    </row>
    <row r="660" spans="39:39" ht="18" customHeight="1" x14ac:dyDescent="0.25">
      <c r="AM660" s="28"/>
    </row>
    <row r="661" spans="39:39" ht="18" customHeight="1" x14ac:dyDescent="0.25">
      <c r="AM661" s="28"/>
    </row>
    <row r="662" spans="39:39" ht="18" customHeight="1" x14ac:dyDescent="0.25">
      <c r="AM662" s="28"/>
    </row>
    <row r="663" spans="39:39" ht="18" customHeight="1" x14ac:dyDescent="0.25">
      <c r="AM663" s="28"/>
    </row>
    <row r="664" spans="39:39" ht="18" customHeight="1" x14ac:dyDescent="0.25">
      <c r="AM664" s="28"/>
    </row>
    <row r="665" spans="39:39" ht="18" customHeight="1" x14ac:dyDescent="0.25">
      <c r="AM665" s="28"/>
    </row>
    <row r="666" spans="39:39" ht="18" customHeight="1" x14ac:dyDescent="0.25">
      <c r="AM666" s="28"/>
    </row>
    <row r="667" spans="39:39" ht="18" customHeight="1" x14ac:dyDescent="0.25">
      <c r="AM667" s="28"/>
    </row>
    <row r="668" spans="39:39" ht="18" customHeight="1" x14ac:dyDescent="0.25">
      <c r="AM668" s="28"/>
    </row>
    <row r="669" spans="39:39" ht="18" customHeight="1" x14ac:dyDescent="0.25">
      <c r="AM669" s="28"/>
    </row>
    <row r="670" spans="39:39" ht="18" customHeight="1" x14ac:dyDescent="0.25">
      <c r="AM670" s="28"/>
    </row>
    <row r="671" spans="39:39" ht="18" customHeight="1" x14ac:dyDescent="0.25">
      <c r="AM671" s="28"/>
    </row>
    <row r="672" spans="39:39" ht="18" customHeight="1" x14ac:dyDescent="0.25">
      <c r="AM672" s="28"/>
    </row>
    <row r="673" spans="39:39" ht="18" customHeight="1" x14ac:dyDescent="0.25">
      <c r="AM673" s="28"/>
    </row>
    <row r="674" spans="39:39" ht="18" customHeight="1" x14ac:dyDescent="0.25">
      <c r="AM674" s="28"/>
    </row>
    <row r="675" spans="39:39" ht="18" customHeight="1" x14ac:dyDescent="0.25">
      <c r="AM675" s="28"/>
    </row>
    <row r="676" spans="39:39" ht="18" customHeight="1" x14ac:dyDescent="0.25">
      <c r="AM676" s="28"/>
    </row>
    <row r="677" spans="39:39" ht="18" customHeight="1" x14ac:dyDescent="0.25">
      <c r="AM677" s="28"/>
    </row>
    <row r="678" spans="39:39" ht="18" customHeight="1" x14ac:dyDescent="0.25">
      <c r="AM678" s="28"/>
    </row>
    <row r="679" spans="39:39" ht="18" customHeight="1" x14ac:dyDescent="0.25">
      <c r="AM679" s="28"/>
    </row>
    <row r="680" spans="39:39" ht="18" customHeight="1" x14ac:dyDescent="0.25">
      <c r="AM680" s="28"/>
    </row>
    <row r="681" spans="39:39" ht="18" customHeight="1" x14ac:dyDescent="0.25">
      <c r="AM681" s="28"/>
    </row>
    <row r="682" spans="39:39" ht="18" customHeight="1" x14ac:dyDescent="0.25">
      <c r="AM682" s="28"/>
    </row>
    <row r="683" spans="39:39" ht="18" customHeight="1" x14ac:dyDescent="0.25">
      <c r="AM683" s="28"/>
    </row>
    <row r="684" spans="39:39" ht="18" customHeight="1" x14ac:dyDescent="0.25">
      <c r="AM684" s="28"/>
    </row>
    <row r="685" spans="39:39" ht="18" customHeight="1" x14ac:dyDescent="0.25">
      <c r="AM685" s="28"/>
    </row>
    <row r="686" spans="39:39" ht="18" customHeight="1" x14ac:dyDescent="0.25">
      <c r="AM686" s="28"/>
    </row>
    <row r="687" spans="39:39" ht="18" customHeight="1" x14ac:dyDescent="0.25">
      <c r="AM687" s="28"/>
    </row>
    <row r="688" spans="39:39" ht="18" customHeight="1" x14ac:dyDescent="0.25">
      <c r="AM688" s="28"/>
    </row>
    <row r="689" spans="39:39" ht="18" customHeight="1" x14ac:dyDescent="0.25">
      <c r="AM689" s="28"/>
    </row>
    <row r="690" spans="39:39" ht="18" customHeight="1" x14ac:dyDescent="0.25">
      <c r="AM690" s="28"/>
    </row>
    <row r="691" spans="39:39" ht="18" customHeight="1" x14ac:dyDescent="0.25">
      <c r="AM691" s="28"/>
    </row>
    <row r="692" spans="39:39" ht="18" customHeight="1" x14ac:dyDescent="0.25">
      <c r="AM692" s="28"/>
    </row>
    <row r="693" spans="39:39" ht="18" customHeight="1" x14ac:dyDescent="0.25">
      <c r="AM693" s="28"/>
    </row>
    <row r="694" spans="39:39" ht="18" customHeight="1" x14ac:dyDescent="0.25">
      <c r="AM694" s="28"/>
    </row>
    <row r="695" spans="39:39" ht="18" customHeight="1" x14ac:dyDescent="0.25">
      <c r="AM695" s="28"/>
    </row>
    <row r="696" spans="39:39" ht="18" customHeight="1" x14ac:dyDescent="0.25">
      <c r="AM696" s="28"/>
    </row>
    <row r="697" spans="39:39" ht="18" customHeight="1" x14ac:dyDescent="0.25">
      <c r="AM697" s="28"/>
    </row>
    <row r="698" spans="39:39" ht="18" customHeight="1" x14ac:dyDescent="0.25">
      <c r="AM698" s="28"/>
    </row>
    <row r="699" spans="39:39" ht="18" customHeight="1" x14ac:dyDescent="0.25">
      <c r="AM699" s="28"/>
    </row>
    <row r="700" spans="39:39" ht="18" customHeight="1" x14ac:dyDescent="0.25">
      <c r="AM700" s="28"/>
    </row>
    <row r="701" spans="39:39" ht="18" customHeight="1" x14ac:dyDescent="0.25">
      <c r="AM701" s="28"/>
    </row>
    <row r="702" spans="39:39" ht="18" customHeight="1" x14ac:dyDescent="0.25">
      <c r="AM702" s="28"/>
    </row>
    <row r="703" spans="39:39" ht="18" customHeight="1" x14ac:dyDescent="0.25">
      <c r="AM703" s="28"/>
    </row>
    <row r="704" spans="39:39" ht="18" customHeight="1" x14ac:dyDescent="0.25">
      <c r="AM704" s="28"/>
    </row>
    <row r="705" spans="39:39" ht="18" customHeight="1" x14ac:dyDescent="0.25">
      <c r="AM705" s="28"/>
    </row>
    <row r="706" spans="39:39" ht="18" customHeight="1" x14ac:dyDescent="0.25">
      <c r="AM706" s="28"/>
    </row>
    <row r="707" spans="39:39" ht="18" customHeight="1" x14ac:dyDescent="0.25">
      <c r="AM707" s="28"/>
    </row>
    <row r="708" spans="39:39" ht="18" customHeight="1" x14ac:dyDescent="0.25">
      <c r="AM708" s="28"/>
    </row>
    <row r="709" spans="39:39" ht="18" customHeight="1" x14ac:dyDescent="0.25">
      <c r="AM709" s="28"/>
    </row>
    <row r="710" spans="39:39" ht="18" customHeight="1" x14ac:dyDescent="0.25">
      <c r="AM710" s="28"/>
    </row>
    <row r="711" spans="39:39" ht="18" customHeight="1" x14ac:dyDescent="0.25">
      <c r="AM711" s="28"/>
    </row>
    <row r="712" spans="39:39" ht="18" customHeight="1" x14ac:dyDescent="0.25">
      <c r="AM712" s="28"/>
    </row>
    <row r="713" spans="39:39" ht="18" customHeight="1" x14ac:dyDescent="0.25">
      <c r="AM713" s="28"/>
    </row>
    <row r="714" spans="39:39" ht="18" customHeight="1" x14ac:dyDescent="0.25">
      <c r="AM714" s="28"/>
    </row>
    <row r="715" spans="39:39" ht="18" customHeight="1" x14ac:dyDescent="0.25">
      <c r="AM715" s="28"/>
    </row>
    <row r="716" spans="39:39" ht="18" customHeight="1" x14ac:dyDescent="0.25">
      <c r="AM716" s="28"/>
    </row>
    <row r="717" spans="39:39" ht="18" customHeight="1" x14ac:dyDescent="0.25">
      <c r="AM717" s="28"/>
    </row>
    <row r="718" spans="39:39" ht="18" customHeight="1" x14ac:dyDescent="0.25">
      <c r="AM718" s="28"/>
    </row>
    <row r="719" spans="39:39" ht="18" customHeight="1" x14ac:dyDescent="0.25">
      <c r="AM719" s="28"/>
    </row>
    <row r="720" spans="39:39" ht="18" customHeight="1" x14ac:dyDescent="0.25">
      <c r="AM720" s="28"/>
    </row>
    <row r="721" spans="39:39" ht="18" customHeight="1" x14ac:dyDescent="0.25">
      <c r="AM721" s="28"/>
    </row>
    <row r="722" spans="39:39" ht="18" customHeight="1" x14ac:dyDescent="0.25">
      <c r="AM722" s="28"/>
    </row>
    <row r="723" spans="39:39" ht="18" customHeight="1" x14ac:dyDescent="0.25">
      <c r="AM723" s="28"/>
    </row>
    <row r="724" spans="39:39" ht="18" customHeight="1" x14ac:dyDescent="0.25">
      <c r="AM724" s="28"/>
    </row>
    <row r="725" spans="39:39" ht="18" customHeight="1" x14ac:dyDescent="0.25">
      <c r="AM725" s="28"/>
    </row>
    <row r="726" spans="39:39" ht="18" customHeight="1" x14ac:dyDescent="0.25">
      <c r="AM726" s="28"/>
    </row>
    <row r="727" spans="39:39" ht="18" customHeight="1" x14ac:dyDescent="0.25">
      <c r="AM727" s="28"/>
    </row>
    <row r="728" spans="39:39" ht="18" customHeight="1" x14ac:dyDescent="0.25">
      <c r="AM728" s="28"/>
    </row>
    <row r="729" spans="39:39" ht="18" customHeight="1" x14ac:dyDescent="0.25">
      <c r="AM729" s="28"/>
    </row>
    <row r="730" spans="39:39" ht="18" customHeight="1" x14ac:dyDescent="0.25">
      <c r="AM730" s="28"/>
    </row>
    <row r="731" spans="39:39" ht="18" customHeight="1" x14ac:dyDescent="0.25">
      <c r="AM731" s="28"/>
    </row>
    <row r="732" spans="39:39" ht="18" customHeight="1" x14ac:dyDescent="0.25">
      <c r="AM732" s="28"/>
    </row>
    <row r="733" spans="39:39" ht="18" customHeight="1" x14ac:dyDescent="0.25">
      <c r="AM733" s="28"/>
    </row>
    <row r="734" spans="39:39" ht="18" customHeight="1" x14ac:dyDescent="0.25">
      <c r="AM734" s="28"/>
    </row>
    <row r="735" spans="39:39" ht="18" customHeight="1" x14ac:dyDescent="0.25">
      <c r="AM735" s="28"/>
    </row>
    <row r="736" spans="39:39" ht="18" customHeight="1" x14ac:dyDescent="0.25">
      <c r="AM736" s="28"/>
    </row>
    <row r="737" spans="39:39" ht="18" customHeight="1" x14ac:dyDescent="0.25">
      <c r="AM737" s="28"/>
    </row>
    <row r="738" spans="39:39" ht="18" customHeight="1" x14ac:dyDescent="0.25">
      <c r="AM738" s="28"/>
    </row>
    <row r="739" spans="39:39" ht="18" customHeight="1" x14ac:dyDescent="0.25">
      <c r="AM739" s="28"/>
    </row>
    <row r="740" spans="39:39" ht="18" customHeight="1" x14ac:dyDescent="0.25">
      <c r="AM740" s="28"/>
    </row>
    <row r="741" spans="39:39" ht="18" customHeight="1" x14ac:dyDescent="0.25">
      <c r="AM741" s="28"/>
    </row>
    <row r="742" spans="39:39" ht="18" customHeight="1" x14ac:dyDescent="0.25">
      <c r="AM742" s="28"/>
    </row>
    <row r="743" spans="39:39" ht="18" customHeight="1" x14ac:dyDescent="0.25">
      <c r="AM743" s="28"/>
    </row>
    <row r="744" spans="39:39" ht="18" customHeight="1" x14ac:dyDescent="0.25">
      <c r="AM744" s="28"/>
    </row>
    <row r="745" spans="39:39" ht="18" customHeight="1" x14ac:dyDescent="0.25">
      <c r="AM745" s="28"/>
    </row>
    <row r="746" spans="39:39" ht="18" customHeight="1" x14ac:dyDescent="0.25">
      <c r="AM746" s="28"/>
    </row>
    <row r="747" spans="39:39" ht="18" customHeight="1" x14ac:dyDescent="0.25">
      <c r="AM747" s="28"/>
    </row>
    <row r="748" spans="39:39" ht="18" customHeight="1" x14ac:dyDescent="0.25">
      <c r="AM748" s="28"/>
    </row>
    <row r="749" spans="39:39" ht="18" customHeight="1" x14ac:dyDescent="0.25">
      <c r="AM749" s="28"/>
    </row>
    <row r="750" spans="39:39" ht="18" customHeight="1" x14ac:dyDescent="0.25">
      <c r="AM750" s="28"/>
    </row>
    <row r="751" spans="39:39" ht="18" customHeight="1" x14ac:dyDescent="0.25">
      <c r="AM751" s="28"/>
    </row>
    <row r="752" spans="39:39" ht="18" customHeight="1" x14ac:dyDescent="0.25">
      <c r="AM752" s="28"/>
    </row>
    <row r="753" spans="39:39" ht="18" customHeight="1" x14ac:dyDescent="0.25">
      <c r="AM753" s="28"/>
    </row>
    <row r="754" spans="39:39" ht="18" customHeight="1" x14ac:dyDescent="0.25">
      <c r="AM754" s="28"/>
    </row>
    <row r="755" spans="39:39" ht="18" customHeight="1" x14ac:dyDescent="0.25">
      <c r="AM755" s="28"/>
    </row>
    <row r="756" spans="39:39" ht="18" customHeight="1" x14ac:dyDescent="0.25">
      <c r="AM756" s="28"/>
    </row>
    <row r="757" spans="39:39" ht="18" customHeight="1" x14ac:dyDescent="0.25">
      <c r="AM757" s="28"/>
    </row>
    <row r="758" spans="39:39" ht="18" customHeight="1" x14ac:dyDescent="0.25">
      <c r="AM758" s="28"/>
    </row>
    <row r="759" spans="39:39" ht="18" customHeight="1" x14ac:dyDescent="0.25">
      <c r="AM759" s="28"/>
    </row>
    <row r="760" spans="39:39" ht="18" customHeight="1" x14ac:dyDescent="0.25">
      <c r="AM760" s="28"/>
    </row>
    <row r="761" spans="39:39" ht="18" customHeight="1" x14ac:dyDescent="0.25">
      <c r="AM761" s="28"/>
    </row>
    <row r="762" spans="39:39" ht="18" customHeight="1" x14ac:dyDescent="0.25">
      <c r="AM762" s="28"/>
    </row>
    <row r="763" spans="39:39" ht="18" customHeight="1" x14ac:dyDescent="0.25">
      <c r="AM763" s="28"/>
    </row>
    <row r="764" spans="39:39" ht="18" customHeight="1" x14ac:dyDescent="0.25">
      <c r="AM764" s="28"/>
    </row>
    <row r="765" spans="39:39" ht="18" customHeight="1" x14ac:dyDescent="0.25">
      <c r="AM765" s="28"/>
    </row>
    <row r="766" spans="39:39" ht="18" customHeight="1" x14ac:dyDescent="0.25">
      <c r="AM766" s="28"/>
    </row>
    <row r="767" spans="39:39" ht="18" customHeight="1" x14ac:dyDescent="0.25">
      <c r="AM767" s="28"/>
    </row>
    <row r="768" spans="39:39" ht="18" customHeight="1" x14ac:dyDescent="0.25">
      <c r="AM768" s="28"/>
    </row>
    <row r="769" spans="39:39" ht="18" customHeight="1" x14ac:dyDescent="0.25">
      <c r="AM769" s="28"/>
    </row>
    <row r="770" spans="39:39" ht="18" customHeight="1" x14ac:dyDescent="0.25">
      <c r="AM770" s="28"/>
    </row>
    <row r="771" spans="39:39" ht="18" customHeight="1" x14ac:dyDescent="0.25">
      <c r="AM771" s="28"/>
    </row>
    <row r="772" spans="39:39" ht="18" customHeight="1" x14ac:dyDescent="0.25">
      <c r="AM772" s="28"/>
    </row>
    <row r="773" spans="39:39" ht="18" customHeight="1" x14ac:dyDescent="0.25">
      <c r="AM773" s="28"/>
    </row>
    <row r="774" spans="39:39" ht="18" customHeight="1" x14ac:dyDescent="0.25">
      <c r="AM774" s="28"/>
    </row>
    <row r="775" spans="39:39" ht="18" customHeight="1" x14ac:dyDescent="0.25">
      <c r="AM775" s="28"/>
    </row>
    <row r="776" spans="39:39" ht="18" customHeight="1" x14ac:dyDescent="0.25">
      <c r="AM776" s="28"/>
    </row>
    <row r="777" spans="39:39" ht="18" customHeight="1" x14ac:dyDescent="0.25">
      <c r="AM777" s="28"/>
    </row>
    <row r="778" spans="39:39" ht="18" customHeight="1" x14ac:dyDescent="0.25">
      <c r="AM778" s="28"/>
    </row>
    <row r="779" spans="39:39" ht="18" customHeight="1" x14ac:dyDescent="0.25">
      <c r="AM779" s="28"/>
    </row>
    <row r="780" spans="39:39" ht="18" customHeight="1" x14ac:dyDescent="0.25">
      <c r="AM780" s="28"/>
    </row>
    <row r="781" spans="39:39" ht="18" customHeight="1" x14ac:dyDescent="0.25">
      <c r="AM781" s="28"/>
    </row>
    <row r="782" spans="39:39" ht="18" customHeight="1" x14ac:dyDescent="0.25">
      <c r="AM782" s="28"/>
    </row>
    <row r="783" spans="39:39" ht="18" customHeight="1" x14ac:dyDescent="0.25">
      <c r="AM783" s="28"/>
    </row>
    <row r="784" spans="39:39" ht="18" customHeight="1" x14ac:dyDescent="0.25">
      <c r="AM784" s="28"/>
    </row>
    <row r="785" spans="39:39" ht="18" customHeight="1" x14ac:dyDescent="0.25">
      <c r="AM785" s="28"/>
    </row>
    <row r="786" spans="39:39" ht="18" customHeight="1" x14ac:dyDescent="0.25">
      <c r="AM786" s="28"/>
    </row>
    <row r="787" spans="39:39" ht="18" customHeight="1" x14ac:dyDescent="0.25">
      <c r="AM787" s="28"/>
    </row>
    <row r="788" spans="39:39" ht="18" customHeight="1" x14ac:dyDescent="0.25">
      <c r="AM788" s="28"/>
    </row>
    <row r="789" spans="39:39" ht="18" customHeight="1" x14ac:dyDescent="0.25">
      <c r="AM789" s="28"/>
    </row>
    <row r="790" spans="39:39" ht="18" customHeight="1" x14ac:dyDescent="0.25">
      <c r="AM790" s="28"/>
    </row>
    <row r="791" spans="39:39" ht="18" customHeight="1" x14ac:dyDescent="0.25">
      <c r="AM791" s="28"/>
    </row>
    <row r="792" spans="39:39" ht="18" customHeight="1" x14ac:dyDescent="0.25">
      <c r="AM792" s="28"/>
    </row>
    <row r="793" spans="39:39" ht="18" customHeight="1" x14ac:dyDescent="0.25">
      <c r="AM793" s="28"/>
    </row>
    <row r="794" spans="39:39" ht="18" customHeight="1" x14ac:dyDescent="0.25">
      <c r="AM794" s="28"/>
    </row>
    <row r="795" spans="39:39" ht="18" customHeight="1" x14ac:dyDescent="0.25">
      <c r="AM795" s="28"/>
    </row>
    <row r="796" spans="39:39" ht="18" customHeight="1" x14ac:dyDescent="0.25">
      <c r="AM796" s="28"/>
    </row>
    <row r="797" spans="39:39" ht="18" customHeight="1" x14ac:dyDescent="0.25">
      <c r="AM797" s="28"/>
    </row>
    <row r="798" spans="39:39" ht="18" customHeight="1" x14ac:dyDescent="0.25">
      <c r="AM798" s="28"/>
    </row>
    <row r="799" spans="39:39" ht="18" customHeight="1" x14ac:dyDescent="0.25">
      <c r="AM799" s="28"/>
    </row>
    <row r="800" spans="39:39" ht="18" customHeight="1" x14ac:dyDescent="0.25">
      <c r="AM800" s="28"/>
    </row>
    <row r="801" spans="39:39" ht="18" customHeight="1" x14ac:dyDescent="0.25">
      <c r="AM801" s="28"/>
    </row>
    <row r="802" spans="39:39" ht="18" customHeight="1" x14ac:dyDescent="0.25">
      <c r="AM802" s="28"/>
    </row>
    <row r="803" spans="39:39" ht="18" customHeight="1" x14ac:dyDescent="0.25">
      <c r="AM803" s="28"/>
    </row>
    <row r="804" spans="39:39" ht="18" customHeight="1" x14ac:dyDescent="0.25">
      <c r="AM804" s="28"/>
    </row>
    <row r="805" spans="39:39" ht="18" customHeight="1" x14ac:dyDescent="0.25">
      <c r="AM805" s="28"/>
    </row>
    <row r="806" spans="39:39" ht="18" customHeight="1" x14ac:dyDescent="0.25">
      <c r="AM806" s="28"/>
    </row>
    <row r="807" spans="39:39" ht="18" customHeight="1" x14ac:dyDescent="0.25">
      <c r="AM807" s="28"/>
    </row>
    <row r="808" spans="39:39" ht="18" customHeight="1" x14ac:dyDescent="0.25">
      <c r="AM808" s="28"/>
    </row>
    <row r="809" spans="39:39" ht="18" customHeight="1" x14ac:dyDescent="0.25">
      <c r="AM809" s="28"/>
    </row>
    <row r="810" spans="39:39" ht="18" customHeight="1" x14ac:dyDescent="0.25">
      <c r="AM810" s="28"/>
    </row>
    <row r="811" spans="39:39" ht="18" customHeight="1" x14ac:dyDescent="0.25">
      <c r="AM811" s="28"/>
    </row>
    <row r="812" spans="39:39" ht="18" customHeight="1" x14ac:dyDescent="0.25">
      <c r="AM812" s="28"/>
    </row>
    <row r="813" spans="39:39" ht="18" customHeight="1" x14ac:dyDescent="0.25">
      <c r="AM813" s="28"/>
    </row>
    <row r="814" spans="39:39" ht="18" customHeight="1" x14ac:dyDescent="0.25">
      <c r="AM814" s="28"/>
    </row>
    <row r="815" spans="39:39" ht="18" customHeight="1" x14ac:dyDescent="0.25">
      <c r="AM815" s="28"/>
    </row>
    <row r="816" spans="39:39" ht="18" customHeight="1" x14ac:dyDescent="0.25">
      <c r="AM816" s="28"/>
    </row>
    <row r="817" spans="39:39" ht="18" customHeight="1" x14ac:dyDescent="0.25">
      <c r="AM817" s="28"/>
    </row>
    <row r="818" spans="39:39" ht="18" customHeight="1" x14ac:dyDescent="0.25">
      <c r="AM818" s="28"/>
    </row>
    <row r="819" spans="39:39" ht="18" customHeight="1" x14ac:dyDescent="0.25">
      <c r="AM819" s="28"/>
    </row>
    <row r="820" spans="39:39" ht="18" customHeight="1" x14ac:dyDescent="0.25">
      <c r="AM820" s="28"/>
    </row>
    <row r="821" spans="39:39" ht="18" customHeight="1" x14ac:dyDescent="0.25">
      <c r="AM821" s="28"/>
    </row>
    <row r="822" spans="39:39" ht="18" customHeight="1" x14ac:dyDescent="0.25">
      <c r="AM822" s="28"/>
    </row>
    <row r="823" spans="39:39" ht="18" customHeight="1" x14ac:dyDescent="0.25">
      <c r="AM823" s="28"/>
    </row>
    <row r="824" spans="39:39" ht="18" customHeight="1" x14ac:dyDescent="0.25">
      <c r="AM824" s="28"/>
    </row>
    <row r="825" spans="39:39" ht="18" customHeight="1" x14ac:dyDescent="0.25">
      <c r="AM825" s="28"/>
    </row>
    <row r="826" spans="39:39" ht="18" customHeight="1" x14ac:dyDescent="0.25">
      <c r="AM826" s="28"/>
    </row>
    <row r="827" spans="39:39" ht="18" customHeight="1" x14ac:dyDescent="0.25">
      <c r="AM827" s="28"/>
    </row>
    <row r="828" spans="39:39" ht="18" customHeight="1" x14ac:dyDescent="0.25">
      <c r="AM828" s="28"/>
    </row>
    <row r="829" spans="39:39" ht="18" customHeight="1" x14ac:dyDescent="0.25">
      <c r="AM829" s="28"/>
    </row>
    <row r="830" spans="39:39" ht="18" customHeight="1" x14ac:dyDescent="0.25">
      <c r="AM830" s="28"/>
    </row>
    <row r="831" spans="39:39" ht="18" customHeight="1" x14ac:dyDescent="0.25">
      <c r="AM831" s="28"/>
    </row>
    <row r="832" spans="39:39" ht="18" customHeight="1" x14ac:dyDescent="0.25">
      <c r="AM832" s="28"/>
    </row>
    <row r="833" spans="39:39" ht="18" customHeight="1" x14ac:dyDescent="0.25">
      <c r="AM833" s="28"/>
    </row>
    <row r="834" spans="39:39" ht="18" customHeight="1" x14ac:dyDescent="0.25">
      <c r="AM834" s="28"/>
    </row>
    <row r="835" spans="39:39" ht="18" customHeight="1" x14ac:dyDescent="0.25">
      <c r="AM835" s="28"/>
    </row>
    <row r="836" spans="39:39" ht="18" customHeight="1" x14ac:dyDescent="0.25">
      <c r="AM836" s="28"/>
    </row>
    <row r="837" spans="39:39" ht="18" customHeight="1" x14ac:dyDescent="0.25">
      <c r="AM837" s="28"/>
    </row>
    <row r="838" spans="39:39" ht="18" customHeight="1" x14ac:dyDescent="0.25">
      <c r="AM838" s="28"/>
    </row>
    <row r="839" spans="39:39" ht="18" customHeight="1" x14ac:dyDescent="0.25">
      <c r="AM839" s="28"/>
    </row>
    <row r="840" spans="39:39" ht="18" customHeight="1" x14ac:dyDescent="0.25">
      <c r="AM840" s="28"/>
    </row>
    <row r="841" spans="39:39" ht="18" customHeight="1" x14ac:dyDescent="0.25">
      <c r="AM841" s="28"/>
    </row>
    <row r="842" spans="39:39" ht="18" customHeight="1" x14ac:dyDescent="0.25">
      <c r="AM842" s="28"/>
    </row>
    <row r="843" spans="39:39" ht="18" customHeight="1" x14ac:dyDescent="0.25">
      <c r="AM843" s="28"/>
    </row>
    <row r="844" spans="39:39" ht="18" customHeight="1" x14ac:dyDescent="0.25">
      <c r="AM844" s="28"/>
    </row>
    <row r="845" spans="39:39" ht="18" customHeight="1" x14ac:dyDescent="0.25">
      <c r="AM845" s="28"/>
    </row>
    <row r="846" spans="39:39" ht="18" customHeight="1" x14ac:dyDescent="0.25">
      <c r="AM846" s="28"/>
    </row>
    <row r="847" spans="39:39" ht="18" customHeight="1" x14ac:dyDescent="0.25">
      <c r="AM847" s="28"/>
    </row>
    <row r="848" spans="39:39" ht="18" customHeight="1" x14ac:dyDescent="0.25">
      <c r="AM848" s="28"/>
    </row>
    <row r="849" spans="39:39" ht="18" customHeight="1" x14ac:dyDescent="0.25">
      <c r="AM849" s="28"/>
    </row>
    <row r="850" spans="39:39" ht="18" customHeight="1" x14ac:dyDescent="0.25">
      <c r="AM850" s="28"/>
    </row>
    <row r="851" spans="39:39" ht="18" customHeight="1" x14ac:dyDescent="0.25">
      <c r="AM851" s="28"/>
    </row>
    <row r="852" spans="39:39" ht="18" customHeight="1" x14ac:dyDescent="0.25">
      <c r="AM852" s="28"/>
    </row>
    <row r="853" spans="39:39" ht="18" customHeight="1" x14ac:dyDescent="0.25">
      <c r="AM853" s="28"/>
    </row>
    <row r="854" spans="39:39" ht="18" customHeight="1" x14ac:dyDescent="0.25">
      <c r="AM854" s="28"/>
    </row>
    <row r="855" spans="39:39" ht="18" customHeight="1" x14ac:dyDescent="0.25">
      <c r="AM855" s="28"/>
    </row>
    <row r="856" spans="39:39" ht="18" customHeight="1" x14ac:dyDescent="0.25">
      <c r="AM856" s="28"/>
    </row>
    <row r="857" spans="39:39" ht="18" customHeight="1" x14ac:dyDescent="0.25">
      <c r="AM857" s="28"/>
    </row>
    <row r="858" spans="39:39" ht="18" customHeight="1" x14ac:dyDescent="0.25">
      <c r="AM858" s="28"/>
    </row>
    <row r="859" spans="39:39" ht="18" customHeight="1" x14ac:dyDescent="0.25">
      <c r="AM859" s="28"/>
    </row>
    <row r="860" spans="39:39" ht="18" customHeight="1" x14ac:dyDescent="0.25">
      <c r="AM860" s="28"/>
    </row>
    <row r="861" spans="39:39" ht="18" customHeight="1" x14ac:dyDescent="0.25">
      <c r="AM861" s="28"/>
    </row>
    <row r="862" spans="39:39" ht="18" customHeight="1" x14ac:dyDescent="0.25">
      <c r="AM862" s="28"/>
    </row>
    <row r="863" spans="39:39" ht="18" customHeight="1" x14ac:dyDescent="0.25">
      <c r="AM863" s="28"/>
    </row>
    <row r="864" spans="39:39" ht="18" customHeight="1" x14ac:dyDescent="0.25">
      <c r="AM864" s="28"/>
    </row>
    <row r="865" spans="39:39" ht="18" customHeight="1" x14ac:dyDescent="0.25">
      <c r="AM865" s="28"/>
    </row>
    <row r="866" spans="39:39" ht="18" customHeight="1" x14ac:dyDescent="0.25">
      <c r="AM866" s="28"/>
    </row>
    <row r="867" spans="39:39" ht="18" customHeight="1" x14ac:dyDescent="0.25">
      <c r="AM867" s="28"/>
    </row>
    <row r="868" spans="39:39" ht="18" customHeight="1" x14ac:dyDescent="0.25">
      <c r="AM868" s="28"/>
    </row>
    <row r="869" spans="39:39" ht="18" customHeight="1" x14ac:dyDescent="0.25">
      <c r="AM869" s="28"/>
    </row>
    <row r="870" spans="39:39" ht="18" customHeight="1" x14ac:dyDescent="0.25">
      <c r="AM870" s="28"/>
    </row>
    <row r="871" spans="39:39" ht="18" customHeight="1" x14ac:dyDescent="0.25">
      <c r="AM871" s="28"/>
    </row>
    <row r="872" spans="39:39" ht="18" customHeight="1" x14ac:dyDescent="0.25">
      <c r="AM872" s="28"/>
    </row>
    <row r="873" spans="39:39" ht="18" customHeight="1" x14ac:dyDescent="0.25">
      <c r="AM873" s="28"/>
    </row>
    <row r="874" spans="39:39" ht="18" customHeight="1" x14ac:dyDescent="0.25">
      <c r="AM874" s="28"/>
    </row>
    <row r="875" spans="39:39" ht="18" customHeight="1" x14ac:dyDescent="0.25">
      <c r="AM875" s="28"/>
    </row>
    <row r="876" spans="39:39" ht="18" customHeight="1" x14ac:dyDescent="0.25">
      <c r="AM876" s="28"/>
    </row>
    <row r="877" spans="39:39" ht="18" customHeight="1" x14ac:dyDescent="0.25">
      <c r="AM877" s="28"/>
    </row>
    <row r="878" spans="39:39" ht="18" customHeight="1" x14ac:dyDescent="0.25">
      <c r="AM878" s="28"/>
    </row>
    <row r="879" spans="39:39" ht="18" customHeight="1" x14ac:dyDescent="0.25">
      <c r="AM879" s="28"/>
    </row>
    <row r="880" spans="39:39" ht="18" customHeight="1" x14ac:dyDescent="0.25">
      <c r="AM880" s="28"/>
    </row>
    <row r="881" spans="39:39" ht="18" customHeight="1" x14ac:dyDescent="0.25">
      <c r="AM881" s="28"/>
    </row>
    <row r="882" spans="39:39" ht="18" customHeight="1" x14ac:dyDescent="0.25">
      <c r="AM882" s="28"/>
    </row>
    <row r="883" spans="39:39" ht="18" customHeight="1" x14ac:dyDescent="0.25">
      <c r="AM883" s="28"/>
    </row>
    <row r="884" spans="39:39" ht="18" customHeight="1" x14ac:dyDescent="0.25">
      <c r="AM884" s="28"/>
    </row>
    <row r="885" spans="39:39" ht="18" customHeight="1" x14ac:dyDescent="0.25">
      <c r="AM885" s="28"/>
    </row>
    <row r="886" spans="39:39" ht="18" customHeight="1" x14ac:dyDescent="0.25">
      <c r="AM886" s="28"/>
    </row>
    <row r="887" spans="39:39" ht="18" customHeight="1" x14ac:dyDescent="0.25">
      <c r="AM887" s="28"/>
    </row>
    <row r="888" spans="39:39" ht="18" customHeight="1" x14ac:dyDescent="0.25">
      <c r="AM888" s="28"/>
    </row>
    <row r="889" spans="39:39" ht="18" customHeight="1" x14ac:dyDescent="0.25">
      <c r="AM889" s="28"/>
    </row>
    <row r="890" spans="39:39" ht="18" customHeight="1" x14ac:dyDescent="0.25">
      <c r="AM890" s="28"/>
    </row>
    <row r="891" spans="39:39" ht="18" customHeight="1" x14ac:dyDescent="0.25">
      <c r="AM891" s="28"/>
    </row>
    <row r="892" spans="39:39" ht="18" customHeight="1" x14ac:dyDescent="0.25">
      <c r="AM892" s="28"/>
    </row>
    <row r="893" spans="39:39" ht="18" customHeight="1" x14ac:dyDescent="0.25">
      <c r="AM893" s="28"/>
    </row>
    <row r="894" spans="39:39" ht="18" customHeight="1" x14ac:dyDescent="0.25">
      <c r="AM894" s="28"/>
    </row>
    <row r="895" spans="39:39" ht="18" customHeight="1" x14ac:dyDescent="0.25">
      <c r="AM895" s="28"/>
    </row>
    <row r="896" spans="39:39" ht="18" customHeight="1" x14ac:dyDescent="0.25">
      <c r="AM896" s="28"/>
    </row>
    <row r="897" spans="39:39" ht="18" customHeight="1" x14ac:dyDescent="0.25">
      <c r="AM897" s="28"/>
    </row>
    <row r="898" spans="39:39" ht="18" customHeight="1" x14ac:dyDescent="0.25">
      <c r="AM898" s="28"/>
    </row>
    <row r="899" spans="39:39" ht="18" customHeight="1" x14ac:dyDescent="0.25">
      <c r="AM899" s="28"/>
    </row>
    <row r="900" spans="39:39" ht="18" customHeight="1" x14ac:dyDescent="0.25">
      <c r="AM900" s="28"/>
    </row>
    <row r="901" spans="39:39" ht="18" customHeight="1" x14ac:dyDescent="0.25">
      <c r="AM901" s="28"/>
    </row>
    <row r="902" spans="39:39" ht="18" customHeight="1" x14ac:dyDescent="0.25">
      <c r="AM902" s="28"/>
    </row>
    <row r="903" spans="39:39" ht="18" customHeight="1" x14ac:dyDescent="0.25">
      <c r="AM903" s="28"/>
    </row>
    <row r="904" spans="39:39" ht="18" customHeight="1" x14ac:dyDescent="0.25">
      <c r="AM904" s="28"/>
    </row>
    <row r="905" spans="39:39" ht="18" customHeight="1" x14ac:dyDescent="0.25">
      <c r="AM905" s="28"/>
    </row>
    <row r="906" spans="39:39" ht="18" customHeight="1" x14ac:dyDescent="0.25">
      <c r="AM906" s="28"/>
    </row>
    <row r="907" spans="39:39" ht="18" customHeight="1" x14ac:dyDescent="0.25">
      <c r="AM907" s="28"/>
    </row>
    <row r="908" spans="39:39" ht="18" customHeight="1" x14ac:dyDescent="0.25">
      <c r="AM908" s="28"/>
    </row>
    <row r="909" spans="39:39" ht="18" customHeight="1" x14ac:dyDescent="0.25">
      <c r="AM909" s="28"/>
    </row>
    <row r="910" spans="39:39" ht="18" customHeight="1" x14ac:dyDescent="0.25">
      <c r="AM910" s="28"/>
    </row>
    <row r="911" spans="39:39" ht="18" customHeight="1" x14ac:dyDescent="0.25">
      <c r="AM911" s="28"/>
    </row>
    <row r="912" spans="39:39" ht="18" customHeight="1" x14ac:dyDescent="0.25">
      <c r="AM912" s="28"/>
    </row>
    <row r="913" spans="39:39" ht="18" customHeight="1" x14ac:dyDescent="0.25">
      <c r="AM913" s="28"/>
    </row>
    <row r="914" spans="39:39" ht="18" customHeight="1" x14ac:dyDescent="0.25">
      <c r="AM914" s="28"/>
    </row>
    <row r="915" spans="39:39" ht="18" customHeight="1" x14ac:dyDescent="0.25">
      <c r="AM915" s="28"/>
    </row>
    <row r="916" spans="39:39" ht="18" customHeight="1" x14ac:dyDescent="0.25">
      <c r="AM916" s="28"/>
    </row>
    <row r="917" spans="39:39" ht="18" customHeight="1" x14ac:dyDescent="0.25">
      <c r="AM917" s="28"/>
    </row>
    <row r="918" spans="39:39" ht="18" customHeight="1" x14ac:dyDescent="0.25">
      <c r="AM918" s="28"/>
    </row>
    <row r="919" spans="39:39" ht="18" customHeight="1" x14ac:dyDescent="0.25">
      <c r="AM919" s="28"/>
    </row>
    <row r="920" spans="39:39" ht="18" customHeight="1" x14ac:dyDescent="0.25">
      <c r="AM920" s="28"/>
    </row>
    <row r="921" spans="39:39" ht="18" customHeight="1" x14ac:dyDescent="0.25">
      <c r="AM921" s="28"/>
    </row>
    <row r="922" spans="39:39" ht="18" customHeight="1" x14ac:dyDescent="0.25">
      <c r="AM922" s="28"/>
    </row>
    <row r="923" spans="39:39" ht="18" customHeight="1" x14ac:dyDescent="0.25">
      <c r="AM923" s="28"/>
    </row>
    <row r="924" spans="39:39" ht="18" customHeight="1" x14ac:dyDescent="0.25">
      <c r="AM924" s="28"/>
    </row>
    <row r="925" spans="39:39" ht="18" customHeight="1" x14ac:dyDescent="0.25">
      <c r="AM925" s="28"/>
    </row>
    <row r="926" spans="39:39" ht="18" customHeight="1" x14ac:dyDescent="0.25">
      <c r="AM926" s="28"/>
    </row>
    <row r="927" spans="39:39" ht="18" customHeight="1" x14ac:dyDescent="0.25">
      <c r="AM927" s="28"/>
    </row>
    <row r="928" spans="39:39" ht="18" customHeight="1" x14ac:dyDescent="0.25">
      <c r="AM928" s="28"/>
    </row>
    <row r="929" spans="39:39" ht="18" customHeight="1" x14ac:dyDescent="0.25">
      <c r="AM929" s="28"/>
    </row>
    <row r="930" spans="39:39" ht="18" customHeight="1" x14ac:dyDescent="0.25">
      <c r="AM930" s="28"/>
    </row>
    <row r="931" spans="39:39" ht="18" customHeight="1" x14ac:dyDescent="0.25">
      <c r="AM931" s="28"/>
    </row>
    <row r="932" spans="39:39" ht="18" customHeight="1" x14ac:dyDescent="0.25">
      <c r="AM932" s="28"/>
    </row>
    <row r="933" spans="39:39" ht="18" customHeight="1" x14ac:dyDescent="0.25">
      <c r="AM933" s="28"/>
    </row>
    <row r="934" spans="39:39" ht="18" customHeight="1" x14ac:dyDescent="0.25">
      <c r="AM934" s="28"/>
    </row>
    <row r="935" spans="39:39" ht="18" customHeight="1" x14ac:dyDescent="0.25">
      <c r="AM935" s="28"/>
    </row>
    <row r="936" spans="39:39" ht="18" customHeight="1" x14ac:dyDescent="0.25">
      <c r="AM936" s="28"/>
    </row>
    <row r="937" spans="39:39" ht="18" customHeight="1" x14ac:dyDescent="0.25">
      <c r="AM937" s="28"/>
    </row>
    <row r="938" spans="39:39" ht="18" customHeight="1" x14ac:dyDescent="0.25">
      <c r="AM938" s="28"/>
    </row>
    <row r="939" spans="39:39" ht="18" customHeight="1" x14ac:dyDescent="0.25">
      <c r="AM939" s="28"/>
    </row>
    <row r="940" spans="39:39" ht="18" customHeight="1" x14ac:dyDescent="0.25">
      <c r="AM940" s="28"/>
    </row>
    <row r="941" spans="39:39" ht="18" customHeight="1" x14ac:dyDescent="0.25">
      <c r="AM941" s="28"/>
    </row>
    <row r="942" spans="39:39" ht="18" customHeight="1" x14ac:dyDescent="0.25">
      <c r="AM942" s="28"/>
    </row>
    <row r="943" spans="39:39" ht="18" customHeight="1" x14ac:dyDescent="0.25">
      <c r="AM943" s="28"/>
    </row>
    <row r="944" spans="39:39" ht="18" customHeight="1" x14ac:dyDescent="0.25">
      <c r="AM944" s="28"/>
    </row>
    <row r="945" spans="39:39" ht="18" customHeight="1" x14ac:dyDescent="0.25">
      <c r="AM945" s="28"/>
    </row>
    <row r="946" spans="39:39" ht="18" customHeight="1" x14ac:dyDescent="0.25">
      <c r="AM946" s="28"/>
    </row>
    <row r="947" spans="39:39" ht="18" customHeight="1" x14ac:dyDescent="0.25">
      <c r="AM947" s="28"/>
    </row>
    <row r="948" spans="39:39" ht="18" customHeight="1" x14ac:dyDescent="0.25">
      <c r="AM948" s="28"/>
    </row>
    <row r="949" spans="39:39" ht="18" customHeight="1" x14ac:dyDescent="0.25">
      <c r="AM949" s="28"/>
    </row>
    <row r="950" spans="39:39" ht="18" customHeight="1" x14ac:dyDescent="0.25">
      <c r="AM950" s="28"/>
    </row>
    <row r="951" spans="39:39" ht="18" customHeight="1" x14ac:dyDescent="0.25">
      <c r="AM951" s="28"/>
    </row>
    <row r="952" spans="39:39" ht="18" customHeight="1" x14ac:dyDescent="0.25">
      <c r="AM952" s="28"/>
    </row>
    <row r="953" spans="39:39" ht="18" customHeight="1" x14ac:dyDescent="0.25">
      <c r="AM953" s="28"/>
    </row>
    <row r="954" spans="39:39" ht="18" customHeight="1" x14ac:dyDescent="0.25">
      <c r="AM954" s="28"/>
    </row>
    <row r="955" spans="39:39" ht="18" customHeight="1" x14ac:dyDescent="0.25">
      <c r="AM955" s="28"/>
    </row>
    <row r="956" spans="39:39" ht="18" customHeight="1" x14ac:dyDescent="0.25">
      <c r="AM956" s="28"/>
    </row>
    <row r="957" spans="39:39" ht="18" customHeight="1" x14ac:dyDescent="0.25">
      <c r="AM957" s="28"/>
    </row>
    <row r="958" spans="39:39" ht="18" customHeight="1" x14ac:dyDescent="0.25">
      <c r="AM958" s="28"/>
    </row>
    <row r="959" spans="39:39" ht="18" customHeight="1" x14ac:dyDescent="0.25">
      <c r="AM959" s="28"/>
    </row>
    <row r="960" spans="39:39" ht="18" customHeight="1" x14ac:dyDescent="0.25">
      <c r="AM960" s="28"/>
    </row>
    <row r="961" spans="39:39" ht="18" customHeight="1" x14ac:dyDescent="0.25">
      <c r="AM961" s="28"/>
    </row>
    <row r="962" spans="39:39" ht="18" customHeight="1" x14ac:dyDescent="0.25">
      <c r="AM962" s="28"/>
    </row>
    <row r="963" spans="39:39" ht="18" customHeight="1" x14ac:dyDescent="0.25">
      <c r="AM963" s="28"/>
    </row>
    <row r="964" spans="39:39" ht="18" customHeight="1" x14ac:dyDescent="0.25">
      <c r="AM964" s="28"/>
    </row>
    <row r="965" spans="39:39" ht="18" customHeight="1" x14ac:dyDescent="0.25">
      <c r="AM965" s="28"/>
    </row>
    <row r="966" spans="39:39" ht="18" customHeight="1" x14ac:dyDescent="0.25">
      <c r="AM966" s="28"/>
    </row>
    <row r="967" spans="39:39" ht="18" customHeight="1" x14ac:dyDescent="0.25">
      <c r="AM967" s="28"/>
    </row>
    <row r="968" spans="39:39" ht="18" customHeight="1" x14ac:dyDescent="0.25">
      <c r="AM968" s="28"/>
    </row>
    <row r="969" spans="39:39" ht="18" customHeight="1" x14ac:dyDescent="0.25">
      <c r="AM969" s="28"/>
    </row>
    <row r="970" spans="39:39" ht="18" customHeight="1" x14ac:dyDescent="0.25">
      <c r="AM970" s="28"/>
    </row>
    <row r="971" spans="39:39" ht="18" customHeight="1" x14ac:dyDescent="0.25">
      <c r="AM971" s="28"/>
    </row>
    <row r="972" spans="39:39" ht="18" customHeight="1" x14ac:dyDescent="0.25">
      <c r="AM972" s="28"/>
    </row>
    <row r="973" spans="39:39" ht="18" customHeight="1" x14ac:dyDescent="0.25">
      <c r="AM973" s="28"/>
    </row>
    <row r="974" spans="39:39" ht="18" customHeight="1" x14ac:dyDescent="0.25">
      <c r="AM974" s="28"/>
    </row>
    <row r="975" spans="39:39" ht="18" customHeight="1" x14ac:dyDescent="0.25">
      <c r="AM975" s="28"/>
    </row>
    <row r="976" spans="39:39" ht="18" customHeight="1" x14ac:dyDescent="0.25">
      <c r="AM976" s="28"/>
    </row>
    <row r="977" spans="39:39" ht="18" customHeight="1" x14ac:dyDescent="0.25">
      <c r="AM977" s="28"/>
    </row>
    <row r="978" spans="39:39" ht="18" customHeight="1" x14ac:dyDescent="0.25">
      <c r="AM978" s="28"/>
    </row>
    <row r="979" spans="39:39" ht="18" customHeight="1" x14ac:dyDescent="0.25">
      <c r="AM979" s="28"/>
    </row>
    <row r="980" spans="39:39" ht="18" customHeight="1" x14ac:dyDescent="0.25">
      <c r="AM980" s="28"/>
    </row>
    <row r="981" spans="39:39" ht="18" customHeight="1" x14ac:dyDescent="0.25">
      <c r="AM981" s="28"/>
    </row>
    <row r="982" spans="39:39" ht="18" customHeight="1" x14ac:dyDescent="0.25">
      <c r="AM982" s="28"/>
    </row>
    <row r="983" spans="39:39" ht="18" customHeight="1" x14ac:dyDescent="0.25">
      <c r="AM983" s="28"/>
    </row>
    <row r="984" spans="39:39" ht="18" customHeight="1" x14ac:dyDescent="0.25">
      <c r="AM984" s="28"/>
    </row>
    <row r="985" spans="39:39" ht="18" customHeight="1" x14ac:dyDescent="0.25">
      <c r="AM985" s="28"/>
    </row>
    <row r="986" spans="39:39" ht="18" customHeight="1" x14ac:dyDescent="0.25">
      <c r="AM986" s="28"/>
    </row>
    <row r="987" spans="39:39" ht="18" customHeight="1" x14ac:dyDescent="0.25">
      <c r="AM987" s="28"/>
    </row>
    <row r="988" spans="39:39" ht="18" customHeight="1" x14ac:dyDescent="0.25">
      <c r="AM988" s="28"/>
    </row>
    <row r="989" spans="39:39" ht="18" customHeight="1" x14ac:dyDescent="0.25">
      <c r="AM989" s="28"/>
    </row>
    <row r="990" spans="39:39" ht="18" customHeight="1" x14ac:dyDescent="0.25">
      <c r="AM990" s="28"/>
    </row>
    <row r="991" spans="39:39" ht="18" customHeight="1" x14ac:dyDescent="0.25">
      <c r="AM991" s="28"/>
    </row>
    <row r="992" spans="39:39" ht="18" customHeight="1" x14ac:dyDescent="0.25">
      <c r="AM992" s="28"/>
    </row>
    <row r="993" spans="39:39" ht="18" customHeight="1" x14ac:dyDescent="0.25">
      <c r="AM993" s="28"/>
    </row>
    <row r="994" spans="39:39" ht="18" customHeight="1" x14ac:dyDescent="0.25">
      <c r="AM994" s="28"/>
    </row>
    <row r="995" spans="39:39" ht="18" customHeight="1" x14ac:dyDescent="0.25">
      <c r="AM995" s="28"/>
    </row>
    <row r="996" spans="39:39" ht="18" customHeight="1" x14ac:dyDescent="0.25">
      <c r="AM996" s="28"/>
    </row>
    <row r="997" spans="39:39" ht="18" customHeight="1" x14ac:dyDescent="0.25">
      <c r="AM997" s="28"/>
    </row>
    <row r="998" spans="39:39" ht="18" customHeight="1" x14ac:dyDescent="0.25">
      <c r="AM998" s="28"/>
    </row>
    <row r="999" spans="39:39" ht="18" customHeight="1" x14ac:dyDescent="0.25">
      <c r="AM999" s="28"/>
    </row>
    <row r="1000" spans="39:39" ht="18" customHeight="1" x14ac:dyDescent="0.25">
      <c r="AM1000" s="28"/>
    </row>
    <row r="1001" spans="39:39" ht="18" customHeight="1" x14ac:dyDescent="0.25">
      <c r="AM1001" s="28"/>
    </row>
    <row r="1002" spans="39:39" ht="18" customHeight="1" x14ac:dyDescent="0.25">
      <c r="AM1002" s="28"/>
    </row>
    <row r="1003" spans="39:39" ht="18" customHeight="1" x14ac:dyDescent="0.25">
      <c r="AM1003" s="28"/>
    </row>
    <row r="1004" spans="39:39" ht="18" customHeight="1" x14ac:dyDescent="0.25">
      <c r="AM1004" s="28"/>
    </row>
    <row r="1005" spans="39:39" ht="18" customHeight="1" x14ac:dyDescent="0.25">
      <c r="AM1005" s="28"/>
    </row>
    <row r="1006" spans="39:39" ht="18" customHeight="1" x14ac:dyDescent="0.25">
      <c r="AM1006" s="28"/>
    </row>
    <row r="1007" spans="39:39" ht="18" customHeight="1" x14ac:dyDescent="0.25">
      <c r="AM1007" s="28"/>
    </row>
    <row r="1008" spans="39:39" ht="18" customHeight="1" x14ac:dyDescent="0.25">
      <c r="AM1008" s="28"/>
    </row>
    <row r="1009" spans="39:39" ht="18" customHeight="1" x14ac:dyDescent="0.25">
      <c r="AM1009" s="28"/>
    </row>
    <row r="1010" spans="39:39" ht="18" customHeight="1" x14ac:dyDescent="0.25">
      <c r="AM1010" s="28"/>
    </row>
    <row r="1011" spans="39:39" ht="18" customHeight="1" x14ac:dyDescent="0.25">
      <c r="AM1011" s="28"/>
    </row>
    <row r="1012" spans="39:39" ht="18" customHeight="1" x14ac:dyDescent="0.25">
      <c r="AM1012" s="28"/>
    </row>
    <row r="1013" spans="39:39" ht="18" customHeight="1" x14ac:dyDescent="0.25">
      <c r="AM1013" s="28"/>
    </row>
    <row r="1014" spans="39:39" ht="18" customHeight="1" x14ac:dyDescent="0.25">
      <c r="AM1014" s="28"/>
    </row>
    <row r="1015" spans="39:39" ht="18" customHeight="1" x14ac:dyDescent="0.25">
      <c r="AM1015" s="28"/>
    </row>
    <row r="1016" spans="39:39" ht="18" customHeight="1" x14ac:dyDescent="0.25">
      <c r="AM1016" s="28"/>
    </row>
    <row r="1017" spans="39:39" ht="18" customHeight="1" x14ac:dyDescent="0.25">
      <c r="AM1017" s="28"/>
    </row>
    <row r="1018" spans="39:39" ht="18" customHeight="1" x14ac:dyDescent="0.25">
      <c r="AM1018" s="28"/>
    </row>
    <row r="1019" spans="39:39" ht="18" customHeight="1" x14ac:dyDescent="0.25">
      <c r="AM1019" s="28"/>
    </row>
    <row r="1020" spans="39:39" ht="18" customHeight="1" x14ac:dyDescent="0.25">
      <c r="AM1020" s="28"/>
    </row>
    <row r="1021" spans="39:39" ht="18" customHeight="1" x14ac:dyDescent="0.25">
      <c r="AM1021" s="28"/>
    </row>
    <row r="1022" spans="39:39" ht="18" customHeight="1" x14ac:dyDescent="0.25">
      <c r="AM1022" s="28"/>
    </row>
    <row r="1023" spans="39:39" ht="18" customHeight="1" x14ac:dyDescent="0.25">
      <c r="AM1023" s="28"/>
    </row>
    <row r="1024" spans="39:39" ht="18" customHeight="1" x14ac:dyDescent="0.25">
      <c r="AM1024" s="28"/>
    </row>
    <row r="1025" spans="39:39" ht="18" customHeight="1" x14ac:dyDescent="0.25">
      <c r="AM1025" s="28"/>
    </row>
    <row r="1026" spans="39:39" ht="18" customHeight="1" x14ac:dyDescent="0.25">
      <c r="AM1026" s="28"/>
    </row>
    <row r="1027" spans="39:39" ht="18" customHeight="1" x14ac:dyDescent="0.25">
      <c r="AM1027" s="28"/>
    </row>
    <row r="1028" spans="39:39" ht="18" customHeight="1" x14ac:dyDescent="0.25">
      <c r="AM1028" s="28"/>
    </row>
    <row r="1029" spans="39:39" ht="18" customHeight="1" x14ac:dyDescent="0.25">
      <c r="AM1029" s="28"/>
    </row>
    <row r="1030" spans="39:39" ht="18" customHeight="1" x14ac:dyDescent="0.25">
      <c r="AM1030" s="28"/>
    </row>
    <row r="1031" spans="39:39" ht="18" customHeight="1" x14ac:dyDescent="0.25">
      <c r="AM1031" s="28"/>
    </row>
    <row r="1032" spans="39:39" ht="18" customHeight="1" x14ac:dyDescent="0.25">
      <c r="AM1032" s="28"/>
    </row>
    <row r="1033" spans="39:39" ht="18" customHeight="1" x14ac:dyDescent="0.25">
      <c r="AM1033" s="28"/>
    </row>
    <row r="1034" spans="39:39" ht="18" customHeight="1" x14ac:dyDescent="0.25">
      <c r="AM1034" s="28"/>
    </row>
    <row r="1035" spans="39:39" ht="18" customHeight="1" x14ac:dyDescent="0.25">
      <c r="AM1035" s="28"/>
    </row>
    <row r="1036" spans="39:39" ht="18" customHeight="1" x14ac:dyDescent="0.25">
      <c r="AM1036" s="28"/>
    </row>
    <row r="1037" spans="39:39" ht="18" customHeight="1" x14ac:dyDescent="0.25">
      <c r="AM1037" s="28"/>
    </row>
    <row r="1038" spans="39:39" ht="18" customHeight="1" x14ac:dyDescent="0.25">
      <c r="AM1038" s="28"/>
    </row>
    <row r="1039" spans="39:39" ht="18" customHeight="1" x14ac:dyDescent="0.25">
      <c r="AM1039" s="28"/>
    </row>
    <row r="1040" spans="39:39" ht="18" customHeight="1" x14ac:dyDescent="0.25">
      <c r="AM1040" s="28"/>
    </row>
    <row r="1041" spans="39:39" ht="18" customHeight="1" x14ac:dyDescent="0.25">
      <c r="AM1041" s="28"/>
    </row>
    <row r="1042" spans="39:39" ht="18" customHeight="1" x14ac:dyDescent="0.25">
      <c r="AM1042" s="28"/>
    </row>
    <row r="1043" spans="39:39" ht="18" customHeight="1" x14ac:dyDescent="0.25">
      <c r="AM1043" s="28"/>
    </row>
    <row r="1044" spans="39:39" ht="18" customHeight="1" x14ac:dyDescent="0.25">
      <c r="AM1044" s="28"/>
    </row>
    <row r="1045" spans="39:39" ht="18" customHeight="1" x14ac:dyDescent="0.25">
      <c r="AM1045" s="28"/>
    </row>
    <row r="1046" spans="39:39" ht="18" customHeight="1" x14ac:dyDescent="0.25">
      <c r="AM1046" s="28"/>
    </row>
    <row r="1047" spans="39:39" ht="18" customHeight="1" x14ac:dyDescent="0.25">
      <c r="AM1047" s="28"/>
    </row>
    <row r="1048" spans="39:39" ht="18" customHeight="1" x14ac:dyDescent="0.25">
      <c r="AM1048" s="28"/>
    </row>
    <row r="1049" spans="39:39" ht="18" customHeight="1" x14ac:dyDescent="0.25">
      <c r="AM1049" s="28"/>
    </row>
    <row r="1050" spans="39:39" ht="18" customHeight="1" x14ac:dyDescent="0.25">
      <c r="AM1050" s="28"/>
    </row>
    <row r="1051" spans="39:39" ht="18" customHeight="1" x14ac:dyDescent="0.25">
      <c r="AM1051" s="28"/>
    </row>
    <row r="1052" spans="39:39" ht="18" customHeight="1" x14ac:dyDescent="0.25">
      <c r="AM1052" s="28"/>
    </row>
    <row r="1053" spans="39:39" ht="18" customHeight="1" x14ac:dyDescent="0.25">
      <c r="AM1053" s="28"/>
    </row>
    <row r="1054" spans="39:39" ht="18" customHeight="1" x14ac:dyDescent="0.25">
      <c r="AM1054" s="28"/>
    </row>
    <row r="1055" spans="39:39" ht="18" customHeight="1" x14ac:dyDescent="0.25">
      <c r="AM1055" s="28"/>
    </row>
    <row r="1056" spans="39:39" ht="18" customHeight="1" x14ac:dyDescent="0.25">
      <c r="AM1056" s="28"/>
    </row>
    <row r="1057" spans="39:39" ht="18" customHeight="1" x14ac:dyDescent="0.25">
      <c r="AM1057" s="28"/>
    </row>
    <row r="1058" spans="39:39" ht="18" customHeight="1" x14ac:dyDescent="0.25">
      <c r="AM1058" s="28"/>
    </row>
    <row r="1059" spans="39:39" ht="18" customHeight="1" x14ac:dyDescent="0.25">
      <c r="AM1059" s="28"/>
    </row>
    <row r="1060" spans="39:39" ht="18" customHeight="1" x14ac:dyDescent="0.25">
      <c r="AM1060" s="28"/>
    </row>
    <row r="1061" spans="39:39" ht="18" customHeight="1" x14ac:dyDescent="0.25">
      <c r="AM1061" s="28"/>
    </row>
    <row r="1062" spans="39:39" ht="18" customHeight="1" x14ac:dyDescent="0.25">
      <c r="AM1062" s="28"/>
    </row>
    <row r="1063" spans="39:39" ht="18" customHeight="1" x14ac:dyDescent="0.25">
      <c r="AM1063" s="28"/>
    </row>
    <row r="1064" spans="39:39" ht="18" customHeight="1" x14ac:dyDescent="0.25">
      <c r="AM1064" s="28"/>
    </row>
    <row r="1065" spans="39:39" ht="18" customHeight="1" x14ac:dyDescent="0.25">
      <c r="AM1065" s="28"/>
    </row>
    <row r="1066" spans="39:39" ht="18" customHeight="1" x14ac:dyDescent="0.25">
      <c r="AM1066" s="28"/>
    </row>
    <row r="1067" spans="39:39" ht="18" customHeight="1" x14ac:dyDescent="0.25">
      <c r="AM1067" s="28"/>
    </row>
    <row r="1068" spans="39:39" ht="18" customHeight="1" x14ac:dyDescent="0.25">
      <c r="AM1068" s="28"/>
    </row>
    <row r="1069" spans="39:39" ht="18" customHeight="1" x14ac:dyDescent="0.25">
      <c r="AM1069" s="28"/>
    </row>
    <row r="1070" spans="39:39" ht="18" customHeight="1" x14ac:dyDescent="0.25">
      <c r="AM1070" s="28"/>
    </row>
    <row r="1071" spans="39:39" ht="18" customHeight="1" x14ac:dyDescent="0.25">
      <c r="AM1071" s="28"/>
    </row>
    <row r="1072" spans="39:39" ht="18" customHeight="1" x14ac:dyDescent="0.25">
      <c r="AM1072" s="28"/>
    </row>
    <row r="1073" spans="39:39" ht="18" customHeight="1" x14ac:dyDescent="0.25">
      <c r="AM1073" s="28"/>
    </row>
    <row r="1074" spans="39:39" ht="18" customHeight="1" x14ac:dyDescent="0.25">
      <c r="AM1074" s="28"/>
    </row>
    <row r="1075" spans="39:39" ht="18" customHeight="1" x14ac:dyDescent="0.25">
      <c r="AM1075" s="28"/>
    </row>
    <row r="1076" spans="39:39" ht="18" customHeight="1" x14ac:dyDescent="0.25">
      <c r="AM1076" s="28"/>
    </row>
    <row r="1077" spans="39:39" ht="18" customHeight="1" x14ac:dyDescent="0.25">
      <c r="AM1077" s="28"/>
    </row>
    <row r="1078" spans="39:39" ht="18" customHeight="1" x14ac:dyDescent="0.25">
      <c r="AM1078" s="28"/>
    </row>
    <row r="1079" spans="39:39" ht="18" customHeight="1" x14ac:dyDescent="0.25">
      <c r="AM1079" s="28"/>
    </row>
    <row r="1080" spans="39:39" ht="18" customHeight="1" x14ac:dyDescent="0.25">
      <c r="AM1080" s="28"/>
    </row>
    <row r="1081" spans="39:39" ht="18" customHeight="1" x14ac:dyDescent="0.25">
      <c r="AM1081" s="28"/>
    </row>
    <row r="1082" spans="39:39" ht="18" customHeight="1" x14ac:dyDescent="0.25">
      <c r="AM1082" s="28"/>
    </row>
    <row r="1083" spans="39:39" ht="18" customHeight="1" x14ac:dyDescent="0.25">
      <c r="AM1083" s="28"/>
    </row>
    <row r="1084" spans="39:39" ht="18" customHeight="1" x14ac:dyDescent="0.25">
      <c r="AM1084" s="28"/>
    </row>
    <row r="1085" spans="39:39" ht="18" customHeight="1" x14ac:dyDescent="0.25">
      <c r="AM1085" s="28"/>
    </row>
    <row r="1086" spans="39:39" ht="18" customHeight="1" x14ac:dyDescent="0.25">
      <c r="AM1086" s="28"/>
    </row>
    <row r="1087" spans="39:39" ht="18" customHeight="1" x14ac:dyDescent="0.25">
      <c r="AM1087" s="28"/>
    </row>
    <row r="1088" spans="39:39" ht="18" customHeight="1" x14ac:dyDescent="0.25">
      <c r="AM1088" s="28"/>
    </row>
    <row r="1089" spans="39:39" ht="18" customHeight="1" x14ac:dyDescent="0.25">
      <c r="AM1089" s="28"/>
    </row>
    <row r="1090" spans="39:39" ht="18" customHeight="1" x14ac:dyDescent="0.25">
      <c r="AM1090" s="28"/>
    </row>
    <row r="1091" spans="39:39" ht="18" customHeight="1" x14ac:dyDescent="0.25">
      <c r="AM1091" s="28"/>
    </row>
    <row r="1092" spans="39:39" ht="18" customHeight="1" x14ac:dyDescent="0.25">
      <c r="AM1092" s="28"/>
    </row>
    <row r="1093" spans="39:39" ht="18" customHeight="1" x14ac:dyDescent="0.25">
      <c r="AM1093" s="28"/>
    </row>
    <row r="1094" spans="39:39" ht="18" customHeight="1" x14ac:dyDescent="0.25">
      <c r="AM1094" s="28"/>
    </row>
    <row r="1095" spans="39:39" ht="18" customHeight="1" x14ac:dyDescent="0.25">
      <c r="AM1095" s="28"/>
    </row>
    <row r="1096" spans="39:39" ht="18" customHeight="1" x14ac:dyDescent="0.25">
      <c r="AM1096" s="28"/>
    </row>
    <row r="1097" spans="39:39" ht="18" customHeight="1" x14ac:dyDescent="0.25">
      <c r="AM1097" s="28"/>
    </row>
    <row r="1098" spans="39:39" ht="18" customHeight="1" x14ac:dyDescent="0.25">
      <c r="AM1098" s="28"/>
    </row>
    <row r="1099" spans="39:39" ht="18" customHeight="1" x14ac:dyDescent="0.25">
      <c r="AM1099" s="28"/>
    </row>
    <row r="1100" spans="39:39" ht="18" customHeight="1" x14ac:dyDescent="0.25">
      <c r="AM1100" s="28"/>
    </row>
    <row r="1101" spans="39:39" ht="18" customHeight="1" x14ac:dyDescent="0.25">
      <c r="AM1101" s="28"/>
    </row>
    <row r="1102" spans="39:39" ht="18" customHeight="1" x14ac:dyDescent="0.25">
      <c r="AM1102" s="28"/>
    </row>
    <row r="1103" spans="39:39" ht="18" customHeight="1" x14ac:dyDescent="0.25">
      <c r="AM1103" s="28"/>
    </row>
    <row r="1104" spans="39:39" ht="18" customHeight="1" x14ac:dyDescent="0.25">
      <c r="AM1104" s="28"/>
    </row>
    <row r="1105" spans="39:39" ht="18" customHeight="1" x14ac:dyDescent="0.25">
      <c r="AM1105" s="28"/>
    </row>
    <row r="1106" spans="39:39" ht="18" customHeight="1" x14ac:dyDescent="0.25">
      <c r="AM1106" s="28"/>
    </row>
    <row r="1107" spans="39:39" ht="18" customHeight="1" x14ac:dyDescent="0.25">
      <c r="AM1107" s="28"/>
    </row>
    <row r="1108" spans="39:39" ht="18" customHeight="1" x14ac:dyDescent="0.25">
      <c r="AM1108" s="28"/>
    </row>
    <row r="1109" spans="39:39" ht="18" customHeight="1" x14ac:dyDescent="0.25">
      <c r="AM1109" s="28"/>
    </row>
    <row r="1110" spans="39:39" ht="18" customHeight="1" x14ac:dyDescent="0.25">
      <c r="AM1110" s="28"/>
    </row>
    <row r="1111" spans="39:39" ht="18" customHeight="1" x14ac:dyDescent="0.25">
      <c r="AM1111" s="28"/>
    </row>
    <row r="1112" spans="39:39" ht="18" customHeight="1" x14ac:dyDescent="0.25">
      <c r="AM1112" s="28"/>
    </row>
    <row r="1113" spans="39:39" ht="18" customHeight="1" x14ac:dyDescent="0.25">
      <c r="AM1113" s="28"/>
    </row>
    <row r="1114" spans="39:39" ht="18" customHeight="1" x14ac:dyDescent="0.25">
      <c r="AM1114" s="28"/>
    </row>
    <row r="1115" spans="39:39" ht="18" customHeight="1" x14ac:dyDescent="0.25">
      <c r="AM1115" s="28"/>
    </row>
    <row r="1116" spans="39:39" ht="18" customHeight="1" x14ac:dyDescent="0.25">
      <c r="AM1116" s="28"/>
    </row>
    <row r="1117" spans="39:39" ht="18" customHeight="1" x14ac:dyDescent="0.25">
      <c r="AM1117" s="28"/>
    </row>
    <row r="1118" spans="39:39" ht="18" customHeight="1" x14ac:dyDescent="0.25">
      <c r="AM1118" s="28"/>
    </row>
    <row r="1119" spans="39:39" ht="18" customHeight="1" x14ac:dyDescent="0.25">
      <c r="AM1119" s="28"/>
    </row>
    <row r="1120" spans="39:39" ht="18" customHeight="1" x14ac:dyDescent="0.25">
      <c r="AM1120" s="28"/>
    </row>
    <row r="1121" spans="39:39" ht="18" customHeight="1" x14ac:dyDescent="0.25">
      <c r="AM1121" s="28"/>
    </row>
    <row r="1122" spans="39:39" ht="18" customHeight="1" x14ac:dyDescent="0.25">
      <c r="AM1122" s="28"/>
    </row>
    <row r="1123" spans="39:39" ht="18" customHeight="1" x14ac:dyDescent="0.25">
      <c r="AM1123" s="28"/>
    </row>
    <row r="1124" spans="39:39" ht="18" customHeight="1" x14ac:dyDescent="0.25">
      <c r="AM1124" s="28"/>
    </row>
    <row r="1125" spans="39:39" ht="18" customHeight="1" x14ac:dyDescent="0.25">
      <c r="AM1125" s="28"/>
    </row>
    <row r="1126" spans="39:39" ht="18" customHeight="1" x14ac:dyDescent="0.25">
      <c r="AM1126" s="28"/>
    </row>
    <row r="1127" spans="39:39" ht="18" customHeight="1" x14ac:dyDescent="0.25">
      <c r="AM1127" s="28"/>
    </row>
    <row r="1128" spans="39:39" ht="18" customHeight="1" x14ac:dyDescent="0.25">
      <c r="AM1128" s="28"/>
    </row>
    <row r="1129" spans="39:39" ht="18" customHeight="1" x14ac:dyDescent="0.25">
      <c r="AM1129" s="28"/>
    </row>
    <row r="1130" spans="39:39" ht="18" customHeight="1" x14ac:dyDescent="0.25">
      <c r="AM1130" s="28"/>
    </row>
    <row r="1131" spans="39:39" ht="18" customHeight="1" x14ac:dyDescent="0.25">
      <c r="AM1131" s="28"/>
    </row>
    <row r="1132" spans="39:39" ht="18" customHeight="1" x14ac:dyDescent="0.25">
      <c r="AM1132" s="28"/>
    </row>
    <row r="1133" spans="39:39" ht="18" customHeight="1" x14ac:dyDescent="0.25">
      <c r="AM1133" s="28"/>
    </row>
    <row r="1134" spans="39:39" ht="18" customHeight="1" x14ac:dyDescent="0.25">
      <c r="AM1134" s="28"/>
    </row>
    <row r="1135" spans="39:39" ht="18" customHeight="1" x14ac:dyDescent="0.25">
      <c r="AM1135" s="28"/>
    </row>
    <row r="1136" spans="39:39" ht="18" customHeight="1" x14ac:dyDescent="0.25">
      <c r="AM1136" s="28"/>
    </row>
    <row r="1137" spans="39:39" ht="18" customHeight="1" x14ac:dyDescent="0.25">
      <c r="AM1137" s="28"/>
    </row>
    <row r="1138" spans="39:39" ht="18" customHeight="1" x14ac:dyDescent="0.25">
      <c r="AM1138" s="28"/>
    </row>
    <row r="1139" spans="39:39" ht="18" customHeight="1" x14ac:dyDescent="0.25">
      <c r="AM1139" s="28"/>
    </row>
    <row r="1140" spans="39:39" ht="18" customHeight="1" x14ac:dyDescent="0.25">
      <c r="AM1140" s="28"/>
    </row>
    <row r="1141" spans="39:39" ht="18" customHeight="1" x14ac:dyDescent="0.25">
      <c r="AM1141" s="28"/>
    </row>
    <row r="1142" spans="39:39" ht="18" customHeight="1" x14ac:dyDescent="0.25">
      <c r="AM1142" s="28"/>
    </row>
    <row r="1143" spans="39:39" ht="18" customHeight="1" x14ac:dyDescent="0.25">
      <c r="AM1143" s="28"/>
    </row>
    <row r="1144" spans="39:39" ht="18" customHeight="1" x14ac:dyDescent="0.25">
      <c r="AM1144" s="28"/>
    </row>
    <row r="1145" spans="39:39" ht="18" customHeight="1" x14ac:dyDescent="0.25">
      <c r="AM1145" s="28"/>
    </row>
    <row r="1146" spans="39:39" ht="18" customHeight="1" x14ac:dyDescent="0.25">
      <c r="AM1146" s="28"/>
    </row>
    <row r="1147" spans="39:39" ht="18" customHeight="1" x14ac:dyDescent="0.25">
      <c r="AM1147" s="28"/>
    </row>
    <row r="1148" spans="39:39" ht="18" customHeight="1" x14ac:dyDescent="0.25">
      <c r="AM1148" s="28"/>
    </row>
    <row r="1149" spans="39:39" ht="18" customHeight="1" x14ac:dyDescent="0.25">
      <c r="AM1149" s="28"/>
    </row>
    <row r="1150" spans="39:39" ht="18" customHeight="1" x14ac:dyDescent="0.25">
      <c r="AM1150" s="28"/>
    </row>
    <row r="1151" spans="39:39" ht="18" customHeight="1" x14ac:dyDescent="0.25">
      <c r="AM1151" s="28"/>
    </row>
    <row r="1152" spans="39:39" ht="18" customHeight="1" x14ac:dyDescent="0.25">
      <c r="AM1152" s="28"/>
    </row>
    <row r="1153" spans="39:39" ht="18" customHeight="1" x14ac:dyDescent="0.25">
      <c r="AM1153" s="28"/>
    </row>
    <row r="1154" spans="39:39" ht="18" customHeight="1" x14ac:dyDescent="0.25">
      <c r="AM1154" s="28"/>
    </row>
    <row r="1155" spans="39:39" ht="18" customHeight="1" x14ac:dyDescent="0.25">
      <c r="AM1155" s="28"/>
    </row>
    <row r="1156" spans="39:39" ht="18" customHeight="1" x14ac:dyDescent="0.25">
      <c r="AM1156" s="28"/>
    </row>
    <row r="1157" spans="39:39" ht="18" customHeight="1" x14ac:dyDescent="0.25">
      <c r="AM1157" s="28"/>
    </row>
    <row r="1158" spans="39:39" ht="18" customHeight="1" x14ac:dyDescent="0.25">
      <c r="AM1158" s="28"/>
    </row>
    <row r="1159" spans="39:39" ht="18" customHeight="1" x14ac:dyDescent="0.25">
      <c r="AM1159" s="28"/>
    </row>
    <row r="1160" spans="39:39" ht="18" customHeight="1" x14ac:dyDescent="0.25">
      <c r="AM1160" s="28"/>
    </row>
    <row r="1161" spans="39:39" ht="18" customHeight="1" x14ac:dyDescent="0.25">
      <c r="AM1161" s="28"/>
    </row>
    <row r="1162" spans="39:39" ht="18" customHeight="1" x14ac:dyDescent="0.25">
      <c r="AM1162" s="28"/>
    </row>
    <row r="1163" spans="39:39" ht="18" customHeight="1" x14ac:dyDescent="0.25">
      <c r="AM1163" s="28"/>
    </row>
    <row r="1164" spans="39:39" ht="18" customHeight="1" x14ac:dyDescent="0.25">
      <c r="AM1164" s="28"/>
    </row>
    <row r="1165" spans="39:39" ht="18" customHeight="1" x14ac:dyDescent="0.25">
      <c r="AM1165" s="28"/>
    </row>
    <row r="1166" spans="39:39" ht="18" customHeight="1" x14ac:dyDescent="0.25">
      <c r="AM1166" s="28"/>
    </row>
    <row r="1167" spans="39:39" ht="18" customHeight="1" x14ac:dyDescent="0.25">
      <c r="AM1167" s="28"/>
    </row>
    <row r="1168" spans="39:39" ht="18" customHeight="1" x14ac:dyDescent="0.25">
      <c r="AM1168" s="28"/>
    </row>
    <row r="1169" spans="39:39" ht="18" customHeight="1" x14ac:dyDescent="0.25">
      <c r="AM1169" s="28"/>
    </row>
    <row r="1170" spans="39:39" ht="18" customHeight="1" x14ac:dyDescent="0.25">
      <c r="AM1170" s="28"/>
    </row>
    <row r="1171" spans="39:39" ht="18" customHeight="1" x14ac:dyDescent="0.25">
      <c r="AM1171" s="28"/>
    </row>
    <row r="1172" spans="39:39" ht="18" customHeight="1" x14ac:dyDescent="0.25">
      <c r="AM1172" s="28"/>
    </row>
    <row r="1173" spans="39:39" ht="18" customHeight="1" x14ac:dyDescent="0.25">
      <c r="AM1173" s="28"/>
    </row>
    <row r="1174" spans="39:39" ht="18" customHeight="1" x14ac:dyDescent="0.25">
      <c r="AM1174" s="28"/>
    </row>
    <row r="1175" spans="39:39" ht="18" customHeight="1" x14ac:dyDescent="0.25">
      <c r="AM1175" s="28"/>
    </row>
    <row r="1176" spans="39:39" ht="18" customHeight="1" x14ac:dyDescent="0.25">
      <c r="AM1176" s="28"/>
    </row>
    <row r="1177" spans="39:39" ht="18" customHeight="1" x14ac:dyDescent="0.25">
      <c r="AM1177" s="28"/>
    </row>
    <row r="1178" spans="39:39" ht="18" customHeight="1" x14ac:dyDescent="0.25">
      <c r="AM1178" s="28"/>
    </row>
    <row r="1179" spans="39:39" ht="18" customHeight="1" x14ac:dyDescent="0.25">
      <c r="AM1179" s="28"/>
    </row>
    <row r="1180" spans="39:39" ht="18" customHeight="1" x14ac:dyDescent="0.25">
      <c r="AM1180" s="28"/>
    </row>
    <row r="1181" spans="39:39" ht="18" customHeight="1" x14ac:dyDescent="0.25">
      <c r="AM1181" s="28"/>
    </row>
    <row r="1182" spans="39:39" ht="18" customHeight="1" x14ac:dyDescent="0.25">
      <c r="AM1182" s="28"/>
    </row>
    <row r="1183" spans="39:39" ht="18" customHeight="1" x14ac:dyDescent="0.25">
      <c r="AM1183" s="28"/>
    </row>
    <row r="1184" spans="39:39" ht="18" customHeight="1" x14ac:dyDescent="0.25">
      <c r="AM1184" s="28"/>
    </row>
    <row r="1185" spans="39:39" ht="18" customHeight="1" x14ac:dyDescent="0.25">
      <c r="AM1185" s="28"/>
    </row>
    <row r="1186" spans="39:39" ht="18" customHeight="1" x14ac:dyDescent="0.25">
      <c r="AM1186" s="28"/>
    </row>
    <row r="1187" spans="39:39" ht="18" customHeight="1" x14ac:dyDescent="0.25">
      <c r="AM1187" s="28"/>
    </row>
    <row r="1188" spans="39:39" ht="18" customHeight="1" x14ac:dyDescent="0.25">
      <c r="AM1188" s="28"/>
    </row>
    <row r="1189" spans="39:39" ht="18" customHeight="1" x14ac:dyDescent="0.25">
      <c r="AM1189" s="28"/>
    </row>
    <row r="1190" spans="39:39" ht="18" customHeight="1" x14ac:dyDescent="0.25">
      <c r="AM1190" s="28"/>
    </row>
    <row r="1191" spans="39:39" ht="18" customHeight="1" x14ac:dyDescent="0.25">
      <c r="AM1191" s="28"/>
    </row>
    <row r="1192" spans="39:39" ht="18" customHeight="1" x14ac:dyDescent="0.25">
      <c r="AM1192" s="28"/>
    </row>
    <row r="1193" spans="39:39" ht="18" customHeight="1" x14ac:dyDescent="0.25">
      <c r="AM1193" s="28"/>
    </row>
    <row r="1194" spans="39:39" ht="18" customHeight="1" x14ac:dyDescent="0.25">
      <c r="AM1194" s="28"/>
    </row>
    <row r="1195" spans="39:39" ht="18" customHeight="1" x14ac:dyDescent="0.25">
      <c r="AM1195" s="28"/>
    </row>
    <row r="1196" spans="39:39" ht="18" customHeight="1" x14ac:dyDescent="0.25">
      <c r="AM1196" s="28"/>
    </row>
    <row r="1197" spans="39:39" ht="18" customHeight="1" x14ac:dyDescent="0.25">
      <c r="AM1197" s="28"/>
    </row>
    <row r="1198" spans="39:39" ht="18" customHeight="1" x14ac:dyDescent="0.25">
      <c r="AM1198" s="28"/>
    </row>
    <row r="1199" spans="39:39" ht="18" customHeight="1" x14ac:dyDescent="0.25">
      <c r="AM1199" s="28"/>
    </row>
    <row r="1200" spans="39:39" ht="18" customHeight="1" x14ac:dyDescent="0.25">
      <c r="AM1200" s="28"/>
    </row>
    <row r="1201" spans="39:39" ht="18" customHeight="1" x14ac:dyDescent="0.25">
      <c r="AM1201" s="28"/>
    </row>
    <row r="1202" spans="39:39" ht="18" customHeight="1" x14ac:dyDescent="0.25">
      <c r="AM1202" s="28"/>
    </row>
    <row r="1203" spans="39:39" ht="18" customHeight="1" x14ac:dyDescent="0.25">
      <c r="AM1203" s="28"/>
    </row>
    <row r="1204" spans="39:39" ht="18" customHeight="1" x14ac:dyDescent="0.25">
      <c r="AM1204" s="28"/>
    </row>
    <row r="1205" spans="39:39" ht="18" customHeight="1" x14ac:dyDescent="0.25">
      <c r="AM1205" s="28"/>
    </row>
    <row r="1206" spans="39:39" ht="18" customHeight="1" x14ac:dyDescent="0.25">
      <c r="AM1206" s="28"/>
    </row>
    <row r="1207" spans="39:39" ht="18" customHeight="1" x14ac:dyDescent="0.25">
      <c r="AM1207" s="28"/>
    </row>
    <row r="1208" spans="39:39" ht="18" customHeight="1" x14ac:dyDescent="0.25">
      <c r="AM1208" s="28"/>
    </row>
    <row r="1209" spans="39:39" ht="18" customHeight="1" x14ac:dyDescent="0.25">
      <c r="AM1209" s="28"/>
    </row>
    <row r="1210" spans="39:39" ht="18" customHeight="1" x14ac:dyDescent="0.25">
      <c r="AM1210" s="28"/>
    </row>
    <row r="1211" spans="39:39" ht="18" customHeight="1" x14ac:dyDescent="0.25">
      <c r="AM1211" s="28"/>
    </row>
    <row r="1212" spans="39:39" ht="18" customHeight="1" x14ac:dyDescent="0.25">
      <c r="AM1212" s="28"/>
    </row>
    <row r="1213" spans="39:39" ht="18" customHeight="1" x14ac:dyDescent="0.25">
      <c r="AM1213" s="28"/>
    </row>
    <row r="1214" spans="39:39" ht="18" customHeight="1" x14ac:dyDescent="0.25">
      <c r="AM1214" s="28"/>
    </row>
    <row r="1215" spans="39:39" ht="18" customHeight="1" x14ac:dyDescent="0.25">
      <c r="AM1215" s="28"/>
    </row>
    <row r="1216" spans="39:39" ht="18" customHeight="1" x14ac:dyDescent="0.25">
      <c r="AM1216" s="28"/>
    </row>
    <row r="1217" spans="39:39" ht="18" customHeight="1" x14ac:dyDescent="0.25">
      <c r="AM1217" s="28"/>
    </row>
    <row r="1218" spans="39:39" ht="18" customHeight="1" x14ac:dyDescent="0.25">
      <c r="AM1218" s="28"/>
    </row>
    <row r="1219" spans="39:39" ht="18" customHeight="1" x14ac:dyDescent="0.25">
      <c r="AM1219" s="28"/>
    </row>
    <row r="1220" spans="39:39" ht="18" customHeight="1" x14ac:dyDescent="0.25">
      <c r="AM1220" s="28"/>
    </row>
    <row r="1221" spans="39:39" ht="18" customHeight="1" x14ac:dyDescent="0.25">
      <c r="AM1221" s="28"/>
    </row>
    <row r="1222" spans="39:39" ht="18" customHeight="1" x14ac:dyDescent="0.25">
      <c r="AM1222" s="28"/>
    </row>
    <row r="1223" spans="39:39" ht="18" customHeight="1" x14ac:dyDescent="0.25">
      <c r="AM1223" s="28"/>
    </row>
    <row r="1224" spans="39:39" ht="18" customHeight="1" x14ac:dyDescent="0.25">
      <c r="AM1224" s="28"/>
    </row>
    <row r="1225" spans="39:39" ht="18" customHeight="1" x14ac:dyDescent="0.25">
      <c r="AM1225" s="28"/>
    </row>
    <row r="1226" spans="39:39" ht="18" customHeight="1" x14ac:dyDescent="0.25">
      <c r="AM1226" s="28"/>
    </row>
    <row r="1227" spans="39:39" ht="18" customHeight="1" x14ac:dyDescent="0.25">
      <c r="AM1227" s="28"/>
    </row>
    <row r="1228" spans="39:39" ht="18" customHeight="1" x14ac:dyDescent="0.25">
      <c r="AM1228" s="28"/>
    </row>
    <row r="1229" spans="39:39" ht="18" customHeight="1" x14ac:dyDescent="0.25">
      <c r="AM1229" s="28"/>
    </row>
    <row r="1230" spans="39:39" ht="18" customHeight="1" x14ac:dyDescent="0.25">
      <c r="AM1230" s="28"/>
    </row>
    <row r="1231" spans="39:39" ht="18" customHeight="1" x14ac:dyDescent="0.25">
      <c r="AM1231" s="28"/>
    </row>
    <row r="1232" spans="39:39" ht="18" customHeight="1" x14ac:dyDescent="0.25">
      <c r="AM1232" s="28"/>
    </row>
    <row r="1233" spans="39:39" ht="18" customHeight="1" x14ac:dyDescent="0.25">
      <c r="AM1233" s="28"/>
    </row>
    <row r="1234" spans="39:39" ht="18" customHeight="1" x14ac:dyDescent="0.25">
      <c r="AM1234" s="28"/>
    </row>
    <row r="1235" spans="39:39" ht="18" customHeight="1" x14ac:dyDescent="0.25">
      <c r="AM1235" s="28"/>
    </row>
    <row r="1236" spans="39:39" ht="18" customHeight="1" x14ac:dyDescent="0.25">
      <c r="AM1236" s="28"/>
    </row>
    <row r="1237" spans="39:39" ht="18" customHeight="1" x14ac:dyDescent="0.25">
      <c r="AM1237" s="28"/>
    </row>
    <row r="1238" spans="39:39" ht="18" customHeight="1" x14ac:dyDescent="0.25">
      <c r="AM1238" s="28"/>
    </row>
    <row r="1239" spans="39:39" ht="18" customHeight="1" x14ac:dyDescent="0.25">
      <c r="AM1239" s="28"/>
    </row>
    <row r="1240" spans="39:39" ht="18" customHeight="1" x14ac:dyDescent="0.25">
      <c r="AM1240" s="28"/>
    </row>
    <row r="1241" spans="39:39" ht="18" customHeight="1" x14ac:dyDescent="0.25">
      <c r="AM1241" s="28"/>
    </row>
    <row r="1242" spans="39:39" ht="18" customHeight="1" x14ac:dyDescent="0.25">
      <c r="AM1242" s="28"/>
    </row>
    <row r="1243" spans="39:39" ht="18" customHeight="1" x14ac:dyDescent="0.25">
      <c r="AM1243" s="28"/>
    </row>
    <row r="1244" spans="39:39" ht="18" customHeight="1" x14ac:dyDescent="0.25">
      <c r="AM1244" s="28"/>
    </row>
    <row r="1245" spans="39:39" ht="18" customHeight="1" x14ac:dyDescent="0.25">
      <c r="AM1245" s="28"/>
    </row>
    <row r="1246" spans="39:39" ht="18" customHeight="1" x14ac:dyDescent="0.25">
      <c r="AM1246" s="28"/>
    </row>
    <row r="1247" spans="39:39" ht="18" customHeight="1" x14ac:dyDescent="0.25">
      <c r="AM1247" s="28"/>
    </row>
    <row r="1248" spans="39:39" ht="18" customHeight="1" x14ac:dyDescent="0.25">
      <c r="AM1248" s="28"/>
    </row>
    <row r="1249" spans="39:39" ht="18" customHeight="1" x14ac:dyDescent="0.25">
      <c r="AM1249" s="28"/>
    </row>
    <row r="1250" spans="39:39" ht="18" customHeight="1" x14ac:dyDescent="0.25">
      <c r="AM1250" s="28"/>
    </row>
    <row r="1251" spans="39:39" ht="18" customHeight="1" x14ac:dyDescent="0.25">
      <c r="AM1251" s="28"/>
    </row>
    <row r="1252" spans="39:39" ht="18" customHeight="1" x14ac:dyDescent="0.25">
      <c r="AM1252" s="28"/>
    </row>
    <row r="1253" spans="39:39" ht="18" customHeight="1" x14ac:dyDescent="0.25">
      <c r="AM1253" s="28"/>
    </row>
    <row r="1254" spans="39:39" ht="18" customHeight="1" x14ac:dyDescent="0.25">
      <c r="AM1254" s="28"/>
    </row>
    <row r="1255" spans="39:39" ht="18" customHeight="1" x14ac:dyDescent="0.25">
      <c r="AM1255" s="28"/>
    </row>
    <row r="1256" spans="39:39" ht="18" customHeight="1" x14ac:dyDescent="0.25">
      <c r="AM1256" s="28"/>
    </row>
    <row r="1257" spans="39:39" ht="18" customHeight="1" x14ac:dyDescent="0.25">
      <c r="AM1257" s="28"/>
    </row>
    <row r="1258" spans="39:39" ht="18" customHeight="1" x14ac:dyDescent="0.25">
      <c r="AM1258" s="28"/>
    </row>
    <row r="1259" spans="39:39" ht="18" customHeight="1" x14ac:dyDescent="0.25">
      <c r="AM1259" s="28"/>
    </row>
    <row r="1260" spans="39:39" ht="18" customHeight="1" x14ac:dyDescent="0.25">
      <c r="AM1260" s="28"/>
    </row>
    <row r="1261" spans="39:39" ht="18" customHeight="1" x14ac:dyDescent="0.25">
      <c r="AM1261" s="28"/>
    </row>
    <row r="1262" spans="39:39" ht="18" customHeight="1" x14ac:dyDescent="0.25">
      <c r="AM1262" s="28"/>
    </row>
    <row r="1263" spans="39:39" ht="18" customHeight="1" x14ac:dyDescent="0.25">
      <c r="AM1263" s="28"/>
    </row>
    <row r="1264" spans="39:39" ht="18" customHeight="1" x14ac:dyDescent="0.25">
      <c r="AM1264" s="28"/>
    </row>
    <row r="1265" spans="39:39" ht="18" customHeight="1" x14ac:dyDescent="0.25">
      <c r="AM1265" s="28"/>
    </row>
    <row r="1266" spans="39:39" ht="18" customHeight="1" x14ac:dyDescent="0.25">
      <c r="AM1266" s="28"/>
    </row>
    <row r="1267" spans="39:39" ht="18" customHeight="1" x14ac:dyDescent="0.25">
      <c r="AM1267" s="28"/>
    </row>
    <row r="1268" spans="39:39" ht="18" customHeight="1" x14ac:dyDescent="0.25">
      <c r="AM1268" s="28"/>
    </row>
    <row r="1269" spans="39:39" ht="18" customHeight="1" x14ac:dyDescent="0.25">
      <c r="AM1269" s="28"/>
    </row>
    <row r="1270" spans="39:39" ht="18" customHeight="1" x14ac:dyDescent="0.25">
      <c r="AM1270" s="28"/>
    </row>
    <row r="1271" spans="39:39" ht="18" customHeight="1" x14ac:dyDescent="0.25">
      <c r="AM1271" s="28"/>
    </row>
    <row r="1272" spans="39:39" ht="18" customHeight="1" x14ac:dyDescent="0.25">
      <c r="AM1272" s="28"/>
    </row>
    <row r="1273" spans="39:39" ht="18" customHeight="1" x14ac:dyDescent="0.25">
      <c r="AM1273" s="28"/>
    </row>
    <row r="1274" spans="39:39" ht="18" customHeight="1" x14ac:dyDescent="0.25">
      <c r="AM1274" s="28"/>
    </row>
    <row r="1275" spans="39:39" ht="18" customHeight="1" x14ac:dyDescent="0.25">
      <c r="AM1275" s="28"/>
    </row>
    <row r="1276" spans="39:39" ht="18" customHeight="1" x14ac:dyDescent="0.25">
      <c r="AM1276" s="28"/>
    </row>
    <row r="1277" spans="39:39" ht="18" customHeight="1" x14ac:dyDescent="0.25">
      <c r="AM1277" s="28"/>
    </row>
    <row r="1278" spans="39:39" ht="18" customHeight="1" x14ac:dyDescent="0.25">
      <c r="AM1278" s="28"/>
    </row>
    <row r="1279" spans="39:39" ht="18" customHeight="1" x14ac:dyDescent="0.25">
      <c r="AM1279" s="28"/>
    </row>
    <row r="1280" spans="39:39" ht="18" customHeight="1" x14ac:dyDescent="0.25">
      <c r="AM1280" s="28"/>
    </row>
    <row r="1281" spans="39:39" ht="18" customHeight="1" x14ac:dyDescent="0.25">
      <c r="AM1281" s="28"/>
    </row>
    <row r="1282" spans="39:39" ht="18" customHeight="1" x14ac:dyDescent="0.25">
      <c r="AM1282" s="28"/>
    </row>
    <row r="1283" spans="39:39" ht="18" customHeight="1" x14ac:dyDescent="0.25">
      <c r="AM1283" s="28"/>
    </row>
    <row r="1284" spans="39:39" ht="18" customHeight="1" x14ac:dyDescent="0.25">
      <c r="AM1284" s="28"/>
    </row>
    <row r="1285" spans="39:39" ht="18" customHeight="1" x14ac:dyDescent="0.25">
      <c r="AM1285" s="28"/>
    </row>
    <row r="1286" spans="39:39" ht="18" customHeight="1" x14ac:dyDescent="0.25">
      <c r="AM1286" s="28"/>
    </row>
    <row r="1287" spans="39:39" ht="18" customHeight="1" x14ac:dyDescent="0.25">
      <c r="AM1287" s="28"/>
    </row>
    <row r="1288" spans="39:39" ht="18" customHeight="1" x14ac:dyDescent="0.25">
      <c r="AM1288" s="28"/>
    </row>
    <row r="1289" spans="39:39" ht="18" customHeight="1" x14ac:dyDescent="0.25">
      <c r="AM1289" s="28"/>
    </row>
    <row r="1290" spans="39:39" ht="18" customHeight="1" x14ac:dyDescent="0.25">
      <c r="AM1290" s="28"/>
    </row>
    <row r="1291" spans="39:39" ht="18" customHeight="1" x14ac:dyDescent="0.25">
      <c r="AM1291" s="28"/>
    </row>
    <row r="1292" spans="39:39" ht="18" customHeight="1" x14ac:dyDescent="0.25">
      <c r="AM1292" s="28"/>
    </row>
    <row r="1293" spans="39:39" ht="18" customHeight="1" x14ac:dyDescent="0.25">
      <c r="AM1293" s="28"/>
    </row>
    <row r="1294" spans="39:39" ht="18" customHeight="1" x14ac:dyDescent="0.25">
      <c r="AM1294" s="28"/>
    </row>
    <row r="1295" spans="39:39" ht="18" customHeight="1" x14ac:dyDescent="0.25">
      <c r="AM1295" s="28"/>
    </row>
    <row r="1296" spans="39:39" ht="18" customHeight="1" x14ac:dyDescent="0.25">
      <c r="AM1296" s="28"/>
    </row>
    <row r="1297" spans="39:39" ht="18" customHeight="1" x14ac:dyDescent="0.25">
      <c r="AM1297" s="28"/>
    </row>
    <row r="1298" spans="39:39" ht="18" customHeight="1" x14ac:dyDescent="0.25">
      <c r="AM1298" s="28"/>
    </row>
    <row r="1299" spans="39:39" ht="18" customHeight="1" x14ac:dyDescent="0.25">
      <c r="AM1299" s="28"/>
    </row>
    <row r="1300" spans="39:39" ht="18" customHeight="1" x14ac:dyDescent="0.25">
      <c r="AM1300" s="28"/>
    </row>
    <row r="1301" spans="39:39" ht="18" customHeight="1" x14ac:dyDescent="0.25">
      <c r="AM1301" s="28"/>
    </row>
    <row r="1302" spans="39:39" ht="18" customHeight="1" x14ac:dyDescent="0.25">
      <c r="AM1302" s="28"/>
    </row>
    <row r="1303" spans="39:39" ht="18" customHeight="1" x14ac:dyDescent="0.25">
      <c r="AM1303" s="28"/>
    </row>
    <row r="1304" spans="39:39" ht="18" customHeight="1" x14ac:dyDescent="0.25">
      <c r="AM1304" s="28"/>
    </row>
    <row r="1305" spans="39:39" ht="18" customHeight="1" x14ac:dyDescent="0.25">
      <c r="AM1305" s="28"/>
    </row>
    <row r="1306" spans="39:39" ht="18" customHeight="1" x14ac:dyDescent="0.25">
      <c r="AM1306" s="28"/>
    </row>
    <row r="1307" spans="39:39" ht="18" customHeight="1" x14ac:dyDescent="0.25">
      <c r="AM1307" s="28"/>
    </row>
    <row r="1308" spans="39:39" ht="18" customHeight="1" x14ac:dyDescent="0.25">
      <c r="AM1308" s="28"/>
    </row>
    <row r="1309" spans="39:39" ht="18" customHeight="1" x14ac:dyDescent="0.25">
      <c r="AM1309" s="28"/>
    </row>
    <row r="1310" spans="39:39" ht="18" customHeight="1" x14ac:dyDescent="0.25">
      <c r="AM1310" s="28"/>
    </row>
    <row r="1311" spans="39:39" ht="18" customHeight="1" x14ac:dyDescent="0.25">
      <c r="AM1311" s="28"/>
    </row>
    <row r="1312" spans="39:39" ht="18" customHeight="1" x14ac:dyDescent="0.25">
      <c r="AM1312" s="28"/>
    </row>
    <row r="1313" spans="39:39" ht="18" customHeight="1" x14ac:dyDescent="0.25">
      <c r="AM1313" s="28"/>
    </row>
    <row r="1314" spans="39:39" ht="18" customHeight="1" x14ac:dyDescent="0.25">
      <c r="AM1314" s="28"/>
    </row>
    <row r="1315" spans="39:39" ht="18" customHeight="1" x14ac:dyDescent="0.25">
      <c r="AM1315" s="28"/>
    </row>
    <row r="1316" spans="39:39" ht="18" customHeight="1" x14ac:dyDescent="0.25">
      <c r="AM1316" s="28"/>
    </row>
    <row r="1317" spans="39:39" ht="18" customHeight="1" x14ac:dyDescent="0.25">
      <c r="AM1317" s="28"/>
    </row>
    <row r="1318" spans="39:39" ht="18" customHeight="1" x14ac:dyDescent="0.25">
      <c r="AM1318" s="28"/>
    </row>
    <row r="1319" spans="39:39" ht="18" customHeight="1" x14ac:dyDescent="0.25">
      <c r="AM1319" s="28"/>
    </row>
    <row r="1320" spans="39:39" ht="18" customHeight="1" x14ac:dyDescent="0.25">
      <c r="AM1320" s="28"/>
    </row>
    <row r="1321" spans="39:39" ht="18" customHeight="1" x14ac:dyDescent="0.25">
      <c r="AM1321" s="28"/>
    </row>
    <row r="1322" spans="39:39" ht="18" customHeight="1" x14ac:dyDescent="0.25">
      <c r="AM1322" s="28"/>
    </row>
    <row r="1323" spans="39:39" ht="18" customHeight="1" x14ac:dyDescent="0.25">
      <c r="AM1323" s="28"/>
    </row>
    <row r="1324" spans="39:39" ht="18" customHeight="1" x14ac:dyDescent="0.25">
      <c r="AM1324" s="28"/>
    </row>
    <row r="1325" spans="39:39" ht="18" customHeight="1" x14ac:dyDescent="0.25">
      <c r="AM1325" s="28"/>
    </row>
    <row r="1326" spans="39:39" ht="18" customHeight="1" x14ac:dyDescent="0.25">
      <c r="AM1326" s="28"/>
    </row>
    <row r="1327" spans="39:39" ht="18" customHeight="1" x14ac:dyDescent="0.25">
      <c r="AM1327" s="28"/>
    </row>
    <row r="1328" spans="39:39" ht="18" customHeight="1" x14ac:dyDescent="0.25">
      <c r="AM1328" s="28"/>
    </row>
    <row r="1329" spans="39:39" ht="18" customHeight="1" x14ac:dyDescent="0.25">
      <c r="AM1329" s="28"/>
    </row>
    <row r="1330" spans="39:39" ht="18" customHeight="1" x14ac:dyDescent="0.25">
      <c r="AM1330" s="28"/>
    </row>
    <row r="1331" spans="39:39" ht="18" customHeight="1" x14ac:dyDescent="0.25">
      <c r="AM1331" s="28"/>
    </row>
    <row r="1332" spans="39:39" ht="18" customHeight="1" x14ac:dyDescent="0.25">
      <c r="AM1332" s="28"/>
    </row>
    <row r="1333" spans="39:39" ht="18" customHeight="1" x14ac:dyDescent="0.25">
      <c r="AM1333" s="28"/>
    </row>
    <row r="1334" spans="39:39" ht="18" customHeight="1" x14ac:dyDescent="0.25">
      <c r="AM1334" s="28"/>
    </row>
    <row r="1335" spans="39:39" ht="18" customHeight="1" x14ac:dyDescent="0.25">
      <c r="AM1335" s="28"/>
    </row>
    <row r="1336" spans="39:39" ht="18" customHeight="1" x14ac:dyDescent="0.25">
      <c r="AM1336" s="28"/>
    </row>
    <row r="1337" spans="39:39" ht="18" customHeight="1" x14ac:dyDescent="0.25">
      <c r="AM1337" s="28"/>
    </row>
    <row r="1338" spans="39:39" ht="18" customHeight="1" x14ac:dyDescent="0.25">
      <c r="AM1338" s="28"/>
    </row>
    <row r="1339" spans="39:39" ht="18" customHeight="1" x14ac:dyDescent="0.25">
      <c r="AM1339" s="28"/>
    </row>
    <row r="1340" spans="39:39" ht="18" customHeight="1" x14ac:dyDescent="0.25">
      <c r="AM1340" s="28"/>
    </row>
    <row r="1341" spans="39:39" ht="18" customHeight="1" x14ac:dyDescent="0.25">
      <c r="AM1341" s="28"/>
    </row>
    <row r="1342" spans="39:39" ht="18" customHeight="1" x14ac:dyDescent="0.25">
      <c r="AM1342" s="28"/>
    </row>
    <row r="1343" spans="39:39" ht="18" customHeight="1" x14ac:dyDescent="0.25">
      <c r="AM1343" s="28"/>
    </row>
    <row r="1344" spans="39:39" ht="18" customHeight="1" x14ac:dyDescent="0.25">
      <c r="AM1344" s="28"/>
    </row>
    <row r="1345" spans="39:39" ht="18" customHeight="1" x14ac:dyDescent="0.25">
      <c r="AM1345" s="28"/>
    </row>
    <row r="1346" spans="39:39" ht="18" customHeight="1" x14ac:dyDescent="0.25">
      <c r="AM1346" s="28"/>
    </row>
    <row r="1347" spans="39:39" ht="18" customHeight="1" x14ac:dyDescent="0.25">
      <c r="AM1347" s="28"/>
    </row>
    <row r="1348" spans="39:39" ht="18" customHeight="1" x14ac:dyDescent="0.25">
      <c r="AM1348" s="28"/>
    </row>
    <row r="1349" spans="39:39" ht="18" customHeight="1" x14ac:dyDescent="0.25">
      <c r="AM1349" s="28"/>
    </row>
    <row r="1350" spans="39:39" ht="18" customHeight="1" x14ac:dyDescent="0.25">
      <c r="AM1350" s="28"/>
    </row>
    <row r="1351" spans="39:39" ht="18" customHeight="1" x14ac:dyDescent="0.25">
      <c r="AM1351" s="28"/>
    </row>
    <row r="1352" spans="39:39" ht="18" customHeight="1" x14ac:dyDescent="0.25">
      <c r="AM1352" s="28"/>
    </row>
    <row r="1353" spans="39:39" ht="18" customHeight="1" x14ac:dyDescent="0.25">
      <c r="AM1353" s="28"/>
    </row>
    <row r="1354" spans="39:39" ht="18" customHeight="1" x14ac:dyDescent="0.25">
      <c r="AM1354" s="28"/>
    </row>
    <row r="1355" spans="39:39" ht="18" customHeight="1" x14ac:dyDescent="0.25">
      <c r="AM1355" s="28"/>
    </row>
    <row r="1356" spans="39:39" ht="18" customHeight="1" x14ac:dyDescent="0.25">
      <c r="AM1356" s="28"/>
    </row>
    <row r="1357" spans="39:39" ht="18" customHeight="1" x14ac:dyDescent="0.25">
      <c r="AM1357" s="28"/>
    </row>
    <row r="1358" spans="39:39" ht="18" customHeight="1" x14ac:dyDescent="0.25">
      <c r="AM1358" s="28"/>
    </row>
    <row r="1359" spans="39:39" ht="18" customHeight="1" x14ac:dyDescent="0.25">
      <c r="AM1359" s="28"/>
    </row>
    <row r="1360" spans="39:39" ht="18" customHeight="1" x14ac:dyDescent="0.25">
      <c r="AM1360" s="28"/>
    </row>
    <row r="1361" spans="39:39" ht="18" customHeight="1" x14ac:dyDescent="0.25">
      <c r="AM1361" s="28"/>
    </row>
    <row r="1362" spans="39:39" ht="18" customHeight="1" x14ac:dyDescent="0.25">
      <c r="AM1362" s="28"/>
    </row>
    <row r="1363" spans="39:39" ht="18" customHeight="1" x14ac:dyDescent="0.25">
      <c r="AM1363" s="28"/>
    </row>
    <row r="1364" spans="39:39" ht="18" customHeight="1" x14ac:dyDescent="0.25">
      <c r="AM1364" s="28"/>
    </row>
    <row r="1365" spans="39:39" ht="18" customHeight="1" x14ac:dyDescent="0.25">
      <c r="AM1365" s="28"/>
    </row>
    <row r="1366" spans="39:39" ht="18" customHeight="1" x14ac:dyDescent="0.25">
      <c r="AM1366" s="28"/>
    </row>
    <row r="1367" spans="39:39" ht="18" customHeight="1" x14ac:dyDescent="0.25">
      <c r="AM1367" s="28"/>
    </row>
    <row r="1368" spans="39:39" ht="18" customHeight="1" x14ac:dyDescent="0.25">
      <c r="AM1368" s="28"/>
    </row>
    <row r="1369" spans="39:39" ht="18" customHeight="1" x14ac:dyDescent="0.25">
      <c r="AM1369" s="28"/>
    </row>
    <row r="1370" spans="39:39" ht="18" customHeight="1" x14ac:dyDescent="0.25">
      <c r="AM1370" s="28"/>
    </row>
    <row r="1371" spans="39:39" ht="18" customHeight="1" x14ac:dyDescent="0.25">
      <c r="AM1371" s="28"/>
    </row>
    <row r="1372" spans="39:39" ht="18" customHeight="1" x14ac:dyDescent="0.25">
      <c r="AM1372" s="28"/>
    </row>
    <row r="1373" spans="39:39" ht="18" customHeight="1" x14ac:dyDescent="0.25">
      <c r="AM1373" s="28"/>
    </row>
    <row r="1374" spans="39:39" ht="18" customHeight="1" x14ac:dyDescent="0.25">
      <c r="AM1374" s="28"/>
    </row>
    <row r="1375" spans="39:39" ht="18" customHeight="1" x14ac:dyDescent="0.25">
      <c r="AM1375" s="28"/>
    </row>
    <row r="1376" spans="39:39" ht="18" customHeight="1" x14ac:dyDescent="0.25">
      <c r="AM1376" s="28"/>
    </row>
    <row r="1377" spans="39:39" ht="18" customHeight="1" x14ac:dyDescent="0.25">
      <c r="AM1377" s="28"/>
    </row>
    <row r="1378" spans="39:39" ht="18" customHeight="1" x14ac:dyDescent="0.25">
      <c r="AM1378" s="28"/>
    </row>
    <row r="1379" spans="39:39" ht="18" customHeight="1" x14ac:dyDescent="0.25">
      <c r="AM1379" s="28"/>
    </row>
    <row r="1380" spans="39:39" ht="18" customHeight="1" x14ac:dyDescent="0.25">
      <c r="AM1380" s="28"/>
    </row>
    <row r="1381" spans="39:39" ht="18" customHeight="1" x14ac:dyDescent="0.25">
      <c r="AM1381" s="28"/>
    </row>
    <row r="1382" spans="39:39" ht="18" customHeight="1" x14ac:dyDescent="0.25">
      <c r="AM1382" s="28"/>
    </row>
    <row r="1383" spans="39:39" ht="18" customHeight="1" x14ac:dyDescent="0.25">
      <c r="AM1383" s="28"/>
    </row>
    <row r="1384" spans="39:39" ht="18" customHeight="1" x14ac:dyDescent="0.25">
      <c r="AM1384" s="28"/>
    </row>
    <row r="1385" spans="39:39" ht="18" customHeight="1" x14ac:dyDescent="0.25">
      <c r="AM1385" s="28"/>
    </row>
    <row r="1386" spans="39:39" ht="18" customHeight="1" x14ac:dyDescent="0.25">
      <c r="AM1386" s="28"/>
    </row>
    <row r="1387" spans="39:39" ht="18" customHeight="1" x14ac:dyDescent="0.25">
      <c r="AM1387" s="28"/>
    </row>
    <row r="1388" spans="39:39" ht="18" customHeight="1" x14ac:dyDescent="0.25">
      <c r="AM1388" s="28"/>
    </row>
    <row r="1389" spans="39:39" ht="18" customHeight="1" x14ac:dyDescent="0.25">
      <c r="AM1389" s="28"/>
    </row>
    <row r="1390" spans="39:39" ht="18" customHeight="1" x14ac:dyDescent="0.25">
      <c r="AM1390" s="28"/>
    </row>
    <row r="1391" spans="39:39" ht="18" customHeight="1" x14ac:dyDescent="0.25">
      <c r="AM1391" s="28"/>
    </row>
    <row r="1392" spans="39:39" ht="18" customHeight="1" x14ac:dyDescent="0.25">
      <c r="AM1392" s="28"/>
    </row>
    <row r="1393" spans="39:39" ht="18" customHeight="1" x14ac:dyDescent="0.25">
      <c r="AM1393" s="28"/>
    </row>
    <row r="1394" spans="39:39" ht="18" customHeight="1" x14ac:dyDescent="0.25">
      <c r="AM1394" s="28"/>
    </row>
    <row r="1395" spans="39:39" ht="18" customHeight="1" x14ac:dyDescent="0.25">
      <c r="AM1395" s="28"/>
    </row>
    <row r="1396" spans="39:39" ht="18" customHeight="1" x14ac:dyDescent="0.25">
      <c r="AM1396" s="28"/>
    </row>
    <row r="1397" spans="39:39" ht="18" customHeight="1" x14ac:dyDescent="0.25">
      <c r="AM1397" s="28"/>
    </row>
    <row r="1398" spans="39:39" ht="18" customHeight="1" x14ac:dyDescent="0.25">
      <c r="AM1398" s="28"/>
    </row>
    <row r="1399" spans="39:39" ht="18" customHeight="1" x14ac:dyDescent="0.25">
      <c r="AM1399" s="28"/>
    </row>
    <row r="1400" spans="39:39" ht="18" customHeight="1" x14ac:dyDescent="0.25">
      <c r="AM1400" s="28"/>
    </row>
    <row r="1401" spans="39:39" ht="18" customHeight="1" x14ac:dyDescent="0.25">
      <c r="AM1401" s="28"/>
    </row>
    <row r="1402" spans="39:39" ht="18" customHeight="1" x14ac:dyDescent="0.25">
      <c r="AM1402" s="28"/>
    </row>
    <row r="1403" spans="39:39" ht="18" customHeight="1" x14ac:dyDescent="0.25">
      <c r="AM1403" s="28"/>
    </row>
    <row r="1404" spans="39:39" ht="18" customHeight="1" x14ac:dyDescent="0.25">
      <c r="AM1404" s="28"/>
    </row>
    <row r="1405" spans="39:39" ht="18" customHeight="1" x14ac:dyDescent="0.25">
      <c r="AM1405" s="28"/>
    </row>
    <row r="1406" spans="39:39" ht="18" customHeight="1" x14ac:dyDescent="0.25">
      <c r="AM1406" s="28"/>
    </row>
    <row r="1407" spans="39:39" ht="18" customHeight="1" x14ac:dyDescent="0.25">
      <c r="AM1407" s="28"/>
    </row>
    <row r="1408" spans="39:39" ht="18" customHeight="1" x14ac:dyDescent="0.25">
      <c r="AM1408" s="28"/>
    </row>
    <row r="1409" spans="39:39" ht="18" customHeight="1" x14ac:dyDescent="0.25">
      <c r="AM1409" s="28"/>
    </row>
    <row r="1410" spans="39:39" ht="18" customHeight="1" x14ac:dyDescent="0.25">
      <c r="AM1410" s="28"/>
    </row>
    <row r="1411" spans="39:39" ht="18" customHeight="1" x14ac:dyDescent="0.25">
      <c r="AM1411" s="28"/>
    </row>
    <row r="1412" spans="39:39" ht="18" customHeight="1" x14ac:dyDescent="0.25">
      <c r="AM1412" s="28"/>
    </row>
    <row r="1413" spans="39:39" ht="18" customHeight="1" x14ac:dyDescent="0.25">
      <c r="AM1413" s="28"/>
    </row>
    <row r="1414" spans="39:39" ht="18" customHeight="1" x14ac:dyDescent="0.25">
      <c r="AM1414" s="28"/>
    </row>
    <row r="1415" spans="39:39" ht="18" customHeight="1" x14ac:dyDescent="0.25">
      <c r="AM1415" s="28"/>
    </row>
    <row r="1416" spans="39:39" ht="18" customHeight="1" x14ac:dyDescent="0.25">
      <c r="AM1416" s="28"/>
    </row>
    <row r="1417" spans="39:39" ht="18" customHeight="1" x14ac:dyDescent="0.25">
      <c r="AM1417" s="28"/>
    </row>
    <row r="1418" spans="39:39" ht="18" customHeight="1" x14ac:dyDescent="0.25">
      <c r="AM1418" s="28"/>
    </row>
    <row r="1419" spans="39:39" ht="18" customHeight="1" x14ac:dyDescent="0.25">
      <c r="AM1419" s="28"/>
    </row>
    <row r="1420" spans="39:39" ht="18" customHeight="1" x14ac:dyDescent="0.25">
      <c r="AM1420" s="28"/>
    </row>
    <row r="1421" spans="39:39" ht="18" customHeight="1" x14ac:dyDescent="0.25">
      <c r="AM1421" s="28"/>
    </row>
    <row r="1422" spans="39:39" ht="18" customHeight="1" x14ac:dyDescent="0.25">
      <c r="AM1422" s="28"/>
    </row>
    <row r="1423" spans="39:39" ht="18" customHeight="1" x14ac:dyDescent="0.25">
      <c r="AM1423" s="28"/>
    </row>
    <row r="1424" spans="39:39" ht="18" customHeight="1" x14ac:dyDescent="0.25">
      <c r="AM1424" s="28"/>
    </row>
    <row r="1425" spans="39:39" ht="18" customHeight="1" x14ac:dyDescent="0.25">
      <c r="AM1425" s="28"/>
    </row>
    <row r="1426" spans="39:39" ht="18" customHeight="1" x14ac:dyDescent="0.25">
      <c r="AM1426" s="28"/>
    </row>
    <row r="1427" spans="39:39" ht="18" customHeight="1" x14ac:dyDescent="0.25">
      <c r="AM1427" s="28"/>
    </row>
    <row r="1428" spans="39:39" ht="18" customHeight="1" x14ac:dyDescent="0.25">
      <c r="AM1428" s="28"/>
    </row>
    <row r="1429" spans="39:39" ht="18" customHeight="1" x14ac:dyDescent="0.25">
      <c r="AM1429" s="28"/>
    </row>
    <row r="1430" spans="39:39" ht="18" customHeight="1" x14ac:dyDescent="0.25">
      <c r="AM1430" s="28"/>
    </row>
    <row r="1431" spans="39:39" ht="18" customHeight="1" x14ac:dyDescent="0.25">
      <c r="AM1431" s="28"/>
    </row>
    <row r="1432" spans="39:39" ht="18" customHeight="1" x14ac:dyDescent="0.25">
      <c r="AM1432" s="28"/>
    </row>
    <row r="1433" spans="39:39" ht="18" customHeight="1" x14ac:dyDescent="0.25">
      <c r="AM1433" s="28"/>
    </row>
    <row r="1434" spans="39:39" ht="18" customHeight="1" x14ac:dyDescent="0.25">
      <c r="AM1434" s="28"/>
    </row>
    <row r="1435" spans="39:39" ht="18" customHeight="1" x14ac:dyDescent="0.25">
      <c r="AM1435" s="28"/>
    </row>
    <row r="1436" spans="39:39" ht="18" customHeight="1" x14ac:dyDescent="0.25">
      <c r="AM1436" s="28"/>
    </row>
    <row r="1437" spans="39:39" ht="18" customHeight="1" x14ac:dyDescent="0.25">
      <c r="AM1437" s="28"/>
    </row>
    <row r="1438" spans="39:39" ht="18" customHeight="1" x14ac:dyDescent="0.25">
      <c r="AM1438" s="28"/>
    </row>
    <row r="1439" spans="39:39" ht="18" customHeight="1" x14ac:dyDescent="0.25">
      <c r="AM1439" s="28"/>
    </row>
    <row r="1440" spans="39:39" ht="18" customHeight="1" x14ac:dyDescent="0.25">
      <c r="AM1440" s="28"/>
    </row>
    <row r="1441" spans="39:39" ht="18" customHeight="1" x14ac:dyDescent="0.25">
      <c r="AM1441" s="28"/>
    </row>
    <row r="1442" spans="39:39" ht="18" customHeight="1" x14ac:dyDescent="0.25">
      <c r="AM1442" s="28"/>
    </row>
    <row r="1443" spans="39:39" ht="18" customHeight="1" x14ac:dyDescent="0.25">
      <c r="AM1443" s="28"/>
    </row>
    <row r="1444" spans="39:39" ht="18" customHeight="1" x14ac:dyDescent="0.25">
      <c r="AM1444" s="28"/>
    </row>
    <row r="1445" spans="39:39" ht="18" customHeight="1" x14ac:dyDescent="0.25">
      <c r="AM1445" s="28"/>
    </row>
    <row r="1446" spans="39:39" ht="18" customHeight="1" x14ac:dyDescent="0.25">
      <c r="AM1446" s="28"/>
    </row>
    <row r="1447" spans="39:39" ht="18" customHeight="1" x14ac:dyDescent="0.25">
      <c r="AM1447" s="28"/>
    </row>
    <row r="1448" spans="39:39" ht="18" customHeight="1" x14ac:dyDescent="0.25">
      <c r="AM1448" s="28"/>
    </row>
    <row r="1449" spans="39:39" ht="18" customHeight="1" x14ac:dyDescent="0.25">
      <c r="AM1449" s="28"/>
    </row>
    <row r="1450" spans="39:39" ht="18" customHeight="1" x14ac:dyDescent="0.25">
      <c r="AM1450" s="28"/>
    </row>
    <row r="1451" spans="39:39" ht="18" customHeight="1" x14ac:dyDescent="0.25">
      <c r="AM1451" s="28"/>
    </row>
    <row r="1452" spans="39:39" ht="18" customHeight="1" x14ac:dyDescent="0.25">
      <c r="AM1452" s="28"/>
    </row>
    <row r="1453" spans="39:39" ht="18" customHeight="1" x14ac:dyDescent="0.25">
      <c r="AM1453" s="28"/>
    </row>
    <row r="1454" spans="39:39" ht="18" customHeight="1" x14ac:dyDescent="0.25">
      <c r="AM1454" s="28"/>
    </row>
    <row r="1455" spans="39:39" ht="18" customHeight="1" x14ac:dyDescent="0.25">
      <c r="AM1455" s="28"/>
    </row>
    <row r="1456" spans="39:39" ht="18" customHeight="1" x14ac:dyDescent="0.25">
      <c r="AM1456" s="28"/>
    </row>
    <row r="1457" spans="39:39" ht="18" customHeight="1" x14ac:dyDescent="0.25">
      <c r="AM1457" s="28"/>
    </row>
    <row r="1458" spans="39:39" ht="18" customHeight="1" x14ac:dyDescent="0.25">
      <c r="AM1458" s="28"/>
    </row>
    <row r="1459" spans="39:39" ht="18" customHeight="1" x14ac:dyDescent="0.25">
      <c r="AM1459" s="28"/>
    </row>
    <row r="1460" spans="39:39" ht="18" customHeight="1" x14ac:dyDescent="0.25">
      <c r="AM1460" s="28"/>
    </row>
    <row r="1461" spans="39:39" ht="18" customHeight="1" x14ac:dyDescent="0.25">
      <c r="AM1461" s="28"/>
    </row>
    <row r="1462" spans="39:39" ht="18" customHeight="1" x14ac:dyDescent="0.25">
      <c r="AM1462" s="28"/>
    </row>
    <row r="1463" spans="39:39" ht="18" customHeight="1" x14ac:dyDescent="0.25">
      <c r="AM1463" s="28"/>
    </row>
    <row r="1464" spans="39:39" ht="18" customHeight="1" x14ac:dyDescent="0.25">
      <c r="AM1464" s="28"/>
    </row>
    <row r="1465" spans="39:39" ht="18" customHeight="1" x14ac:dyDescent="0.25">
      <c r="AM1465" s="28"/>
    </row>
    <row r="1466" spans="39:39" ht="18" customHeight="1" x14ac:dyDescent="0.25">
      <c r="AM1466" s="28"/>
    </row>
    <row r="1467" spans="39:39" ht="18" customHeight="1" x14ac:dyDescent="0.25">
      <c r="AM1467" s="28"/>
    </row>
    <row r="1468" spans="39:39" ht="18" customHeight="1" x14ac:dyDescent="0.25">
      <c r="AM1468" s="28"/>
    </row>
    <row r="1469" spans="39:39" ht="18" customHeight="1" x14ac:dyDescent="0.25">
      <c r="AM1469" s="28"/>
    </row>
    <row r="1470" spans="39:39" ht="18" customHeight="1" x14ac:dyDescent="0.25">
      <c r="AM1470" s="28"/>
    </row>
    <row r="1471" spans="39:39" ht="18" customHeight="1" x14ac:dyDescent="0.25">
      <c r="AM1471" s="28"/>
    </row>
    <row r="1472" spans="39:39" ht="18" customHeight="1" x14ac:dyDescent="0.25">
      <c r="AM1472" s="28"/>
    </row>
    <row r="1473" spans="39:39" ht="18" customHeight="1" x14ac:dyDescent="0.25">
      <c r="AM1473" s="28"/>
    </row>
    <row r="1474" spans="39:39" ht="18" customHeight="1" x14ac:dyDescent="0.25">
      <c r="AM1474" s="28"/>
    </row>
    <row r="1475" spans="39:39" ht="18" customHeight="1" x14ac:dyDescent="0.25">
      <c r="AM1475" s="28"/>
    </row>
    <row r="1476" spans="39:39" ht="18" customHeight="1" x14ac:dyDescent="0.25">
      <c r="AM1476" s="28"/>
    </row>
    <row r="1477" spans="39:39" ht="18" customHeight="1" x14ac:dyDescent="0.25">
      <c r="AM1477" s="28"/>
    </row>
    <row r="1478" spans="39:39" ht="18" customHeight="1" x14ac:dyDescent="0.25">
      <c r="AM1478" s="28"/>
    </row>
    <row r="1479" spans="39:39" ht="18" customHeight="1" x14ac:dyDescent="0.25">
      <c r="AM1479" s="28"/>
    </row>
    <row r="1480" spans="39:39" ht="18" customHeight="1" x14ac:dyDescent="0.25">
      <c r="AM1480" s="28"/>
    </row>
    <row r="1481" spans="39:39" ht="18" customHeight="1" x14ac:dyDescent="0.25">
      <c r="AM1481" s="28"/>
    </row>
    <row r="1482" spans="39:39" ht="18" customHeight="1" x14ac:dyDescent="0.25">
      <c r="AM1482" s="28"/>
    </row>
    <row r="1483" spans="39:39" ht="18" customHeight="1" x14ac:dyDescent="0.25">
      <c r="AM1483" s="28"/>
    </row>
    <row r="1484" spans="39:39" ht="18" customHeight="1" x14ac:dyDescent="0.25">
      <c r="AM1484" s="28"/>
    </row>
    <row r="1485" spans="39:39" ht="18" customHeight="1" x14ac:dyDescent="0.25">
      <c r="AM1485" s="28"/>
    </row>
    <row r="1486" spans="39:39" ht="18" customHeight="1" x14ac:dyDescent="0.25">
      <c r="AM1486" s="28"/>
    </row>
    <row r="1487" spans="39:39" ht="18" customHeight="1" x14ac:dyDescent="0.25">
      <c r="AM1487" s="28"/>
    </row>
    <row r="1488" spans="39:39" ht="18" customHeight="1" x14ac:dyDescent="0.25">
      <c r="AM1488" s="28"/>
    </row>
    <row r="1489" spans="39:39" ht="18" customHeight="1" x14ac:dyDescent="0.25">
      <c r="AM1489" s="28"/>
    </row>
    <row r="1490" spans="39:39" ht="18" customHeight="1" x14ac:dyDescent="0.25">
      <c r="AM1490" s="28"/>
    </row>
    <row r="1491" spans="39:39" ht="18" customHeight="1" x14ac:dyDescent="0.25">
      <c r="AM1491" s="28"/>
    </row>
    <row r="1492" spans="39:39" ht="18" customHeight="1" x14ac:dyDescent="0.25">
      <c r="AM1492" s="28"/>
    </row>
    <row r="1493" spans="39:39" ht="18" customHeight="1" x14ac:dyDescent="0.25">
      <c r="AM1493" s="28"/>
    </row>
    <row r="1494" spans="39:39" ht="18" customHeight="1" x14ac:dyDescent="0.25">
      <c r="AM1494" s="28"/>
    </row>
    <row r="1495" spans="39:39" ht="18" customHeight="1" x14ac:dyDescent="0.25">
      <c r="AM1495" s="28"/>
    </row>
    <row r="1496" spans="39:39" ht="18" customHeight="1" x14ac:dyDescent="0.25">
      <c r="AM1496" s="28"/>
    </row>
    <row r="1497" spans="39:39" ht="18" customHeight="1" x14ac:dyDescent="0.25">
      <c r="AM1497" s="28"/>
    </row>
    <row r="1498" spans="39:39" ht="18" customHeight="1" x14ac:dyDescent="0.25">
      <c r="AM1498" s="28"/>
    </row>
    <row r="1499" spans="39:39" ht="18" customHeight="1" x14ac:dyDescent="0.25">
      <c r="AM1499" s="28"/>
    </row>
    <row r="1500" spans="39:39" ht="18" customHeight="1" x14ac:dyDescent="0.25">
      <c r="AM1500" s="28"/>
    </row>
    <row r="1501" spans="39:39" ht="18" customHeight="1" x14ac:dyDescent="0.25">
      <c r="AM1501" s="28"/>
    </row>
    <row r="1502" spans="39:39" ht="18" customHeight="1" x14ac:dyDescent="0.25">
      <c r="AM1502" s="28"/>
    </row>
    <row r="1503" spans="39:39" ht="18" customHeight="1" x14ac:dyDescent="0.25">
      <c r="AM1503" s="28"/>
    </row>
    <row r="1504" spans="39:39" ht="18" customHeight="1" x14ac:dyDescent="0.25">
      <c r="AM1504" s="28"/>
    </row>
    <row r="1505" spans="39:39" ht="18" customHeight="1" x14ac:dyDescent="0.25">
      <c r="AM1505" s="28"/>
    </row>
    <row r="1506" spans="39:39" ht="18" customHeight="1" x14ac:dyDescent="0.25">
      <c r="AM1506" s="28"/>
    </row>
    <row r="1507" spans="39:39" ht="18" customHeight="1" x14ac:dyDescent="0.25">
      <c r="AM1507" s="28"/>
    </row>
    <row r="1508" spans="39:39" ht="18" customHeight="1" x14ac:dyDescent="0.25">
      <c r="AM1508" s="28"/>
    </row>
    <row r="1509" spans="39:39" ht="18" customHeight="1" x14ac:dyDescent="0.25">
      <c r="AM1509" s="28"/>
    </row>
    <row r="1510" spans="39:39" ht="18" customHeight="1" x14ac:dyDescent="0.25">
      <c r="AM1510" s="28"/>
    </row>
    <row r="1511" spans="39:39" ht="18" customHeight="1" x14ac:dyDescent="0.25">
      <c r="AM1511" s="28"/>
    </row>
    <row r="1512" spans="39:39" ht="18" customHeight="1" x14ac:dyDescent="0.25">
      <c r="AM1512" s="28"/>
    </row>
    <row r="1513" spans="39:39" ht="18" customHeight="1" x14ac:dyDescent="0.25">
      <c r="AM1513" s="28"/>
    </row>
    <row r="1514" spans="39:39" ht="18" customHeight="1" x14ac:dyDescent="0.25">
      <c r="AM1514" s="28"/>
    </row>
    <row r="1515" spans="39:39" ht="18" customHeight="1" x14ac:dyDescent="0.25">
      <c r="AM1515" s="28"/>
    </row>
    <row r="1516" spans="39:39" ht="18" customHeight="1" x14ac:dyDescent="0.25">
      <c r="AM1516" s="28"/>
    </row>
    <row r="1517" spans="39:39" ht="18" customHeight="1" x14ac:dyDescent="0.25">
      <c r="AM1517" s="28"/>
    </row>
    <row r="1518" spans="39:39" ht="18" customHeight="1" x14ac:dyDescent="0.25">
      <c r="AM1518" s="28"/>
    </row>
    <row r="1519" spans="39:39" ht="18" customHeight="1" x14ac:dyDescent="0.25">
      <c r="AM1519" s="28"/>
    </row>
    <row r="1520" spans="39:39" ht="18" customHeight="1" x14ac:dyDescent="0.25">
      <c r="AM1520" s="28"/>
    </row>
    <row r="1521" spans="39:39" ht="18" customHeight="1" x14ac:dyDescent="0.25">
      <c r="AM1521" s="28"/>
    </row>
    <row r="1522" spans="39:39" ht="18" customHeight="1" x14ac:dyDescent="0.25">
      <c r="AM1522" s="28"/>
    </row>
    <row r="1523" spans="39:39" ht="18" customHeight="1" x14ac:dyDescent="0.25">
      <c r="AM1523" s="28"/>
    </row>
    <row r="1524" spans="39:39" ht="18" customHeight="1" x14ac:dyDescent="0.25">
      <c r="AM1524" s="28"/>
    </row>
    <row r="1525" spans="39:39" ht="18" customHeight="1" x14ac:dyDescent="0.25">
      <c r="AM1525" s="28"/>
    </row>
    <row r="1526" spans="39:39" ht="18" customHeight="1" x14ac:dyDescent="0.25">
      <c r="AM1526" s="28"/>
    </row>
    <row r="1527" spans="39:39" ht="18" customHeight="1" x14ac:dyDescent="0.25">
      <c r="AM1527" s="28"/>
    </row>
    <row r="1528" spans="39:39" ht="18" customHeight="1" x14ac:dyDescent="0.25">
      <c r="AM1528" s="28"/>
    </row>
    <row r="1529" spans="39:39" ht="18" customHeight="1" x14ac:dyDescent="0.25">
      <c r="AM1529" s="28"/>
    </row>
    <row r="1530" spans="39:39" ht="18" customHeight="1" x14ac:dyDescent="0.25">
      <c r="AM1530" s="28"/>
    </row>
    <row r="1531" spans="39:39" ht="18" customHeight="1" x14ac:dyDescent="0.25">
      <c r="AM1531" s="28"/>
    </row>
    <row r="1532" spans="39:39" ht="18" customHeight="1" x14ac:dyDescent="0.25">
      <c r="AM1532" s="28"/>
    </row>
    <row r="1533" spans="39:39" ht="18" customHeight="1" x14ac:dyDescent="0.25">
      <c r="AM1533" s="28"/>
    </row>
    <row r="1534" spans="39:39" ht="18" customHeight="1" x14ac:dyDescent="0.25">
      <c r="AM1534" s="28"/>
    </row>
    <row r="1535" spans="39:39" ht="18" customHeight="1" x14ac:dyDescent="0.25">
      <c r="AM1535" s="28"/>
    </row>
    <row r="1536" spans="39:39" ht="18" customHeight="1" x14ac:dyDescent="0.25">
      <c r="AM1536" s="28"/>
    </row>
    <row r="1537" spans="39:39" ht="18" customHeight="1" x14ac:dyDescent="0.25">
      <c r="AM1537" s="28"/>
    </row>
    <row r="1538" spans="39:39" ht="18" customHeight="1" x14ac:dyDescent="0.25">
      <c r="AM1538" s="28"/>
    </row>
    <row r="1539" spans="39:39" ht="18" customHeight="1" x14ac:dyDescent="0.25">
      <c r="AM1539" s="28"/>
    </row>
    <row r="1540" spans="39:39" ht="18" customHeight="1" x14ac:dyDescent="0.25">
      <c r="AM1540" s="28"/>
    </row>
    <row r="1541" spans="39:39" ht="18" customHeight="1" x14ac:dyDescent="0.25">
      <c r="AM1541" s="28"/>
    </row>
    <row r="1542" spans="39:39" ht="18" customHeight="1" x14ac:dyDescent="0.25">
      <c r="AM1542" s="28"/>
    </row>
    <row r="1543" spans="39:39" ht="18" customHeight="1" x14ac:dyDescent="0.25">
      <c r="AM1543" s="28"/>
    </row>
    <row r="1544" spans="39:39" ht="18" customHeight="1" x14ac:dyDescent="0.25">
      <c r="AM1544" s="28"/>
    </row>
    <row r="1545" spans="39:39" ht="18" customHeight="1" x14ac:dyDescent="0.25">
      <c r="AM1545" s="28"/>
    </row>
    <row r="1546" spans="39:39" ht="18" customHeight="1" x14ac:dyDescent="0.25">
      <c r="AM1546" s="28"/>
    </row>
    <row r="1547" spans="39:39" ht="18" customHeight="1" x14ac:dyDescent="0.25">
      <c r="AM1547" s="28"/>
    </row>
    <row r="1548" spans="39:39" ht="18" customHeight="1" x14ac:dyDescent="0.25">
      <c r="AM1548" s="28"/>
    </row>
    <row r="1549" spans="39:39" ht="18" customHeight="1" x14ac:dyDescent="0.25">
      <c r="AM1549" s="28"/>
    </row>
    <row r="1550" spans="39:39" ht="18" customHeight="1" x14ac:dyDescent="0.25">
      <c r="AM1550" s="28"/>
    </row>
    <row r="1551" spans="39:39" ht="18" customHeight="1" x14ac:dyDescent="0.25">
      <c r="AM1551" s="28"/>
    </row>
    <row r="1552" spans="39:39" ht="18" customHeight="1" x14ac:dyDescent="0.25">
      <c r="AM1552" s="28"/>
    </row>
    <row r="1553" spans="39:39" ht="18" customHeight="1" x14ac:dyDescent="0.25">
      <c r="AM1553" s="28"/>
    </row>
    <row r="1554" spans="39:39" ht="18" customHeight="1" x14ac:dyDescent="0.25">
      <c r="AM1554" s="28"/>
    </row>
    <row r="1555" spans="39:39" ht="18" customHeight="1" x14ac:dyDescent="0.25">
      <c r="AM1555" s="28"/>
    </row>
    <row r="1556" spans="39:39" ht="18" customHeight="1" x14ac:dyDescent="0.25">
      <c r="AM1556" s="28"/>
    </row>
    <row r="1557" spans="39:39" ht="18" customHeight="1" x14ac:dyDescent="0.25">
      <c r="AM1557" s="28"/>
    </row>
    <row r="1558" spans="39:39" ht="18" customHeight="1" x14ac:dyDescent="0.25">
      <c r="AM1558" s="28"/>
    </row>
    <row r="1559" spans="39:39" ht="18" customHeight="1" x14ac:dyDescent="0.25">
      <c r="AM1559" s="28"/>
    </row>
    <row r="1560" spans="39:39" ht="18" customHeight="1" x14ac:dyDescent="0.25">
      <c r="AM1560" s="28"/>
    </row>
    <row r="1561" spans="39:39" ht="18" customHeight="1" x14ac:dyDescent="0.25">
      <c r="AM1561" s="28"/>
    </row>
    <row r="1562" spans="39:39" ht="18" customHeight="1" x14ac:dyDescent="0.25">
      <c r="AM1562" s="28"/>
    </row>
    <row r="1563" spans="39:39" ht="18" customHeight="1" x14ac:dyDescent="0.25">
      <c r="AM1563" s="28"/>
    </row>
    <row r="1564" spans="39:39" ht="18" customHeight="1" x14ac:dyDescent="0.25">
      <c r="AM1564" s="28"/>
    </row>
    <row r="1565" spans="39:39" ht="18" customHeight="1" x14ac:dyDescent="0.25">
      <c r="AM1565" s="28"/>
    </row>
    <row r="1566" spans="39:39" ht="18" customHeight="1" x14ac:dyDescent="0.25">
      <c r="AM1566" s="28"/>
    </row>
    <row r="1567" spans="39:39" ht="18" customHeight="1" x14ac:dyDescent="0.25">
      <c r="AM1567" s="28"/>
    </row>
    <row r="1568" spans="39:39" ht="18" customHeight="1" x14ac:dyDescent="0.25">
      <c r="AM1568" s="28"/>
    </row>
    <row r="1569" spans="39:39" ht="18" customHeight="1" x14ac:dyDescent="0.25">
      <c r="AM1569" s="28"/>
    </row>
    <row r="1570" spans="39:39" ht="18" customHeight="1" x14ac:dyDescent="0.25">
      <c r="AM1570" s="28"/>
    </row>
    <row r="1571" spans="39:39" ht="18" customHeight="1" x14ac:dyDescent="0.25">
      <c r="AM1571" s="28"/>
    </row>
    <row r="1572" spans="39:39" ht="18" customHeight="1" x14ac:dyDescent="0.25">
      <c r="AM1572" s="28"/>
    </row>
    <row r="1573" spans="39:39" ht="18" customHeight="1" x14ac:dyDescent="0.25">
      <c r="AM1573" s="28"/>
    </row>
    <row r="1574" spans="39:39" ht="18" customHeight="1" x14ac:dyDescent="0.25">
      <c r="AM1574" s="28"/>
    </row>
    <row r="1575" spans="39:39" ht="18" customHeight="1" x14ac:dyDescent="0.25">
      <c r="AM1575" s="28"/>
    </row>
    <row r="1576" spans="39:39" ht="18" customHeight="1" x14ac:dyDescent="0.25">
      <c r="AM1576" s="28"/>
    </row>
    <row r="1577" spans="39:39" ht="18" customHeight="1" x14ac:dyDescent="0.25">
      <c r="AM1577" s="28"/>
    </row>
    <row r="1578" spans="39:39" ht="18" customHeight="1" x14ac:dyDescent="0.25">
      <c r="AM1578" s="28"/>
    </row>
    <row r="1579" spans="39:39" ht="18" customHeight="1" x14ac:dyDescent="0.25">
      <c r="AM1579" s="28"/>
    </row>
    <row r="1580" spans="39:39" ht="18" customHeight="1" x14ac:dyDescent="0.25">
      <c r="AM1580" s="28"/>
    </row>
    <row r="1581" spans="39:39" ht="18" customHeight="1" x14ac:dyDescent="0.25">
      <c r="AM1581" s="28"/>
    </row>
    <row r="1582" spans="39:39" ht="18" customHeight="1" x14ac:dyDescent="0.25">
      <c r="AM1582" s="28"/>
    </row>
    <row r="1583" spans="39:39" ht="18" customHeight="1" x14ac:dyDescent="0.25">
      <c r="AM1583" s="28"/>
    </row>
    <row r="1584" spans="39:39" ht="18" customHeight="1" x14ac:dyDescent="0.25">
      <c r="AM1584" s="28"/>
    </row>
    <row r="1585" spans="39:39" ht="18" customHeight="1" x14ac:dyDescent="0.25">
      <c r="AM1585" s="28"/>
    </row>
    <row r="1586" spans="39:39" ht="18" customHeight="1" x14ac:dyDescent="0.25">
      <c r="AM1586" s="28"/>
    </row>
    <row r="1587" spans="39:39" ht="18" customHeight="1" x14ac:dyDescent="0.25">
      <c r="AM1587" s="28"/>
    </row>
    <row r="1588" spans="39:39" ht="18" customHeight="1" x14ac:dyDescent="0.25">
      <c r="AM1588" s="28"/>
    </row>
    <row r="1589" spans="39:39" ht="18" customHeight="1" x14ac:dyDescent="0.25">
      <c r="AM1589" s="28"/>
    </row>
    <row r="1590" spans="39:39" ht="18" customHeight="1" x14ac:dyDescent="0.25">
      <c r="AM1590" s="28"/>
    </row>
    <row r="1591" spans="39:39" ht="18" customHeight="1" x14ac:dyDescent="0.25">
      <c r="AM1591" s="28"/>
    </row>
    <row r="1592" spans="39:39" ht="18" customHeight="1" x14ac:dyDescent="0.25">
      <c r="AM1592" s="28"/>
    </row>
    <row r="1593" spans="39:39" ht="18" customHeight="1" x14ac:dyDescent="0.25">
      <c r="AM1593" s="28"/>
    </row>
    <row r="1594" spans="39:39" ht="18" customHeight="1" x14ac:dyDescent="0.25">
      <c r="AM1594" s="28"/>
    </row>
    <row r="1595" spans="39:39" ht="18" customHeight="1" x14ac:dyDescent="0.25">
      <c r="AM1595" s="28"/>
    </row>
    <row r="1596" spans="39:39" ht="18" customHeight="1" x14ac:dyDescent="0.25">
      <c r="AM1596" s="28"/>
    </row>
    <row r="1597" spans="39:39" ht="18" customHeight="1" x14ac:dyDescent="0.25">
      <c r="AM1597" s="28"/>
    </row>
    <row r="1598" spans="39:39" ht="18" customHeight="1" x14ac:dyDescent="0.25">
      <c r="AM1598" s="28"/>
    </row>
    <row r="1599" spans="39:39" ht="18" customHeight="1" x14ac:dyDescent="0.25">
      <c r="AM1599" s="28"/>
    </row>
    <row r="1600" spans="39:39" ht="18" customHeight="1" x14ac:dyDescent="0.25">
      <c r="AM1600" s="28"/>
    </row>
    <row r="1601" spans="39:39" ht="18" customHeight="1" x14ac:dyDescent="0.25">
      <c r="AM1601" s="28"/>
    </row>
    <row r="1602" spans="39:39" ht="18" customHeight="1" x14ac:dyDescent="0.25">
      <c r="AM1602" s="28"/>
    </row>
    <row r="1603" spans="39:39" ht="18" customHeight="1" x14ac:dyDescent="0.25">
      <c r="AM1603" s="28"/>
    </row>
    <row r="1604" spans="39:39" ht="18" customHeight="1" x14ac:dyDescent="0.25">
      <c r="AM1604" s="28"/>
    </row>
    <row r="1605" spans="39:39" ht="18" customHeight="1" x14ac:dyDescent="0.25">
      <c r="AM1605" s="28"/>
    </row>
    <row r="1606" spans="39:39" ht="18" customHeight="1" x14ac:dyDescent="0.25">
      <c r="AM1606" s="28"/>
    </row>
    <row r="1607" spans="39:39" ht="18" customHeight="1" x14ac:dyDescent="0.25">
      <c r="AM1607" s="28"/>
    </row>
    <row r="1608" spans="39:39" ht="18" customHeight="1" x14ac:dyDescent="0.25">
      <c r="AM1608" s="28"/>
    </row>
    <row r="1609" spans="39:39" ht="18" customHeight="1" x14ac:dyDescent="0.25">
      <c r="AM1609" s="28"/>
    </row>
    <row r="1610" spans="39:39" ht="18" customHeight="1" x14ac:dyDescent="0.25">
      <c r="AM1610" s="28"/>
    </row>
    <row r="1611" spans="39:39" ht="18" customHeight="1" x14ac:dyDescent="0.25">
      <c r="AM1611" s="28"/>
    </row>
    <row r="1612" spans="39:39" ht="18" customHeight="1" x14ac:dyDescent="0.25">
      <c r="AM1612" s="28"/>
    </row>
    <row r="1613" spans="39:39" ht="18" customHeight="1" x14ac:dyDescent="0.25">
      <c r="AM1613" s="28"/>
    </row>
    <row r="1614" spans="39:39" ht="18" customHeight="1" x14ac:dyDescent="0.25">
      <c r="AM1614" s="28"/>
    </row>
    <row r="1615" spans="39:39" ht="18" customHeight="1" x14ac:dyDescent="0.25">
      <c r="AM1615" s="28"/>
    </row>
    <row r="1616" spans="39:39" ht="18" customHeight="1" x14ac:dyDescent="0.25">
      <c r="AM1616" s="28"/>
    </row>
    <row r="1617" spans="39:39" ht="18" customHeight="1" x14ac:dyDescent="0.25">
      <c r="AM1617" s="28"/>
    </row>
    <row r="1618" spans="39:39" ht="18" customHeight="1" x14ac:dyDescent="0.25">
      <c r="AM1618" s="28"/>
    </row>
    <row r="1619" spans="39:39" ht="18" customHeight="1" x14ac:dyDescent="0.25">
      <c r="AM1619" s="28"/>
    </row>
    <row r="1620" spans="39:39" ht="18" customHeight="1" x14ac:dyDescent="0.25">
      <c r="AM1620" s="28"/>
    </row>
    <row r="1621" spans="39:39" ht="18" customHeight="1" x14ac:dyDescent="0.25">
      <c r="AM1621" s="28"/>
    </row>
    <row r="1622" spans="39:39" ht="18" customHeight="1" x14ac:dyDescent="0.25">
      <c r="AM1622" s="28"/>
    </row>
    <row r="1623" spans="39:39" ht="18" customHeight="1" x14ac:dyDescent="0.25">
      <c r="AM1623" s="28"/>
    </row>
    <row r="1624" spans="39:39" ht="18" customHeight="1" x14ac:dyDescent="0.25">
      <c r="AM1624" s="28"/>
    </row>
    <row r="1625" spans="39:39" ht="18" customHeight="1" x14ac:dyDescent="0.25">
      <c r="AM1625" s="28"/>
    </row>
    <row r="1626" spans="39:39" ht="18" customHeight="1" x14ac:dyDescent="0.25">
      <c r="AM1626" s="28"/>
    </row>
    <row r="1627" spans="39:39" ht="18" customHeight="1" x14ac:dyDescent="0.25">
      <c r="AM1627" s="28"/>
    </row>
    <row r="1628" spans="39:39" ht="18" customHeight="1" x14ac:dyDescent="0.25">
      <c r="AM1628" s="28"/>
    </row>
    <row r="1629" spans="39:39" ht="18" customHeight="1" x14ac:dyDescent="0.25">
      <c r="AM1629" s="28"/>
    </row>
    <row r="1630" spans="39:39" ht="18" customHeight="1" x14ac:dyDescent="0.25">
      <c r="AM1630" s="28"/>
    </row>
    <row r="1631" spans="39:39" ht="18" customHeight="1" x14ac:dyDescent="0.25">
      <c r="AM1631" s="28"/>
    </row>
    <row r="1632" spans="39:39" ht="18" customHeight="1" x14ac:dyDescent="0.25">
      <c r="AM1632" s="28"/>
    </row>
    <row r="1633" spans="39:39" ht="18" customHeight="1" x14ac:dyDescent="0.25">
      <c r="AM1633" s="28"/>
    </row>
    <row r="1634" spans="39:39" ht="18" customHeight="1" x14ac:dyDescent="0.25">
      <c r="AM1634" s="28"/>
    </row>
    <row r="1635" spans="39:39" ht="18" customHeight="1" x14ac:dyDescent="0.25">
      <c r="AM1635" s="28"/>
    </row>
    <row r="1636" spans="39:39" ht="18" customHeight="1" x14ac:dyDescent="0.25">
      <c r="AM1636" s="28"/>
    </row>
    <row r="1637" spans="39:39" ht="18" customHeight="1" x14ac:dyDescent="0.25">
      <c r="AM1637" s="28"/>
    </row>
    <row r="1638" spans="39:39" ht="18" customHeight="1" x14ac:dyDescent="0.25">
      <c r="AM1638" s="28"/>
    </row>
    <row r="1639" spans="39:39" ht="18" customHeight="1" x14ac:dyDescent="0.25">
      <c r="AM1639" s="28"/>
    </row>
    <row r="1640" spans="39:39" ht="18" customHeight="1" x14ac:dyDescent="0.25">
      <c r="AM1640" s="28"/>
    </row>
    <row r="1641" spans="39:39" ht="18" customHeight="1" x14ac:dyDescent="0.25">
      <c r="AM1641" s="28"/>
    </row>
    <row r="1642" spans="39:39" ht="18" customHeight="1" x14ac:dyDescent="0.25">
      <c r="AM1642" s="28"/>
    </row>
    <row r="1643" spans="39:39" ht="18" customHeight="1" x14ac:dyDescent="0.25">
      <c r="AM1643" s="28"/>
    </row>
    <row r="1644" spans="39:39" ht="18" customHeight="1" x14ac:dyDescent="0.25">
      <c r="AM1644" s="28"/>
    </row>
    <row r="1645" spans="39:39" ht="18" customHeight="1" x14ac:dyDescent="0.25">
      <c r="AM1645" s="28"/>
    </row>
    <row r="1646" spans="39:39" ht="18" customHeight="1" x14ac:dyDescent="0.25">
      <c r="AM1646" s="28"/>
    </row>
    <row r="1647" spans="39:39" ht="18" customHeight="1" x14ac:dyDescent="0.25">
      <c r="AM1647" s="28"/>
    </row>
    <row r="1648" spans="39:39" ht="18" customHeight="1" x14ac:dyDescent="0.25">
      <c r="AM1648" s="28"/>
    </row>
    <row r="1649" spans="39:39" ht="18" customHeight="1" x14ac:dyDescent="0.25">
      <c r="AM1649" s="28"/>
    </row>
    <row r="1650" spans="39:39" ht="18" customHeight="1" x14ac:dyDescent="0.25">
      <c r="AM1650" s="28"/>
    </row>
    <row r="1651" spans="39:39" ht="18" customHeight="1" x14ac:dyDescent="0.25">
      <c r="AM1651" s="28"/>
    </row>
    <row r="1652" spans="39:39" ht="18" customHeight="1" x14ac:dyDescent="0.25">
      <c r="AM1652" s="28"/>
    </row>
    <row r="1653" spans="39:39" ht="18" customHeight="1" x14ac:dyDescent="0.25">
      <c r="AM1653" s="28"/>
    </row>
    <row r="1654" spans="39:39" ht="18" customHeight="1" x14ac:dyDescent="0.25">
      <c r="AM1654" s="28"/>
    </row>
    <row r="1655" spans="39:39" ht="18" customHeight="1" x14ac:dyDescent="0.25">
      <c r="AM1655" s="28"/>
    </row>
    <row r="1656" spans="39:39" ht="18" customHeight="1" x14ac:dyDescent="0.25">
      <c r="AM1656" s="28"/>
    </row>
    <row r="1657" spans="39:39" ht="18" customHeight="1" x14ac:dyDescent="0.25">
      <c r="AM1657" s="28"/>
    </row>
    <row r="1658" spans="39:39" ht="18" customHeight="1" x14ac:dyDescent="0.25">
      <c r="AM1658" s="28"/>
    </row>
    <row r="1659" spans="39:39" ht="18" customHeight="1" x14ac:dyDescent="0.25">
      <c r="AM1659" s="28"/>
    </row>
    <row r="1660" spans="39:39" ht="18" customHeight="1" x14ac:dyDescent="0.25">
      <c r="AM1660" s="28"/>
    </row>
    <row r="1661" spans="39:39" ht="18" customHeight="1" x14ac:dyDescent="0.25">
      <c r="AM1661" s="28"/>
    </row>
    <row r="1662" spans="39:39" ht="18" customHeight="1" x14ac:dyDescent="0.25">
      <c r="AM1662" s="28"/>
    </row>
    <row r="1663" spans="39:39" ht="18" customHeight="1" x14ac:dyDescent="0.25">
      <c r="AM1663" s="28"/>
    </row>
    <row r="1664" spans="39:39" ht="18" customHeight="1" x14ac:dyDescent="0.25">
      <c r="AM1664" s="28"/>
    </row>
    <row r="1665" spans="39:39" ht="18" customHeight="1" x14ac:dyDescent="0.25">
      <c r="AM1665" s="28"/>
    </row>
    <row r="1666" spans="39:39" ht="18" customHeight="1" x14ac:dyDescent="0.25">
      <c r="AM1666" s="28"/>
    </row>
    <row r="1667" spans="39:39" ht="18" customHeight="1" x14ac:dyDescent="0.25">
      <c r="AM1667" s="28"/>
    </row>
    <row r="1668" spans="39:39" ht="18" customHeight="1" x14ac:dyDescent="0.25">
      <c r="AM1668" s="28"/>
    </row>
    <row r="1669" spans="39:39" ht="18" customHeight="1" x14ac:dyDescent="0.25">
      <c r="AM1669" s="28"/>
    </row>
    <row r="1670" spans="39:39" ht="18" customHeight="1" x14ac:dyDescent="0.25">
      <c r="AM1670" s="28"/>
    </row>
    <row r="1671" spans="39:39" ht="18" customHeight="1" x14ac:dyDescent="0.25">
      <c r="AM1671" s="28"/>
    </row>
    <row r="1672" spans="39:39" ht="18" customHeight="1" x14ac:dyDescent="0.25">
      <c r="AM1672" s="28"/>
    </row>
    <row r="1673" spans="39:39" ht="18" customHeight="1" x14ac:dyDescent="0.25">
      <c r="AM1673" s="28"/>
    </row>
    <row r="1674" spans="39:39" ht="18" customHeight="1" x14ac:dyDescent="0.25">
      <c r="AM1674" s="28"/>
    </row>
    <row r="1675" spans="39:39" ht="18" customHeight="1" x14ac:dyDescent="0.25">
      <c r="AM1675" s="28"/>
    </row>
    <row r="1676" spans="39:39" ht="18" customHeight="1" x14ac:dyDescent="0.25">
      <c r="AM1676" s="28"/>
    </row>
    <row r="1677" spans="39:39" ht="18" customHeight="1" x14ac:dyDescent="0.25">
      <c r="AM1677" s="28"/>
    </row>
    <row r="1678" spans="39:39" ht="18" customHeight="1" x14ac:dyDescent="0.25">
      <c r="AM1678" s="28"/>
    </row>
    <row r="1679" spans="39:39" ht="18" customHeight="1" x14ac:dyDescent="0.25">
      <c r="AM1679" s="28"/>
    </row>
    <row r="1680" spans="39:39" ht="18" customHeight="1" x14ac:dyDescent="0.25">
      <c r="AM1680" s="28"/>
    </row>
    <row r="1681" spans="39:39" ht="18" customHeight="1" x14ac:dyDescent="0.25">
      <c r="AM1681" s="28"/>
    </row>
    <row r="1682" spans="39:39" ht="18" customHeight="1" x14ac:dyDescent="0.25">
      <c r="AM1682" s="28"/>
    </row>
    <row r="1683" spans="39:39" ht="18" customHeight="1" x14ac:dyDescent="0.25">
      <c r="AM1683" s="28"/>
    </row>
    <row r="1684" spans="39:39" ht="18" customHeight="1" x14ac:dyDescent="0.25">
      <c r="AM1684" s="28"/>
    </row>
    <row r="1685" spans="39:39" ht="18" customHeight="1" x14ac:dyDescent="0.25">
      <c r="AM1685" s="28"/>
    </row>
    <row r="1686" spans="39:39" ht="18" customHeight="1" x14ac:dyDescent="0.25">
      <c r="AM1686" s="28"/>
    </row>
    <row r="1687" spans="39:39" ht="18" customHeight="1" x14ac:dyDescent="0.25">
      <c r="AM1687" s="28"/>
    </row>
    <row r="1688" spans="39:39" ht="18" customHeight="1" x14ac:dyDescent="0.25">
      <c r="AM1688" s="28"/>
    </row>
    <row r="1689" spans="39:39" ht="18" customHeight="1" x14ac:dyDescent="0.25">
      <c r="AM1689" s="28"/>
    </row>
    <row r="1690" spans="39:39" ht="18" customHeight="1" x14ac:dyDescent="0.25">
      <c r="AM1690" s="28"/>
    </row>
    <row r="1691" spans="39:39" ht="18" customHeight="1" x14ac:dyDescent="0.25">
      <c r="AM1691" s="28"/>
    </row>
    <row r="1692" spans="39:39" ht="18" customHeight="1" x14ac:dyDescent="0.25">
      <c r="AM1692" s="28"/>
    </row>
    <row r="1693" spans="39:39" ht="18" customHeight="1" x14ac:dyDescent="0.25">
      <c r="AM1693" s="28"/>
    </row>
    <row r="1694" spans="39:39" ht="18" customHeight="1" x14ac:dyDescent="0.25">
      <c r="AM1694" s="28"/>
    </row>
    <row r="1695" spans="39:39" ht="18" customHeight="1" x14ac:dyDescent="0.25">
      <c r="AM1695" s="28"/>
    </row>
    <row r="1696" spans="39:39" ht="18" customHeight="1" x14ac:dyDescent="0.25">
      <c r="AM1696" s="28"/>
    </row>
    <row r="1697" spans="39:39" ht="18" customHeight="1" x14ac:dyDescent="0.25">
      <c r="AM1697" s="28"/>
    </row>
    <row r="1698" spans="39:39" ht="18" customHeight="1" x14ac:dyDescent="0.25">
      <c r="AM1698" s="28"/>
    </row>
    <row r="1699" spans="39:39" ht="18" customHeight="1" x14ac:dyDescent="0.25">
      <c r="AM1699" s="28"/>
    </row>
    <row r="1700" spans="39:39" ht="18" customHeight="1" x14ac:dyDescent="0.25">
      <c r="AM1700" s="28"/>
    </row>
    <row r="1701" spans="39:39" ht="18" customHeight="1" x14ac:dyDescent="0.25">
      <c r="AM1701" s="28"/>
    </row>
    <row r="1702" spans="39:39" ht="18" customHeight="1" x14ac:dyDescent="0.25">
      <c r="AM1702" s="28"/>
    </row>
    <row r="1703" spans="39:39" ht="18" customHeight="1" x14ac:dyDescent="0.25">
      <c r="AM1703" s="28"/>
    </row>
    <row r="1704" spans="39:39" ht="18" customHeight="1" x14ac:dyDescent="0.25">
      <c r="AM1704" s="28"/>
    </row>
    <row r="1705" spans="39:39" ht="18" customHeight="1" x14ac:dyDescent="0.25">
      <c r="AM1705" s="28"/>
    </row>
    <row r="1706" spans="39:39" ht="18" customHeight="1" x14ac:dyDescent="0.25">
      <c r="AM1706" s="28"/>
    </row>
    <row r="1707" spans="39:39" ht="18" customHeight="1" x14ac:dyDescent="0.25">
      <c r="AM1707" s="28"/>
    </row>
    <row r="1708" spans="39:39" ht="18" customHeight="1" x14ac:dyDescent="0.25">
      <c r="AM1708" s="28"/>
    </row>
    <row r="1709" spans="39:39" ht="18" customHeight="1" x14ac:dyDescent="0.25">
      <c r="AM1709" s="28"/>
    </row>
    <row r="1710" spans="39:39" ht="18" customHeight="1" x14ac:dyDescent="0.25">
      <c r="AM1710" s="28"/>
    </row>
    <row r="1711" spans="39:39" ht="18" customHeight="1" x14ac:dyDescent="0.25">
      <c r="AM1711" s="28"/>
    </row>
    <row r="1712" spans="39:39" ht="18" customHeight="1" x14ac:dyDescent="0.25">
      <c r="AM1712" s="28"/>
    </row>
    <row r="1713" spans="39:39" ht="18" customHeight="1" x14ac:dyDescent="0.25">
      <c r="AM1713" s="28"/>
    </row>
    <row r="1714" spans="39:39" ht="18" customHeight="1" x14ac:dyDescent="0.25">
      <c r="AM1714" s="28"/>
    </row>
    <row r="1715" spans="39:39" ht="18" customHeight="1" x14ac:dyDescent="0.25">
      <c r="AM1715" s="28"/>
    </row>
    <row r="1716" spans="39:39" ht="18" customHeight="1" x14ac:dyDescent="0.25">
      <c r="AM1716" s="28"/>
    </row>
    <row r="1717" spans="39:39" ht="18" customHeight="1" x14ac:dyDescent="0.25">
      <c r="AM1717" s="28"/>
    </row>
    <row r="1718" spans="39:39" ht="18" customHeight="1" x14ac:dyDescent="0.25">
      <c r="AM1718" s="28"/>
    </row>
    <row r="1719" spans="39:39" ht="18" customHeight="1" x14ac:dyDescent="0.25">
      <c r="AM1719" s="28"/>
    </row>
    <row r="1720" spans="39:39" ht="18" customHeight="1" x14ac:dyDescent="0.25">
      <c r="AM1720" s="28"/>
    </row>
    <row r="1721" spans="39:39" ht="18" customHeight="1" x14ac:dyDescent="0.25">
      <c r="AM1721" s="28"/>
    </row>
    <row r="1722" spans="39:39" ht="18" customHeight="1" x14ac:dyDescent="0.25">
      <c r="AM1722" s="28"/>
    </row>
    <row r="1723" spans="39:39" ht="18" customHeight="1" x14ac:dyDescent="0.25">
      <c r="AM1723" s="28"/>
    </row>
    <row r="1724" spans="39:39" ht="18" customHeight="1" x14ac:dyDescent="0.25">
      <c r="AM1724" s="28"/>
    </row>
    <row r="1725" spans="39:39" ht="18" customHeight="1" x14ac:dyDescent="0.25">
      <c r="AM1725" s="28"/>
    </row>
    <row r="1726" spans="39:39" ht="18" customHeight="1" x14ac:dyDescent="0.25">
      <c r="AM1726" s="28"/>
    </row>
    <row r="1727" spans="39:39" ht="18" customHeight="1" x14ac:dyDescent="0.25">
      <c r="AM1727" s="28"/>
    </row>
    <row r="1728" spans="39:39" ht="18" customHeight="1" x14ac:dyDescent="0.25">
      <c r="AM1728" s="28"/>
    </row>
    <row r="1729" spans="39:39" ht="18" customHeight="1" x14ac:dyDescent="0.25">
      <c r="AM1729" s="28"/>
    </row>
    <row r="1730" spans="39:39" ht="18" customHeight="1" x14ac:dyDescent="0.25">
      <c r="AM1730" s="28"/>
    </row>
    <row r="1731" spans="39:39" ht="18" customHeight="1" x14ac:dyDescent="0.25">
      <c r="AM1731" s="28"/>
    </row>
    <row r="1732" spans="39:39" ht="18" customHeight="1" x14ac:dyDescent="0.25">
      <c r="AM1732" s="28"/>
    </row>
    <row r="1733" spans="39:39" ht="18" customHeight="1" x14ac:dyDescent="0.25">
      <c r="AM1733" s="28"/>
    </row>
    <row r="1734" spans="39:39" ht="18" customHeight="1" x14ac:dyDescent="0.25">
      <c r="AM1734" s="28"/>
    </row>
    <row r="1735" spans="39:39" ht="18" customHeight="1" x14ac:dyDescent="0.25">
      <c r="AM1735" s="28"/>
    </row>
    <row r="1736" spans="39:39" ht="18" customHeight="1" x14ac:dyDescent="0.25">
      <c r="AM1736" s="28"/>
    </row>
    <row r="1737" spans="39:39" ht="18" customHeight="1" x14ac:dyDescent="0.25">
      <c r="AM1737" s="28"/>
    </row>
    <row r="1738" spans="39:39" ht="18" customHeight="1" x14ac:dyDescent="0.25">
      <c r="AM1738" s="28"/>
    </row>
    <row r="1739" spans="39:39" ht="18" customHeight="1" x14ac:dyDescent="0.25">
      <c r="AM1739" s="28"/>
    </row>
    <row r="1740" spans="39:39" ht="18" customHeight="1" x14ac:dyDescent="0.25">
      <c r="AM1740" s="28"/>
    </row>
    <row r="1741" spans="39:39" ht="18" customHeight="1" x14ac:dyDescent="0.25">
      <c r="AM1741" s="28"/>
    </row>
    <row r="1742" spans="39:39" ht="18" customHeight="1" x14ac:dyDescent="0.25">
      <c r="AM1742" s="28"/>
    </row>
    <row r="1743" spans="39:39" ht="18" customHeight="1" x14ac:dyDescent="0.25">
      <c r="AM1743" s="28"/>
    </row>
    <row r="1744" spans="39:39" ht="18" customHeight="1" x14ac:dyDescent="0.25">
      <c r="AM1744" s="28"/>
    </row>
    <row r="1745" spans="39:39" ht="18" customHeight="1" x14ac:dyDescent="0.25">
      <c r="AM1745" s="28"/>
    </row>
    <row r="1746" spans="39:39" ht="18" customHeight="1" x14ac:dyDescent="0.25">
      <c r="AM1746" s="28"/>
    </row>
    <row r="1747" spans="39:39" ht="18" customHeight="1" x14ac:dyDescent="0.25">
      <c r="AM1747" s="28"/>
    </row>
    <row r="1748" spans="39:39" ht="18" customHeight="1" x14ac:dyDescent="0.25">
      <c r="AM1748" s="28"/>
    </row>
    <row r="1749" spans="39:39" ht="18" customHeight="1" x14ac:dyDescent="0.25">
      <c r="AM1749" s="28"/>
    </row>
    <row r="1750" spans="39:39" ht="18" customHeight="1" x14ac:dyDescent="0.25">
      <c r="AM1750" s="28"/>
    </row>
    <row r="1751" spans="39:39" ht="18" customHeight="1" x14ac:dyDescent="0.25">
      <c r="AM1751" s="28"/>
    </row>
    <row r="1752" spans="39:39" ht="18" customHeight="1" x14ac:dyDescent="0.25">
      <c r="AM1752" s="28"/>
    </row>
    <row r="1753" spans="39:39" ht="18" customHeight="1" x14ac:dyDescent="0.25">
      <c r="AM1753" s="28"/>
    </row>
    <row r="1754" spans="39:39" ht="18" customHeight="1" x14ac:dyDescent="0.25">
      <c r="AM1754" s="28"/>
    </row>
    <row r="1755" spans="39:39" ht="18" customHeight="1" x14ac:dyDescent="0.25">
      <c r="AM1755" s="28"/>
    </row>
    <row r="1756" spans="39:39" ht="18" customHeight="1" x14ac:dyDescent="0.25">
      <c r="AM1756" s="28"/>
    </row>
    <row r="1757" spans="39:39" ht="18" customHeight="1" x14ac:dyDescent="0.25">
      <c r="AM1757" s="28"/>
    </row>
    <row r="1758" spans="39:39" ht="18" customHeight="1" x14ac:dyDescent="0.25">
      <c r="AM1758" s="28"/>
    </row>
    <row r="1759" spans="39:39" ht="18" customHeight="1" x14ac:dyDescent="0.25">
      <c r="AM1759" s="28"/>
    </row>
    <row r="1760" spans="39:39" ht="18" customHeight="1" x14ac:dyDescent="0.25">
      <c r="AM1760" s="28"/>
    </row>
    <row r="1761" spans="39:39" ht="18" customHeight="1" x14ac:dyDescent="0.25">
      <c r="AM1761" s="28"/>
    </row>
    <row r="1762" spans="39:39" ht="18" customHeight="1" x14ac:dyDescent="0.25">
      <c r="AM1762" s="28"/>
    </row>
    <row r="1763" spans="39:39" ht="18" customHeight="1" x14ac:dyDescent="0.25">
      <c r="AM1763" s="28"/>
    </row>
    <row r="1764" spans="39:39" ht="18" customHeight="1" x14ac:dyDescent="0.25">
      <c r="AM1764" s="28"/>
    </row>
    <row r="1765" spans="39:39" ht="18" customHeight="1" x14ac:dyDescent="0.25">
      <c r="AM1765" s="28"/>
    </row>
    <row r="1766" spans="39:39" ht="18" customHeight="1" x14ac:dyDescent="0.25">
      <c r="AM1766" s="28"/>
    </row>
    <row r="1767" spans="39:39" ht="18" customHeight="1" x14ac:dyDescent="0.25">
      <c r="AM1767" s="28"/>
    </row>
    <row r="1768" spans="39:39" ht="18" customHeight="1" x14ac:dyDescent="0.25">
      <c r="AM1768" s="28"/>
    </row>
    <row r="1769" spans="39:39" ht="18" customHeight="1" x14ac:dyDescent="0.25">
      <c r="AM1769" s="28"/>
    </row>
    <row r="1770" spans="39:39" ht="18" customHeight="1" x14ac:dyDescent="0.25">
      <c r="AM1770" s="28"/>
    </row>
    <row r="1771" spans="39:39" ht="18" customHeight="1" x14ac:dyDescent="0.25">
      <c r="AM1771" s="28"/>
    </row>
    <row r="1772" spans="39:39" ht="18" customHeight="1" x14ac:dyDescent="0.25">
      <c r="AM1772" s="28"/>
    </row>
    <row r="1773" spans="39:39" ht="18" customHeight="1" x14ac:dyDescent="0.25">
      <c r="AM1773" s="28"/>
    </row>
    <row r="1774" spans="39:39" ht="18" customHeight="1" x14ac:dyDescent="0.25">
      <c r="AM1774" s="28"/>
    </row>
    <row r="1775" spans="39:39" ht="18" customHeight="1" x14ac:dyDescent="0.25">
      <c r="AM1775" s="28"/>
    </row>
    <row r="1776" spans="39:39" ht="18" customHeight="1" x14ac:dyDescent="0.25">
      <c r="AM1776" s="28"/>
    </row>
    <row r="1777" spans="39:39" ht="18" customHeight="1" x14ac:dyDescent="0.25">
      <c r="AM1777" s="28"/>
    </row>
    <row r="1778" spans="39:39" ht="18" customHeight="1" x14ac:dyDescent="0.25">
      <c r="AM1778" s="28"/>
    </row>
    <row r="1779" spans="39:39" ht="18" customHeight="1" x14ac:dyDescent="0.25">
      <c r="AM1779" s="28"/>
    </row>
    <row r="1780" spans="39:39" ht="18" customHeight="1" x14ac:dyDescent="0.25">
      <c r="AM1780" s="28"/>
    </row>
    <row r="1781" spans="39:39" ht="18" customHeight="1" x14ac:dyDescent="0.25">
      <c r="AM1781" s="28"/>
    </row>
    <row r="1782" spans="39:39" ht="18" customHeight="1" x14ac:dyDescent="0.25">
      <c r="AM1782" s="28"/>
    </row>
    <row r="1783" spans="39:39" ht="18" customHeight="1" x14ac:dyDescent="0.25">
      <c r="AM1783" s="28"/>
    </row>
    <row r="1784" spans="39:39" ht="18" customHeight="1" x14ac:dyDescent="0.25">
      <c r="AM1784" s="28"/>
    </row>
    <row r="1785" spans="39:39" ht="18" customHeight="1" x14ac:dyDescent="0.25">
      <c r="AM1785" s="28"/>
    </row>
    <row r="1786" spans="39:39" ht="18" customHeight="1" x14ac:dyDescent="0.25">
      <c r="AM1786" s="28"/>
    </row>
    <row r="1787" spans="39:39" ht="18" customHeight="1" x14ac:dyDescent="0.25">
      <c r="AM1787" s="28"/>
    </row>
    <row r="1788" spans="39:39" ht="18" customHeight="1" x14ac:dyDescent="0.25">
      <c r="AM1788" s="28"/>
    </row>
    <row r="1789" spans="39:39" ht="18" customHeight="1" x14ac:dyDescent="0.25">
      <c r="AM1789" s="28"/>
    </row>
    <row r="1790" spans="39:39" ht="18" customHeight="1" x14ac:dyDescent="0.25">
      <c r="AM1790" s="28"/>
    </row>
    <row r="1791" spans="39:39" ht="18" customHeight="1" x14ac:dyDescent="0.25">
      <c r="AM1791" s="28"/>
    </row>
    <row r="1792" spans="39:39" ht="18" customHeight="1" x14ac:dyDescent="0.25">
      <c r="AM1792" s="28"/>
    </row>
    <row r="1793" spans="39:39" ht="18" customHeight="1" x14ac:dyDescent="0.25">
      <c r="AM1793" s="28"/>
    </row>
    <row r="1794" spans="39:39" ht="18" customHeight="1" x14ac:dyDescent="0.25">
      <c r="AM1794" s="28"/>
    </row>
    <row r="1795" spans="39:39" ht="18" customHeight="1" x14ac:dyDescent="0.25">
      <c r="AM1795" s="28"/>
    </row>
    <row r="1796" spans="39:39" ht="18" customHeight="1" x14ac:dyDescent="0.25">
      <c r="AM1796" s="28"/>
    </row>
    <row r="1797" spans="39:39" ht="18" customHeight="1" x14ac:dyDescent="0.25">
      <c r="AM1797" s="28"/>
    </row>
    <row r="1798" spans="39:39" ht="18" customHeight="1" x14ac:dyDescent="0.25">
      <c r="AM1798" s="28"/>
    </row>
    <row r="1799" spans="39:39" ht="18" customHeight="1" x14ac:dyDescent="0.25">
      <c r="AM1799" s="28"/>
    </row>
    <row r="1800" spans="39:39" ht="18" customHeight="1" x14ac:dyDescent="0.25">
      <c r="AM1800" s="28"/>
    </row>
    <row r="1801" spans="39:39" ht="18" customHeight="1" x14ac:dyDescent="0.25">
      <c r="AM1801" s="28"/>
    </row>
    <row r="1802" spans="39:39" ht="18" customHeight="1" x14ac:dyDescent="0.25">
      <c r="AM1802" s="28"/>
    </row>
    <row r="1803" spans="39:39" ht="18" customHeight="1" x14ac:dyDescent="0.25">
      <c r="AM1803" s="28"/>
    </row>
    <row r="1804" spans="39:39" ht="18" customHeight="1" x14ac:dyDescent="0.25">
      <c r="AM1804" s="28"/>
    </row>
    <row r="1805" spans="39:39" ht="18" customHeight="1" x14ac:dyDescent="0.25">
      <c r="AM1805" s="28"/>
    </row>
    <row r="1806" spans="39:39" ht="18" customHeight="1" x14ac:dyDescent="0.25">
      <c r="AM1806" s="28"/>
    </row>
    <row r="1807" spans="39:39" ht="18" customHeight="1" x14ac:dyDescent="0.25">
      <c r="AM1807" s="28"/>
    </row>
    <row r="1808" spans="39:39" ht="18" customHeight="1" x14ac:dyDescent="0.25">
      <c r="AM1808" s="28"/>
    </row>
    <row r="1809" spans="39:39" ht="18" customHeight="1" x14ac:dyDescent="0.25">
      <c r="AM1809" s="28"/>
    </row>
    <row r="1810" spans="39:39" ht="18" customHeight="1" x14ac:dyDescent="0.25">
      <c r="AM1810" s="28"/>
    </row>
    <row r="1811" spans="39:39" ht="18" customHeight="1" x14ac:dyDescent="0.25">
      <c r="AM1811" s="28"/>
    </row>
    <row r="1812" spans="39:39" ht="18" customHeight="1" x14ac:dyDescent="0.25">
      <c r="AM1812" s="28"/>
    </row>
    <row r="1813" spans="39:39" ht="18" customHeight="1" x14ac:dyDescent="0.25">
      <c r="AM1813" s="28"/>
    </row>
    <row r="1814" spans="39:39" ht="18" customHeight="1" x14ac:dyDescent="0.25">
      <c r="AM1814" s="28"/>
    </row>
    <row r="1815" spans="39:39" ht="18" customHeight="1" x14ac:dyDescent="0.25">
      <c r="AM1815" s="28"/>
    </row>
    <row r="1816" spans="39:39" ht="18" customHeight="1" x14ac:dyDescent="0.25">
      <c r="AM1816" s="28"/>
    </row>
    <row r="1817" spans="39:39" ht="18" customHeight="1" x14ac:dyDescent="0.25">
      <c r="AM1817" s="28"/>
    </row>
    <row r="1818" spans="39:39" ht="18" customHeight="1" x14ac:dyDescent="0.25">
      <c r="AM1818" s="28"/>
    </row>
    <row r="1819" spans="39:39" ht="18" customHeight="1" x14ac:dyDescent="0.25">
      <c r="AM1819" s="28"/>
    </row>
    <row r="1820" spans="39:39" ht="18" customHeight="1" x14ac:dyDescent="0.25">
      <c r="AM1820" s="28"/>
    </row>
    <row r="1821" spans="39:39" ht="18" customHeight="1" x14ac:dyDescent="0.25">
      <c r="AM1821" s="28"/>
    </row>
    <row r="1822" spans="39:39" ht="18" customHeight="1" x14ac:dyDescent="0.25">
      <c r="AM1822" s="28"/>
    </row>
    <row r="1823" spans="39:39" ht="18" customHeight="1" x14ac:dyDescent="0.25">
      <c r="AM1823" s="28"/>
    </row>
    <row r="1824" spans="39:39" ht="18" customHeight="1" x14ac:dyDescent="0.25">
      <c r="AM1824" s="28"/>
    </row>
    <row r="1825" spans="39:39" ht="18" customHeight="1" x14ac:dyDescent="0.25">
      <c r="AM1825" s="28"/>
    </row>
    <row r="1826" spans="39:39" ht="18" customHeight="1" x14ac:dyDescent="0.25">
      <c r="AM1826" s="28"/>
    </row>
    <row r="1827" spans="39:39" ht="18" customHeight="1" x14ac:dyDescent="0.25">
      <c r="AM1827" s="28"/>
    </row>
    <row r="1828" spans="39:39" ht="18" customHeight="1" x14ac:dyDescent="0.25">
      <c r="AM1828" s="28"/>
    </row>
    <row r="1829" spans="39:39" ht="18" customHeight="1" x14ac:dyDescent="0.25">
      <c r="AM1829" s="28"/>
    </row>
    <row r="1830" spans="39:39" ht="18" customHeight="1" x14ac:dyDescent="0.25">
      <c r="AM1830" s="28"/>
    </row>
    <row r="1831" spans="39:39" ht="18" customHeight="1" x14ac:dyDescent="0.25">
      <c r="AM1831" s="28"/>
    </row>
    <row r="1832" spans="39:39" ht="18" customHeight="1" x14ac:dyDescent="0.25">
      <c r="AM1832" s="28"/>
    </row>
    <row r="1833" spans="39:39" ht="18" customHeight="1" x14ac:dyDescent="0.25">
      <c r="AM1833" s="28"/>
    </row>
    <row r="1834" spans="39:39" ht="18" customHeight="1" x14ac:dyDescent="0.25">
      <c r="AM1834" s="28"/>
    </row>
    <row r="1835" spans="39:39" ht="18" customHeight="1" x14ac:dyDescent="0.25">
      <c r="AM1835" s="28"/>
    </row>
    <row r="1836" spans="39:39" ht="18" customHeight="1" x14ac:dyDescent="0.25">
      <c r="AM1836" s="28"/>
    </row>
    <row r="1837" spans="39:39" ht="18" customHeight="1" x14ac:dyDescent="0.25">
      <c r="AM1837" s="28"/>
    </row>
    <row r="1838" spans="39:39" ht="18" customHeight="1" x14ac:dyDescent="0.25">
      <c r="AM1838" s="28"/>
    </row>
    <row r="1839" spans="39:39" ht="18" customHeight="1" x14ac:dyDescent="0.25">
      <c r="AM1839" s="28"/>
    </row>
    <row r="1840" spans="39:39" ht="18" customHeight="1" x14ac:dyDescent="0.25">
      <c r="AM1840" s="28"/>
    </row>
    <row r="1841" spans="39:39" ht="18" customHeight="1" x14ac:dyDescent="0.25">
      <c r="AM1841" s="28"/>
    </row>
    <row r="1842" spans="39:39" ht="18" customHeight="1" x14ac:dyDescent="0.25">
      <c r="AM1842" s="28"/>
    </row>
    <row r="1843" spans="39:39" ht="18" customHeight="1" x14ac:dyDescent="0.25">
      <c r="AM1843" s="28"/>
    </row>
    <row r="1844" spans="39:39" ht="18" customHeight="1" x14ac:dyDescent="0.25">
      <c r="AM1844" s="28"/>
    </row>
    <row r="1845" spans="39:39" ht="18" customHeight="1" x14ac:dyDescent="0.25">
      <c r="AM1845" s="28"/>
    </row>
    <row r="1846" spans="39:39" ht="18" customHeight="1" x14ac:dyDescent="0.25">
      <c r="AM1846" s="28"/>
    </row>
    <row r="1847" spans="39:39" ht="18" customHeight="1" x14ac:dyDescent="0.25">
      <c r="AM1847" s="28"/>
    </row>
    <row r="1848" spans="39:39" ht="18" customHeight="1" x14ac:dyDescent="0.25">
      <c r="AM1848" s="28"/>
    </row>
    <row r="1849" spans="39:39" ht="18" customHeight="1" x14ac:dyDescent="0.25">
      <c r="AM1849" s="28"/>
    </row>
    <row r="1850" spans="39:39" ht="18" customHeight="1" x14ac:dyDescent="0.25">
      <c r="AM1850" s="28"/>
    </row>
    <row r="1851" spans="39:39" ht="18" customHeight="1" x14ac:dyDescent="0.25">
      <c r="AM1851" s="28"/>
    </row>
    <row r="1852" spans="39:39" ht="18" customHeight="1" x14ac:dyDescent="0.25">
      <c r="AM1852" s="28"/>
    </row>
    <row r="1853" spans="39:39" ht="18" customHeight="1" x14ac:dyDescent="0.25">
      <c r="AM1853" s="28"/>
    </row>
    <row r="1854" spans="39:39" ht="18" customHeight="1" x14ac:dyDescent="0.25">
      <c r="AM1854" s="28"/>
    </row>
    <row r="1855" spans="39:39" ht="18" customHeight="1" x14ac:dyDescent="0.25">
      <c r="AM1855" s="28"/>
    </row>
    <row r="1856" spans="39:39" ht="18" customHeight="1" x14ac:dyDescent="0.25">
      <c r="AM1856" s="28"/>
    </row>
    <row r="1857" spans="39:39" ht="18" customHeight="1" x14ac:dyDescent="0.25">
      <c r="AM1857" s="28"/>
    </row>
    <row r="1858" spans="39:39" ht="18" customHeight="1" x14ac:dyDescent="0.25">
      <c r="AM1858" s="28"/>
    </row>
    <row r="1859" spans="39:39" ht="18" customHeight="1" x14ac:dyDescent="0.25">
      <c r="AM1859" s="28"/>
    </row>
    <row r="1860" spans="39:39" ht="18" customHeight="1" x14ac:dyDescent="0.25">
      <c r="AM1860" s="28"/>
    </row>
    <row r="1861" spans="39:39" ht="18" customHeight="1" x14ac:dyDescent="0.25">
      <c r="AM1861" s="28"/>
    </row>
    <row r="1862" spans="39:39" ht="18" customHeight="1" x14ac:dyDescent="0.25">
      <c r="AM1862" s="28"/>
    </row>
    <row r="1863" spans="39:39" ht="18" customHeight="1" x14ac:dyDescent="0.25">
      <c r="AM1863" s="28"/>
    </row>
    <row r="1864" spans="39:39" ht="18" customHeight="1" x14ac:dyDescent="0.25">
      <c r="AM1864" s="28"/>
    </row>
    <row r="1865" spans="39:39" ht="18" customHeight="1" x14ac:dyDescent="0.25">
      <c r="AM1865" s="28"/>
    </row>
    <row r="1866" spans="39:39" ht="18" customHeight="1" x14ac:dyDescent="0.25">
      <c r="AM1866" s="28"/>
    </row>
    <row r="1867" spans="39:39" ht="18" customHeight="1" x14ac:dyDescent="0.25">
      <c r="AM1867" s="28"/>
    </row>
    <row r="1868" spans="39:39" ht="18" customHeight="1" x14ac:dyDescent="0.25">
      <c r="AM1868" s="28"/>
    </row>
    <row r="1869" spans="39:39" ht="18" customHeight="1" x14ac:dyDescent="0.25">
      <c r="AM1869" s="28"/>
    </row>
    <row r="1870" spans="39:39" ht="18" customHeight="1" x14ac:dyDescent="0.25">
      <c r="AM1870" s="28"/>
    </row>
    <row r="1871" spans="39:39" ht="18" customHeight="1" x14ac:dyDescent="0.25">
      <c r="AM1871" s="28"/>
    </row>
    <row r="1872" spans="39:39" ht="18" customHeight="1" x14ac:dyDescent="0.25">
      <c r="AM1872" s="28"/>
    </row>
    <row r="1873" spans="39:39" ht="18" customHeight="1" x14ac:dyDescent="0.25">
      <c r="AM1873" s="28"/>
    </row>
    <row r="1874" spans="39:39" ht="18" customHeight="1" x14ac:dyDescent="0.25">
      <c r="AM1874" s="28"/>
    </row>
    <row r="1875" spans="39:39" ht="18" customHeight="1" x14ac:dyDescent="0.25">
      <c r="AM1875" s="28"/>
    </row>
    <row r="1876" spans="39:39" ht="18" customHeight="1" x14ac:dyDescent="0.25">
      <c r="AM1876" s="28"/>
    </row>
    <row r="1877" spans="39:39" ht="18" customHeight="1" x14ac:dyDescent="0.25">
      <c r="AM1877" s="28"/>
    </row>
    <row r="1878" spans="39:39" ht="18" customHeight="1" x14ac:dyDescent="0.25">
      <c r="AM1878" s="28"/>
    </row>
    <row r="1879" spans="39:39" ht="18" customHeight="1" x14ac:dyDescent="0.25">
      <c r="AM1879" s="28"/>
    </row>
    <row r="1880" spans="39:39" ht="18" customHeight="1" x14ac:dyDescent="0.25">
      <c r="AM1880" s="28"/>
    </row>
    <row r="1881" spans="39:39" ht="18" customHeight="1" x14ac:dyDescent="0.25">
      <c r="AM1881" s="28"/>
    </row>
    <row r="1882" spans="39:39" ht="18" customHeight="1" x14ac:dyDescent="0.25">
      <c r="AM1882" s="28"/>
    </row>
    <row r="1883" spans="39:39" ht="18" customHeight="1" x14ac:dyDescent="0.25">
      <c r="AM1883" s="28"/>
    </row>
    <row r="1884" spans="39:39" ht="18" customHeight="1" x14ac:dyDescent="0.25">
      <c r="AM1884" s="28"/>
    </row>
    <row r="1885" spans="39:39" ht="18" customHeight="1" x14ac:dyDescent="0.25">
      <c r="AM1885" s="28"/>
    </row>
    <row r="1886" spans="39:39" ht="18" customHeight="1" x14ac:dyDescent="0.25">
      <c r="AM1886" s="28"/>
    </row>
    <row r="1887" spans="39:39" ht="18" customHeight="1" x14ac:dyDescent="0.25">
      <c r="AM1887" s="28"/>
    </row>
    <row r="1888" spans="39:39" ht="18" customHeight="1" x14ac:dyDescent="0.25">
      <c r="AM1888" s="28"/>
    </row>
    <row r="1889" spans="39:39" ht="18" customHeight="1" x14ac:dyDescent="0.25">
      <c r="AM1889" s="28"/>
    </row>
    <row r="1890" spans="39:39" ht="18" customHeight="1" x14ac:dyDescent="0.25">
      <c r="AM1890" s="28"/>
    </row>
    <row r="1891" spans="39:39" ht="18" customHeight="1" x14ac:dyDescent="0.25">
      <c r="AM1891" s="28"/>
    </row>
    <row r="1892" spans="39:39" ht="18" customHeight="1" x14ac:dyDescent="0.25">
      <c r="AM1892" s="28"/>
    </row>
    <row r="1893" spans="39:39" ht="18" customHeight="1" x14ac:dyDescent="0.25">
      <c r="AM1893" s="28"/>
    </row>
    <row r="1894" spans="39:39" ht="18" customHeight="1" x14ac:dyDescent="0.25">
      <c r="AM1894" s="28"/>
    </row>
    <row r="1895" spans="39:39" ht="18" customHeight="1" x14ac:dyDescent="0.25">
      <c r="AM1895" s="28"/>
    </row>
    <row r="1896" spans="39:39" ht="18" customHeight="1" x14ac:dyDescent="0.25">
      <c r="AM1896" s="28"/>
    </row>
    <row r="1897" spans="39:39" ht="18" customHeight="1" x14ac:dyDescent="0.25">
      <c r="AM1897" s="28"/>
    </row>
    <row r="1898" spans="39:39" ht="18" customHeight="1" x14ac:dyDescent="0.25">
      <c r="AM1898" s="28"/>
    </row>
    <row r="1899" spans="39:39" ht="18" customHeight="1" x14ac:dyDescent="0.25">
      <c r="AM1899" s="28"/>
    </row>
    <row r="1900" spans="39:39" ht="18" customHeight="1" x14ac:dyDescent="0.25">
      <c r="AM1900" s="28"/>
    </row>
    <row r="1901" spans="39:39" ht="18" customHeight="1" x14ac:dyDescent="0.25">
      <c r="AM1901" s="28"/>
    </row>
    <row r="1902" spans="39:39" ht="18" customHeight="1" x14ac:dyDescent="0.25">
      <c r="AM1902" s="28"/>
    </row>
    <row r="1903" spans="39:39" ht="18" customHeight="1" x14ac:dyDescent="0.25">
      <c r="AM1903" s="28"/>
    </row>
    <row r="1904" spans="39:39" ht="18" customHeight="1" x14ac:dyDescent="0.25">
      <c r="AM1904" s="28"/>
    </row>
    <row r="1905" spans="39:39" ht="18" customHeight="1" x14ac:dyDescent="0.25">
      <c r="AM1905" s="28"/>
    </row>
    <row r="1906" spans="39:39" ht="18" customHeight="1" x14ac:dyDescent="0.25">
      <c r="AM1906" s="28"/>
    </row>
    <row r="1907" spans="39:39" ht="18" customHeight="1" x14ac:dyDescent="0.25">
      <c r="AM1907" s="28"/>
    </row>
    <row r="1908" spans="39:39" ht="18" customHeight="1" x14ac:dyDescent="0.25">
      <c r="AM1908" s="28"/>
    </row>
    <row r="1909" spans="39:39" ht="18" customHeight="1" x14ac:dyDescent="0.25">
      <c r="AM1909" s="28"/>
    </row>
    <row r="1910" spans="39:39" ht="18" customHeight="1" x14ac:dyDescent="0.25">
      <c r="AM1910" s="28"/>
    </row>
    <row r="1911" spans="39:39" ht="18" customHeight="1" x14ac:dyDescent="0.25">
      <c r="AM1911" s="28"/>
    </row>
    <row r="1912" spans="39:39" ht="18" customHeight="1" x14ac:dyDescent="0.25">
      <c r="AM1912" s="28"/>
    </row>
    <row r="1913" spans="39:39" ht="18" customHeight="1" x14ac:dyDescent="0.25">
      <c r="AM1913" s="28"/>
    </row>
    <row r="1914" spans="39:39" ht="18" customHeight="1" x14ac:dyDescent="0.25">
      <c r="AM1914" s="28"/>
    </row>
    <row r="1915" spans="39:39" ht="18" customHeight="1" x14ac:dyDescent="0.25">
      <c r="AM1915" s="28"/>
    </row>
    <row r="1916" spans="39:39" ht="18" customHeight="1" x14ac:dyDescent="0.25">
      <c r="AM1916" s="28"/>
    </row>
    <row r="1917" spans="39:39" ht="18" customHeight="1" x14ac:dyDescent="0.25">
      <c r="AM1917" s="28"/>
    </row>
    <row r="1918" spans="39:39" ht="18" customHeight="1" x14ac:dyDescent="0.25">
      <c r="AM1918" s="28"/>
    </row>
    <row r="1919" spans="39:39" ht="18" customHeight="1" x14ac:dyDescent="0.25">
      <c r="AM1919" s="28"/>
    </row>
    <row r="1920" spans="39:39" ht="18" customHeight="1" x14ac:dyDescent="0.25">
      <c r="AM1920" s="28"/>
    </row>
    <row r="1921" spans="39:39" ht="18" customHeight="1" x14ac:dyDescent="0.25">
      <c r="AM1921" s="28"/>
    </row>
    <row r="1922" spans="39:39" ht="18" customHeight="1" x14ac:dyDescent="0.25">
      <c r="AM1922" s="28"/>
    </row>
    <row r="1923" spans="39:39" ht="18" customHeight="1" x14ac:dyDescent="0.25">
      <c r="AM1923" s="28"/>
    </row>
    <row r="1924" spans="39:39" ht="18" customHeight="1" x14ac:dyDescent="0.25">
      <c r="AM1924" s="28"/>
    </row>
    <row r="1925" spans="39:39" ht="18" customHeight="1" x14ac:dyDescent="0.25">
      <c r="AM1925" s="28"/>
    </row>
    <row r="1926" spans="39:39" ht="18" customHeight="1" x14ac:dyDescent="0.25">
      <c r="AM1926" s="28"/>
    </row>
    <row r="1927" spans="39:39" ht="18" customHeight="1" x14ac:dyDescent="0.25">
      <c r="AM1927" s="28"/>
    </row>
    <row r="1928" spans="39:39" ht="18" customHeight="1" x14ac:dyDescent="0.25">
      <c r="AM1928" s="28"/>
    </row>
    <row r="1929" spans="39:39" ht="18" customHeight="1" x14ac:dyDescent="0.25">
      <c r="AM1929" s="28"/>
    </row>
    <row r="1930" spans="39:39" ht="18" customHeight="1" x14ac:dyDescent="0.25">
      <c r="AM1930" s="28"/>
    </row>
    <row r="1931" spans="39:39" ht="18" customHeight="1" x14ac:dyDescent="0.25">
      <c r="AM1931" s="28"/>
    </row>
    <row r="1932" spans="39:39" ht="18" customHeight="1" x14ac:dyDescent="0.25">
      <c r="AM1932" s="28"/>
    </row>
    <row r="1933" spans="39:39" ht="18" customHeight="1" x14ac:dyDescent="0.25">
      <c r="AM1933" s="28"/>
    </row>
    <row r="1934" spans="39:39" ht="18" customHeight="1" x14ac:dyDescent="0.25">
      <c r="AM1934" s="28"/>
    </row>
    <row r="1935" spans="39:39" ht="18" customHeight="1" x14ac:dyDescent="0.25">
      <c r="AM1935" s="28"/>
    </row>
    <row r="1936" spans="39:39" ht="18" customHeight="1" x14ac:dyDescent="0.25">
      <c r="AM1936" s="28"/>
    </row>
    <row r="1937" spans="39:39" ht="18" customHeight="1" x14ac:dyDescent="0.25">
      <c r="AM1937" s="28"/>
    </row>
    <row r="1938" spans="39:39" ht="18" customHeight="1" x14ac:dyDescent="0.25">
      <c r="AM1938" s="28"/>
    </row>
    <row r="1939" spans="39:39" ht="18" customHeight="1" x14ac:dyDescent="0.25">
      <c r="AM1939" s="28"/>
    </row>
    <row r="1940" spans="39:39" ht="18" customHeight="1" x14ac:dyDescent="0.25">
      <c r="AM1940" s="28"/>
    </row>
    <row r="1941" spans="39:39" ht="18" customHeight="1" x14ac:dyDescent="0.25">
      <c r="AM1941" s="28"/>
    </row>
    <row r="1942" spans="39:39" ht="18" customHeight="1" x14ac:dyDescent="0.25">
      <c r="AM1942" s="28"/>
    </row>
    <row r="1943" spans="39:39" ht="18" customHeight="1" x14ac:dyDescent="0.25">
      <c r="AM1943" s="28"/>
    </row>
    <row r="1944" spans="39:39" ht="18" customHeight="1" x14ac:dyDescent="0.25">
      <c r="AM1944" s="28"/>
    </row>
    <row r="1945" spans="39:39" ht="18" customHeight="1" x14ac:dyDescent="0.25">
      <c r="AM1945" s="28"/>
    </row>
    <row r="1946" spans="39:39" ht="18" customHeight="1" x14ac:dyDescent="0.25">
      <c r="AM1946" s="28"/>
    </row>
    <row r="1947" spans="39:39" ht="18" customHeight="1" x14ac:dyDescent="0.25">
      <c r="AM1947" s="28"/>
    </row>
    <row r="1948" spans="39:39" ht="18" customHeight="1" x14ac:dyDescent="0.25">
      <c r="AM1948" s="28"/>
    </row>
    <row r="1949" spans="39:39" ht="18" customHeight="1" x14ac:dyDescent="0.25">
      <c r="AM1949" s="28"/>
    </row>
    <row r="1950" spans="39:39" ht="18" customHeight="1" x14ac:dyDescent="0.25">
      <c r="AM1950" s="28"/>
    </row>
    <row r="1951" spans="39:39" ht="18" customHeight="1" x14ac:dyDescent="0.25">
      <c r="AM1951" s="28"/>
    </row>
    <row r="1952" spans="39:39" ht="18" customHeight="1" x14ac:dyDescent="0.25">
      <c r="AM1952" s="28"/>
    </row>
    <row r="1953" spans="39:39" ht="18" customHeight="1" x14ac:dyDescent="0.25">
      <c r="AM1953" s="28"/>
    </row>
    <row r="1954" spans="39:39" ht="18" customHeight="1" x14ac:dyDescent="0.25">
      <c r="AM1954" s="28"/>
    </row>
    <row r="1955" spans="39:39" ht="18" customHeight="1" x14ac:dyDescent="0.25">
      <c r="AM1955" s="28"/>
    </row>
    <row r="1956" spans="39:39" ht="18" customHeight="1" x14ac:dyDescent="0.25">
      <c r="AM1956" s="28"/>
    </row>
    <row r="1957" spans="39:39" ht="18" customHeight="1" x14ac:dyDescent="0.25">
      <c r="AM1957" s="28"/>
    </row>
    <row r="1958" spans="39:39" ht="18" customHeight="1" x14ac:dyDescent="0.25">
      <c r="AM1958" s="28"/>
    </row>
    <row r="1959" spans="39:39" ht="18" customHeight="1" x14ac:dyDescent="0.25">
      <c r="AM1959" s="28"/>
    </row>
    <row r="1960" spans="39:39" ht="18" customHeight="1" x14ac:dyDescent="0.25">
      <c r="AM1960" s="28"/>
    </row>
    <row r="1961" spans="39:39" ht="18" customHeight="1" x14ac:dyDescent="0.25">
      <c r="AM1961" s="28"/>
    </row>
    <row r="1962" spans="39:39" ht="18" customHeight="1" x14ac:dyDescent="0.25">
      <c r="AM1962" s="28"/>
    </row>
    <row r="1963" spans="39:39" ht="18" customHeight="1" x14ac:dyDescent="0.25">
      <c r="AM1963" s="28"/>
    </row>
    <row r="1964" spans="39:39" ht="18" customHeight="1" x14ac:dyDescent="0.25">
      <c r="AM1964" s="28"/>
    </row>
    <row r="1965" spans="39:39" ht="18" customHeight="1" x14ac:dyDescent="0.25">
      <c r="AM1965" s="28"/>
    </row>
    <row r="1966" spans="39:39" ht="18" customHeight="1" x14ac:dyDescent="0.25">
      <c r="AM1966" s="28"/>
    </row>
    <row r="1967" spans="39:39" ht="18" customHeight="1" x14ac:dyDescent="0.25">
      <c r="AM1967" s="28"/>
    </row>
    <row r="1968" spans="39:39" ht="18" customHeight="1" x14ac:dyDescent="0.25">
      <c r="AM1968" s="28"/>
    </row>
    <row r="1969" spans="39:39" ht="18" customHeight="1" x14ac:dyDescent="0.25">
      <c r="AM1969" s="28"/>
    </row>
    <row r="1970" spans="39:39" ht="18" customHeight="1" x14ac:dyDescent="0.25">
      <c r="AM1970" s="28"/>
    </row>
    <row r="1971" spans="39:39" ht="18" customHeight="1" x14ac:dyDescent="0.25">
      <c r="AM1971" s="28"/>
    </row>
    <row r="1972" spans="39:39" ht="18" customHeight="1" x14ac:dyDescent="0.25">
      <c r="AM1972" s="28"/>
    </row>
    <row r="1973" spans="39:39" ht="18" customHeight="1" x14ac:dyDescent="0.25">
      <c r="AM1973" s="28"/>
    </row>
    <row r="1974" spans="39:39" ht="18" customHeight="1" x14ac:dyDescent="0.25">
      <c r="AM1974" s="28"/>
    </row>
    <row r="1975" spans="39:39" ht="18" customHeight="1" x14ac:dyDescent="0.25">
      <c r="AM1975" s="28"/>
    </row>
    <row r="1976" spans="39:39" ht="18" customHeight="1" x14ac:dyDescent="0.25">
      <c r="AM1976" s="28"/>
    </row>
    <row r="1977" spans="39:39" ht="18" customHeight="1" x14ac:dyDescent="0.25">
      <c r="AM1977" s="28"/>
    </row>
    <row r="1978" spans="39:39" ht="18" customHeight="1" x14ac:dyDescent="0.25">
      <c r="AM1978" s="28"/>
    </row>
    <row r="1979" spans="39:39" ht="18" customHeight="1" x14ac:dyDescent="0.25">
      <c r="AM1979" s="28"/>
    </row>
    <row r="1980" spans="39:39" ht="18" customHeight="1" x14ac:dyDescent="0.25">
      <c r="AM1980" s="28"/>
    </row>
    <row r="1981" spans="39:39" ht="18" customHeight="1" x14ac:dyDescent="0.25">
      <c r="AM1981" s="28"/>
    </row>
    <row r="1982" spans="39:39" ht="18" customHeight="1" x14ac:dyDescent="0.25">
      <c r="AM1982" s="28"/>
    </row>
    <row r="1983" spans="39:39" ht="18" customHeight="1" x14ac:dyDescent="0.25">
      <c r="AM1983" s="28"/>
    </row>
    <row r="1984" spans="39:39" ht="18" customHeight="1" x14ac:dyDescent="0.25">
      <c r="AM1984" s="28"/>
    </row>
    <row r="1985" spans="39:39" ht="18" customHeight="1" x14ac:dyDescent="0.25">
      <c r="AM1985" s="28"/>
    </row>
    <row r="1986" spans="39:39" ht="18" customHeight="1" x14ac:dyDescent="0.25">
      <c r="AM1986" s="28"/>
    </row>
    <row r="1987" spans="39:39" ht="18" customHeight="1" x14ac:dyDescent="0.25">
      <c r="AM1987" s="28"/>
    </row>
    <row r="1988" spans="39:39" ht="18" customHeight="1" x14ac:dyDescent="0.25">
      <c r="AM1988" s="28"/>
    </row>
    <row r="1989" spans="39:39" ht="18" customHeight="1" x14ac:dyDescent="0.25">
      <c r="AM1989" s="28"/>
    </row>
    <row r="1990" spans="39:39" ht="18" customHeight="1" x14ac:dyDescent="0.25">
      <c r="AM1990" s="28"/>
    </row>
    <row r="1991" spans="39:39" ht="18" customHeight="1" x14ac:dyDescent="0.25">
      <c r="AM1991" s="28"/>
    </row>
    <row r="1992" spans="39:39" ht="18" customHeight="1" x14ac:dyDescent="0.25">
      <c r="AM1992" s="28"/>
    </row>
    <row r="1993" spans="39:39" ht="18" customHeight="1" x14ac:dyDescent="0.25">
      <c r="AM1993" s="28"/>
    </row>
    <row r="1994" spans="39:39" ht="18" customHeight="1" x14ac:dyDescent="0.25">
      <c r="AM1994" s="28"/>
    </row>
    <row r="1995" spans="39:39" ht="18" customHeight="1" x14ac:dyDescent="0.25">
      <c r="AM1995" s="28"/>
    </row>
    <row r="1996" spans="39:39" ht="18" customHeight="1" x14ac:dyDescent="0.25">
      <c r="AM1996" s="28"/>
    </row>
    <row r="1997" spans="39:39" ht="18" customHeight="1" x14ac:dyDescent="0.25">
      <c r="AM1997" s="28"/>
    </row>
    <row r="1998" spans="39:39" ht="18" customHeight="1" x14ac:dyDescent="0.25">
      <c r="AM1998" s="28"/>
    </row>
    <row r="1999" spans="39:39" ht="18" customHeight="1" x14ac:dyDescent="0.25">
      <c r="AM1999" s="28"/>
    </row>
    <row r="2000" spans="39:39" ht="18" customHeight="1" x14ac:dyDescent="0.25">
      <c r="AM2000" s="28"/>
    </row>
    <row r="2001" spans="39:39" ht="18" customHeight="1" x14ac:dyDescent="0.25">
      <c r="AM2001" s="28"/>
    </row>
    <row r="2002" spans="39:39" ht="18" customHeight="1" x14ac:dyDescent="0.25">
      <c r="AM2002" s="28"/>
    </row>
    <row r="2003" spans="39:39" ht="18" customHeight="1" x14ac:dyDescent="0.25">
      <c r="AM2003" s="28"/>
    </row>
    <row r="2004" spans="39:39" ht="18" customHeight="1" x14ac:dyDescent="0.25">
      <c r="AM2004" s="28"/>
    </row>
    <row r="2005" spans="39:39" ht="18" customHeight="1" x14ac:dyDescent="0.25">
      <c r="AM2005" s="28"/>
    </row>
    <row r="2006" spans="39:39" ht="18" customHeight="1" x14ac:dyDescent="0.25">
      <c r="AM2006" s="28"/>
    </row>
    <row r="2007" spans="39:39" ht="18" customHeight="1" x14ac:dyDescent="0.25">
      <c r="AM2007" s="28"/>
    </row>
    <row r="2008" spans="39:39" ht="18" customHeight="1" x14ac:dyDescent="0.25">
      <c r="AM2008" s="28"/>
    </row>
    <row r="2009" spans="39:39" ht="18" customHeight="1" x14ac:dyDescent="0.25">
      <c r="AM2009" s="28"/>
    </row>
    <row r="2010" spans="39:39" ht="18" customHeight="1" x14ac:dyDescent="0.25">
      <c r="AM2010" s="28"/>
    </row>
    <row r="2011" spans="39:39" ht="18" customHeight="1" x14ac:dyDescent="0.25">
      <c r="AM2011" s="28"/>
    </row>
    <row r="2012" spans="39:39" ht="18" customHeight="1" x14ac:dyDescent="0.25">
      <c r="AM2012" s="28"/>
    </row>
    <row r="2013" spans="39:39" ht="18" customHeight="1" x14ac:dyDescent="0.25">
      <c r="AM2013" s="28"/>
    </row>
    <row r="2014" spans="39:39" ht="18" customHeight="1" x14ac:dyDescent="0.25">
      <c r="AM2014" s="28"/>
    </row>
    <row r="2015" spans="39:39" ht="18" customHeight="1" x14ac:dyDescent="0.25">
      <c r="AM2015" s="28"/>
    </row>
    <row r="2016" spans="39:39" ht="18" customHeight="1" x14ac:dyDescent="0.25">
      <c r="AM2016" s="28"/>
    </row>
    <row r="2017" spans="39:39" ht="18" customHeight="1" x14ac:dyDescent="0.25">
      <c r="AM2017" s="28"/>
    </row>
    <row r="2018" spans="39:39" ht="18" customHeight="1" x14ac:dyDescent="0.25">
      <c r="AM2018" s="28"/>
    </row>
    <row r="2019" spans="39:39" ht="18" customHeight="1" x14ac:dyDescent="0.25">
      <c r="AM2019" s="28"/>
    </row>
    <row r="2020" spans="39:39" ht="18" customHeight="1" x14ac:dyDescent="0.25">
      <c r="AM2020" s="28"/>
    </row>
    <row r="2021" spans="39:39" ht="18" customHeight="1" x14ac:dyDescent="0.25">
      <c r="AM2021" s="28"/>
    </row>
    <row r="2022" spans="39:39" ht="18" customHeight="1" x14ac:dyDescent="0.25">
      <c r="AM2022" s="28"/>
    </row>
    <row r="2023" spans="39:39" ht="18" customHeight="1" x14ac:dyDescent="0.25">
      <c r="AM2023" s="28"/>
    </row>
    <row r="2024" spans="39:39" ht="18" customHeight="1" x14ac:dyDescent="0.25">
      <c r="AM2024" s="28"/>
    </row>
    <row r="2025" spans="39:39" ht="18" customHeight="1" x14ac:dyDescent="0.25">
      <c r="AM2025" s="28"/>
    </row>
    <row r="2026" spans="39:39" ht="18" customHeight="1" x14ac:dyDescent="0.25">
      <c r="AM2026" s="28"/>
    </row>
    <row r="2027" spans="39:39" ht="18" customHeight="1" x14ac:dyDescent="0.25">
      <c r="AM2027" s="28"/>
    </row>
    <row r="2028" spans="39:39" ht="18" customHeight="1" x14ac:dyDescent="0.25">
      <c r="AM2028" s="28"/>
    </row>
    <row r="2029" spans="39:39" ht="18" customHeight="1" x14ac:dyDescent="0.25">
      <c r="AM2029" s="28"/>
    </row>
    <row r="2030" spans="39:39" ht="18" customHeight="1" x14ac:dyDescent="0.25">
      <c r="AM2030" s="28"/>
    </row>
    <row r="2031" spans="39:39" ht="18" customHeight="1" x14ac:dyDescent="0.25">
      <c r="AM2031" s="28"/>
    </row>
    <row r="2032" spans="39:39" ht="18" customHeight="1" x14ac:dyDescent="0.25">
      <c r="AM2032" s="28"/>
    </row>
    <row r="2033" spans="39:39" ht="18" customHeight="1" x14ac:dyDescent="0.25">
      <c r="AM2033" s="28"/>
    </row>
    <row r="2034" spans="39:39" ht="18" customHeight="1" x14ac:dyDescent="0.25">
      <c r="AM2034" s="28"/>
    </row>
    <row r="2035" spans="39:39" ht="18" customHeight="1" x14ac:dyDescent="0.25">
      <c r="AM2035" s="28"/>
    </row>
    <row r="2036" spans="39:39" ht="18" customHeight="1" x14ac:dyDescent="0.25">
      <c r="AM2036" s="28"/>
    </row>
    <row r="2037" spans="39:39" ht="18" customHeight="1" x14ac:dyDescent="0.25">
      <c r="AM2037" s="28"/>
    </row>
    <row r="2038" spans="39:39" ht="18" customHeight="1" x14ac:dyDescent="0.25">
      <c r="AM2038" s="28"/>
    </row>
    <row r="2039" spans="39:39" ht="18" customHeight="1" x14ac:dyDescent="0.25">
      <c r="AM2039" s="28"/>
    </row>
    <row r="2040" spans="39:39" ht="18" customHeight="1" x14ac:dyDescent="0.25">
      <c r="AM2040" s="28"/>
    </row>
    <row r="2041" spans="39:39" ht="18" customHeight="1" x14ac:dyDescent="0.25">
      <c r="AM2041" s="28"/>
    </row>
    <row r="2042" spans="39:39" ht="18" customHeight="1" x14ac:dyDescent="0.25">
      <c r="AM2042" s="28"/>
    </row>
    <row r="2043" spans="39:39" ht="18" customHeight="1" x14ac:dyDescent="0.25">
      <c r="AM2043" s="28"/>
    </row>
    <row r="2044" spans="39:39" ht="18" customHeight="1" x14ac:dyDescent="0.25">
      <c r="AM2044" s="28"/>
    </row>
    <row r="2045" spans="39:39" ht="18" customHeight="1" x14ac:dyDescent="0.25">
      <c r="AM2045" s="28"/>
    </row>
    <row r="2046" spans="39:39" ht="18" customHeight="1" x14ac:dyDescent="0.25">
      <c r="AM2046" s="28"/>
    </row>
    <row r="2047" spans="39:39" ht="18" customHeight="1" x14ac:dyDescent="0.25">
      <c r="AM2047" s="28"/>
    </row>
  </sheetData>
  <mergeCells count="1">
    <mergeCell ref="AN4:AP5"/>
  </mergeCells>
  <phoneticPr fontId="15" type="noConversion"/>
  <conditionalFormatting sqref="D7:D20">
    <cfRule type="cellIs" dxfId="123" priority="16" operator="equal">
      <formula>"y"</formula>
    </cfRule>
  </conditionalFormatting>
  <conditionalFormatting sqref="B7:B20">
    <cfRule type="cellIs" dxfId="122" priority="15" operator="equal">
      <formula>"y"</formula>
    </cfRule>
  </conditionalFormatting>
  <conditionalFormatting sqref="E7:E20">
    <cfRule type="cellIs" dxfId="121" priority="14" operator="equal">
      <formula>"y"</formula>
    </cfRule>
  </conditionalFormatting>
  <conditionalFormatting sqref="G7:G20">
    <cfRule type="containsText" dxfId="120" priority="13" operator="containsText" text="*">
      <formula>NOT(ISERROR(SEARCH("*",G7)))</formula>
    </cfRule>
  </conditionalFormatting>
  <conditionalFormatting sqref="P1:P1048576">
    <cfRule type="cellIs" dxfId="119" priority="12" operator="equal">
      <formula>"y"</formula>
    </cfRule>
  </conditionalFormatting>
  <conditionalFormatting sqref="S1:S1048576">
    <cfRule type="duplicateValues" dxfId="118" priority="11"/>
  </conditionalFormatting>
  <conditionalFormatting sqref="R1:R1048576">
    <cfRule type="duplicateValues" dxfId="117" priority="10"/>
  </conditionalFormatting>
  <conditionalFormatting sqref="T1:T1048576">
    <cfRule type="duplicateValues" dxfId="116" priority="9"/>
  </conditionalFormatting>
  <conditionalFormatting sqref="W1:W1048576">
    <cfRule type="duplicateValues" dxfId="115" priority="8"/>
  </conditionalFormatting>
  <conditionalFormatting sqref="X1:X1048576">
    <cfRule type="duplicateValues" dxfId="114" priority="7"/>
  </conditionalFormatting>
  <conditionalFormatting sqref="AC1:AC1048576">
    <cfRule type="duplicateValues" dxfId="113" priority="6"/>
  </conditionalFormatting>
  <conditionalFormatting sqref="AD1:AD1048576">
    <cfRule type="duplicateValues" dxfId="112" priority="5"/>
  </conditionalFormatting>
  <conditionalFormatting sqref="R1:T1048576">
    <cfRule type="containsText" dxfId="111" priority="4" operator="containsText" text=" ">
      <formula>NOT(ISERROR(SEARCH(" ",R1)))</formula>
    </cfRule>
  </conditionalFormatting>
  <conditionalFormatting sqref="I7:I20">
    <cfRule type="expression" dxfId="110" priority="3">
      <formula>LEN(TRIM(I7))=0</formula>
    </cfRule>
  </conditionalFormatting>
  <conditionalFormatting sqref="A1:AI1048576">
    <cfRule type="cellIs" dxfId="109" priority="2" operator="equal">
      <formula>"n"</formula>
    </cfRule>
  </conditionalFormatting>
  <conditionalFormatting sqref="A1:AI1048576">
    <cfRule type="cellIs" dxfId="108" priority="1" operator="equal">
      <formula>"n/a"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9" r:id="rId4" name="Button 55">
              <controlPr defaultSize="0" print="0" autoFill="0" autoPict="0" macro="[0]!Reset_Orders_Formatting.Reset_Orders_Formatting">
                <anchor moveWithCells="1">
                  <from>
                    <xdr:col>32</xdr:col>
                    <xdr:colOff>485775</xdr:colOff>
                    <xdr:row>0</xdr:row>
                    <xdr:rowOff>133350</xdr:rowOff>
                  </from>
                  <to>
                    <xdr:col>34</xdr:col>
                    <xdr:colOff>723900</xdr:colOff>
                    <xdr:row>1</xdr:row>
                    <xdr:rowOff>123825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5DE16-3CA8-4A38-B9A5-5382878F0FAB}">
  <sheetPr codeName="Sheet5">
    <tabColor theme="4"/>
  </sheetPr>
  <dimension ref="A1:B6"/>
  <sheetViews>
    <sheetView zoomScaleNormal="100" workbookViewId="0">
      <selection activeCell="A16" sqref="A16"/>
    </sheetView>
  </sheetViews>
  <sheetFormatPr defaultRowHeight="15" x14ac:dyDescent="0.25"/>
  <cols>
    <col min="1" max="1" width="12.28515625" bestFit="1" customWidth="1"/>
    <col min="2" max="2" width="6.28515625" bestFit="1" customWidth="1"/>
  </cols>
  <sheetData>
    <row r="1" spans="1:2" s="1" customFormat="1" ht="20.100000000000001" customHeight="1" x14ac:dyDescent="0.25">
      <c r="A1" s="2" t="s">
        <v>43</v>
      </c>
      <c r="B1" s="1" t="s">
        <v>264</v>
      </c>
    </row>
    <row r="2" spans="1:2" x14ac:dyDescent="0.25">
      <c r="A2" s="4" t="s">
        <v>82</v>
      </c>
      <c r="B2">
        <v>77</v>
      </c>
    </row>
    <row r="3" spans="1:2" x14ac:dyDescent="0.25">
      <c r="A3" s="4" t="s">
        <v>73</v>
      </c>
      <c r="B3">
        <v>162</v>
      </c>
    </row>
    <row r="4" spans="1:2" x14ac:dyDescent="0.25">
      <c r="A4" s="4" t="s">
        <v>67</v>
      </c>
      <c r="B4">
        <v>47</v>
      </c>
    </row>
    <row r="5" spans="1:2" x14ac:dyDescent="0.25">
      <c r="A5" s="4" t="s">
        <v>207</v>
      </c>
      <c r="B5">
        <v>21</v>
      </c>
    </row>
    <row r="6" spans="1:2" x14ac:dyDescent="0.25">
      <c r="A6" s="4" t="s">
        <v>265</v>
      </c>
      <c r="B6">
        <v>307</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Refresh_Collection_Data">
                <anchor moveWithCells="1">
                  <from>
                    <xdr:col>3</xdr:col>
                    <xdr:colOff>0</xdr:colOff>
                    <xdr:row>0</xdr:row>
                    <xdr:rowOff>200025</xdr:rowOff>
                  </from>
                  <to>
                    <xdr:col>4</xdr:col>
                    <xdr:colOff>304800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35291-BB68-4ADC-BAFB-0EC46D48BF73}">
  <sheetPr codeName="Sheet9">
    <tabColor theme="4"/>
  </sheetPr>
  <dimension ref="A1:V2000"/>
  <sheetViews>
    <sheetView topLeftCell="F1" workbookViewId="0">
      <selection activeCell="P18" sqref="P18"/>
    </sheetView>
  </sheetViews>
  <sheetFormatPr defaultRowHeight="15" x14ac:dyDescent="0.25"/>
  <cols>
    <col min="1" max="2" width="15.7109375" style="1" hidden="1" customWidth="1"/>
    <col min="3" max="3" width="9.140625" style="1" hidden="1" customWidth="1"/>
    <col min="4" max="4" width="40.7109375" style="1" customWidth="1"/>
    <col min="5" max="5" width="6.28515625" style="1" bestFit="1" customWidth="1"/>
    <col min="6" max="6" width="20.7109375" style="1" customWidth="1"/>
    <col min="7" max="16" width="9.140625" style="1"/>
    <col min="17" max="18" width="15.7109375" style="1" hidden="1" customWidth="1"/>
    <col min="19" max="19" width="9.140625" style="1" hidden="1" customWidth="1"/>
    <col min="20" max="20" width="40.7109375" style="1" customWidth="1"/>
    <col min="21" max="21" width="7.140625" style="1" bestFit="1" customWidth="1"/>
    <col min="22" max="22" width="20.7109375" style="1" customWidth="1"/>
    <col min="23" max="16384" width="9.140625" style="1"/>
  </cols>
  <sheetData>
    <row r="1" spans="1:22" ht="20.100000000000001" customHeight="1" x14ac:dyDescent="0.25">
      <c r="A1" s="10" t="s">
        <v>266</v>
      </c>
      <c r="B1" t="str">
        <f t="shared" ref="B1:B65" si="0">IFERROR(REPLACE(A1,FIND(" ; ",A1),20,""),A1)</f>
        <v>Source - ST (RE)</v>
      </c>
      <c r="D1" s="2" t="s">
        <v>267</v>
      </c>
      <c r="E1" s="1" t="s">
        <v>264</v>
      </c>
      <c r="Q1" s="11" t="s">
        <v>268</v>
      </c>
      <c r="R1" t="str">
        <f t="shared" ref="R1" si="1">IFERROR(REPLACE(Q1,FIND(" ; ",Q1),20,""),Q1)</f>
        <v>Source - ST (N)</v>
      </c>
      <c r="T1" s="2" t="s">
        <v>269</v>
      </c>
      <c r="U1" s="1" t="s">
        <v>270</v>
      </c>
    </row>
    <row r="2" spans="1:22" x14ac:dyDescent="0.25">
      <c r="A2" s="9" cm="1">
        <f t="array" ref="A2:A15">Orders[Series (R/E)]</f>
        <v>0</v>
      </c>
      <c r="B2">
        <f t="shared" si="0"/>
        <v>0</v>
      </c>
      <c r="D2" s="6" t="s">
        <v>983</v>
      </c>
      <c r="E2" s="1">
        <v>1</v>
      </c>
      <c r="F2"/>
      <c r="Q2" s="9" cm="1">
        <f t="array" ref="Q2:Q15">Orders[Series (N)]</f>
        <v>0</v>
      </c>
      <c r="R2">
        <f>IFERROR(REPLACE(Q2,FIND(" ; ",Q2),20,""),Q2)</f>
        <v>0</v>
      </c>
      <c r="T2" s="4" t="s">
        <v>803</v>
      </c>
      <c r="U2">
        <v>1</v>
      </c>
      <c r="V2"/>
    </row>
    <row r="3" spans="1:22" x14ac:dyDescent="0.25">
      <c r="A3" s="1">
        <v>0</v>
      </c>
      <c r="B3">
        <f t="shared" si="0"/>
        <v>0</v>
      </c>
      <c r="D3" s="6" t="s">
        <v>247</v>
      </c>
      <c r="E3" s="1">
        <v>1</v>
      </c>
      <c r="F3"/>
      <c r="Q3" s="1">
        <v>0</v>
      </c>
      <c r="R3">
        <f t="shared" ref="R3:R66" si="2">IFERROR(REPLACE(Q3,FIND(" ; ",Q3),20,""),Q3)</f>
        <v>0</v>
      </c>
      <c r="T3" s="4" t="s">
        <v>805</v>
      </c>
      <c r="U3">
        <v>1</v>
      </c>
      <c r="V3"/>
    </row>
    <row r="4" spans="1:22" x14ac:dyDescent="0.25">
      <c r="A4" s="1">
        <v>0</v>
      </c>
      <c r="B4">
        <f t="shared" si="0"/>
        <v>0</v>
      </c>
      <c r="D4" s="6" t="s">
        <v>967</v>
      </c>
      <c r="E4" s="1">
        <v>1</v>
      </c>
      <c r="F4"/>
      <c r="Q4" s="1">
        <v>0</v>
      </c>
      <c r="R4">
        <f t="shared" si="2"/>
        <v>0</v>
      </c>
      <c r="T4" s="4" t="s">
        <v>130</v>
      </c>
      <c r="U4">
        <v>1</v>
      </c>
      <c r="V4"/>
    </row>
    <row r="5" spans="1:22" x14ac:dyDescent="0.25">
      <c r="A5" s="1">
        <v>0</v>
      </c>
      <c r="B5">
        <f t="shared" si="0"/>
        <v>0</v>
      </c>
      <c r="D5" s="6" t="s">
        <v>941</v>
      </c>
      <c r="E5" s="1">
        <v>1</v>
      </c>
      <c r="F5"/>
      <c r="Q5" s="1">
        <v>0</v>
      </c>
      <c r="R5">
        <f t="shared" si="2"/>
        <v>0</v>
      </c>
      <c r="T5" s="4" t="s">
        <v>798</v>
      </c>
      <c r="U5">
        <v>1</v>
      </c>
      <c r="V5"/>
    </row>
    <row r="6" spans="1:22" x14ac:dyDescent="0.25">
      <c r="A6" s="1">
        <v>0</v>
      </c>
      <c r="B6">
        <f t="shared" si="0"/>
        <v>0</v>
      </c>
      <c r="D6" s="6" t="s">
        <v>984</v>
      </c>
      <c r="E6" s="1">
        <v>1</v>
      </c>
      <c r="F6"/>
      <c r="Q6" s="1">
        <v>0</v>
      </c>
      <c r="R6">
        <f t="shared" si="2"/>
        <v>0</v>
      </c>
      <c r="T6" s="4" t="s">
        <v>262</v>
      </c>
      <c r="U6">
        <v>1</v>
      </c>
      <c r="V6"/>
    </row>
    <row r="7" spans="1:22" x14ac:dyDescent="0.25">
      <c r="A7" s="1">
        <v>0</v>
      </c>
      <c r="B7">
        <f t="shared" si="0"/>
        <v>0</v>
      </c>
      <c r="D7" s="6" t="s">
        <v>213</v>
      </c>
      <c r="E7" s="1">
        <v>1</v>
      </c>
      <c r="F7"/>
      <c r="Q7" s="1">
        <v>0</v>
      </c>
      <c r="R7">
        <f t="shared" si="2"/>
        <v>0</v>
      </c>
      <c r="T7" s="4" t="s">
        <v>216</v>
      </c>
      <c r="U7">
        <v>1</v>
      </c>
      <c r="V7"/>
    </row>
    <row r="8" spans="1:22" x14ac:dyDescent="0.25">
      <c r="A8" s="1">
        <v>0</v>
      </c>
      <c r="B8">
        <f t="shared" si="0"/>
        <v>0</v>
      </c>
      <c r="D8" s="6" t="s">
        <v>856</v>
      </c>
      <c r="E8" s="1">
        <v>1</v>
      </c>
      <c r="F8"/>
      <c r="Q8" s="1">
        <v>0</v>
      </c>
      <c r="R8">
        <f t="shared" si="2"/>
        <v>0</v>
      </c>
      <c r="T8" s="4" t="s">
        <v>1000</v>
      </c>
      <c r="U8">
        <v>1</v>
      </c>
      <c r="V8"/>
    </row>
    <row r="9" spans="1:22" x14ac:dyDescent="0.25">
      <c r="A9" s="1">
        <v>0</v>
      </c>
      <c r="B9">
        <f t="shared" si="0"/>
        <v>0</v>
      </c>
      <c r="D9" s="6" t="s">
        <v>780</v>
      </c>
      <c r="E9" s="1">
        <v>1</v>
      </c>
      <c r="F9"/>
      <c r="Q9" s="1">
        <v>0</v>
      </c>
      <c r="R9">
        <f t="shared" si="2"/>
        <v>0</v>
      </c>
      <c r="T9" s="4" t="s">
        <v>804</v>
      </c>
      <c r="U9">
        <v>1</v>
      </c>
      <c r="V9"/>
    </row>
    <row r="10" spans="1:22" x14ac:dyDescent="0.25">
      <c r="A10" s="1">
        <v>0</v>
      </c>
      <c r="B10">
        <f t="shared" si="0"/>
        <v>0</v>
      </c>
      <c r="D10" s="6" t="s">
        <v>974</v>
      </c>
      <c r="E10" s="1">
        <v>1</v>
      </c>
      <c r="F10"/>
      <c r="Q10" s="1">
        <v>0</v>
      </c>
      <c r="R10">
        <f t="shared" si="2"/>
        <v>0</v>
      </c>
      <c r="T10" s="4" t="s">
        <v>1001</v>
      </c>
      <c r="U10">
        <v>1</v>
      </c>
      <c r="V10"/>
    </row>
    <row r="11" spans="1:22" x14ac:dyDescent="0.25">
      <c r="A11" s="1">
        <v>0</v>
      </c>
      <c r="B11">
        <f t="shared" si="0"/>
        <v>0</v>
      </c>
      <c r="D11" s="6" t="s">
        <v>857</v>
      </c>
      <c r="E11" s="1">
        <v>2</v>
      </c>
      <c r="F11"/>
      <c r="Q11" s="1">
        <v>0</v>
      </c>
      <c r="R11">
        <f t="shared" si="2"/>
        <v>0</v>
      </c>
      <c r="T11" s="4" t="s">
        <v>795</v>
      </c>
      <c r="U11">
        <v>1</v>
      </c>
      <c r="V11"/>
    </row>
    <row r="12" spans="1:22" x14ac:dyDescent="0.25">
      <c r="A12" s="1">
        <v>0</v>
      </c>
      <c r="B12">
        <f t="shared" si="0"/>
        <v>0</v>
      </c>
      <c r="D12" s="6" t="s">
        <v>978</v>
      </c>
      <c r="E12" s="1">
        <v>1</v>
      </c>
      <c r="F12"/>
      <c r="Q12" s="1">
        <v>0</v>
      </c>
      <c r="R12">
        <f t="shared" si="2"/>
        <v>0</v>
      </c>
      <c r="T12" s="4" t="s">
        <v>1002</v>
      </c>
      <c r="U12">
        <v>1</v>
      </c>
      <c r="V12"/>
    </row>
    <row r="13" spans="1:22" x14ac:dyDescent="0.25">
      <c r="A13" s="1">
        <v>0</v>
      </c>
      <c r="B13">
        <f t="shared" si="0"/>
        <v>0</v>
      </c>
      <c r="D13" s="6" t="s">
        <v>855</v>
      </c>
      <c r="E13" s="1">
        <v>1</v>
      </c>
      <c r="F13"/>
      <c r="Q13" s="1">
        <v>0</v>
      </c>
      <c r="R13">
        <f t="shared" si="2"/>
        <v>0</v>
      </c>
      <c r="T13" s="4" t="s">
        <v>797</v>
      </c>
      <c r="U13">
        <v>1</v>
      </c>
      <c r="V13"/>
    </row>
    <row r="14" spans="1:22" x14ac:dyDescent="0.25">
      <c r="A14" s="1">
        <v>0</v>
      </c>
      <c r="B14">
        <f t="shared" si="0"/>
        <v>0</v>
      </c>
      <c r="D14" s="6" t="s">
        <v>985</v>
      </c>
      <c r="E14" s="1">
        <v>1</v>
      </c>
      <c r="F14"/>
      <c r="Q14" s="1">
        <v>0</v>
      </c>
      <c r="R14">
        <f t="shared" si="2"/>
        <v>0</v>
      </c>
      <c r="T14" s="4" t="s">
        <v>1003</v>
      </c>
      <c r="U14">
        <v>1</v>
      </c>
      <c r="V14"/>
    </row>
    <row r="15" spans="1:22" x14ac:dyDescent="0.25">
      <c r="A15" s="1">
        <v>0</v>
      </c>
      <c r="B15">
        <f t="shared" si="0"/>
        <v>0</v>
      </c>
      <c r="D15" s="6" t="s">
        <v>986</v>
      </c>
      <c r="E15" s="1">
        <v>1</v>
      </c>
      <c r="F15"/>
      <c r="Q15" s="1">
        <v>0</v>
      </c>
      <c r="R15">
        <f t="shared" si="2"/>
        <v>0</v>
      </c>
      <c r="T15" s="4" t="s">
        <v>801</v>
      </c>
      <c r="U15">
        <v>1</v>
      </c>
      <c r="V15"/>
    </row>
    <row r="16" spans="1:22" x14ac:dyDescent="0.25">
      <c r="B16">
        <f t="shared" si="0"/>
        <v>0</v>
      </c>
      <c r="D16" s="6" t="s">
        <v>858</v>
      </c>
      <c r="E16" s="1">
        <v>1</v>
      </c>
      <c r="F16"/>
      <c r="R16">
        <f t="shared" si="2"/>
        <v>0</v>
      </c>
      <c r="T16" s="4" t="s">
        <v>1004</v>
      </c>
      <c r="U16">
        <v>1</v>
      </c>
      <c r="V16"/>
    </row>
    <row r="17" spans="2:22" x14ac:dyDescent="0.25">
      <c r="B17">
        <f t="shared" si="0"/>
        <v>0</v>
      </c>
      <c r="D17" s="6" t="s">
        <v>781</v>
      </c>
      <c r="E17" s="1">
        <v>1</v>
      </c>
      <c r="F17"/>
      <c r="R17">
        <f t="shared" si="2"/>
        <v>0</v>
      </c>
      <c r="T17" s="4" t="s">
        <v>248</v>
      </c>
      <c r="U17">
        <v>1</v>
      </c>
      <c r="V17"/>
    </row>
    <row r="18" spans="2:22" x14ac:dyDescent="0.25">
      <c r="B18">
        <f t="shared" si="0"/>
        <v>0</v>
      </c>
      <c r="D18" s="6" t="s">
        <v>987</v>
      </c>
      <c r="E18" s="1">
        <v>1</v>
      </c>
      <c r="F18"/>
      <c r="R18">
        <f t="shared" si="2"/>
        <v>0</v>
      </c>
      <c r="T18" s="4" t="s">
        <v>975</v>
      </c>
      <c r="U18">
        <v>1</v>
      </c>
      <c r="V18"/>
    </row>
    <row r="19" spans="2:22" x14ac:dyDescent="0.25">
      <c r="B19">
        <f t="shared" si="0"/>
        <v>0</v>
      </c>
      <c r="D19" s="6" t="s">
        <v>988</v>
      </c>
      <c r="E19" s="1">
        <v>1</v>
      </c>
      <c r="F19"/>
      <c r="R19">
        <f t="shared" si="2"/>
        <v>0</v>
      </c>
      <c r="T19" s="4" t="s">
        <v>968</v>
      </c>
      <c r="U19">
        <v>1</v>
      </c>
    </row>
    <row r="20" spans="2:22" x14ac:dyDescent="0.25">
      <c r="B20">
        <f t="shared" si="0"/>
        <v>0</v>
      </c>
      <c r="D20" s="6" t="s">
        <v>782</v>
      </c>
      <c r="E20" s="1">
        <v>1</v>
      </c>
      <c r="F20"/>
      <c r="R20">
        <f t="shared" si="2"/>
        <v>0</v>
      </c>
      <c r="T20" s="4" t="s">
        <v>1005</v>
      </c>
      <c r="U20">
        <v>1</v>
      </c>
    </row>
    <row r="21" spans="2:22" x14ac:dyDescent="0.25">
      <c r="B21">
        <f t="shared" si="0"/>
        <v>0</v>
      </c>
      <c r="D21" s="6" t="s">
        <v>783</v>
      </c>
      <c r="E21" s="1">
        <v>1</v>
      </c>
      <c r="F21"/>
      <c r="R21">
        <f t="shared" si="2"/>
        <v>0</v>
      </c>
      <c r="T21" s="4" t="s">
        <v>796</v>
      </c>
      <c r="U21">
        <v>1</v>
      </c>
    </row>
    <row r="22" spans="2:22" x14ac:dyDescent="0.25">
      <c r="B22">
        <f t="shared" si="0"/>
        <v>0</v>
      </c>
      <c r="D22" s="6" t="s">
        <v>859</v>
      </c>
      <c r="E22" s="1">
        <v>1</v>
      </c>
      <c r="F22"/>
      <c r="R22">
        <f t="shared" si="2"/>
        <v>0</v>
      </c>
      <c r="T22" s="4" t="s">
        <v>1006</v>
      </c>
      <c r="U22">
        <v>1</v>
      </c>
    </row>
    <row r="23" spans="2:22" x14ac:dyDescent="0.25">
      <c r="B23">
        <f t="shared" si="0"/>
        <v>0</v>
      </c>
      <c r="D23" s="6" t="s">
        <v>784</v>
      </c>
      <c r="E23" s="1">
        <v>1</v>
      </c>
      <c r="F23"/>
      <c r="R23">
        <f t="shared" si="2"/>
        <v>0</v>
      </c>
      <c r="T23" s="4" t="s">
        <v>802</v>
      </c>
      <c r="U23">
        <v>1</v>
      </c>
    </row>
    <row r="24" spans="2:22" x14ac:dyDescent="0.25">
      <c r="B24">
        <f t="shared" si="0"/>
        <v>0</v>
      </c>
      <c r="D24" s="6" t="s">
        <v>977</v>
      </c>
      <c r="E24" s="1">
        <v>1</v>
      </c>
      <c r="F24"/>
      <c r="R24">
        <f t="shared" si="2"/>
        <v>0</v>
      </c>
      <c r="T24" s="4" t="s">
        <v>1007</v>
      </c>
      <c r="U24">
        <v>1</v>
      </c>
    </row>
    <row r="25" spans="2:22" x14ac:dyDescent="0.25">
      <c r="B25">
        <f t="shared" si="0"/>
        <v>0</v>
      </c>
      <c r="D25" s="6" t="s">
        <v>785</v>
      </c>
      <c r="E25" s="1">
        <v>1</v>
      </c>
      <c r="F25"/>
      <c r="R25">
        <f t="shared" si="2"/>
        <v>0</v>
      </c>
      <c r="T25" s="4" t="s">
        <v>800</v>
      </c>
      <c r="U25">
        <v>1</v>
      </c>
    </row>
    <row r="26" spans="2:22" x14ac:dyDescent="0.25">
      <c r="B26">
        <f t="shared" si="0"/>
        <v>0</v>
      </c>
      <c r="D26" s="6" t="s">
        <v>786</v>
      </c>
      <c r="E26" s="1">
        <v>2</v>
      </c>
      <c r="F26"/>
      <c r="R26">
        <f t="shared" si="2"/>
        <v>0</v>
      </c>
      <c r="T26" s="4" t="s">
        <v>1008</v>
      </c>
      <c r="U26">
        <v>1</v>
      </c>
    </row>
    <row r="27" spans="2:22" x14ac:dyDescent="0.25">
      <c r="B27">
        <f t="shared" si="0"/>
        <v>0</v>
      </c>
      <c r="D27" s="6" t="s">
        <v>860</v>
      </c>
      <c r="E27" s="1">
        <v>1</v>
      </c>
      <c r="F27"/>
      <c r="R27">
        <f t="shared" si="2"/>
        <v>0</v>
      </c>
      <c r="T27" s="4" t="s">
        <v>152</v>
      </c>
      <c r="U27">
        <v>1</v>
      </c>
    </row>
    <row r="28" spans="2:22" x14ac:dyDescent="0.25">
      <c r="B28">
        <f t="shared" si="0"/>
        <v>0</v>
      </c>
      <c r="D28" s="6" t="s">
        <v>787</v>
      </c>
      <c r="E28" s="1">
        <v>1</v>
      </c>
      <c r="F28"/>
      <c r="R28">
        <f t="shared" si="2"/>
        <v>0</v>
      </c>
      <c r="T28" s="4" t="s">
        <v>1009</v>
      </c>
      <c r="U28">
        <v>1</v>
      </c>
    </row>
    <row r="29" spans="2:22" x14ac:dyDescent="0.25">
      <c r="B29">
        <f t="shared" si="0"/>
        <v>0</v>
      </c>
      <c r="D29" s="6" t="s">
        <v>215</v>
      </c>
      <c r="E29" s="1">
        <v>1</v>
      </c>
      <c r="F29"/>
      <c r="R29">
        <f t="shared" si="2"/>
        <v>0</v>
      </c>
      <c r="T29" s="4" t="s">
        <v>799</v>
      </c>
      <c r="U29">
        <v>1</v>
      </c>
    </row>
    <row r="30" spans="2:22" x14ac:dyDescent="0.25">
      <c r="B30">
        <f t="shared" si="0"/>
        <v>0</v>
      </c>
      <c r="D30" s="6" t="s">
        <v>129</v>
      </c>
      <c r="E30" s="1">
        <v>1</v>
      </c>
      <c r="R30">
        <f t="shared" si="2"/>
        <v>0</v>
      </c>
      <c r="T30" s="4" t="s">
        <v>1010</v>
      </c>
      <c r="U30">
        <v>1</v>
      </c>
    </row>
    <row r="31" spans="2:22" x14ac:dyDescent="0.25">
      <c r="B31">
        <f t="shared" si="0"/>
        <v>0</v>
      </c>
      <c r="D31" s="6" t="s">
        <v>788</v>
      </c>
      <c r="E31" s="1">
        <v>1</v>
      </c>
      <c r="R31">
        <f t="shared" si="2"/>
        <v>0</v>
      </c>
      <c r="T31" s="4" t="s">
        <v>846</v>
      </c>
      <c r="U31">
        <v>2</v>
      </c>
    </row>
    <row r="32" spans="2:22" x14ac:dyDescent="0.25">
      <c r="B32">
        <f t="shared" si="0"/>
        <v>0</v>
      </c>
      <c r="D32" s="6" t="s">
        <v>976</v>
      </c>
      <c r="E32" s="1">
        <v>1</v>
      </c>
      <c r="R32">
        <f t="shared" si="2"/>
        <v>0</v>
      </c>
      <c r="T32" s="4" t="s">
        <v>999</v>
      </c>
      <c r="U32">
        <v>2</v>
      </c>
    </row>
    <row r="33" spans="2:21" x14ac:dyDescent="0.25">
      <c r="B33">
        <f t="shared" si="0"/>
        <v>0</v>
      </c>
      <c r="D33" s="6" t="s">
        <v>789</v>
      </c>
      <c r="E33" s="1">
        <v>2</v>
      </c>
      <c r="R33">
        <f t="shared" si="2"/>
        <v>0</v>
      </c>
      <c r="T33" s="4" t="s">
        <v>806</v>
      </c>
      <c r="U33">
        <v>2</v>
      </c>
    </row>
    <row r="34" spans="2:21" x14ac:dyDescent="0.25">
      <c r="B34">
        <f t="shared" si="0"/>
        <v>0</v>
      </c>
      <c r="D34" s="6" t="s">
        <v>989</v>
      </c>
      <c r="E34" s="1">
        <v>1</v>
      </c>
      <c r="R34">
        <f t="shared" si="2"/>
        <v>0</v>
      </c>
      <c r="T34" s="4" t="s">
        <v>808</v>
      </c>
      <c r="U34">
        <v>2</v>
      </c>
    </row>
    <row r="35" spans="2:21" x14ac:dyDescent="0.25">
      <c r="B35">
        <f t="shared" si="0"/>
        <v>0</v>
      </c>
      <c r="D35" s="6" t="s">
        <v>790</v>
      </c>
      <c r="E35" s="1">
        <v>1</v>
      </c>
      <c r="R35">
        <f t="shared" si="2"/>
        <v>0</v>
      </c>
      <c r="T35" s="4" t="s">
        <v>1011</v>
      </c>
      <c r="U35">
        <v>2</v>
      </c>
    </row>
    <row r="36" spans="2:21" x14ac:dyDescent="0.25">
      <c r="B36">
        <f t="shared" si="0"/>
        <v>0</v>
      </c>
      <c r="D36" s="6" t="s">
        <v>810</v>
      </c>
      <c r="E36" s="1">
        <v>1</v>
      </c>
      <c r="R36">
        <f t="shared" si="2"/>
        <v>0</v>
      </c>
      <c r="T36" s="4" t="s">
        <v>809</v>
      </c>
      <c r="U36">
        <v>2</v>
      </c>
    </row>
    <row r="37" spans="2:21" x14ac:dyDescent="0.25">
      <c r="B37">
        <f t="shared" si="0"/>
        <v>0</v>
      </c>
      <c r="D37" s="6" t="s">
        <v>211</v>
      </c>
      <c r="E37" s="1">
        <v>2</v>
      </c>
      <c r="R37">
        <f t="shared" si="2"/>
        <v>0</v>
      </c>
      <c r="T37" s="4" t="s">
        <v>807</v>
      </c>
      <c r="U37">
        <v>2</v>
      </c>
    </row>
    <row r="38" spans="2:21" x14ac:dyDescent="0.25">
      <c r="B38">
        <f t="shared" si="0"/>
        <v>0</v>
      </c>
      <c r="D38" s="6" t="s">
        <v>940</v>
      </c>
      <c r="E38" s="1">
        <v>1</v>
      </c>
      <c r="R38">
        <f t="shared" si="2"/>
        <v>0</v>
      </c>
    </row>
    <row r="39" spans="2:21" x14ac:dyDescent="0.25">
      <c r="B39">
        <f t="shared" si="0"/>
        <v>0</v>
      </c>
      <c r="D39" s="6" t="s">
        <v>791</v>
      </c>
      <c r="E39" s="1">
        <v>1</v>
      </c>
      <c r="R39">
        <f t="shared" si="2"/>
        <v>0</v>
      </c>
    </row>
    <row r="40" spans="2:21" x14ac:dyDescent="0.25">
      <c r="B40">
        <f t="shared" si="0"/>
        <v>0</v>
      </c>
      <c r="D40" s="6" t="s">
        <v>792</v>
      </c>
      <c r="E40" s="1">
        <v>1</v>
      </c>
      <c r="R40">
        <f t="shared" si="2"/>
        <v>0</v>
      </c>
    </row>
    <row r="41" spans="2:21" x14ac:dyDescent="0.25">
      <c r="B41">
        <f t="shared" si="0"/>
        <v>0</v>
      </c>
      <c r="D41" s="6" t="s">
        <v>845</v>
      </c>
      <c r="E41" s="1">
        <v>2</v>
      </c>
      <c r="R41">
        <f t="shared" si="2"/>
        <v>0</v>
      </c>
    </row>
    <row r="42" spans="2:21" x14ac:dyDescent="0.25">
      <c r="B42">
        <f t="shared" si="0"/>
        <v>0</v>
      </c>
      <c r="D42" s="6" t="s">
        <v>261</v>
      </c>
      <c r="E42" s="1">
        <v>1</v>
      </c>
      <c r="R42">
        <f t="shared" si="2"/>
        <v>0</v>
      </c>
    </row>
    <row r="43" spans="2:21" x14ac:dyDescent="0.25">
      <c r="B43">
        <f t="shared" si="0"/>
        <v>0</v>
      </c>
      <c r="D43" s="6" t="s">
        <v>151</v>
      </c>
      <c r="E43" s="1">
        <v>1</v>
      </c>
      <c r="R43">
        <f t="shared" si="2"/>
        <v>0</v>
      </c>
    </row>
    <row r="44" spans="2:21" x14ac:dyDescent="0.25">
      <c r="B44">
        <f t="shared" si="0"/>
        <v>0</v>
      </c>
      <c r="D44" s="6" t="s">
        <v>861</v>
      </c>
      <c r="E44" s="1">
        <v>1</v>
      </c>
      <c r="R44">
        <f t="shared" si="2"/>
        <v>0</v>
      </c>
    </row>
    <row r="45" spans="2:21" x14ac:dyDescent="0.25">
      <c r="B45">
        <f t="shared" si="0"/>
        <v>0</v>
      </c>
      <c r="D45" s="6" t="s">
        <v>793</v>
      </c>
      <c r="E45" s="1">
        <v>2</v>
      </c>
      <c r="R45">
        <f t="shared" si="2"/>
        <v>0</v>
      </c>
    </row>
    <row r="46" spans="2:21" x14ac:dyDescent="0.25">
      <c r="B46">
        <f t="shared" si="0"/>
        <v>0</v>
      </c>
      <c r="D46" s="6" t="s">
        <v>990</v>
      </c>
      <c r="E46" s="1">
        <v>1</v>
      </c>
      <c r="R46">
        <f t="shared" si="2"/>
        <v>0</v>
      </c>
    </row>
    <row r="47" spans="2:21" x14ac:dyDescent="0.25">
      <c r="B47">
        <f t="shared" si="0"/>
        <v>0</v>
      </c>
      <c r="D47" s="6" t="s">
        <v>794</v>
      </c>
      <c r="E47" s="1">
        <v>2</v>
      </c>
      <c r="R47">
        <f t="shared" si="2"/>
        <v>0</v>
      </c>
    </row>
    <row r="48" spans="2:21" x14ac:dyDescent="0.25">
      <c r="B48">
        <f t="shared" si="0"/>
        <v>0</v>
      </c>
      <c r="D48" s="6" t="s">
        <v>979</v>
      </c>
      <c r="E48" s="1">
        <v>1</v>
      </c>
      <c r="R48">
        <f t="shared" si="2"/>
        <v>0</v>
      </c>
    </row>
    <row r="49" spans="2:18" x14ac:dyDescent="0.25">
      <c r="B49">
        <f t="shared" si="0"/>
        <v>0</v>
      </c>
      <c r="D49" s="6" t="s">
        <v>991</v>
      </c>
      <c r="E49" s="1">
        <v>1</v>
      </c>
      <c r="R49">
        <f t="shared" si="2"/>
        <v>0</v>
      </c>
    </row>
    <row r="50" spans="2:18" x14ac:dyDescent="0.25">
      <c r="B50">
        <f t="shared" si="0"/>
        <v>0</v>
      </c>
      <c r="D50" s="6" t="s">
        <v>998</v>
      </c>
      <c r="E50" s="1">
        <v>1</v>
      </c>
      <c r="R50">
        <f t="shared" si="2"/>
        <v>0</v>
      </c>
    </row>
    <row r="51" spans="2:18" x14ac:dyDescent="0.25">
      <c r="B51">
        <f t="shared" si="0"/>
        <v>0</v>
      </c>
      <c r="D51"/>
      <c r="E51"/>
      <c r="R51">
        <f t="shared" si="2"/>
        <v>0</v>
      </c>
    </row>
    <row r="52" spans="2:18" x14ac:dyDescent="0.25">
      <c r="B52">
        <f t="shared" si="0"/>
        <v>0</v>
      </c>
      <c r="D52"/>
      <c r="E52"/>
      <c r="R52">
        <f t="shared" si="2"/>
        <v>0</v>
      </c>
    </row>
    <row r="53" spans="2:18" x14ac:dyDescent="0.25">
      <c r="B53">
        <f t="shared" si="0"/>
        <v>0</v>
      </c>
      <c r="D53"/>
      <c r="E53"/>
      <c r="R53">
        <f t="shared" si="2"/>
        <v>0</v>
      </c>
    </row>
    <row r="54" spans="2:18" x14ac:dyDescent="0.25">
      <c r="B54">
        <f t="shared" si="0"/>
        <v>0</v>
      </c>
      <c r="R54">
        <f t="shared" si="2"/>
        <v>0</v>
      </c>
    </row>
    <row r="55" spans="2:18" x14ac:dyDescent="0.25">
      <c r="B55">
        <f t="shared" si="0"/>
        <v>0</v>
      </c>
      <c r="R55">
        <f t="shared" si="2"/>
        <v>0</v>
      </c>
    </row>
    <row r="56" spans="2:18" x14ac:dyDescent="0.25">
      <c r="B56">
        <f t="shared" si="0"/>
        <v>0</v>
      </c>
      <c r="R56">
        <f t="shared" si="2"/>
        <v>0</v>
      </c>
    </row>
    <row r="57" spans="2:18" x14ac:dyDescent="0.25">
      <c r="B57">
        <f t="shared" si="0"/>
        <v>0</v>
      </c>
      <c r="R57">
        <f t="shared" si="2"/>
        <v>0</v>
      </c>
    </row>
    <row r="58" spans="2:18" x14ac:dyDescent="0.25">
      <c r="B58">
        <f t="shared" si="0"/>
        <v>0</v>
      </c>
      <c r="R58">
        <f t="shared" si="2"/>
        <v>0</v>
      </c>
    </row>
    <row r="59" spans="2:18" x14ac:dyDescent="0.25">
      <c r="B59">
        <f t="shared" si="0"/>
        <v>0</v>
      </c>
      <c r="R59">
        <f t="shared" si="2"/>
        <v>0</v>
      </c>
    </row>
    <row r="60" spans="2:18" x14ac:dyDescent="0.25">
      <c r="B60">
        <f t="shared" si="0"/>
        <v>0</v>
      </c>
      <c r="R60">
        <f t="shared" si="2"/>
        <v>0</v>
      </c>
    </row>
    <row r="61" spans="2:18" x14ac:dyDescent="0.25">
      <c r="B61">
        <f t="shared" si="0"/>
        <v>0</v>
      </c>
      <c r="R61">
        <f t="shared" si="2"/>
        <v>0</v>
      </c>
    </row>
    <row r="62" spans="2:18" x14ac:dyDescent="0.25">
      <c r="B62">
        <f t="shared" si="0"/>
        <v>0</v>
      </c>
      <c r="R62">
        <f t="shared" si="2"/>
        <v>0</v>
      </c>
    </row>
    <row r="63" spans="2:18" x14ac:dyDescent="0.25">
      <c r="B63">
        <f t="shared" si="0"/>
        <v>0</v>
      </c>
      <c r="R63">
        <f t="shared" si="2"/>
        <v>0</v>
      </c>
    </row>
    <row r="64" spans="2:18" x14ac:dyDescent="0.25">
      <c r="B64">
        <f t="shared" si="0"/>
        <v>0</v>
      </c>
      <c r="R64">
        <f t="shared" si="2"/>
        <v>0</v>
      </c>
    </row>
    <row r="65" spans="2:18" x14ac:dyDescent="0.25">
      <c r="B65">
        <f t="shared" si="0"/>
        <v>0</v>
      </c>
      <c r="R65">
        <f t="shared" si="2"/>
        <v>0</v>
      </c>
    </row>
    <row r="66" spans="2:18" x14ac:dyDescent="0.25">
      <c r="B66">
        <f t="shared" ref="B66:B129" si="3">IFERROR(REPLACE(A66,FIND(" ; ",A66),20,""),A66)</f>
        <v>0</v>
      </c>
      <c r="R66">
        <f t="shared" si="2"/>
        <v>0</v>
      </c>
    </row>
    <row r="67" spans="2:18" x14ac:dyDescent="0.25">
      <c r="B67">
        <f t="shared" si="3"/>
        <v>0</v>
      </c>
      <c r="R67">
        <f t="shared" ref="R67:R130" si="4">IFERROR(REPLACE(Q67,FIND(" ; ",Q67),20,""),Q67)</f>
        <v>0</v>
      </c>
    </row>
    <row r="68" spans="2:18" x14ac:dyDescent="0.25">
      <c r="B68">
        <f t="shared" si="3"/>
        <v>0</v>
      </c>
      <c r="R68">
        <f t="shared" si="4"/>
        <v>0</v>
      </c>
    </row>
    <row r="69" spans="2:18" x14ac:dyDescent="0.25">
      <c r="B69">
        <f t="shared" si="3"/>
        <v>0</v>
      </c>
      <c r="R69">
        <f t="shared" si="4"/>
        <v>0</v>
      </c>
    </row>
    <row r="70" spans="2:18" x14ac:dyDescent="0.25">
      <c r="B70">
        <f t="shared" si="3"/>
        <v>0</v>
      </c>
      <c r="R70">
        <f t="shared" si="4"/>
        <v>0</v>
      </c>
    </row>
    <row r="71" spans="2:18" x14ac:dyDescent="0.25">
      <c r="B71">
        <f t="shared" si="3"/>
        <v>0</v>
      </c>
      <c r="R71">
        <f t="shared" si="4"/>
        <v>0</v>
      </c>
    </row>
    <row r="72" spans="2:18" x14ac:dyDescent="0.25">
      <c r="B72">
        <f t="shared" si="3"/>
        <v>0</v>
      </c>
      <c r="R72">
        <f t="shared" si="4"/>
        <v>0</v>
      </c>
    </row>
    <row r="73" spans="2:18" x14ac:dyDescent="0.25">
      <c r="B73">
        <f t="shared" si="3"/>
        <v>0</v>
      </c>
      <c r="R73">
        <f t="shared" si="4"/>
        <v>0</v>
      </c>
    </row>
    <row r="74" spans="2:18" x14ac:dyDescent="0.25">
      <c r="B74">
        <f t="shared" si="3"/>
        <v>0</v>
      </c>
      <c r="R74">
        <f t="shared" si="4"/>
        <v>0</v>
      </c>
    </row>
    <row r="75" spans="2:18" x14ac:dyDescent="0.25">
      <c r="B75">
        <f t="shared" si="3"/>
        <v>0</v>
      </c>
      <c r="R75">
        <f t="shared" si="4"/>
        <v>0</v>
      </c>
    </row>
    <row r="76" spans="2:18" x14ac:dyDescent="0.25">
      <c r="B76">
        <f t="shared" si="3"/>
        <v>0</v>
      </c>
      <c r="R76">
        <f t="shared" si="4"/>
        <v>0</v>
      </c>
    </row>
    <row r="77" spans="2:18" x14ac:dyDescent="0.25">
      <c r="B77">
        <f t="shared" si="3"/>
        <v>0</v>
      </c>
      <c r="R77">
        <f t="shared" si="4"/>
        <v>0</v>
      </c>
    </row>
    <row r="78" spans="2:18" x14ac:dyDescent="0.25">
      <c r="B78">
        <f t="shared" si="3"/>
        <v>0</v>
      </c>
      <c r="R78">
        <f t="shared" si="4"/>
        <v>0</v>
      </c>
    </row>
    <row r="79" spans="2:18" x14ac:dyDescent="0.25">
      <c r="B79">
        <f t="shared" si="3"/>
        <v>0</v>
      </c>
      <c r="R79">
        <f t="shared" si="4"/>
        <v>0</v>
      </c>
    </row>
    <row r="80" spans="2:18" x14ac:dyDescent="0.25">
      <c r="B80">
        <f t="shared" si="3"/>
        <v>0</v>
      </c>
      <c r="R80">
        <f t="shared" si="4"/>
        <v>0</v>
      </c>
    </row>
    <row r="81" spans="2:18" x14ac:dyDescent="0.25">
      <c r="B81">
        <f t="shared" si="3"/>
        <v>0</v>
      </c>
      <c r="R81">
        <f t="shared" si="4"/>
        <v>0</v>
      </c>
    </row>
    <row r="82" spans="2:18" x14ac:dyDescent="0.25">
      <c r="B82">
        <f t="shared" si="3"/>
        <v>0</v>
      </c>
      <c r="R82">
        <f t="shared" si="4"/>
        <v>0</v>
      </c>
    </row>
    <row r="83" spans="2:18" x14ac:dyDescent="0.25">
      <c r="B83">
        <f t="shared" si="3"/>
        <v>0</v>
      </c>
      <c r="R83">
        <f t="shared" si="4"/>
        <v>0</v>
      </c>
    </row>
    <row r="84" spans="2:18" x14ac:dyDescent="0.25">
      <c r="B84">
        <f t="shared" si="3"/>
        <v>0</v>
      </c>
      <c r="R84">
        <f t="shared" si="4"/>
        <v>0</v>
      </c>
    </row>
    <row r="85" spans="2:18" x14ac:dyDescent="0.25">
      <c r="B85">
        <f t="shared" si="3"/>
        <v>0</v>
      </c>
      <c r="R85">
        <f t="shared" si="4"/>
        <v>0</v>
      </c>
    </row>
    <row r="86" spans="2:18" x14ac:dyDescent="0.25">
      <c r="B86">
        <f t="shared" si="3"/>
        <v>0</v>
      </c>
      <c r="R86">
        <f t="shared" si="4"/>
        <v>0</v>
      </c>
    </row>
    <row r="87" spans="2:18" x14ac:dyDescent="0.25">
      <c r="B87">
        <f t="shared" si="3"/>
        <v>0</v>
      </c>
      <c r="R87">
        <f t="shared" si="4"/>
        <v>0</v>
      </c>
    </row>
    <row r="88" spans="2:18" x14ac:dyDescent="0.25">
      <c r="B88">
        <f t="shared" si="3"/>
        <v>0</v>
      </c>
      <c r="R88">
        <f t="shared" si="4"/>
        <v>0</v>
      </c>
    </row>
    <row r="89" spans="2:18" x14ac:dyDescent="0.25">
      <c r="B89">
        <f t="shared" si="3"/>
        <v>0</v>
      </c>
      <c r="R89">
        <f t="shared" si="4"/>
        <v>0</v>
      </c>
    </row>
    <row r="90" spans="2:18" x14ac:dyDescent="0.25">
      <c r="B90">
        <f t="shared" si="3"/>
        <v>0</v>
      </c>
      <c r="R90">
        <f t="shared" si="4"/>
        <v>0</v>
      </c>
    </row>
    <row r="91" spans="2:18" x14ac:dyDescent="0.25">
      <c r="B91">
        <f t="shared" si="3"/>
        <v>0</v>
      </c>
      <c r="R91">
        <f t="shared" si="4"/>
        <v>0</v>
      </c>
    </row>
    <row r="92" spans="2:18" x14ac:dyDescent="0.25">
      <c r="B92">
        <f t="shared" si="3"/>
        <v>0</v>
      </c>
      <c r="R92">
        <f t="shared" si="4"/>
        <v>0</v>
      </c>
    </row>
    <row r="93" spans="2:18" x14ac:dyDescent="0.25">
      <c r="B93">
        <f t="shared" si="3"/>
        <v>0</v>
      </c>
      <c r="R93">
        <f t="shared" si="4"/>
        <v>0</v>
      </c>
    </row>
    <row r="94" spans="2:18" x14ac:dyDescent="0.25">
      <c r="B94">
        <f t="shared" si="3"/>
        <v>0</v>
      </c>
      <c r="R94">
        <f t="shared" si="4"/>
        <v>0</v>
      </c>
    </row>
    <row r="95" spans="2:18" x14ac:dyDescent="0.25">
      <c r="B95">
        <f t="shared" si="3"/>
        <v>0</v>
      </c>
      <c r="R95">
        <f t="shared" si="4"/>
        <v>0</v>
      </c>
    </row>
    <row r="96" spans="2:18" x14ac:dyDescent="0.25">
      <c r="B96">
        <f t="shared" si="3"/>
        <v>0</v>
      </c>
      <c r="R96">
        <f t="shared" si="4"/>
        <v>0</v>
      </c>
    </row>
    <row r="97" spans="2:18" x14ac:dyDescent="0.25">
      <c r="B97">
        <f t="shared" si="3"/>
        <v>0</v>
      </c>
      <c r="R97">
        <f t="shared" si="4"/>
        <v>0</v>
      </c>
    </row>
    <row r="98" spans="2:18" x14ac:dyDescent="0.25">
      <c r="B98">
        <f t="shared" si="3"/>
        <v>0</v>
      </c>
      <c r="R98">
        <f t="shared" si="4"/>
        <v>0</v>
      </c>
    </row>
    <row r="99" spans="2:18" x14ac:dyDescent="0.25">
      <c r="B99">
        <f t="shared" si="3"/>
        <v>0</v>
      </c>
      <c r="R99">
        <f t="shared" si="4"/>
        <v>0</v>
      </c>
    </row>
    <row r="100" spans="2:18" x14ac:dyDescent="0.25">
      <c r="B100">
        <f t="shared" si="3"/>
        <v>0</v>
      </c>
      <c r="R100">
        <f t="shared" si="4"/>
        <v>0</v>
      </c>
    </row>
    <row r="101" spans="2:18" x14ac:dyDescent="0.25">
      <c r="B101">
        <f t="shared" si="3"/>
        <v>0</v>
      </c>
      <c r="R101">
        <f t="shared" si="4"/>
        <v>0</v>
      </c>
    </row>
    <row r="102" spans="2:18" x14ac:dyDescent="0.25">
      <c r="B102">
        <f t="shared" si="3"/>
        <v>0</v>
      </c>
      <c r="R102">
        <f t="shared" si="4"/>
        <v>0</v>
      </c>
    </row>
    <row r="103" spans="2:18" x14ac:dyDescent="0.25">
      <c r="B103">
        <f t="shared" si="3"/>
        <v>0</v>
      </c>
      <c r="R103">
        <f t="shared" si="4"/>
        <v>0</v>
      </c>
    </row>
    <row r="104" spans="2:18" x14ac:dyDescent="0.25">
      <c r="B104">
        <f t="shared" si="3"/>
        <v>0</v>
      </c>
      <c r="R104">
        <f t="shared" si="4"/>
        <v>0</v>
      </c>
    </row>
    <row r="105" spans="2:18" x14ac:dyDescent="0.25">
      <c r="B105">
        <f t="shared" si="3"/>
        <v>0</v>
      </c>
      <c r="R105">
        <f t="shared" si="4"/>
        <v>0</v>
      </c>
    </row>
    <row r="106" spans="2:18" x14ac:dyDescent="0.25">
      <c r="B106">
        <f t="shared" si="3"/>
        <v>0</v>
      </c>
      <c r="R106">
        <f t="shared" si="4"/>
        <v>0</v>
      </c>
    </row>
    <row r="107" spans="2:18" x14ac:dyDescent="0.25">
      <c r="B107">
        <f t="shared" si="3"/>
        <v>0</v>
      </c>
      <c r="R107">
        <f t="shared" si="4"/>
        <v>0</v>
      </c>
    </row>
    <row r="108" spans="2:18" x14ac:dyDescent="0.25">
      <c r="B108">
        <f t="shared" si="3"/>
        <v>0</v>
      </c>
      <c r="R108">
        <f t="shared" si="4"/>
        <v>0</v>
      </c>
    </row>
    <row r="109" spans="2:18" x14ac:dyDescent="0.25">
      <c r="B109">
        <f t="shared" si="3"/>
        <v>0</v>
      </c>
      <c r="R109">
        <f t="shared" si="4"/>
        <v>0</v>
      </c>
    </row>
    <row r="110" spans="2:18" x14ac:dyDescent="0.25">
      <c r="B110">
        <f t="shared" si="3"/>
        <v>0</v>
      </c>
      <c r="R110">
        <f t="shared" si="4"/>
        <v>0</v>
      </c>
    </row>
    <row r="111" spans="2:18" x14ac:dyDescent="0.25">
      <c r="B111">
        <f t="shared" si="3"/>
        <v>0</v>
      </c>
      <c r="R111">
        <f t="shared" si="4"/>
        <v>0</v>
      </c>
    </row>
    <row r="112" spans="2:18" x14ac:dyDescent="0.25">
      <c r="B112">
        <f t="shared" si="3"/>
        <v>0</v>
      </c>
      <c r="R112">
        <f t="shared" si="4"/>
        <v>0</v>
      </c>
    </row>
    <row r="113" spans="2:18" x14ac:dyDescent="0.25">
      <c r="B113">
        <f t="shared" si="3"/>
        <v>0</v>
      </c>
      <c r="R113">
        <f t="shared" si="4"/>
        <v>0</v>
      </c>
    </row>
    <row r="114" spans="2:18" x14ac:dyDescent="0.25">
      <c r="B114">
        <f t="shared" si="3"/>
        <v>0</v>
      </c>
      <c r="R114">
        <f t="shared" si="4"/>
        <v>0</v>
      </c>
    </row>
    <row r="115" spans="2:18" x14ac:dyDescent="0.25">
      <c r="B115">
        <f t="shared" si="3"/>
        <v>0</v>
      </c>
      <c r="R115">
        <f t="shared" si="4"/>
        <v>0</v>
      </c>
    </row>
    <row r="116" spans="2:18" x14ac:dyDescent="0.25">
      <c r="B116">
        <f t="shared" si="3"/>
        <v>0</v>
      </c>
      <c r="R116">
        <f t="shared" si="4"/>
        <v>0</v>
      </c>
    </row>
    <row r="117" spans="2:18" x14ac:dyDescent="0.25">
      <c r="B117">
        <f t="shared" si="3"/>
        <v>0</v>
      </c>
      <c r="R117">
        <f t="shared" si="4"/>
        <v>0</v>
      </c>
    </row>
    <row r="118" spans="2:18" x14ac:dyDescent="0.25">
      <c r="B118">
        <f t="shared" si="3"/>
        <v>0</v>
      </c>
      <c r="R118">
        <f t="shared" si="4"/>
        <v>0</v>
      </c>
    </row>
    <row r="119" spans="2:18" x14ac:dyDescent="0.25">
      <c r="B119">
        <f t="shared" si="3"/>
        <v>0</v>
      </c>
      <c r="R119">
        <f t="shared" si="4"/>
        <v>0</v>
      </c>
    </row>
    <row r="120" spans="2:18" x14ac:dyDescent="0.25">
      <c r="B120">
        <f t="shared" si="3"/>
        <v>0</v>
      </c>
      <c r="R120">
        <f t="shared" si="4"/>
        <v>0</v>
      </c>
    </row>
    <row r="121" spans="2:18" x14ac:dyDescent="0.25">
      <c r="B121">
        <f t="shared" si="3"/>
        <v>0</v>
      </c>
      <c r="R121">
        <f t="shared" si="4"/>
        <v>0</v>
      </c>
    </row>
    <row r="122" spans="2:18" x14ac:dyDescent="0.25">
      <c r="B122">
        <f t="shared" si="3"/>
        <v>0</v>
      </c>
      <c r="R122">
        <f t="shared" si="4"/>
        <v>0</v>
      </c>
    </row>
    <row r="123" spans="2:18" x14ac:dyDescent="0.25">
      <c r="B123">
        <f t="shared" si="3"/>
        <v>0</v>
      </c>
      <c r="R123">
        <f t="shared" si="4"/>
        <v>0</v>
      </c>
    </row>
    <row r="124" spans="2:18" x14ac:dyDescent="0.25">
      <c r="B124">
        <f t="shared" si="3"/>
        <v>0</v>
      </c>
      <c r="R124">
        <f t="shared" si="4"/>
        <v>0</v>
      </c>
    </row>
    <row r="125" spans="2:18" x14ac:dyDescent="0.25">
      <c r="B125">
        <f t="shared" si="3"/>
        <v>0</v>
      </c>
      <c r="R125">
        <f t="shared" si="4"/>
        <v>0</v>
      </c>
    </row>
    <row r="126" spans="2:18" x14ac:dyDescent="0.25">
      <c r="B126">
        <f t="shared" si="3"/>
        <v>0</v>
      </c>
      <c r="R126">
        <f t="shared" si="4"/>
        <v>0</v>
      </c>
    </row>
    <row r="127" spans="2:18" x14ac:dyDescent="0.25">
      <c r="B127">
        <f t="shared" si="3"/>
        <v>0</v>
      </c>
      <c r="R127">
        <f t="shared" si="4"/>
        <v>0</v>
      </c>
    </row>
    <row r="128" spans="2:18" x14ac:dyDescent="0.25">
      <c r="B128">
        <f t="shared" si="3"/>
        <v>0</v>
      </c>
      <c r="R128">
        <f t="shared" si="4"/>
        <v>0</v>
      </c>
    </row>
    <row r="129" spans="2:18" x14ac:dyDescent="0.25">
      <c r="B129">
        <f t="shared" si="3"/>
        <v>0</v>
      </c>
      <c r="R129">
        <f t="shared" si="4"/>
        <v>0</v>
      </c>
    </row>
    <row r="130" spans="2:18" x14ac:dyDescent="0.25">
      <c r="B130">
        <f t="shared" ref="B130:B193" si="5">IFERROR(REPLACE(A130,FIND(" ; ",A130),20,""),A130)</f>
        <v>0</v>
      </c>
      <c r="R130">
        <f t="shared" si="4"/>
        <v>0</v>
      </c>
    </row>
    <row r="131" spans="2:18" x14ac:dyDescent="0.25">
      <c r="B131">
        <f t="shared" si="5"/>
        <v>0</v>
      </c>
      <c r="R131">
        <f t="shared" ref="R131:R194" si="6">IFERROR(REPLACE(Q131,FIND(" ; ",Q131),20,""),Q131)</f>
        <v>0</v>
      </c>
    </row>
    <row r="132" spans="2:18" x14ac:dyDescent="0.25">
      <c r="B132">
        <f t="shared" si="5"/>
        <v>0</v>
      </c>
      <c r="R132">
        <f t="shared" si="6"/>
        <v>0</v>
      </c>
    </row>
    <row r="133" spans="2:18" x14ac:dyDescent="0.25">
      <c r="B133">
        <f t="shared" si="5"/>
        <v>0</v>
      </c>
      <c r="R133">
        <f t="shared" si="6"/>
        <v>0</v>
      </c>
    </row>
    <row r="134" spans="2:18" x14ac:dyDescent="0.25">
      <c r="B134">
        <f t="shared" si="5"/>
        <v>0</v>
      </c>
      <c r="R134">
        <f t="shared" si="6"/>
        <v>0</v>
      </c>
    </row>
    <row r="135" spans="2:18" x14ac:dyDescent="0.25">
      <c r="B135">
        <f t="shared" si="5"/>
        <v>0</v>
      </c>
      <c r="R135">
        <f t="shared" si="6"/>
        <v>0</v>
      </c>
    </row>
    <row r="136" spans="2:18" x14ac:dyDescent="0.25">
      <c r="B136">
        <f t="shared" si="5"/>
        <v>0</v>
      </c>
      <c r="R136">
        <f t="shared" si="6"/>
        <v>0</v>
      </c>
    </row>
    <row r="137" spans="2:18" x14ac:dyDescent="0.25">
      <c r="B137">
        <f t="shared" si="5"/>
        <v>0</v>
      </c>
      <c r="R137">
        <f t="shared" si="6"/>
        <v>0</v>
      </c>
    </row>
    <row r="138" spans="2:18" x14ac:dyDescent="0.25">
      <c r="B138">
        <f t="shared" si="5"/>
        <v>0</v>
      </c>
      <c r="R138">
        <f t="shared" si="6"/>
        <v>0</v>
      </c>
    </row>
    <row r="139" spans="2:18" x14ac:dyDescent="0.25">
      <c r="B139">
        <f t="shared" si="5"/>
        <v>0</v>
      </c>
      <c r="R139">
        <f t="shared" si="6"/>
        <v>0</v>
      </c>
    </row>
    <row r="140" spans="2:18" x14ac:dyDescent="0.25">
      <c r="B140">
        <f t="shared" si="5"/>
        <v>0</v>
      </c>
      <c r="R140">
        <f t="shared" si="6"/>
        <v>0</v>
      </c>
    </row>
    <row r="141" spans="2:18" x14ac:dyDescent="0.25">
      <c r="B141">
        <f t="shared" si="5"/>
        <v>0</v>
      </c>
      <c r="R141">
        <f t="shared" si="6"/>
        <v>0</v>
      </c>
    </row>
    <row r="142" spans="2:18" x14ac:dyDescent="0.25">
      <c r="B142">
        <f t="shared" si="5"/>
        <v>0</v>
      </c>
      <c r="R142">
        <f t="shared" si="6"/>
        <v>0</v>
      </c>
    </row>
    <row r="143" spans="2:18" x14ac:dyDescent="0.25">
      <c r="B143">
        <f t="shared" si="5"/>
        <v>0</v>
      </c>
      <c r="R143">
        <f t="shared" si="6"/>
        <v>0</v>
      </c>
    </row>
    <row r="144" spans="2:18" x14ac:dyDescent="0.25">
      <c r="B144">
        <f t="shared" si="5"/>
        <v>0</v>
      </c>
      <c r="R144">
        <f t="shared" si="6"/>
        <v>0</v>
      </c>
    </row>
    <row r="145" spans="2:18" x14ac:dyDescent="0.25">
      <c r="B145">
        <f t="shared" si="5"/>
        <v>0</v>
      </c>
      <c r="R145">
        <f t="shared" si="6"/>
        <v>0</v>
      </c>
    </row>
    <row r="146" spans="2:18" x14ac:dyDescent="0.25">
      <c r="B146">
        <f t="shared" si="5"/>
        <v>0</v>
      </c>
      <c r="R146">
        <f t="shared" si="6"/>
        <v>0</v>
      </c>
    </row>
    <row r="147" spans="2:18" x14ac:dyDescent="0.25">
      <c r="B147">
        <f t="shared" si="5"/>
        <v>0</v>
      </c>
      <c r="R147">
        <f t="shared" si="6"/>
        <v>0</v>
      </c>
    </row>
    <row r="148" spans="2:18" x14ac:dyDescent="0.25">
      <c r="B148">
        <f t="shared" si="5"/>
        <v>0</v>
      </c>
      <c r="R148">
        <f t="shared" si="6"/>
        <v>0</v>
      </c>
    </row>
    <row r="149" spans="2:18" x14ac:dyDescent="0.25">
      <c r="B149">
        <f t="shared" si="5"/>
        <v>0</v>
      </c>
      <c r="R149">
        <f t="shared" si="6"/>
        <v>0</v>
      </c>
    </row>
    <row r="150" spans="2:18" x14ac:dyDescent="0.25">
      <c r="B150">
        <f t="shared" si="5"/>
        <v>0</v>
      </c>
      <c r="R150">
        <f t="shared" si="6"/>
        <v>0</v>
      </c>
    </row>
    <row r="151" spans="2:18" x14ac:dyDescent="0.25">
      <c r="B151">
        <f t="shared" si="5"/>
        <v>0</v>
      </c>
      <c r="R151">
        <f t="shared" si="6"/>
        <v>0</v>
      </c>
    </row>
    <row r="152" spans="2:18" x14ac:dyDescent="0.25">
      <c r="B152">
        <f t="shared" si="5"/>
        <v>0</v>
      </c>
      <c r="R152">
        <f t="shared" si="6"/>
        <v>0</v>
      </c>
    </row>
    <row r="153" spans="2:18" x14ac:dyDescent="0.25">
      <c r="B153">
        <f t="shared" si="5"/>
        <v>0</v>
      </c>
      <c r="R153">
        <f t="shared" si="6"/>
        <v>0</v>
      </c>
    </row>
    <row r="154" spans="2:18" x14ac:dyDescent="0.25">
      <c r="B154">
        <f t="shared" si="5"/>
        <v>0</v>
      </c>
      <c r="R154">
        <f t="shared" si="6"/>
        <v>0</v>
      </c>
    </row>
    <row r="155" spans="2:18" x14ac:dyDescent="0.25">
      <c r="B155">
        <f t="shared" si="5"/>
        <v>0</v>
      </c>
      <c r="R155">
        <f t="shared" si="6"/>
        <v>0</v>
      </c>
    </row>
    <row r="156" spans="2:18" x14ac:dyDescent="0.25">
      <c r="B156">
        <f t="shared" si="5"/>
        <v>0</v>
      </c>
      <c r="R156">
        <f t="shared" si="6"/>
        <v>0</v>
      </c>
    </row>
    <row r="157" spans="2:18" x14ac:dyDescent="0.25">
      <c r="B157">
        <f t="shared" si="5"/>
        <v>0</v>
      </c>
      <c r="R157">
        <f t="shared" si="6"/>
        <v>0</v>
      </c>
    </row>
    <row r="158" spans="2:18" x14ac:dyDescent="0.25">
      <c r="B158">
        <f t="shared" si="5"/>
        <v>0</v>
      </c>
      <c r="R158">
        <f t="shared" si="6"/>
        <v>0</v>
      </c>
    </row>
    <row r="159" spans="2:18" x14ac:dyDescent="0.25">
      <c r="B159">
        <f t="shared" si="5"/>
        <v>0</v>
      </c>
      <c r="R159">
        <f t="shared" si="6"/>
        <v>0</v>
      </c>
    </row>
    <row r="160" spans="2:18" x14ac:dyDescent="0.25">
      <c r="B160">
        <f t="shared" si="5"/>
        <v>0</v>
      </c>
      <c r="R160">
        <f t="shared" si="6"/>
        <v>0</v>
      </c>
    </row>
    <row r="161" spans="2:18" x14ac:dyDescent="0.25">
      <c r="B161">
        <f t="shared" si="5"/>
        <v>0</v>
      </c>
      <c r="R161">
        <f t="shared" si="6"/>
        <v>0</v>
      </c>
    </row>
    <row r="162" spans="2:18" x14ac:dyDescent="0.25">
      <c r="B162">
        <f t="shared" si="5"/>
        <v>0</v>
      </c>
      <c r="R162">
        <f t="shared" si="6"/>
        <v>0</v>
      </c>
    </row>
    <row r="163" spans="2:18" x14ac:dyDescent="0.25">
      <c r="B163">
        <f t="shared" si="5"/>
        <v>0</v>
      </c>
      <c r="R163">
        <f t="shared" si="6"/>
        <v>0</v>
      </c>
    </row>
    <row r="164" spans="2:18" x14ac:dyDescent="0.25">
      <c r="B164">
        <f t="shared" si="5"/>
        <v>0</v>
      </c>
      <c r="R164">
        <f t="shared" si="6"/>
        <v>0</v>
      </c>
    </row>
    <row r="165" spans="2:18" x14ac:dyDescent="0.25">
      <c r="B165">
        <f t="shared" si="5"/>
        <v>0</v>
      </c>
      <c r="R165">
        <f t="shared" si="6"/>
        <v>0</v>
      </c>
    </row>
    <row r="166" spans="2:18" x14ac:dyDescent="0.25">
      <c r="B166">
        <f t="shared" si="5"/>
        <v>0</v>
      </c>
      <c r="R166">
        <f t="shared" si="6"/>
        <v>0</v>
      </c>
    </row>
    <row r="167" spans="2:18" x14ac:dyDescent="0.25">
      <c r="B167">
        <f t="shared" si="5"/>
        <v>0</v>
      </c>
      <c r="R167">
        <f t="shared" si="6"/>
        <v>0</v>
      </c>
    </row>
    <row r="168" spans="2:18" x14ac:dyDescent="0.25">
      <c r="B168">
        <f t="shared" si="5"/>
        <v>0</v>
      </c>
      <c r="R168">
        <f t="shared" si="6"/>
        <v>0</v>
      </c>
    </row>
    <row r="169" spans="2:18" x14ac:dyDescent="0.25">
      <c r="B169">
        <f t="shared" si="5"/>
        <v>0</v>
      </c>
      <c r="R169">
        <f t="shared" si="6"/>
        <v>0</v>
      </c>
    </row>
    <row r="170" spans="2:18" x14ac:dyDescent="0.25">
      <c r="B170">
        <f t="shared" si="5"/>
        <v>0</v>
      </c>
      <c r="R170">
        <f t="shared" si="6"/>
        <v>0</v>
      </c>
    </row>
    <row r="171" spans="2:18" x14ac:dyDescent="0.25">
      <c r="B171">
        <f t="shared" si="5"/>
        <v>0</v>
      </c>
      <c r="R171">
        <f t="shared" si="6"/>
        <v>0</v>
      </c>
    </row>
    <row r="172" spans="2:18" x14ac:dyDescent="0.25">
      <c r="B172">
        <f t="shared" si="5"/>
        <v>0</v>
      </c>
      <c r="R172">
        <f t="shared" si="6"/>
        <v>0</v>
      </c>
    </row>
    <row r="173" spans="2:18" x14ac:dyDescent="0.25">
      <c r="B173">
        <f t="shared" si="5"/>
        <v>0</v>
      </c>
      <c r="R173">
        <f t="shared" si="6"/>
        <v>0</v>
      </c>
    </row>
    <row r="174" spans="2:18" x14ac:dyDescent="0.25">
      <c r="B174">
        <f t="shared" si="5"/>
        <v>0</v>
      </c>
      <c r="R174">
        <f t="shared" si="6"/>
        <v>0</v>
      </c>
    </row>
    <row r="175" spans="2:18" x14ac:dyDescent="0.25">
      <c r="B175">
        <f t="shared" si="5"/>
        <v>0</v>
      </c>
      <c r="R175">
        <f t="shared" si="6"/>
        <v>0</v>
      </c>
    </row>
    <row r="176" spans="2:18" x14ac:dyDescent="0.25">
      <c r="B176">
        <f t="shared" si="5"/>
        <v>0</v>
      </c>
      <c r="R176">
        <f t="shared" si="6"/>
        <v>0</v>
      </c>
    </row>
    <row r="177" spans="2:18" x14ac:dyDescent="0.25">
      <c r="B177">
        <f t="shared" si="5"/>
        <v>0</v>
      </c>
      <c r="R177">
        <f t="shared" si="6"/>
        <v>0</v>
      </c>
    </row>
    <row r="178" spans="2:18" x14ac:dyDescent="0.25">
      <c r="B178">
        <f t="shared" si="5"/>
        <v>0</v>
      </c>
      <c r="R178">
        <f t="shared" si="6"/>
        <v>0</v>
      </c>
    </row>
    <row r="179" spans="2:18" x14ac:dyDescent="0.25">
      <c r="B179">
        <f t="shared" si="5"/>
        <v>0</v>
      </c>
      <c r="R179">
        <f t="shared" si="6"/>
        <v>0</v>
      </c>
    </row>
    <row r="180" spans="2:18" x14ac:dyDescent="0.25">
      <c r="B180">
        <f t="shared" si="5"/>
        <v>0</v>
      </c>
      <c r="R180">
        <f t="shared" si="6"/>
        <v>0</v>
      </c>
    </row>
    <row r="181" spans="2:18" x14ac:dyDescent="0.25">
      <c r="B181">
        <f t="shared" si="5"/>
        <v>0</v>
      </c>
      <c r="R181">
        <f t="shared" si="6"/>
        <v>0</v>
      </c>
    </row>
    <row r="182" spans="2:18" x14ac:dyDescent="0.25">
      <c r="B182">
        <f t="shared" si="5"/>
        <v>0</v>
      </c>
      <c r="R182">
        <f t="shared" si="6"/>
        <v>0</v>
      </c>
    </row>
    <row r="183" spans="2:18" x14ac:dyDescent="0.25">
      <c r="B183">
        <f t="shared" si="5"/>
        <v>0</v>
      </c>
      <c r="R183">
        <f t="shared" si="6"/>
        <v>0</v>
      </c>
    </row>
    <row r="184" spans="2:18" x14ac:dyDescent="0.25">
      <c r="B184">
        <f t="shared" si="5"/>
        <v>0</v>
      </c>
      <c r="R184">
        <f t="shared" si="6"/>
        <v>0</v>
      </c>
    </row>
    <row r="185" spans="2:18" x14ac:dyDescent="0.25">
      <c r="B185">
        <f t="shared" si="5"/>
        <v>0</v>
      </c>
      <c r="R185">
        <f t="shared" si="6"/>
        <v>0</v>
      </c>
    </row>
    <row r="186" spans="2:18" x14ac:dyDescent="0.25">
      <c r="B186">
        <f t="shared" si="5"/>
        <v>0</v>
      </c>
      <c r="R186">
        <f t="shared" si="6"/>
        <v>0</v>
      </c>
    </row>
    <row r="187" spans="2:18" x14ac:dyDescent="0.25">
      <c r="B187">
        <f t="shared" si="5"/>
        <v>0</v>
      </c>
      <c r="R187">
        <f t="shared" si="6"/>
        <v>0</v>
      </c>
    </row>
    <row r="188" spans="2:18" x14ac:dyDescent="0.25">
      <c r="B188">
        <f t="shared" si="5"/>
        <v>0</v>
      </c>
      <c r="R188">
        <f t="shared" si="6"/>
        <v>0</v>
      </c>
    </row>
    <row r="189" spans="2:18" x14ac:dyDescent="0.25">
      <c r="B189">
        <f t="shared" si="5"/>
        <v>0</v>
      </c>
      <c r="R189">
        <f t="shared" si="6"/>
        <v>0</v>
      </c>
    </row>
    <row r="190" spans="2:18" x14ac:dyDescent="0.25">
      <c r="B190">
        <f t="shared" si="5"/>
        <v>0</v>
      </c>
      <c r="R190">
        <f t="shared" si="6"/>
        <v>0</v>
      </c>
    </row>
    <row r="191" spans="2:18" x14ac:dyDescent="0.25">
      <c r="B191">
        <f t="shared" si="5"/>
        <v>0</v>
      </c>
      <c r="R191">
        <f t="shared" si="6"/>
        <v>0</v>
      </c>
    </row>
    <row r="192" spans="2:18" x14ac:dyDescent="0.25">
      <c r="B192">
        <f t="shared" si="5"/>
        <v>0</v>
      </c>
      <c r="R192">
        <f t="shared" si="6"/>
        <v>0</v>
      </c>
    </row>
    <row r="193" spans="2:18" x14ac:dyDescent="0.25">
      <c r="B193">
        <f t="shared" si="5"/>
        <v>0</v>
      </c>
      <c r="R193">
        <f t="shared" si="6"/>
        <v>0</v>
      </c>
    </row>
    <row r="194" spans="2:18" x14ac:dyDescent="0.25">
      <c r="B194">
        <f t="shared" ref="B194:B257" si="7">IFERROR(REPLACE(A194,FIND(" ; ",A194),20,""),A194)</f>
        <v>0</v>
      </c>
      <c r="R194">
        <f t="shared" si="6"/>
        <v>0</v>
      </c>
    </row>
    <row r="195" spans="2:18" x14ac:dyDescent="0.25">
      <c r="B195">
        <f t="shared" si="7"/>
        <v>0</v>
      </c>
      <c r="R195">
        <f t="shared" ref="R195:R258" si="8">IFERROR(REPLACE(Q195,FIND(" ; ",Q195),20,""),Q195)</f>
        <v>0</v>
      </c>
    </row>
    <row r="196" spans="2:18" x14ac:dyDescent="0.25">
      <c r="B196">
        <f t="shared" si="7"/>
        <v>0</v>
      </c>
      <c r="R196">
        <f t="shared" si="8"/>
        <v>0</v>
      </c>
    </row>
    <row r="197" spans="2:18" x14ac:dyDescent="0.25">
      <c r="B197">
        <f t="shared" si="7"/>
        <v>0</v>
      </c>
      <c r="R197">
        <f t="shared" si="8"/>
        <v>0</v>
      </c>
    </row>
    <row r="198" spans="2:18" x14ac:dyDescent="0.25">
      <c r="B198">
        <f t="shared" si="7"/>
        <v>0</v>
      </c>
      <c r="R198">
        <f t="shared" si="8"/>
        <v>0</v>
      </c>
    </row>
    <row r="199" spans="2:18" x14ac:dyDescent="0.25">
      <c r="B199">
        <f t="shared" si="7"/>
        <v>0</v>
      </c>
      <c r="R199">
        <f t="shared" si="8"/>
        <v>0</v>
      </c>
    </row>
    <row r="200" spans="2:18" x14ac:dyDescent="0.25">
      <c r="B200">
        <f t="shared" si="7"/>
        <v>0</v>
      </c>
      <c r="R200">
        <f t="shared" si="8"/>
        <v>0</v>
      </c>
    </row>
    <row r="201" spans="2:18" x14ac:dyDescent="0.25">
      <c r="B201">
        <f t="shared" si="7"/>
        <v>0</v>
      </c>
      <c r="R201">
        <f t="shared" si="8"/>
        <v>0</v>
      </c>
    </row>
    <row r="202" spans="2:18" x14ac:dyDescent="0.25">
      <c r="B202">
        <f t="shared" si="7"/>
        <v>0</v>
      </c>
      <c r="R202">
        <f t="shared" si="8"/>
        <v>0</v>
      </c>
    </row>
    <row r="203" spans="2:18" x14ac:dyDescent="0.25">
      <c r="B203">
        <f t="shared" si="7"/>
        <v>0</v>
      </c>
      <c r="R203">
        <f t="shared" si="8"/>
        <v>0</v>
      </c>
    </row>
    <row r="204" spans="2:18" x14ac:dyDescent="0.25">
      <c r="B204">
        <f t="shared" si="7"/>
        <v>0</v>
      </c>
      <c r="R204">
        <f t="shared" si="8"/>
        <v>0</v>
      </c>
    </row>
    <row r="205" spans="2:18" x14ac:dyDescent="0.25">
      <c r="B205">
        <f t="shared" si="7"/>
        <v>0</v>
      </c>
      <c r="R205">
        <f t="shared" si="8"/>
        <v>0</v>
      </c>
    </row>
    <row r="206" spans="2:18" x14ac:dyDescent="0.25">
      <c r="B206">
        <f t="shared" si="7"/>
        <v>0</v>
      </c>
      <c r="R206">
        <f t="shared" si="8"/>
        <v>0</v>
      </c>
    </row>
    <row r="207" spans="2:18" x14ac:dyDescent="0.25">
      <c r="B207">
        <f t="shared" si="7"/>
        <v>0</v>
      </c>
      <c r="R207">
        <f t="shared" si="8"/>
        <v>0</v>
      </c>
    </row>
    <row r="208" spans="2:18" x14ac:dyDescent="0.25">
      <c r="B208">
        <f t="shared" si="7"/>
        <v>0</v>
      </c>
      <c r="R208">
        <f t="shared" si="8"/>
        <v>0</v>
      </c>
    </row>
    <row r="209" spans="2:18" x14ac:dyDescent="0.25">
      <c r="B209">
        <f t="shared" si="7"/>
        <v>0</v>
      </c>
      <c r="R209">
        <f t="shared" si="8"/>
        <v>0</v>
      </c>
    </row>
    <row r="210" spans="2:18" x14ac:dyDescent="0.25">
      <c r="B210">
        <f t="shared" si="7"/>
        <v>0</v>
      </c>
      <c r="R210">
        <f t="shared" si="8"/>
        <v>0</v>
      </c>
    </row>
    <row r="211" spans="2:18" x14ac:dyDescent="0.25">
      <c r="B211">
        <f t="shared" si="7"/>
        <v>0</v>
      </c>
      <c r="R211">
        <f t="shared" si="8"/>
        <v>0</v>
      </c>
    </row>
    <row r="212" spans="2:18" x14ac:dyDescent="0.25">
      <c r="B212">
        <f t="shared" si="7"/>
        <v>0</v>
      </c>
      <c r="R212">
        <f t="shared" si="8"/>
        <v>0</v>
      </c>
    </row>
    <row r="213" spans="2:18" x14ac:dyDescent="0.25">
      <c r="B213">
        <f t="shared" si="7"/>
        <v>0</v>
      </c>
      <c r="R213">
        <f t="shared" si="8"/>
        <v>0</v>
      </c>
    </row>
    <row r="214" spans="2:18" x14ac:dyDescent="0.25">
      <c r="B214">
        <f t="shared" si="7"/>
        <v>0</v>
      </c>
      <c r="R214">
        <f t="shared" si="8"/>
        <v>0</v>
      </c>
    </row>
    <row r="215" spans="2:18" x14ac:dyDescent="0.25">
      <c r="B215">
        <f t="shared" si="7"/>
        <v>0</v>
      </c>
      <c r="R215">
        <f t="shared" si="8"/>
        <v>0</v>
      </c>
    </row>
    <row r="216" spans="2:18" x14ac:dyDescent="0.25">
      <c r="B216">
        <f t="shared" si="7"/>
        <v>0</v>
      </c>
      <c r="R216">
        <f t="shared" si="8"/>
        <v>0</v>
      </c>
    </row>
    <row r="217" spans="2:18" x14ac:dyDescent="0.25">
      <c r="B217">
        <f t="shared" si="7"/>
        <v>0</v>
      </c>
      <c r="R217">
        <f t="shared" si="8"/>
        <v>0</v>
      </c>
    </row>
    <row r="218" spans="2:18" x14ac:dyDescent="0.25">
      <c r="B218">
        <f t="shared" si="7"/>
        <v>0</v>
      </c>
      <c r="R218">
        <f t="shared" si="8"/>
        <v>0</v>
      </c>
    </row>
    <row r="219" spans="2:18" x14ac:dyDescent="0.25">
      <c r="B219">
        <f t="shared" si="7"/>
        <v>0</v>
      </c>
      <c r="R219">
        <f t="shared" si="8"/>
        <v>0</v>
      </c>
    </row>
    <row r="220" spans="2:18" x14ac:dyDescent="0.25">
      <c r="B220">
        <f t="shared" si="7"/>
        <v>0</v>
      </c>
      <c r="R220">
        <f t="shared" si="8"/>
        <v>0</v>
      </c>
    </row>
    <row r="221" spans="2:18" x14ac:dyDescent="0.25">
      <c r="B221">
        <f t="shared" si="7"/>
        <v>0</v>
      </c>
      <c r="R221">
        <f t="shared" si="8"/>
        <v>0</v>
      </c>
    </row>
    <row r="222" spans="2:18" x14ac:dyDescent="0.25">
      <c r="B222">
        <f t="shared" si="7"/>
        <v>0</v>
      </c>
      <c r="R222">
        <f t="shared" si="8"/>
        <v>0</v>
      </c>
    </row>
    <row r="223" spans="2:18" x14ac:dyDescent="0.25">
      <c r="B223">
        <f t="shared" si="7"/>
        <v>0</v>
      </c>
      <c r="R223">
        <f t="shared" si="8"/>
        <v>0</v>
      </c>
    </row>
    <row r="224" spans="2:18" x14ac:dyDescent="0.25">
      <c r="B224">
        <f t="shared" si="7"/>
        <v>0</v>
      </c>
      <c r="R224">
        <f t="shared" si="8"/>
        <v>0</v>
      </c>
    </row>
    <row r="225" spans="2:18" x14ac:dyDescent="0.25">
      <c r="B225">
        <f t="shared" si="7"/>
        <v>0</v>
      </c>
      <c r="R225">
        <f t="shared" si="8"/>
        <v>0</v>
      </c>
    </row>
    <row r="226" spans="2:18" x14ac:dyDescent="0.25">
      <c r="B226">
        <f t="shared" si="7"/>
        <v>0</v>
      </c>
      <c r="R226">
        <f t="shared" si="8"/>
        <v>0</v>
      </c>
    </row>
    <row r="227" spans="2:18" x14ac:dyDescent="0.25">
      <c r="B227">
        <f t="shared" si="7"/>
        <v>0</v>
      </c>
      <c r="R227">
        <f t="shared" si="8"/>
        <v>0</v>
      </c>
    </row>
    <row r="228" spans="2:18" x14ac:dyDescent="0.25">
      <c r="B228">
        <f t="shared" si="7"/>
        <v>0</v>
      </c>
      <c r="R228">
        <f t="shared" si="8"/>
        <v>0</v>
      </c>
    </row>
    <row r="229" spans="2:18" x14ac:dyDescent="0.25">
      <c r="B229">
        <f t="shared" si="7"/>
        <v>0</v>
      </c>
      <c r="R229">
        <f t="shared" si="8"/>
        <v>0</v>
      </c>
    </row>
    <row r="230" spans="2:18" x14ac:dyDescent="0.25">
      <c r="B230">
        <f t="shared" si="7"/>
        <v>0</v>
      </c>
      <c r="R230">
        <f t="shared" si="8"/>
        <v>0</v>
      </c>
    </row>
    <row r="231" spans="2:18" x14ac:dyDescent="0.25">
      <c r="B231">
        <f t="shared" si="7"/>
        <v>0</v>
      </c>
      <c r="R231">
        <f t="shared" si="8"/>
        <v>0</v>
      </c>
    </row>
    <row r="232" spans="2:18" x14ac:dyDescent="0.25">
      <c r="B232">
        <f t="shared" si="7"/>
        <v>0</v>
      </c>
      <c r="R232">
        <f t="shared" si="8"/>
        <v>0</v>
      </c>
    </row>
    <row r="233" spans="2:18" x14ac:dyDescent="0.25">
      <c r="B233">
        <f t="shared" si="7"/>
        <v>0</v>
      </c>
      <c r="R233">
        <f t="shared" si="8"/>
        <v>0</v>
      </c>
    </row>
    <row r="234" spans="2:18" x14ac:dyDescent="0.25">
      <c r="B234">
        <f t="shared" si="7"/>
        <v>0</v>
      </c>
      <c r="R234">
        <f t="shared" si="8"/>
        <v>0</v>
      </c>
    </row>
    <row r="235" spans="2:18" x14ac:dyDescent="0.25">
      <c r="B235">
        <f t="shared" si="7"/>
        <v>0</v>
      </c>
      <c r="R235">
        <f t="shared" si="8"/>
        <v>0</v>
      </c>
    </row>
    <row r="236" spans="2:18" x14ac:dyDescent="0.25">
      <c r="B236">
        <f t="shared" si="7"/>
        <v>0</v>
      </c>
      <c r="R236">
        <f t="shared" si="8"/>
        <v>0</v>
      </c>
    </row>
    <row r="237" spans="2:18" x14ac:dyDescent="0.25">
      <c r="B237">
        <f t="shared" si="7"/>
        <v>0</v>
      </c>
      <c r="R237">
        <f t="shared" si="8"/>
        <v>0</v>
      </c>
    </row>
    <row r="238" spans="2:18" x14ac:dyDescent="0.25">
      <c r="B238">
        <f t="shared" si="7"/>
        <v>0</v>
      </c>
      <c r="R238">
        <f t="shared" si="8"/>
        <v>0</v>
      </c>
    </row>
    <row r="239" spans="2:18" x14ac:dyDescent="0.25">
      <c r="B239">
        <f t="shared" si="7"/>
        <v>0</v>
      </c>
      <c r="R239">
        <f t="shared" si="8"/>
        <v>0</v>
      </c>
    </row>
    <row r="240" spans="2:18" x14ac:dyDescent="0.25">
      <c r="B240">
        <f t="shared" si="7"/>
        <v>0</v>
      </c>
      <c r="R240">
        <f t="shared" si="8"/>
        <v>0</v>
      </c>
    </row>
    <row r="241" spans="2:18" x14ac:dyDescent="0.25">
      <c r="B241">
        <f t="shared" si="7"/>
        <v>0</v>
      </c>
      <c r="R241">
        <f t="shared" si="8"/>
        <v>0</v>
      </c>
    </row>
    <row r="242" spans="2:18" x14ac:dyDescent="0.25">
      <c r="B242">
        <f t="shared" si="7"/>
        <v>0</v>
      </c>
      <c r="R242">
        <f t="shared" si="8"/>
        <v>0</v>
      </c>
    </row>
    <row r="243" spans="2:18" x14ac:dyDescent="0.25">
      <c r="B243">
        <f t="shared" si="7"/>
        <v>0</v>
      </c>
      <c r="R243">
        <f t="shared" si="8"/>
        <v>0</v>
      </c>
    </row>
    <row r="244" spans="2:18" x14ac:dyDescent="0.25">
      <c r="B244">
        <f t="shared" si="7"/>
        <v>0</v>
      </c>
      <c r="R244">
        <f t="shared" si="8"/>
        <v>0</v>
      </c>
    </row>
    <row r="245" spans="2:18" x14ac:dyDescent="0.25">
      <c r="B245">
        <f t="shared" si="7"/>
        <v>0</v>
      </c>
      <c r="R245">
        <f t="shared" si="8"/>
        <v>0</v>
      </c>
    </row>
    <row r="246" spans="2:18" x14ac:dyDescent="0.25">
      <c r="B246">
        <f t="shared" si="7"/>
        <v>0</v>
      </c>
      <c r="R246">
        <f t="shared" si="8"/>
        <v>0</v>
      </c>
    </row>
    <row r="247" spans="2:18" x14ac:dyDescent="0.25">
      <c r="B247">
        <f t="shared" si="7"/>
        <v>0</v>
      </c>
      <c r="R247">
        <f t="shared" si="8"/>
        <v>0</v>
      </c>
    </row>
    <row r="248" spans="2:18" x14ac:dyDescent="0.25">
      <c r="B248">
        <f t="shared" si="7"/>
        <v>0</v>
      </c>
      <c r="R248">
        <f t="shared" si="8"/>
        <v>0</v>
      </c>
    </row>
    <row r="249" spans="2:18" x14ac:dyDescent="0.25">
      <c r="B249">
        <f t="shared" si="7"/>
        <v>0</v>
      </c>
      <c r="R249">
        <f t="shared" si="8"/>
        <v>0</v>
      </c>
    </row>
    <row r="250" spans="2:18" x14ac:dyDescent="0.25">
      <c r="B250">
        <f t="shared" si="7"/>
        <v>0</v>
      </c>
      <c r="R250">
        <f t="shared" si="8"/>
        <v>0</v>
      </c>
    </row>
    <row r="251" spans="2:18" x14ac:dyDescent="0.25">
      <c r="B251">
        <f t="shared" si="7"/>
        <v>0</v>
      </c>
      <c r="R251">
        <f t="shared" si="8"/>
        <v>0</v>
      </c>
    </row>
    <row r="252" spans="2:18" x14ac:dyDescent="0.25">
      <c r="B252">
        <f t="shared" si="7"/>
        <v>0</v>
      </c>
      <c r="R252">
        <f t="shared" si="8"/>
        <v>0</v>
      </c>
    </row>
    <row r="253" spans="2:18" x14ac:dyDescent="0.25">
      <c r="B253">
        <f t="shared" si="7"/>
        <v>0</v>
      </c>
      <c r="R253">
        <f t="shared" si="8"/>
        <v>0</v>
      </c>
    </row>
    <row r="254" spans="2:18" x14ac:dyDescent="0.25">
      <c r="B254">
        <f t="shared" si="7"/>
        <v>0</v>
      </c>
      <c r="R254">
        <f t="shared" si="8"/>
        <v>0</v>
      </c>
    </row>
    <row r="255" spans="2:18" x14ac:dyDescent="0.25">
      <c r="B255">
        <f t="shared" si="7"/>
        <v>0</v>
      </c>
      <c r="R255">
        <f t="shared" si="8"/>
        <v>0</v>
      </c>
    </row>
    <row r="256" spans="2:18" x14ac:dyDescent="0.25">
      <c r="B256">
        <f t="shared" si="7"/>
        <v>0</v>
      </c>
      <c r="R256">
        <f t="shared" si="8"/>
        <v>0</v>
      </c>
    </row>
    <row r="257" spans="2:18" x14ac:dyDescent="0.25">
      <c r="B257">
        <f t="shared" si="7"/>
        <v>0</v>
      </c>
      <c r="R257">
        <f t="shared" si="8"/>
        <v>0</v>
      </c>
    </row>
    <row r="258" spans="2:18" x14ac:dyDescent="0.25">
      <c r="B258">
        <f t="shared" ref="B258:B321" si="9">IFERROR(REPLACE(A258,FIND(" ; ",A258),20,""),A258)</f>
        <v>0</v>
      </c>
      <c r="R258">
        <f t="shared" si="8"/>
        <v>0</v>
      </c>
    </row>
    <row r="259" spans="2:18" x14ac:dyDescent="0.25">
      <c r="B259">
        <f t="shared" si="9"/>
        <v>0</v>
      </c>
      <c r="R259">
        <f t="shared" ref="R259:R322" si="10">IFERROR(REPLACE(Q259,FIND(" ; ",Q259),20,""),Q259)</f>
        <v>0</v>
      </c>
    </row>
    <row r="260" spans="2:18" x14ac:dyDescent="0.25">
      <c r="B260">
        <f t="shared" si="9"/>
        <v>0</v>
      </c>
      <c r="R260">
        <f t="shared" si="10"/>
        <v>0</v>
      </c>
    </row>
    <row r="261" spans="2:18" x14ac:dyDescent="0.25">
      <c r="B261">
        <f t="shared" si="9"/>
        <v>0</v>
      </c>
      <c r="R261">
        <f t="shared" si="10"/>
        <v>0</v>
      </c>
    </row>
    <row r="262" spans="2:18" x14ac:dyDescent="0.25">
      <c r="B262">
        <f t="shared" si="9"/>
        <v>0</v>
      </c>
      <c r="R262">
        <f t="shared" si="10"/>
        <v>0</v>
      </c>
    </row>
    <row r="263" spans="2:18" x14ac:dyDescent="0.25">
      <c r="B263">
        <f t="shared" si="9"/>
        <v>0</v>
      </c>
      <c r="R263">
        <f t="shared" si="10"/>
        <v>0</v>
      </c>
    </row>
    <row r="264" spans="2:18" x14ac:dyDescent="0.25">
      <c r="B264">
        <f t="shared" si="9"/>
        <v>0</v>
      </c>
      <c r="R264">
        <f t="shared" si="10"/>
        <v>0</v>
      </c>
    </row>
    <row r="265" spans="2:18" x14ac:dyDescent="0.25">
      <c r="B265">
        <f t="shared" si="9"/>
        <v>0</v>
      </c>
      <c r="R265">
        <f t="shared" si="10"/>
        <v>0</v>
      </c>
    </row>
    <row r="266" spans="2:18" x14ac:dyDescent="0.25">
      <c r="B266">
        <f t="shared" si="9"/>
        <v>0</v>
      </c>
      <c r="R266">
        <f t="shared" si="10"/>
        <v>0</v>
      </c>
    </row>
    <row r="267" spans="2:18" x14ac:dyDescent="0.25">
      <c r="B267">
        <f t="shared" si="9"/>
        <v>0</v>
      </c>
      <c r="R267">
        <f t="shared" si="10"/>
        <v>0</v>
      </c>
    </row>
    <row r="268" spans="2:18" x14ac:dyDescent="0.25">
      <c r="B268">
        <f t="shared" si="9"/>
        <v>0</v>
      </c>
      <c r="R268">
        <f t="shared" si="10"/>
        <v>0</v>
      </c>
    </row>
    <row r="269" spans="2:18" x14ac:dyDescent="0.25">
      <c r="B269">
        <f t="shared" si="9"/>
        <v>0</v>
      </c>
      <c r="R269">
        <f t="shared" si="10"/>
        <v>0</v>
      </c>
    </row>
    <row r="270" spans="2:18" x14ac:dyDescent="0.25">
      <c r="B270">
        <f t="shared" si="9"/>
        <v>0</v>
      </c>
      <c r="R270">
        <f t="shared" si="10"/>
        <v>0</v>
      </c>
    </row>
    <row r="271" spans="2:18" x14ac:dyDescent="0.25">
      <c r="B271">
        <f t="shared" si="9"/>
        <v>0</v>
      </c>
      <c r="R271">
        <f t="shared" si="10"/>
        <v>0</v>
      </c>
    </row>
    <row r="272" spans="2:18" x14ac:dyDescent="0.25">
      <c r="B272">
        <f t="shared" si="9"/>
        <v>0</v>
      </c>
      <c r="R272">
        <f t="shared" si="10"/>
        <v>0</v>
      </c>
    </row>
    <row r="273" spans="2:18" x14ac:dyDescent="0.25">
      <c r="B273">
        <f t="shared" si="9"/>
        <v>0</v>
      </c>
      <c r="R273">
        <f t="shared" si="10"/>
        <v>0</v>
      </c>
    </row>
    <row r="274" spans="2:18" x14ac:dyDescent="0.25">
      <c r="B274">
        <f t="shared" si="9"/>
        <v>0</v>
      </c>
      <c r="R274">
        <f t="shared" si="10"/>
        <v>0</v>
      </c>
    </row>
    <row r="275" spans="2:18" x14ac:dyDescent="0.25">
      <c r="B275">
        <f t="shared" si="9"/>
        <v>0</v>
      </c>
      <c r="R275">
        <f t="shared" si="10"/>
        <v>0</v>
      </c>
    </row>
    <row r="276" spans="2:18" x14ac:dyDescent="0.25">
      <c r="B276">
        <f t="shared" si="9"/>
        <v>0</v>
      </c>
      <c r="R276">
        <f t="shared" si="10"/>
        <v>0</v>
      </c>
    </row>
    <row r="277" spans="2:18" x14ac:dyDescent="0.25">
      <c r="B277">
        <f t="shared" si="9"/>
        <v>0</v>
      </c>
      <c r="R277">
        <f t="shared" si="10"/>
        <v>0</v>
      </c>
    </row>
    <row r="278" spans="2:18" x14ac:dyDescent="0.25">
      <c r="B278">
        <f t="shared" si="9"/>
        <v>0</v>
      </c>
      <c r="R278">
        <f t="shared" si="10"/>
        <v>0</v>
      </c>
    </row>
    <row r="279" spans="2:18" x14ac:dyDescent="0.25">
      <c r="B279">
        <f t="shared" si="9"/>
        <v>0</v>
      </c>
      <c r="R279">
        <f t="shared" si="10"/>
        <v>0</v>
      </c>
    </row>
    <row r="280" spans="2:18" x14ac:dyDescent="0.25">
      <c r="B280">
        <f t="shared" si="9"/>
        <v>0</v>
      </c>
      <c r="R280">
        <f t="shared" si="10"/>
        <v>0</v>
      </c>
    </row>
    <row r="281" spans="2:18" x14ac:dyDescent="0.25">
      <c r="B281">
        <f t="shared" si="9"/>
        <v>0</v>
      </c>
      <c r="R281">
        <f t="shared" si="10"/>
        <v>0</v>
      </c>
    </row>
    <row r="282" spans="2:18" x14ac:dyDescent="0.25">
      <c r="B282">
        <f t="shared" si="9"/>
        <v>0</v>
      </c>
      <c r="R282">
        <f t="shared" si="10"/>
        <v>0</v>
      </c>
    </row>
    <row r="283" spans="2:18" x14ac:dyDescent="0.25">
      <c r="B283">
        <f t="shared" si="9"/>
        <v>0</v>
      </c>
      <c r="R283">
        <f t="shared" si="10"/>
        <v>0</v>
      </c>
    </row>
    <row r="284" spans="2:18" x14ac:dyDescent="0.25">
      <c r="B284">
        <f t="shared" si="9"/>
        <v>0</v>
      </c>
      <c r="R284">
        <f t="shared" si="10"/>
        <v>0</v>
      </c>
    </row>
    <row r="285" spans="2:18" x14ac:dyDescent="0.25">
      <c r="B285">
        <f t="shared" si="9"/>
        <v>0</v>
      </c>
      <c r="R285">
        <f t="shared" si="10"/>
        <v>0</v>
      </c>
    </row>
    <row r="286" spans="2:18" x14ac:dyDescent="0.25">
      <c r="B286">
        <f t="shared" si="9"/>
        <v>0</v>
      </c>
      <c r="R286">
        <f t="shared" si="10"/>
        <v>0</v>
      </c>
    </row>
    <row r="287" spans="2:18" x14ac:dyDescent="0.25">
      <c r="B287">
        <f t="shared" si="9"/>
        <v>0</v>
      </c>
      <c r="R287">
        <f t="shared" si="10"/>
        <v>0</v>
      </c>
    </row>
    <row r="288" spans="2:18" x14ac:dyDescent="0.25">
      <c r="B288">
        <f t="shared" si="9"/>
        <v>0</v>
      </c>
      <c r="R288">
        <f t="shared" si="10"/>
        <v>0</v>
      </c>
    </row>
    <row r="289" spans="2:18" x14ac:dyDescent="0.25">
      <c r="B289">
        <f t="shared" si="9"/>
        <v>0</v>
      </c>
      <c r="R289">
        <f t="shared" si="10"/>
        <v>0</v>
      </c>
    </row>
    <row r="290" spans="2:18" x14ac:dyDescent="0.25">
      <c r="B290">
        <f t="shared" si="9"/>
        <v>0</v>
      </c>
      <c r="R290">
        <f t="shared" si="10"/>
        <v>0</v>
      </c>
    </row>
    <row r="291" spans="2:18" x14ac:dyDescent="0.25">
      <c r="B291">
        <f t="shared" si="9"/>
        <v>0</v>
      </c>
      <c r="R291">
        <f t="shared" si="10"/>
        <v>0</v>
      </c>
    </row>
    <row r="292" spans="2:18" x14ac:dyDescent="0.25">
      <c r="B292">
        <f t="shared" si="9"/>
        <v>0</v>
      </c>
      <c r="R292">
        <f t="shared" si="10"/>
        <v>0</v>
      </c>
    </row>
    <row r="293" spans="2:18" x14ac:dyDescent="0.25">
      <c r="B293">
        <f t="shared" si="9"/>
        <v>0</v>
      </c>
      <c r="R293">
        <f t="shared" si="10"/>
        <v>0</v>
      </c>
    </row>
    <row r="294" spans="2:18" x14ac:dyDescent="0.25">
      <c r="B294">
        <f t="shared" si="9"/>
        <v>0</v>
      </c>
      <c r="R294">
        <f t="shared" si="10"/>
        <v>0</v>
      </c>
    </row>
    <row r="295" spans="2:18" x14ac:dyDescent="0.25">
      <c r="B295">
        <f t="shared" si="9"/>
        <v>0</v>
      </c>
      <c r="R295">
        <f t="shared" si="10"/>
        <v>0</v>
      </c>
    </row>
    <row r="296" spans="2:18" x14ac:dyDescent="0.25">
      <c r="B296">
        <f t="shared" si="9"/>
        <v>0</v>
      </c>
      <c r="R296">
        <f t="shared" si="10"/>
        <v>0</v>
      </c>
    </row>
    <row r="297" spans="2:18" x14ac:dyDescent="0.25">
      <c r="B297">
        <f t="shared" si="9"/>
        <v>0</v>
      </c>
      <c r="R297">
        <f t="shared" si="10"/>
        <v>0</v>
      </c>
    </row>
    <row r="298" spans="2:18" x14ac:dyDescent="0.25">
      <c r="B298">
        <f t="shared" si="9"/>
        <v>0</v>
      </c>
      <c r="R298">
        <f t="shared" si="10"/>
        <v>0</v>
      </c>
    </row>
    <row r="299" spans="2:18" x14ac:dyDescent="0.25">
      <c r="B299">
        <f t="shared" si="9"/>
        <v>0</v>
      </c>
      <c r="R299">
        <f t="shared" si="10"/>
        <v>0</v>
      </c>
    </row>
    <row r="300" spans="2:18" x14ac:dyDescent="0.25">
      <c r="B300">
        <f t="shared" si="9"/>
        <v>0</v>
      </c>
      <c r="R300">
        <f t="shared" si="10"/>
        <v>0</v>
      </c>
    </row>
    <row r="301" spans="2:18" x14ac:dyDescent="0.25">
      <c r="B301">
        <f t="shared" si="9"/>
        <v>0</v>
      </c>
      <c r="R301">
        <f t="shared" si="10"/>
        <v>0</v>
      </c>
    </row>
    <row r="302" spans="2:18" x14ac:dyDescent="0.25">
      <c r="B302">
        <f t="shared" si="9"/>
        <v>0</v>
      </c>
      <c r="R302">
        <f t="shared" si="10"/>
        <v>0</v>
      </c>
    </row>
    <row r="303" spans="2:18" x14ac:dyDescent="0.25">
      <c r="B303">
        <f t="shared" si="9"/>
        <v>0</v>
      </c>
      <c r="R303">
        <f t="shared" si="10"/>
        <v>0</v>
      </c>
    </row>
    <row r="304" spans="2:18" x14ac:dyDescent="0.25">
      <c r="B304">
        <f t="shared" si="9"/>
        <v>0</v>
      </c>
      <c r="R304">
        <f t="shared" si="10"/>
        <v>0</v>
      </c>
    </row>
    <row r="305" spans="2:18" x14ac:dyDescent="0.25">
      <c r="B305">
        <f t="shared" si="9"/>
        <v>0</v>
      </c>
      <c r="R305">
        <f t="shared" si="10"/>
        <v>0</v>
      </c>
    </row>
    <row r="306" spans="2:18" x14ac:dyDescent="0.25">
      <c r="B306">
        <f t="shared" si="9"/>
        <v>0</v>
      </c>
      <c r="R306">
        <f t="shared" si="10"/>
        <v>0</v>
      </c>
    </row>
    <row r="307" spans="2:18" x14ac:dyDescent="0.25">
      <c r="B307">
        <f t="shared" si="9"/>
        <v>0</v>
      </c>
      <c r="R307">
        <f t="shared" si="10"/>
        <v>0</v>
      </c>
    </row>
    <row r="308" spans="2:18" x14ac:dyDescent="0.25">
      <c r="B308">
        <f t="shared" si="9"/>
        <v>0</v>
      </c>
      <c r="R308">
        <f t="shared" si="10"/>
        <v>0</v>
      </c>
    </row>
    <row r="309" spans="2:18" x14ac:dyDescent="0.25">
      <c r="B309">
        <f t="shared" si="9"/>
        <v>0</v>
      </c>
      <c r="R309">
        <f t="shared" si="10"/>
        <v>0</v>
      </c>
    </row>
    <row r="310" spans="2:18" x14ac:dyDescent="0.25">
      <c r="B310">
        <f t="shared" si="9"/>
        <v>0</v>
      </c>
      <c r="R310">
        <f t="shared" si="10"/>
        <v>0</v>
      </c>
    </row>
    <row r="311" spans="2:18" x14ac:dyDescent="0.25">
      <c r="B311">
        <f t="shared" si="9"/>
        <v>0</v>
      </c>
      <c r="R311">
        <f t="shared" si="10"/>
        <v>0</v>
      </c>
    </row>
    <row r="312" spans="2:18" x14ac:dyDescent="0.25">
      <c r="B312">
        <f t="shared" si="9"/>
        <v>0</v>
      </c>
      <c r="R312">
        <f t="shared" si="10"/>
        <v>0</v>
      </c>
    </row>
    <row r="313" spans="2:18" x14ac:dyDescent="0.25">
      <c r="B313">
        <f t="shared" si="9"/>
        <v>0</v>
      </c>
      <c r="R313">
        <f t="shared" si="10"/>
        <v>0</v>
      </c>
    </row>
    <row r="314" spans="2:18" x14ac:dyDescent="0.25">
      <c r="B314">
        <f t="shared" si="9"/>
        <v>0</v>
      </c>
      <c r="R314">
        <f t="shared" si="10"/>
        <v>0</v>
      </c>
    </row>
    <row r="315" spans="2:18" x14ac:dyDescent="0.25">
      <c r="B315">
        <f t="shared" si="9"/>
        <v>0</v>
      </c>
      <c r="R315">
        <f t="shared" si="10"/>
        <v>0</v>
      </c>
    </row>
    <row r="316" spans="2:18" x14ac:dyDescent="0.25">
      <c r="B316">
        <f t="shared" si="9"/>
        <v>0</v>
      </c>
      <c r="R316">
        <f t="shared" si="10"/>
        <v>0</v>
      </c>
    </row>
    <row r="317" spans="2:18" x14ac:dyDescent="0.25">
      <c r="B317">
        <f t="shared" si="9"/>
        <v>0</v>
      </c>
      <c r="R317">
        <f t="shared" si="10"/>
        <v>0</v>
      </c>
    </row>
    <row r="318" spans="2:18" x14ac:dyDescent="0.25">
      <c r="B318">
        <f t="shared" si="9"/>
        <v>0</v>
      </c>
      <c r="R318">
        <f t="shared" si="10"/>
        <v>0</v>
      </c>
    </row>
    <row r="319" spans="2:18" x14ac:dyDescent="0.25">
      <c r="B319">
        <f t="shared" si="9"/>
        <v>0</v>
      </c>
      <c r="R319">
        <f t="shared" si="10"/>
        <v>0</v>
      </c>
    </row>
    <row r="320" spans="2:18" x14ac:dyDescent="0.25">
      <c r="B320">
        <f t="shared" si="9"/>
        <v>0</v>
      </c>
      <c r="R320">
        <f t="shared" si="10"/>
        <v>0</v>
      </c>
    </row>
    <row r="321" spans="2:18" x14ac:dyDescent="0.25">
      <c r="B321">
        <f t="shared" si="9"/>
        <v>0</v>
      </c>
      <c r="R321">
        <f t="shared" si="10"/>
        <v>0</v>
      </c>
    </row>
    <row r="322" spans="2:18" x14ac:dyDescent="0.25">
      <c r="B322">
        <f t="shared" ref="B322:B341" si="11">IFERROR(REPLACE(A322,FIND(" ; ",A322),20,""),A322)</f>
        <v>0</v>
      </c>
      <c r="R322">
        <f t="shared" si="10"/>
        <v>0</v>
      </c>
    </row>
    <row r="323" spans="2:18" x14ac:dyDescent="0.25">
      <c r="B323">
        <f t="shared" si="11"/>
        <v>0</v>
      </c>
      <c r="R323">
        <f t="shared" ref="R323:R341" si="12">IFERROR(REPLACE(Q323,FIND(" ; ",Q323),20,""),Q323)</f>
        <v>0</v>
      </c>
    </row>
    <row r="324" spans="2:18" x14ac:dyDescent="0.25">
      <c r="B324">
        <f t="shared" si="11"/>
        <v>0</v>
      </c>
      <c r="R324">
        <f t="shared" si="12"/>
        <v>0</v>
      </c>
    </row>
    <row r="325" spans="2:18" x14ac:dyDescent="0.25">
      <c r="B325">
        <f t="shared" si="11"/>
        <v>0</v>
      </c>
      <c r="R325">
        <f t="shared" si="12"/>
        <v>0</v>
      </c>
    </row>
    <row r="326" spans="2:18" x14ac:dyDescent="0.25">
      <c r="B326">
        <f t="shared" si="11"/>
        <v>0</v>
      </c>
      <c r="R326">
        <f t="shared" si="12"/>
        <v>0</v>
      </c>
    </row>
    <row r="327" spans="2:18" x14ac:dyDescent="0.25">
      <c r="B327">
        <f t="shared" si="11"/>
        <v>0</v>
      </c>
      <c r="R327">
        <f t="shared" si="12"/>
        <v>0</v>
      </c>
    </row>
    <row r="328" spans="2:18" x14ac:dyDescent="0.25">
      <c r="B328">
        <f t="shared" si="11"/>
        <v>0</v>
      </c>
      <c r="R328">
        <f t="shared" si="12"/>
        <v>0</v>
      </c>
    </row>
    <row r="329" spans="2:18" x14ac:dyDescent="0.25">
      <c r="B329">
        <f t="shared" si="11"/>
        <v>0</v>
      </c>
      <c r="R329">
        <f t="shared" si="12"/>
        <v>0</v>
      </c>
    </row>
    <row r="330" spans="2:18" x14ac:dyDescent="0.25">
      <c r="B330">
        <f t="shared" si="11"/>
        <v>0</v>
      </c>
      <c r="R330">
        <f t="shared" si="12"/>
        <v>0</v>
      </c>
    </row>
    <row r="331" spans="2:18" x14ac:dyDescent="0.25">
      <c r="B331">
        <f t="shared" si="11"/>
        <v>0</v>
      </c>
      <c r="R331">
        <f t="shared" si="12"/>
        <v>0</v>
      </c>
    </row>
    <row r="332" spans="2:18" x14ac:dyDescent="0.25">
      <c r="B332">
        <f t="shared" si="11"/>
        <v>0</v>
      </c>
      <c r="R332">
        <f t="shared" si="12"/>
        <v>0</v>
      </c>
    </row>
    <row r="333" spans="2:18" x14ac:dyDescent="0.25">
      <c r="B333">
        <f t="shared" si="11"/>
        <v>0</v>
      </c>
      <c r="R333">
        <f t="shared" si="12"/>
        <v>0</v>
      </c>
    </row>
    <row r="334" spans="2:18" x14ac:dyDescent="0.25">
      <c r="B334">
        <f t="shared" si="11"/>
        <v>0</v>
      </c>
      <c r="R334">
        <f t="shared" si="12"/>
        <v>0</v>
      </c>
    </row>
    <row r="335" spans="2:18" x14ac:dyDescent="0.25">
      <c r="B335">
        <f t="shared" si="11"/>
        <v>0</v>
      </c>
      <c r="R335">
        <f t="shared" si="12"/>
        <v>0</v>
      </c>
    </row>
    <row r="336" spans="2:18" x14ac:dyDescent="0.25">
      <c r="B336">
        <f t="shared" si="11"/>
        <v>0</v>
      </c>
      <c r="R336">
        <f t="shared" si="12"/>
        <v>0</v>
      </c>
    </row>
    <row r="337" spans="2:18" x14ac:dyDescent="0.25">
      <c r="B337">
        <f t="shared" si="11"/>
        <v>0</v>
      </c>
      <c r="R337">
        <f t="shared" si="12"/>
        <v>0</v>
      </c>
    </row>
    <row r="338" spans="2:18" x14ac:dyDescent="0.25">
      <c r="B338">
        <f t="shared" si="11"/>
        <v>0</v>
      </c>
      <c r="R338">
        <f t="shared" si="12"/>
        <v>0</v>
      </c>
    </row>
    <row r="339" spans="2:18" x14ac:dyDescent="0.25">
      <c r="B339">
        <f t="shared" si="11"/>
        <v>0</v>
      </c>
      <c r="R339">
        <f t="shared" si="12"/>
        <v>0</v>
      </c>
    </row>
    <row r="340" spans="2:18" x14ac:dyDescent="0.25">
      <c r="B340">
        <f t="shared" si="11"/>
        <v>0</v>
      </c>
      <c r="R340">
        <f t="shared" si="12"/>
        <v>0</v>
      </c>
    </row>
    <row r="341" spans="2:18" x14ac:dyDescent="0.25">
      <c r="B341">
        <f t="shared" si="11"/>
        <v>0</v>
      </c>
      <c r="R341">
        <f t="shared" si="12"/>
        <v>0</v>
      </c>
    </row>
    <row r="342" spans="2:18" x14ac:dyDescent="0.25">
      <c r="R342"/>
    </row>
    <row r="343" spans="2:18" x14ac:dyDescent="0.25">
      <c r="R343"/>
    </row>
    <row r="344" spans="2:18" x14ac:dyDescent="0.25">
      <c r="R344"/>
    </row>
    <row r="345" spans="2:18" x14ac:dyDescent="0.25">
      <c r="R345"/>
    </row>
    <row r="346" spans="2:18" x14ac:dyDescent="0.25">
      <c r="R346"/>
    </row>
    <row r="347" spans="2:18" x14ac:dyDescent="0.25">
      <c r="R347"/>
    </row>
    <row r="348" spans="2:18" x14ac:dyDescent="0.25">
      <c r="R348"/>
    </row>
    <row r="349" spans="2:18" x14ac:dyDescent="0.25">
      <c r="R349"/>
    </row>
    <row r="350" spans="2:18" x14ac:dyDescent="0.25">
      <c r="R350"/>
    </row>
    <row r="351" spans="2:18" x14ac:dyDescent="0.25">
      <c r="R351"/>
    </row>
    <row r="352" spans="2:18" x14ac:dyDescent="0.25">
      <c r="R352"/>
    </row>
    <row r="353" spans="18:18" x14ac:dyDescent="0.25">
      <c r="R353"/>
    </row>
    <row r="354" spans="18:18" x14ac:dyDescent="0.25">
      <c r="R354"/>
    </row>
    <row r="355" spans="18:18" x14ac:dyDescent="0.25">
      <c r="R355"/>
    </row>
    <row r="356" spans="18:18" x14ac:dyDescent="0.25">
      <c r="R356"/>
    </row>
    <row r="357" spans="18:18" x14ac:dyDescent="0.25">
      <c r="R357"/>
    </row>
    <row r="358" spans="18:18" x14ac:dyDescent="0.25">
      <c r="R358"/>
    </row>
    <row r="359" spans="18:18" x14ac:dyDescent="0.25">
      <c r="R359"/>
    </row>
    <row r="360" spans="18:18" x14ac:dyDescent="0.25">
      <c r="R360"/>
    </row>
    <row r="361" spans="18:18" x14ac:dyDescent="0.25">
      <c r="R361"/>
    </row>
    <row r="362" spans="18:18" x14ac:dyDescent="0.25">
      <c r="R362"/>
    </row>
    <row r="363" spans="18:18" x14ac:dyDescent="0.25">
      <c r="R363"/>
    </row>
    <row r="364" spans="18:18" x14ac:dyDescent="0.25">
      <c r="R364"/>
    </row>
    <row r="365" spans="18:18" x14ac:dyDescent="0.25">
      <c r="R365"/>
    </row>
    <row r="366" spans="18:18" x14ac:dyDescent="0.25">
      <c r="R366"/>
    </row>
    <row r="367" spans="18:18" x14ac:dyDescent="0.25">
      <c r="R367"/>
    </row>
    <row r="368" spans="18:18" x14ac:dyDescent="0.25">
      <c r="R368"/>
    </row>
    <row r="369" spans="18:18" x14ac:dyDescent="0.25">
      <c r="R369"/>
    </row>
    <row r="370" spans="18:18" x14ac:dyDescent="0.25">
      <c r="R370"/>
    </row>
    <row r="371" spans="18:18" x14ac:dyDescent="0.25">
      <c r="R371"/>
    </row>
    <row r="372" spans="18:18" x14ac:dyDescent="0.25">
      <c r="R372"/>
    </row>
    <row r="373" spans="18:18" x14ac:dyDescent="0.25">
      <c r="R373"/>
    </row>
    <row r="374" spans="18:18" x14ac:dyDescent="0.25">
      <c r="R374"/>
    </row>
    <row r="375" spans="18:18" x14ac:dyDescent="0.25">
      <c r="R375"/>
    </row>
    <row r="376" spans="18:18" x14ac:dyDescent="0.25">
      <c r="R376"/>
    </row>
    <row r="377" spans="18:18" x14ac:dyDescent="0.25">
      <c r="R377"/>
    </row>
    <row r="378" spans="18:18" x14ac:dyDescent="0.25">
      <c r="R378"/>
    </row>
    <row r="379" spans="18:18" x14ac:dyDescent="0.25">
      <c r="R379"/>
    </row>
    <row r="380" spans="18:18" x14ac:dyDescent="0.25">
      <c r="R380"/>
    </row>
    <row r="381" spans="18:18" x14ac:dyDescent="0.25">
      <c r="R381"/>
    </row>
    <row r="382" spans="18:18" x14ac:dyDescent="0.25">
      <c r="R382"/>
    </row>
    <row r="383" spans="18:18" x14ac:dyDescent="0.25">
      <c r="R383"/>
    </row>
    <row r="384" spans="18:18" x14ac:dyDescent="0.25">
      <c r="R384"/>
    </row>
    <row r="385" spans="18:18" x14ac:dyDescent="0.25">
      <c r="R385"/>
    </row>
    <row r="386" spans="18:18" x14ac:dyDescent="0.25">
      <c r="R386"/>
    </row>
    <row r="387" spans="18:18" x14ac:dyDescent="0.25">
      <c r="R387"/>
    </row>
    <row r="388" spans="18:18" x14ac:dyDescent="0.25">
      <c r="R388"/>
    </row>
    <row r="389" spans="18:18" x14ac:dyDescent="0.25">
      <c r="R389"/>
    </row>
    <row r="390" spans="18:18" x14ac:dyDescent="0.25">
      <c r="R390"/>
    </row>
    <row r="391" spans="18:18" x14ac:dyDescent="0.25">
      <c r="R391"/>
    </row>
    <row r="392" spans="18:18" x14ac:dyDescent="0.25">
      <c r="R392"/>
    </row>
    <row r="393" spans="18:18" x14ac:dyDescent="0.25">
      <c r="R393"/>
    </row>
    <row r="394" spans="18:18" x14ac:dyDescent="0.25">
      <c r="R394"/>
    </row>
    <row r="395" spans="18:18" x14ac:dyDescent="0.25">
      <c r="R395"/>
    </row>
    <row r="396" spans="18:18" x14ac:dyDescent="0.25">
      <c r="R396"/>
    </row>
    <row r="397" spans="18:18" x14ac:dyDescent="0.25">
      <c r="R397"/>
    </row>
    <row r="398" spans="18:18" x14ac:dyDescent="0.25">
      <c r="R398"/>
    </row>
    <row r="399" spans="18:18" x14ac:dyDescent="0.25">
      <c r="R399"/>
    </row>
    <row r="400" spans="18:18" x14ac:dyDescent="0.25">
      <c r="R400"/>
    </row>
    <row r="401" spans="18:18" x14ac:dyDescent="0.25">
      <c r="R401"/>
    </row>
    <row r="402" spans="18:18" x14ac:dyDescent="0.25">
      <c r="R402"/>
    </row>
    <row r="403" spans="18:18" x14ac:dyDescent="0.25">
      <c r="R403"/>
    </row>
    <row r="404" spans="18:18" x14ac:dyDescent="0.25">
      <c r="R404"/>
    </row>
    <row r="405" spans="18:18" x14ac:dyDescent="0.25">
      <c r="R405"/>
    </row>
    <row r="406" spans="18:18" x14ac:dyDescent="0.25">
      <c r="R406"/>
    </row>
    <row r="407" spans="18:18" x14ac:dyDescent="0.25">
      <c r="R407"/>
    </row>
    <row r="408" spans="18:18" x14ac:dyDescent="0.25">
      <c r="R408"/>
    </row>
    <row r="409" spans="18:18" x14ac:dyDescent="0.25">
      <c r="R409"/>
    </row>
    <row r="410" spans="18:18" x14ac:dyDescent="0.25">
      <c r="R410"/>
    </row>
    <row r="411" spans="18:18" x14ac:dyDescent="0.25">
      <c r="R411"/>
    </row>
    <row r="412" spans="18:18" x14ac:dyDescent="0.25">
      <c r="R412"/>
    </row>
    <row r="413" spans="18:18" x14ac:dyDescent="0.25">
      <c r="R413"/>
    </row>
    <row r="414" spans="18:18" x14ac:dyDescent="0.25">
      <c r="R414"/>
    </row>
    <row r="415" spans="18:18" x14ac:dyDescent="0.25">
      <c r="R415"/>
    </row>
    <row r="416" spans="18:18" x14ac:dyDescent="0.25">
      <c r="R416"/>
    </row>
    <row r="417" spans="18:18" x14ac:dyDescent="0.25">
      <c r="R417"/>
    </row>
    <row r="418" spans="18:18" x14ac:dyDescent="0.25">
      <c r="R418"/>
    </row>
    <row r="419" spans="18:18" x14ac:dyDescent="0.25">
      <c r="R419"/>
    </row>
    <row r="420" spans="18:18" x14ac:dyDescent="0.25">
      <c r="R420"/>
    </row>
    <row r="421" spans="18:18" x14ac:dyDescent="0.25">
      <c r="R421"/>
    </row>
    <row r="422" spans="18:18" x14ac:dyDescent="0.25">
      <c r="R422"/>
    </row>
    <row r="423" spans="18:18" x14ac:dyDescent="0.25">
      <c r="R423"/>
    </row>
    <row r="424" spans="18:18" x14ac:dyDescent="0.25">
      <c r="R424"/>
    </row>
    <row r="425" spans="18:18" x14ac:dyDescent="0.25">
      <c r="R425"/>
    </row>
    <row r="426" spans="18:18" x14ac:dyDescent="0.25">
      <c r="R426"/>
    </row>
    <row r="427" spans="18:18" x14ac:dyDescent="0.25">
      <c r="R427"/>
    </row>
    <row r="428" spans="18:18" x14ac:dyDescent="0.25">
      <c r="R428"/>
    </row>
    <row r="429" spans="18:18" x14ac:dyDescent="0.25">
      <c r="R429"/>
    </row>
    <row r="430" spans="18:18" x14ac:dyDescent="0.25">
      <c r="R430"/>
    </row>
    <row r="431" spans="18:18" x14ac:dyDescent="0.25">
      <c r="R431"/>
    </row>
    <row r="432" spans="18:18" x14ac:dyDescent="0.25">
      <c r="R432"/>
    </row>
    <row r="433" spans="18:18" x14ac:dyDescent="0.25">
      <c r="R433"/>
    </row>
    <row r="434" spans="18:18" x14ac:dyDescent="0.25">
      <c r="R434"/>
    </row>
    <row r="435" spans="18:18" x14ac:dyDescent="0.25">
      <c r="R435"/>
    </row>
    <row r="436" spans="18:18" x14ac:dyDescent="0.25">
      <c r="R436"/>
    </row>
    <row r="437" spans="18:18" x14ac:dyDescent="0.25">
      <c r="R437"/>
    </row>
    <row r="438" spans="18:18" x14ac:dyDescent="0.25">
      <c r="R438"/>
    </row>
    <row r="439" spans="18:18" x14ac:dyDescent="0.25">
      <c r="R439"/>
    </row>
    <row r="440" spans="18:18" x14ac:dyDescent="0.25">
      <c r="R440"/>
    </row>
    <row r="441" spans="18:18" x14ac:dyDescent="0.25">
      <c r="R441"/>
    </row>
    <row r="442" spans="18:18" x14ac:dyDescent="0.25">
      <c r="R442"/>
    </row>
    <row r="443" spans="18:18" x14ac:dyDescent="0.25">
      <c r="R443"/>
    </row>
    <row r="444" spans="18:18" x14ac:dyDescent="0.25">
      <c r="R444"/>
    </row>
    <row r="445" spans="18:18" x14ac:dyDescent="0.25">
      <c r="R445"/>
    </row>
    <row r="446" spans="18:18" x14ac:dyDescent="0.25">
      <c r="R446"/>
    </row>
    <row r="447" spans="18:18" x14ac:dyDescent="0.25">
      <c r="R447"/>
    </row>
    <row r="448" spans="18:18" x14ac:dyDescent="0.25">
      <c r="R448"/>
    </row>
    <row r="449" spans="18:18" x14ac:dyDescent="0.25">
      <c r="R449"/>
    </row>
    <row r="450" spans="18:18" x14ac:dyDescent="0.25">
      <c r="R450"/>
    </row>
    <row r="451" spans="18:18" x14ac:dyDescent="0.25">
      <c r="R451"/>
    </row>
    <row r="452" spans="18:18" x14ac:dyDescent="0.25">
      <c r="R452"/>
    </row>
    <row r="453" spans="18:18" x14ac:dyDescent="0.25">
      <c r="R453"/>
    </row>
    <row r="454" spans="18:18" x14ac:dyDescent="0.25">
      <c r="R454"/>
    </row>
    <row r="455" spans="18:18" x14ac:dyDescent="0.25">
      <c r="R455"/>
    </row>
    <row r="456" spans="18:18" x14ac:dyDescent="0.25">
      <c r="R456"/>
    </row>
    <row r="457" spans="18:18" x14ac:dyDescent="0.25">
      <c r="R457"/>
    </row>
    <row r="458" spans="18:18" x14ac:dyDescent="0.25">
      <c r="R458"/>
    </row>
    <row r="459" spans="18:18" x14ac:dyDescent="0.25">
      <c r="R459"/>
    </row>
    <row r="460" spans="18:18" x14ac:dyDescent="0.25">
      <c r="R460"/>
    </row>
    <row r="461" spans="18:18" x14ac:dyDescent="0.25">
      <c r="R461"/>
    </row>
    <row r="462" spans="18:18" x14ac:dyDescent="0.25">
      <c r="R462"/>
    </row>
    <row r="463" spans="18:18" x14ac:dyDescent="0.25">
      <c r="R463"/>
    </row>
    <row r="464" spans="18:18" x14ac:dyDescent="0.25">
      <c r="R464"/>
    </row>
    <row r="465" spans="18:18" x14ac:dyDescent="0.25">
      <c r="R465"/>
    </row>
    <row r="466" spans="18:18" x14ac:dyDescent="0.25">
      <c r="R466"/>
    </row>
    <row r="467" spans="18:18" x14ac:dyDescent="0.25">
      <c r="R467"/>
    </row>
    <row r="468" spans="18:18" x14ac:dyDescent="0.25">
      <c r="R468"/>
    </row>
    <row r="469" spans="18:18" x14ac:dyDescent="0.25">
      <c r="R469"/>
    </row>
    <row r="470" spans="18:18" x14ac:dyDescent="0.25">
      <c r="R470"/>
    </row>
    <row r="471" spans="18:18" x14ac:dyDescent="0.25">
      <c r="R471"/>
    </row>
    <row r="472" spans="18:18" x14ac:dyDescent="0.25">
      <c r="R472"/>
    </row>
    <row r="473" spans="18:18" x14ac:dyDescent="0.25">
      <c r="R473"/>
    </row>
    <row r="474" spans="18:18" x14ac:dyDescent="0.25">
      <c r="R474"/>
    </row>
    <row r="475" spans="18:18" x14ac:dyDescent="0.25">
      <c r="R475"/>
    </row>
    <row r="476" spans="18:18" x14ac:dyDescent="0.25">
      <c r="R476"/>
    </row>
    <row r="477" spans="18:18" x14ac:dyDescent="0.25">
      <c r="R477"/>
    </row>
    <row r="478" spans="18:18" x14ac:dyDescent="0.25">
      <c r="R478"/>
    </row>
    <row r="479" spans="18:18" x14ac:dyDescent="0.25">
      <c r="R479"/>
    </row>
    <row r="480" spans="18:18" x14ac:dyDescent="0.25">
      <c r="R480"/>
    </row>
    <row r="481" spans="18:18" x14ac:dyDescent="0.25">
      <c r="R481"/>
    </row>
    <row r="482" spans="18:18" x14ac:dyDescent="0.25">
      <c r="R482"/>
    </row>
    <row r="483" spans="18:18" x14ac:dyDescent="0.25">
      <c r="R483"/>
    </row>
    <row r="484" spans="18:18" x14ac:dyDescent="0.25">
      <c r="R484"/>
    </row>
    <row r="485" spans="18:18" x14ac:dyDescent="0.25">
      <c r="R485"/>
    </row>
    <row r="486" spans="18:18" x14ac:dyDescent="0.25">
      <c r="R486"/>
    </row>
    <row r="487" spans="18:18" x14ac:dyDescent="0.25">
      <c r="R487"/>
    </row>
    <row r="488" spans="18:18" x14ac:dyDescent="0.25">
      <c r="R488"/>
    </row>
    <row r="489" spans="18:18" x14ac:dyDescent="0.25">
      <c r="R489"/>
    </row>
    <row r="490" spans="18:18" x14ac:dyDescent="0.25">
      <c r="R490"/>
    </row>
    <row r="491" spans="18:18" x14ac:dyDescent="0.25">
      <c r="R491"/>
    </row>
    <row r="492" spans="18:18" x14ac:dyDescent="0.25">
      <c r="R492"/>
    </row>
    <row r="493" spans="18:18" x14ac:dyDescent="0.25">
      <c r="R493"/>
    </row>
    <row r="494" spans="18:18" x14ac:dyDescent="0.25">
      <c r="R494"/>
    </row>
    <row r="495" spans="18:18" x14ac:dyDescent="0.25">
      <c r="R495"/>
    </row>
    <row r="496" spans="18:18" x14ac:dyDescent="0.25">
      <c r="R496"/>
    </row>
    <row r="497" spans="18:18" x14ac:dyDescent="0.25">
      <c r="R497"/>
    </row>
    <row r="498" spans="18:18" x14ac:dyDescent="0.25">
      <c r="R498"/>
    </row>
    <row r="499" spans="18:18" x14ac:dyDescent="0.25">
      <c r="R499"/>
    </row>
    <row r="500" spans="18:18" x14ac:dyDescent="0.25">
      <c r="R500"/>
    </row>
    <row r="501" spans="18:18" x14ac:dyDescent="0.25">
      <c r="R501"/>
    </row>
    <row r="502" spans="18:18" x14ac:dyDescent="0.25">
      <c r="R502"/>
    </row>
    <row r="503" spans="18:18" x14ac:dyDescent="0.25">
      <c r="R503"/>
    </row>
    <row r="504" spans="18:18" x14ac:dyDescent="0.25">
      <c r="R504"/>
    </row>
    <row r="505" spans="18:18" x14ac:dyDescent="0.25">
      <c r="R505"/>
    </row>
    <row r="506" spans="18:18" x14ac:dyDescent="0.25">
      <c r="R506"/>
    </row>
    <row r="507" spans="18:18" x14ac:dyDescent="0.25">
      <c r="R507"/>
    </row>
    <row r="508" spans="18:18" x14ac:dyDescent="0.25">
      <c r="R508"/>
    </row>
    <row r="509" spans="18:18" x14ac:dyDescent="0.25">
      <c r="R509"/>
    </row>
    <row r="510" spans="18:18" x14ac:dyDescent="0.25">
      <c r="R510"/>
    </row>
    <row r="511" spans="18:18" x14ac:dyDescent="0.25">
      <c r="R511"/>
    </row>
    <row r="512" spans="18:18" x14ac:dyDescent="0.25">
      <c r="R512"/>
    </row>
    <row r="513" spans="18:18" x14ac:dyDescent="0.25">
      <c r="R513"/>
    </row>
    <row r="514" spans="18:18" x14ac:dyDescent="0.25">
      <c r="R514"/>
    </row>
    <row r="515" spans="18:18" x14ac:dyDescent="0.25">
      <c r="R515"/>
    </row>
    <row r="516" spans="18:18" x14ac:dyDescent="0.25">
      <c r="R516"/>
    </row>
    <row r="517" spans="18:18" x14ac:dyDescent="0.25">
      <c r="R517"/>
    </row>
    <row r="518" spans="18:18" x14ac:dyDescent="0.25">
      <c r="R518"/>
    </row>
    <row r="519" spans="18:18" x14ac:dyDescent="0.25">
      <c r="R519"/>
    </row>
    <row r="520" spans="18:18" x14ac:dyDescent="0.25">
      <c r="R520"/>
    </row>
    <row r="521" spans="18:18" x14ac:dyDescent="0.25">
      <c r="R521"/>
    </row>
    <row r="522" spans="18:18" x14ac:dyDescent="0.25">
      <c r="R522"/>
    </row>
    <row r="523" spans="18:18" x14ac:dyDescent="0.25">
      <c r="R523"/>
    </row>
    <row r="524" spans="18:18" x14ac:dyDescent="0.25">
      <c r="R524"/>
    </row>
    <row r="525" spans="18:18" x14ac:dyDescent="0.25">
      <c r="R525"/>
    </row>
    <row r="526" spans="18:18" x14ac:dyDescent="0.25">
      <c r="R526"/>
    </row>
    <row r="527" spans="18:18" x14ac:dyDescent="0.25">
      <c r="R527"/>
    </row>
    <row r="528" spans="18:18" x14ac:dyDescent="0.25">
      <c r="R528"/>
    </row>
    <row r="529" spans="18:18" x14ac:dyDescent="0.25">
      <c r="R529"/>
    </row>
    <row r="530" spans="18:18" x14ac:dyDescent="0.25">
      <c r="R530"/>
    </row>
    <row r="531" spans="18:18" x14ac:dyDescent="0.25">
      <c r="R531"/>
    </row>
    <row r="532" spans="18:18" x14ac:dyDescent="0.25">
      <c r="R532"/>
    </row>
    <row r="533" spans="18:18" x14ac:dyDescent="0.25">
      <c r="R533"/>
    </row>
    <row r="534" spans="18:18" x14ac:dyDescent="0.25">
      <c r="R534"/>
    </row>
    <row r="535" spans="18:18" x14ac:dyDescent="0.25">
      <c r="R535"/>
    </row>
    <row r="536" spans="18:18" x14ac:dyDescent="0.25">
      <c r="R536"/>
    </row>
    <row r="537" spans="18:18" x14ac:dyDescent="0.25">
      <c r="R537"/>
    </row>
    <row r="538" spans="18:18" x14ac:dyDescent="0.25">
      <c r="R538"/>
    </row>
    <row r="539" spans="18:18" x14ac:dyDescent="0.25">
      <c r="R539"/>
    </row>
    <row r="540" spans="18:18" x14ac:dyDescent="0.25">
      <c r="R540"/>
    </row>
    <row r="541" spans="18:18" x14ac:dyDescent="0.25">
      <c r="R541"/>
    </row>
    <row r="542" spans="18:18" x14ac:dyDescent="0.25">
      <c r="R542"/>
    </row>
    <row r="543" spans="18:18" x14ac:dyDescent="0.25">
      <c r="R543"/>
    </row>
    <row r="544" spans="18:18" x14ac:dyDescent="0.25">
      <c r="R544"/>
    </row>
    <row r="545" spans="18:18" x14ac:dyDescent="0.25">
      <c r="R545"/>
    </row>
    <row r="546" spans="18:18" x14ac:dyDescent="0.25">
      <c r="R546"/>
    </row>
    <row r="547" spans="18:18" x14ac:dyDescent="0.25">
      <c r="R547"/>
    </row>
    <row r="548" spans="18:18" x14ac:dyDescent="0.25">
      <c r="R548"/>
    </row>
    <row r="549" spans="18:18" x14ac:dyDescent="0.25">
      <c r="R549"/>
    </row>
    <row r="550" spans="18:18" x14ac:dyDescent="0.25">
      <c r="R550"/>
    </row>
    <row r="551" spans="18:18" x14ac:dyDescent="0.25">
      <c r="R551"/>
    </row>
    <row r="552" spans="18:18" x14ac:dyDescent="0.25">
      <c r="R552"/>
    </row>
    <row r="553" spans="18:18" x14ac:dyDescent="0.25">
      <c r="R553"/>
    </row>
    <row r="554" spans="18:18" x14ac:dyDescent="0.25">
      <c r="R554"/>
    </row>
    <row r="555" spans="18:18" x14ac:dyDescent="0.25">
      <c r="R555"/>
    </row>
    <row r="556" spans="18:18" x14ac:dyDescent="0.25">
      <c r="R556"/>
    </row>
    <row r="557" spans="18:18" x14ac:dyDescent="0.25">
      <c r="R557"/>
    </row>
    <row r="558" spans="18:18" x14ac:dyDescent="0.25">
      <c r="R558"/>
    </row>
    <row r="559" spans="18:18" x14ac:dyDescent="0.25">
      <c r="R559"/>
    </row>
    <row r="560" spans="18:18" x14ac:dyDescent="0.25">
      <c r="R560"/>
    </row>
    <row r="561" spans="18:18" x14ac:dyDescent="0.25">
      <c r="R561"/>
    </row>
    <row r="562" spans="18:18" x14ac:dyDescent="0.25">
      <c r="R562"/>
    </row>
    <row r="563" spans="18:18" x14ac:dyDescent="0.25">
      <c r="R563"/>
    </row>
    <row r="564" spans="18:18" x14ac:dyDescent="0.25">
      <c r="R564"/>
    </row>
    <row r="565" spans="18:18" x14ac:dyDescent="0.25">
      <c r="R565"/>
    </row>
    <row r="566" spans="18:18" x14ac:dyDescent="0.25">
      <c r="R566"/>
    </row>
    <row r="567" spans="18:18" x14ac:dyDescent="0.25">
      <c r="R567"/>
    </row>
    <row r="568" spans="18:18" x14ac:dyDescent="0.25">
      <c r="R568"/>
    </row>
    <row r="569" spans="18:18" x14ac:dyDescent="0.25">
      <c r="R569"/>
    </row>
    <row r="570" spans="18:18" x14ac:dyDescent="0.25">
      <c r="R570"/>
    </row>
    <row r="571" spans="18:18" x14ac:dyDescent="0.25">
      <c r="R571"/>
    </row>
    <row r="572" spans="18:18" x14ac:dyDescent="0.25">
      <c r="R572"/>
    </row>
    <row r="573" spans="18:18" x14ac:dyDescent="0.25">
      <c r="R573"/>
    </row>
    <row r="574" spans="18:18" x14ac:dyDescent="0.25">
      <c r="R574"/>
    </row>
    <row r="575" spans="18:18" x14ac:dyDescent="0.25">
      <c r="R575"/>
    </row>
    <row r="576" spans="18:18" x14ac:dyDescent="0.25">
      <c r="R576"/>
    </row>
    <row r="577" spans="18:18" x14ac:dyDescent="0.25">
      <c r="R577"/>
    </row>
    <row r="578" spans="18:18" x14ac:dyDescent="0.25">
      <c r="R578"/>
    </row>
    <row r="579" spans="18:18" x14ac:dyDescent="0.25">
      <c r="R579"/>
    </row>
    <row r="580" spans="18:18" x14ac:dyDescent="0.25">
      <c r="R580"/>
    </row>
    <row r="581" spans="18:18" x14ac:dyDescent="0.25">
      <c r="R581"/>
    </row>
    <row r="582" spans="18:18" x14ac:dyDescent="0.25">
      <c r="R582"/>
    </row>
    <row r="583" spans="18:18" x14ac:dyDescent="0.25">
      <c r="R583"/>
    </row>
    <row r="584" spans="18:18" x14ac:dyDescent="0.25">
      <c r="R584"/>
    </row>
    <row r="585" spans="18:18" x14ac:dyDescent="0.25">
      <c r="R585"/>
    </row>
    <row r="586" spans="18:18" x14ac:dyDescent="0.25">
      <c r="R586"/>
    </row>
    <row r="587" spans="18:18" x14ac:dyDescent="0.25">
      <c r="R587"/>
    </row>
    <row r="588" spans="18:18" x14ac:dyDescent="0.25">
      <c r="R588"/>
    </row>
    <row r="589" spans="18:18" x14ac:dyDescent="0.25">
      <c r="R589"/>
    </row>
    <row r="590" spans="18:18" x14ac:dyDescent="0.25">
      <c r="R590"/>
    </row>
    <row r="591" spans="18:18" x14ac:dyDescent="0.25">
      <c r="R591"/>
    </row>
    <row r="592" spans="18:18" x14ac:dyDescent="0.25">
      <c r="R592"/>
    </row>
    <row r="593" spans="18:18" x14ac:dyDescent="0.25">
      <c r="R593"/>
    </row>
    <row r="594" spans="18:18" x14ac:dyDescent="0.25">
      <c r="R594"/>
    </row>
    <row r="595" spans="18:18" x14ac:dyDescent="0.25">
      <c r="R595"/>
    </row>
    <row r="596" spans="18:18" x14ac:dyDescent="0.25">
      <c r="R596"/>
    </row>
    <row r="597" spans="18:18" x14ac:dyDescent="0.25">
      <c r="R597"/>
    </row>
    <row r="598" spans="18:18" x14ac:dyDescent="0.25">
      <c r="R598"/>
    </row>
    <row r="599" spans="18:18" x14ac:dyDescent="0.25">
      <c r="R599"/>
    </row>
    <row r="600" spans="18:18" x14ac:dyDescent="0.25">
      <c r="R600"/>
    </row>
    <row r="601" spans="18:18" x14ac:dyDescent="0.25">
      <c r="R601"/>
    </row>
    <row r="602" spans="18:18" x14ac:dyDescent="0.25">
      <c r="R602"/>
    </row>
    <row r="603" spans="18:18" x14ac:dyDescent="0.25">
      <c r="R603"/>
    </row>
    <row r="604" spans="18:18" x14ac:dyDescent="0.25">
      <c r="R604"/>
    </row>
    <row r="605" spans="18:18" x14ac:dyDescent="0.25">
      <c r="R605"/>
    </row>
    <row r="606" spans="18:18" x14ac:dyDescent="0.25">
      <c r="R606"/>
    </row>
    <row r="607" spans="18:18" x14ac:dyDescent="0.25">
      <c r="R607"/>
    </row>
    <row r="608" spans="18:18" x14ac:dyDescent="0.25">
      <c r="R608"/>
    </row>
    <row r="609" spans="18:18" x14ac:dyDescent="0.25">
      <c r="R609"/>
    </row>
    <row r="610" spans="18:18" x14ac:dyDescent="0.25">
      <c r="R610"/>
    </row>
    <row r="611" spans="18:18" x14ac:dyDescent="0.25">
      <c r="R611"/>
    </row>
    <row r="612" spans="18:18" x14ac:dyDescent="0.25">
      <c r="R612"/>
    </row>
    <row r="613" spans="18:18" x14ac:dyDescent="0.25">
      <c r="R613"/>
    </row>
    <row r="614" spans="18:18" x14ac:dyDescent="0.25">
      <c r="R614"/>
    </row>
    <row r="615" spans="18:18" x14ac:dyDescent="0.25">
      <c r="R615"/>
    </row>
    <row r="616" spans="18:18" x14ac:dyDescent="0.25">
      <c r="R616"/>
    </row>
    <row r="617" spans="18:18" x14ac:dyDescent="0.25">
      <c r="R617"/>
    </row>
    <row r="618" spans="18:18" x14ac:dyDescent="0.25">
      <c r="R618"/>
    </row>
    <row r="619" spans="18:18" x14ac:dyDescent="0.25">
      <c r="R619"/>
    </row>
    <row r="620" spans="18:18" x14ac:dyDescent="0.25">
      <c r="R620"/>
    </row>
    <row r="621" spans="18:18" x14ac:dyDescent="0.25">
      <c r="R621"/>
    </row>
    <row r="622" spans="18:18" x14ac:dyDescent="0.25">
      <c r="R622"/>
    </row>
    <row r="623" spans="18:18" x14ac:dyDescent="0.25">
      <c r="R623"/>
    </row>
    <row r="624" spans="18:18" x14ac:dyDescent="0.25">
      <c r="R624"/>
    </row>
    <row r="625" spans="18:18" x14ac:dyDescent="0.25">
      <c r="R625"/>
    </row>
    <row r="626" spans="18:18" x14ac:dyDescent="0.25">
      <c r="R626"/>
    </row>
    <row r="627" spans="18:18" x14ac:dyDescent="0.25">
      <c r="R627"/>
    </row>
    <row r="628" spans="18:18" x14ac:dyDescent="0.25">
      <c r="R628"/>
    </row>
    <row r="629" spans="18:18" x14ac:dyDescent="0.25">
      <c r="R629"/>
    </row>
    <row r="630" spans="18:18" x14ac:dyDescent="0.25">
      <c r="R630"/>
    </row>
    <row r="631" spans="18:18" x14ac:dyDescent="0.25">
      <c r="R631"/>
    </row>
    <row r="632" spans="18:18" x14ac:dyDescent="0.25">
      <c r="R632"/>
    </row>
    <row r="633" spans="18:18" x14ac:dyDescent="0.25">
      <c r="R633"/>
    </row>
    <row r="634" spans="18:18" x14ac:dyDescent="0.25">
      <c r="R634"/>
    </row>
    <row r="635" spans="18:18" x14ac:dyDescent="0.25">
      <c r="R635"/>
    </row>
    <row r="636" spans="18:18" x14ac:dyDescent="0.25">
      <c r="R636"/>
    </row>
    <row r="637" spans="18:18" x14ac:dyDescent="0.25">
      <c r="R637"/>
    </row>
    <row r="638" spans="18:18" x14ac:dyDescent="0.25">
      <c r="R638"/>
    </row>
    <row r="639" spans="18:18" x14ac:dyDescent="0.25">
      <c r="R639"/>
    </row>
    <row r="640" spans="18:18" x14ac:dyDescent="0.25">
      <c r="R640"/>
    </row>
    <row r="641" spans="18:18" x14ac:dyDescent="0.25">
      <c r="R641"/>
    </row>
    <row r="642" spans="18:18" x14ac:dyDescent="0.25">
      <c r="R642"/>
    </row>
    <row r="643" spans="18:18" x14ac:dyDescent="0.25">
      <c r="R643"/>
    </row>
    <row r="644" spans="18:18" x14ac:dyDescent="0.25">
      <c r="R644"/>
    </row>
    <row r="645" spans="18:18" x14ac:dyDescent="0.25">
      <c r="R645"/>
    </row>
    <row r="646" spans="18:18" x14ac:dyDescent="0.25">
      <c r="R646"/>
    </row>
    <row r="647" spans="18:18" x14ac:dyDescent="0.25">
      <c r="R647"/>
    </row>
    <row r="648" spans="18:18" x14ac:dyDescent="0.25">
      <c r="R648"/>
    </row>
    <row r="649" spans="18:18" x14ac:dyDescent="0.25">
      <c r="R649"/>
    </row>
    <row r="650" spans="18:18" x14ac:dyDescent="0.25">
      <c r="R650"/>
    </row>
    <row r="651" spans="18:18" x14ac:dyDescent="0.25">
      <c r="R651"/>
    </row>
    <row r="652" spans="18:18" x14ac:dyDescent="0.25">
      <c r="R652"/>
    </row>
    <row r="653" spans="18:18" x14ac:dyDescent="0.25">
      <c r="R653"/>
    </row>
    <row r="654" spans="18:18" x14ac:dyDescent="0.25">
      <c r="R654"/>
    </row>
    <row r="655" spans="18:18" x14ac:dyDescent="0.25">
      <c r="R655"/>
    </row>
    <row r="656" spans="18:18" x14ac:dyDescent="0.25">
      <c r="R656"/>
    </row>
    <row r="657" spans="18:18" x14ac:dyDescent="0.25">
      <c r="R657"/>
    </row>
    <row r="658" spans="18:18" x14ac:dyDescent="0.25">
      <c r="R658"/>
    </row>
    <row r="659" spans="18:18" x14ac:dyDescent="0.25">
      <c r="R659"/>
    </row>
    <row r="660" spans="18:18" x14ac:dyDescent="0.25">
      <c r="R660"/>
    </row>
    <row r="661" spans="18:18" x14ac:dyDescent="0.25">
      <c r="R661"/>
    </row>
    <row r="662" spans="18:18" x14ac:dyDescent="0.25">
      <c r="R662"/>
    </row>
    <row r="663" spans="18:18" x14ac:dyDescent="0.25">
      <c r="R663"/>
    </row>
    <row r="664" spans="18:18" x14ac:dyDescent="0.25">
      <c r="R664"/>
    </row>
    <row r="665" spans="18:18" x14ac:dyDescent="0.25">
      <c r="R665"/>
    </row>
    <row r="666" spans="18:18" x14ac:dyDescent="0.25">
      <c r="R666"/>
    </row>
    <row r="667" spans="18:18" x14ac:dyDescent="0.25">
      <c r="R667"/>
    </row>
    <row r="668" spans="18:18" x14ac:dyDescent="0.25">
      <c r="R668"/>
    </row>
    <row r="669" spans="18:18" x14ac:dyDescent="0.25">
      <c r="R669"/>
    </row>
    <row r="670" spans="18:18" x14ac:dyDescent="0.25">
      <c r="R670"/>
    </row>
    <row r="671" spans="18:18" x14ac:dyDescent="0.25">
      <c r="R671"/>
    </row>
    <row r="672" spans="18:18" x14ac:dyDescent="0.25">
      <c r="R672"/>
    </row>
    <row r="673" spans="18:18" x14ac:dyDescent="0.25">
      <c r="R673"/>
    </row>
    <row r="674" spans="18:18" x14ac:dyDescent="0.25">
      <c r="R674"/>
    </row>
    <row r="675" spans="18:18" x14ac:dyDescent="0.25">
      <c r="R675"/>
    </row>
    <row r="676" spans="18:18" x14ac:dyDescent="0.25">
      <c r="R676"/>
    </row>
    <row r="677" spans="18:18" x14ac:dyDescent="0.25">
      <c r="R677"/>
    </row>
    <row r="678" spans="18:18" x14ac:dyDescent="0.25">
      <c r="R678"/>
    </row>
    <row r="679" spans="18:18" x14ac:dyDescent="0.25">
      <c r="R679"/>
    </row>
    <row r="680" spans="18:18" x14ac:dyDescent="0.25">
      <c r="R680"/>
    </row>
    <row r="681" spans="18:18" x14ac:dyDescent="0.25">
      <c r="R681"/>
    </row>
    <row r="682" spans="18:18" x14ac:dyDescent="0.25">
      <c r="R682"/>
    </row>
    <row r="683" spans="18:18" x14ac:dyDescent="0.25">
      <c r="R683"/>
    </row>
    <row r="684" spans="18:18" x14ac:dyDescent="0.25">
      <c r="R684"/>
    </row>
    <row r="685" spans="18:18" x14ac:dyDescent="0.25">
      <c r="R685"/>
    </row>
    <row r="686" spans="18:18" x14ac:dyDescent="0.25">
      <c r="R686"/>
    </row>
    <row r="687" spans="18:18" x14ac:dyDescent="0.25">
      <c r="R687"/>
    </row>
    <row r="688" spans="18:18" x14ac:dyDescent="0.25">
      <c r="R688"/>
    </row>
    <row r="689" spans="18:18" x14ac:dyDescent="0.25">
      <c r="R689"/>
    </row>
    <row r="690" spans="18:18" x14ac:dyDescent="0.25">
      <c r="R690"/>
    </row>
    <row r="691" spans="18:18" x14ac:dyDescent="0.25">
      <c r="R691"/>
    </row>
    <row r="692" spans="18:18" x14ac:dyDescent="0.25">
      <c r="R692"/>
    </row>
    <row r="693" spans="18:18" x14ac:dyDescent="0.25">
      <c r="R693"/>
    </row>
    <row r="694" spans="18:18" x14ac:dyDescent="0.25">
      <c r="R694"/>
    </row>
    <row r="695" spans="18:18" x14ac:dyDescent="0.25">
      <c r="R695"/>
    </row>
    <row r="696" spans="18:18" x14ac:dyDescent="0.25">
      <c r="R696"/>
    </row>
    <row r="697" spans="18:18" x14ac:dyDescent="0.25">
      <c r="R697"/>
    </row>
    <row r="698" spans="18:18" x14ac:dyDescent="0.25">
      <c r="R698"/>
    </row>
    <row r="699" spans="18:18" x14ac:dyDescent="0.25">
      <c r="R699"/>
    </row>
    <row r="700" spans="18:18" x14ac:dyDescent="0.25">
      <c r="R700"/>
    </row>
    <row r="701" spans="18:18" x14ac:dyDescent="0.25">
      <c r="R701"/>
    </row>
    <row r="702" spans="18:18" x14ac:dyDescent="0.25">
      <c r="R702"/>
    </row>
    <row r="703" spans="18:18" x14ac:dyDescent="0.25">
      <c r="R703"/>
    </row>
    <row r="704" spans="18:18" x14ac:dyDescent="0.25">
      <c r="R704"/>
    </row>
    <row r="705" spans="18:18" x14ac:dyDescent="0.25">
      <c r="R705"/>
    </row>
    <row r="706" spans="18:18" x14ac:dyDescent="0.25">
      <c r="R706"/>
    </row>
    <row r="707" spans="18:18" x14ac:dyDescent="0.25">
      <c r="R707"/>
    </row>
    <row r="708" spans="18:18" x14ac:dyDescent="0.25">
      <c r="R708"/>
    </row>
    <row r="709" spans="18:18" x14ac:dyDescent="0.25">
      <c r="R709"/>
    </row>
    <row r="710" spans="18:18" x14ac:dyDescent="0.25">
      <c r="R710"/>
    </row>
    <row r="711" spans="18:18" x14ac:dyDescent="0.25">
      <c r="R711"/>
    </row>
    <row r="712" spans="18:18" x14ac:dyDescent="0.25">
      <c r="R712"/>
    </row>
    <row r="713" spans="18:18" x14ac:dyDescent="0.25">
      <c r="R713"/>
    </row>
    <row r="714" spans="18:18" x14ac:dyDescent="0.25">
      <c r="R714"/>
    </row>
    <row r="715" spans="18:18" x14ac:dyDescent="0.25">
      <c r="R715"/>
    </row>
    <row r="716" spans="18:18" x14ac:dyDescent="0.25">
      <c r="R716"/>
    </row>
    <row r="717" spans="18:18" x14ac:dyDescent="0.25">
      <c r="R717"/>
    </row>
    <row r="718" spans="18:18" x14ac:dyDescent="0.25">
      <c r="R718"/>
    </row>
    <row r="719" spans="18:18" x14ac:dyDescent="0.25">
      <c r="R719"/>
    </row>
    <row r="720" spans="18:18" x14ac:dyDescent="0.25">
      <c r="R720"/>
    </row>
    <row r="721" spans="18:18" x14ac:dyDescent="0.25">
      <c r="R721"/>
    </row>
    <row r="722" spans="18:18" x14ac:dyDescent="0.25">
      <c r="R722"/>
    </row>
    <row r="723" spans="18:18" x14ac:dyDescent="0.25">
      <c r="R723"/>
    </row>
    <row r="724" spans="18:18" x14ac:dyDescent="0.25">
      <c r="R724"/>
    </row>
    <row r="725" spans="18:18" x14ac:dyDescent="0.25">
      <c r="R725"/>
    </row>
    <row r="726" spans="18:18" x14ac:dyDescent="0.25">
      <c r="R726"/>
    </row>
    <row r="727" spans="18:18" x14ac:dyDescent="0.25">
      <c r="R727"/>
    </row>
    <row r="728" spans="18:18" x14ac:dyDescent="0.25">
      <c r="R728"/>
    </row>
    <row r="729" spans="18:18" x14ac:dyDescent="0.25">
      <c r="R729"/>
    </row>
    <row r="730" spans="18:18" x14ac:dyDescent="0.25">
      <c r="R730"/>
    </row>
    <row r="731" spans="18:18" x14ac:dyDescent="0.25">
      <c r="R731"/>
    </row>
    <row r="732" spans="18:18" x14ac:dyDescent="0.25">
      <c r="R732"/>
    </row>
    <row r="733" spans="18:18" x14ac:dyDescent="0.25">
      <c r="R733"/>
    </row>
    <row r="734" spans="18:18" x14ac:dyDescent="0.25">
      <c r="R734"/>
    </row>
    <row r="735" spans="18:18" x14ac:dyDescent="0.25">
      <c r="R735"/>
    </row>
    <row r="736" spans="18:18" x14ac:dyDescent="0.25">
      <c r="R736"/>
    </row>
    <row r="737" spans="18:18" x14ac:dyDescent="0.25">
      <c r="R737"/>
    </row>
    <row r="738" spans="18:18" x14ac:dyDescent="0.25">
      <c r="R738"/>
    </row>
    <row r="739" spans="18:18" x14ac:dyDescent="0.25">
      <c r="R739"/>
    </row>
    <row r="740" spans="18:18" x14ac:dyDescent="0.25">
      <c r="R740"/>
    </row>
    <row r="741" spans="18:18" x14ac:dyDescent="0.25">
      <c r="R741"/>
    </row>
    <row r="742" spans="18:18" x14ac:dyDescent="0.25">
      <c r="R742"/>
    </row>
    <row r="743" spans="18:18" x14ac:dyDescent="0.25">
      <c r="R743"/>
    </row>
    <row r="744" spans="18:18" x14ac:dyDescent="0.25">
      <c r="R744"/>
    </row>
    <row r="745" spans="18:18" x14ac:dyDescent="0.25">
      <c r="R745"/>
    </row>
    <row r="746" spans="18:18" x14ac:dyDescent="0.25">
      <c r="R746"/>
    </row>
    <row r="747" spans="18:18" x14ac:dyDescent="0.25">
      <c r="R747"/>
    </row>
    <row r="748" spans="18:18" x14ac:dyDescent="0.25">
      <c r="R748"/>
    </row>
    <row r="749" spans="18:18" x14ac:dyDescent="0.25">
      <c r="R749"/>
    </row>
    <row r="750" spans="18:18" x14ac:dyDescent="0.25">
      <c r="R750"/>
    </row>
    <row r="751" spans="18:18" x14ac:dyDescent="0.25">
      <c r="R751"/>
    </row>
    <row r="752" spans="18:18" x14ac:dyDescent="0.25">
      <c r="R752"/>
    </row>
    <row r="753" spans="18:18" x14ac:dyDescent="0.25">
      <c r="R753"/>
    </row>
    <row r="754" spans="18:18" x14ac:dyDescent="0.25">
      <c r="R754"/>
    </row>
    <row r="755" spans="18:18" x14ac:dyDescent="0.25">
      <c r="R755"/>
    </row>
    <row r="756" spans="18:18" x14ac:dyDescent="0.25">
      <c r="R756"/>
    </row>
    <row r="757" spans="18:18" x14ac:dyDescent="0.25">
      <c r="R757"/>
    </row>
    <row r="758" spans="18:18" x14ac:dyDescent="0.25">
      <c r="R758"/>
    </row>
    <row r="759" spans="18:18" x14ac:dyDescent="0.25">
      <c r="R759"/>
    </row>
    <row r="760" spans="18:18" x14ac:dyDescent="0.25">
      <c r="R760"/>
    </row>
    <row r="761" spans="18:18" x14ac:dyDescent="0.25">
      <c r="R761"/>
    </row>
    <row r="762" spans="18:18" x14ac:dyDescent="0.25">
      <c r="R762"/>
    </row>
    <row r="763" spans="18:18" x14ac:dyDescent="0.25">
      <c r="R763"/>
    </row>
    <row r="764" spans="18:18" x14ac:dyDescent="0.25">
      <c r="R764"/>
    </row>
    <row r="765" spans="18:18" x14ac:dyDescent="0.25">
      <c r="R765"/>
    </row>
    <row r="766" spans="18:18" x14ac:dyDescent="0.25">
      <c r="R766"/>
    </row>
    <row r="767" spans="18:18" x14ac:dyDescent="0.25">
      <c r="R767"/>
    </row>
    <row r="768" spans="18:18" x14ac:dyDescent="0.25">
      <c r="R768"/>
    </row>
    <row r="769" spans="18:18" x14ac:dyDescent="0.25">
      <c r="R769"/>
    </row>
    <row r="770" spans="18:18" x14ac:dyDescent="0.25">
      <c r="R770"/>
    </row>
    <row r="771" spans="18:18" x14ac:dyDescent="0.25">
      <c r="R771"/>
    </row>
    <row r="772" spans="18:18" x14ac:dyDescent="0.25">
      <c r="R772"/>
    </row>
    <row r="773" spans="18:18" x14ac:dyDescent="0.25">
      <c r="R773"/>
    </row>
    <row r="774" spans="18:18" x14ac:dyDescent="0.25">
      <c r="R774"/>
    </row>
    <row r="775" spans="18:18" x14ac:dyDescent="0.25">
      <c r="R775"/>
    </row>
    <row r="776" spans="18:18" x14ac:dyDescent="0.25">
      <c r="R776"/>
    </row>
    <row r="777" spans="18:18" x14ac:dyDescent="0.25">
      <c r="R777"/>
    </row>
    <row r="778" spans="18:18" x14ac:dyDescent="0.25">
      <c r="R778"/>
    </row>
    <row r="779" spans="18:18" x14ac:dyDescent="0.25">
      <c r="R779"/>
    </row>
    <row r="780" spans="18:18" x14ac:dyDescent="0.25">
      <c r="R780"/>
    </row>
    <row r="781" spans="18:18" x14ac:dyDescent="0.25">
      <c r="R781"/>
    </row>
    <row r="782" spans="18:18" x14ac:dyDescent="0.25">
      <c r="R782"/>
    </row>
    <row r="783" spans="18:18" x14ac:dyDescent="0.25">
      <c r="R783"/>
    </row>
    <row r="784" spans="18:18" x14ac:dyDescent="0.25">
      <c r="R784"/>
    </row>
    <row r="785" spans="18:18" x14ac:dyDescent="0.25">
      <c r="R785"/>
    </row>
    <row r="786" spans="18:18" x14ac:dyDescent="0.25">
      <c r="R786"/>
    </row>
    <row r="787" spans="18:18" x14ac:dyDescent="0.25">
      <c r="R787"/>
    </row>
    <row r="788" spans="18:18" x14ac:dyDescent="0.25">
      <c r="R788"/>
    </row>
    <row r="789" spans="18:18" x14ac:dyDescent="0.25">
      <c r="R789"/>
    </row>
    <row r="790" spans="18:18" x14ac:dyDescent="0.25">
      <c r="R790"/>
    </row>
    <row r="791" spans="18:18" x14ac:dyDescent="0.25">
      <c r="R791"/>
    </row>
    <row r="792" spans="18:18" x14ac:dyDescent="0.25">
      <c r="R792"/>
    </row>
    <row r="793" spans="18:18" x14ac:dyDescent="0.25">
      <c r="R793"/>
    </row>
    <row r="794" spans="18:18" x14ac:dyDescent="0.25">
      <c r="R794"/>
    </row>
    <row r="795" spans="18:18" x14ac:dyDescent="0.25">
      <c r="R795"/>
    </row>
    <row r="796" spans="18:18" x14ac:dyDescent="0.25">
      <c r="R796"/>
    </row>
    <row r="797" spans="18:18" x14ac:dyDescent="0.25">
      <c r="R797"/>
    </row>
    <row r="798" spans="18:18" x14ac:dyDescent="0.25">
      <c r="R798"/>
    </row>
    <row r="799" spans="18:18" x14ac:dyDescent="0.25">
      <c r="R799"/>
    </row>
    <row r="800" spans="18:18" x14ac:dyDescent="0.25">
      <c r="R800"/>
    </row>
    <row r="801" spans="18:18" x14ac:dyDescent="0.25">
      <c r="R801"/>
    </row>
    <row r="802" spans="18:18" x14ac:dyDescent="0.25">
      <c r="R802"/>
    </row>
    <row r="803" spans="18:18" x14ac:dyDescent="0.25">
      <c r="R803"/>
    </row>
    <row r="804" spans="18:18" x14ac:dyDescent="0.25">
      <c r="R804"/>
    </row>
    <row r="805" spans="18:18" x14ac:dyDescent="0.25">
      <c r="R805"/>
    </row>
    <row r="806" spans="18:18" x14ac:dyDescent="0.25">
      <c r="R806"/>
    </row>
    <row r="807" spans="18:18" x14ac:dyDescent="0.25">
      <c r="R807"/>
    </row>
    <row r="808" spans="18:18" x14ac:dyDescent="0.25">
      <c r="R808"/>
    </row>
    <row r="809" spans="18:18" x14ac:dyDescent="0.25">
      <c r="R809"/>
    </row>
    <row r="810" spans="18:18" x14ac:dyDescent="0.25">
      <c r="R810"/>
    </row>
    <row r="811" spans="18:18" x14ac:dyDescent="0.25">
      <c r="R811"/>
    </row>
    <row r="812" spans="18:18" x14ac:dyDescent="0.25">
      <c r="R812"/>
    </row>
    <row r="813" spans="18:18" x14ac:dyDescent="0.25">
      <c r="R813"/>
    </row>
    <row r="814" spans="18:18" x14ac:dyDescent="0.25">
      <c r="R814"/>
    </row>
    <row r="815" spans="18:18" x14ac:dyDescent="0.25">
      <c r="R815"/>
    </row>
    <row r="816" spans="18:18" x14ac:dyDescent="0.25">
      <c r="R816"/>
    </row>
    <row r="817" spans="18:18" x14ac:dyDescent="0.25">
      <c r="R817"/>
    </row>
    <row r="818" spans="18:18" x14ac:dyDescent="0.25">
      <c r="R818"/>
    </row>
    <row r="819" spans="18:18" x14ac:dyDescent="0.25">
      <c r="R819"/>
    </row>
    <row r="820" spans="18:18" x14ac:dyDescent="0.25">
      <c r="R820"/>
    </row>
    <row r="821" spans="18:18" x14ac:dyDescent="0.25">
      <c r="R821"/>
    </row>
    <row r="822" spans="18:18" x14ac:dyDescent="0.25">
      <c r="R822"/>
    </row>
    <row r="823" spans="18:18" x14ac:dyDescent="0.25">
      <c r="R823"/>
    </row>
    <row r="824" spans="18:18" x14ac:dyDescent="0.25">
      <c r="R824"/>
    </row>
    <row r="825" spans="18:18" x14ac:dyDescent="0.25">
      <c r="R825"/>
    </row>
    <row r="826" spans="18:18" x14ac:dyDescent="0.25">
      <c r="R826"/>
    </row>
    <row r="827" spans="18:18" x14ac:dyDescent="0.25">
      <c r="R827"/>
    </row>
    <row r="828" spans="18:18" x14ac:dyDescent="0.25">
      <c r="R828"/>
    </row>
    <row r="829" spans="18:18" x14ac:dyDescent="0.25">
      <c r="R829"/>
    </row>
    <row r="830" spans="18:18" x14ac:dyDescent="0.25">
      <c r="R830"/>
    </row>
    <row r="831" spans="18:18" x14ac:dyDescent="0.25">
      <c r="R831"/>
    </row>
    <row r="832" spans="18:18" x14ac:dyDescent="0.25">
      <c r="R832"/>
    </row>
    <row r="833" spans="18:18" x14ac:dyDescent="0.25">
      <c r="R833"/>
    </row>
    <row r="834" spans="18:18" x14ac:dyDescent="0.25">
      <c r="R834"/>
    </row>
    <row r="835" spans="18:18" x14ac:dyDescent="0.25">
      <c r="R835"/>
    </row>
    <row r="836" spans="18:18" x14ac:dyDescent="0.25">
      <c r="R836"/>
    </row>
    <row r="837" spans="18:18" x14ac:dyDescent="0.25">
      <c r="R837"/>
    </row>
    <row r="838" spans="18:18" x14ac:dyDescent="0.25">
      <c r="R838"/>
    </row>
    <row r="839" spans="18:18" x14ac:dyDescent="0.25">
      <c r="R839"/>
    </row>
    <row r="840" spans="18:18" x14ac:dyDescent="0.25">
      <c r="R840"/>
    </row>
    <row r="841" spans="18:18" x14ac:dyDescent="0.25">
      <c r="R841"/>
    </row>
    <row r="842" spans="18:18" x14ac:dyDescent="0.25">
      <c r="R842"/>
    </row>
    <row r="843" spans="18:18" x14ac:dyDescent="0.25">
      <c r="R843"/>
    </row>
    <row r="844" spans="18:18" x14ac:dyDescent="0.25">
      <c r="R844"/>
    </row>
    <row r="845" spans="18:18" x14ac:dyDescent="0.25">
      <c r="R845"/>
    </row>
    <row r="846" spans="18:18" x14ac:dyDescent="0.25">
      <c r="R846"/>
    </row>
    <row r="847" spans="18:18" x14ac:dyDescent="0.25">
      <c r="R847"/>
    </row>
    <row r="848" spans="18:18" x14ac:dyDescent="0.25">
      <c r="R848"/>
    </row>
    <row r="849" spans="18:18" x14ac:dyDescent="0.25">
      <c r="R849"/>
    </row>
    <row r="850" spans="18:18" x14ac:dyDescent="0.25">
      <c r="R850"/>
    </row>
    <row r="851" spans="18:18" x14ac:dyDescent="0.25">
      <c r="R851"/>
    </row>
    <row r="852" spans="18:18" x14ac:dyDescent="0.25">
      <c r="R852"/>
    </row>
    <row r="853" spans="18:18" x14ac:dyDescent="0.25">
      <c r="R853"/>
    </row>
    <row r="854" spans="18:18" x14ac:dyDescent="0.25">
      <c r="R854"/>
    </row>
    <row r="855" spans="18:18" x14ac:dyDescent="0.25">
      <c r="R855"/>
    </row>
    <row r="856" spans="18:18" x14ac:dyDescent="0.25">
      <c r="R856"/>
    </row>
    <row r="857" spans="18:18" x14ac:dyDescent="0.25">
      <c r="R857"/>
    </row>
    <row r="858" spans="18:18" x14ac:dyDescent="0.25">
      <c r="R858"/>
    </row>
    <row r="859" spans="18:18" x14ac:dyDescent="0.25">
      <c r="R859"/>
    </row>
    <row r="860" spans="18:18" x14ac:dyDescent="0.25">
      <c r="R860"/>
    </row>
    <row r="861" spans="18:18" x14ac:dyDescent="0.25">
      <c r="R861"/>
    </row>
    <row r="862" spans="18:18" x14ac:dyDescent="0.25">
      <c r="R862"/>
    </row>
    <row r="863" spans="18:18" x14ac:dyDescent="0.25">
      <c r="R863"/>
    </row>
    <row r="864" spans="18:18" x14ac:dyDescent="0.25">
      <c r="R864"/>
    </row>
    <row r="865" spans="18:18" x14ac:dyDescent="0.25">
      <c r="R865"/>
    </row>
    <row r="866" spans="18:18" x14ac:dyDescent="0.25">
      <c r="R866"/>
    </row>
    <row r="867" spans="18:18" x14ac:dyDescent="0.25">
      <c r="R867"/>
    </row>
    <row r="868" spans="18:18" x14ac:dyDescent="0.25">
      <c r="R868"/>
    </row>
    <row r="869" spans="18:18" x14ac:dyDescent="0.25">
      <c r="R869"/>
    </row>
    <row r="870" spans="18:18" x14ac:dyDescent="0.25">
      <c r="R870"/>
    </row>
    <row r="871" spans="18:18" x14ac:dyDescent="0.25">
      <c r="R871"/>
    </row>
    <row r="872" spans="18:18" x14ac:dyDescent="0.25">
      <c r="R872"/>
    </row>
    <row r="873" spans="18:18" x14ac:dyDescent="0.25">
      <c r="R873"/>
    </row>
    <row r="874" spans="18:18" x14ac:dyDescent="0.25">
      <c r="R874"/>
    </row>
    <row r="875" spans="18:18" x14ac:dyDescent="0.25">
      <c r="R875"/>
    </row>
    <row r="876" spans="18:18" x14ac:dyDescent="0.25">
      <c r="R876"/>
    </row>
    <row r="877" spans="18:18" x14ac:dyDescent="0.25">
      <c r="R877"/>
    </row>
    <row r="878" spans="18:18" x14ac:dyDescent="0.25">
      <c r="R878"/>
    </row>
    <row r="879" spans="18:18" x14ac:dyDescent="0.25">
      <c r="R879"/>
    </row>
    <row r="880" spans="18:18" x14ac:dyDescent="0.25">
      <c r="R880"/>
    </row>
    <row r="881" spans="18:18" x14ac:dyDescent="0.25">
      <c r="R881"/>
    </row>
    <row r="882" spans="18:18" x14ac:dyDescent="0.25">
      <c r="R882"/>
    </row>
    <row r="883" spans="18:18" x14ac:dyDescent="0.25">
      <c r="R883"/>
    </row>
    <row r="884" spans="18:18" x14ac:dyDescent="0.25">
      <c r="R884"/>
    </row>
    <row r="885" spans="18:18" x14ac:dyDescent="0.25">
      <c r="R885"/>
    </row>
    <row r="886" spans="18:18" x14ac:dyDescent="0.25">
      <c r="R886"/>
    </row>
    <row r="887" spans="18:18" x14ac:dyDescent="0.25">
      <c r="R887"/>
    </row>
    <row r="888" spans="18:18" x14ac:dyDescent="0.25">
      <c r="R888"/>
    </row>
    <row r="889" spans="18:18" x14ac:dyDescent="0.25">
      <c r="R889"/>
    </row>
    <row r="890" spans="18:18" x14ac:dyDescent="0.25">
      <c r="R890"/>
    </row>
    <row r="891" spans="18:18" x14ac:dyDescent="0.25">
      <c r="R891"/>
    </row>
    <row r="892" spans="18:18" x14ac:dyDescent="0.25">
      <c r="R892"/>
    </row>
    <row r="893" spans="18:18" x14ac:dyDescent="0.25">
      <c r="R893"/>
    </row>
    <row r="894" spans="18:18" x14ac:dyDescent="0.25">
      <c r="R894"/>
    </row>
    <row r="895" spans="18:18" x14ac:dyDescent="0.25">
      <c r="R895"/>
    </row>
    <row r="896" spans="18:18" x14ac:dyDescent="0.25">
      <c r="R896"/>
    </row>
    <row r="897" spans="18:18" x14ac:dyDescent="0.25">
      <c r="R897"/>
    </row>
    <row r="898" spans="18:18" x14ac:dyDescent="0.25">
      <c r="R898"/>
    </row>
    <row r="899" spans="18:18" x14ac:dyDescent="0.25">
      <c r="R899"/>
    </row>
    <row r="900" spans="18:18" x14ac:dyDescent="0.25">
      <c r="R900"/>
    </row>
    <row r="901" spans="18:18" x14ac:dyDescent="0.25">
      <c r="R901"/>
    </row>
    <row r="902" spans="18:18" x14ac:dyDescent="0.25">
      <c r="R902"/>
    </row>
    <row r="903" spans="18:18" x14ac:dyDescent="0.25">
      <c r="R903"/>
    </row>
    <row r="904" spans="18:18" x14ac:dyDescent="0.25">
      <c r="R904"/>
    </row>
    <row r="905" spans="18:18" x14ac:dyDescent="0.25">
      <c r="R905"/>
    </row>
    <row r="906" spans="18:18" x14ac:dyDescent="0.25">
      <c r="R906"/>
    </row>
    <row r="907" spans="18:18" x14ac:dyDescent="0.25">
      <c r="R907"/>
    </row>
    <row r="908" spans="18:18" x14ac:dyDescent="0.25">
      <c r="R908"/>
    </row>
    <row r="909" spans="18:18" x14ac:dyDescent="0.25">
      <c r="R909"/>
    </row>
    <row r="910" spans="18:18" x14ac:dyDescent="0.25">
      <c r="R910"/>
    </row>
    <row r="911" spans="18:18" x14ac:dyDescent="0.25">
      <c r="R911"/>
    </row>
    <row r="912" spans="18:18" x14ac:dyDescent="0.25">
      <c r="R912"/>
    </row>
    <row r="913" spans="18:18" x14ac:dyDescent="0.25">
      <c r="R913"/>
    </row>
    <row r="914" spans="18:18" x14ac:dyDescent="0.25">
      <c r="R914"/>
    </row>
    <row r="915" spans="18:18" x14ac:dyDescent="0.25">
      <c r="R915"/>
    </row>
    <row r="916" spans="18:18" x14ac:dyDescent="0.25">
      <c r="R916"/>
    </row>
    <row r="917" spans="18:18" x14ac:dyDescent="0.25">
      <c r="R917"/>
    </row>
    <row r="918" spans="18:18" x14ac:dyDescent="0.25">
      <c r="R918"/>
    </row>
    <row r="919" spans="18:18" x14ac:dyDescent="0.25">
      <c r="R919"/>
    </row>
    <row r="920" spans="18:18" x14ac:dyDescent="0.25">
      <c r="R920"/>
    </row>
    <row r="921" spans="18:18" x14ac:dyDescent="0.25">
      <c r="R921"/>
    </row>
    <row r="922" spans="18:18" x14ac:dyDescent="0.25">
      <c r="R922"/>
    </row>
    <row r="923" spans="18:18" x14ac:dyDescent="0.25">
      <c r="R923"/>
    </row>
    <row r="924" spans="18:18" x14ac:dyDescent="0.25">
      <c r="R924"/>
    </row>
    <row r="925" spans="18:18" x14ac:dyDescent="0.25">
      <c r="R925"/>
    </row>
    <row r="926" spans="18:18" x14ac:dyDescent="0.25">
      <c r="R926"/>
    </row>
    <row r="927" spans="18:18" x14ac:dyDescent="0.25">
      <c r="R927"/>
    </row>
    <row r="928" spans="18:18" x14ac:dyDescent="0.25">
      <c r="R928"/>
    </row>
    <row r="929" spans="18:18" x14ac:dyDescent="0.25">
      <c r="R929"/>
    </row>
    <row r="930" spans="18:18" x14ac:dyDescent="0.25">
      <c r="R930"/>
    </row>
    <row r="931" spans="18:18" x14ac:dyDescent="0.25">
      <c r="R931"/>
    </row>
    <row r="932" spans="18:18" x14ac:dyDescent="0.25">
      <c r="R932"/>
    </row>
    <row r="933" spans="18:18" x14ac:dyDescent="0.25">
      <c r="R933"/>
    </row>
    <row r="934" spans="18:18" x14ac:dyDescent="0.25">
      <c r="R934"/>
    </row>
    <row r="935" spans="18:18" x14ac:dyDescent="0.25">
      <c r="R935"/>
    </row>
    <row r="936" spans="18:18" x14ac:dyDescent="0.25">
      <c r="R936"/>
    </row>
    <row r="937" spans="18:18" x14ac:dyDescent="0.25">
      <c r="R937"/>
    </row>
    <row r="938" spans="18:18" x14ac:dyDescent="0.25">
      <c r="R938"/>
    </row>
    <row r="939" spans="18:18" x14ac:dyDescent="0.25">
      <c r="R939"/>
    </row>
    <row r="940" spans="18:18" x14ac:dyDescent="0.25">
      <c r="R940"/>
    </row>
    <row r="941" spans="18:18" x14ac:dyDescent="0.25">
      <c r="R941"/>
    </row>
    <row r="942" spans="18:18" x14ac:dyDescent="0.25">
      <c r="R942"/>
    </row>
    <row r="943" spans="18:18" x14ac:dyDescent="0.25">
      <c r="R943"/>
    </row>
    <row r="944" spans="18:18" x14ac:dyDescent="0.25">
      <c r="R944"/>
    </row>
    <row r="945" spans="18:18" x14ac:dyDescent="0.25">
      <c r="R945"/>
    </row>
    <row r="946" spans="18:18" x14ac:dyDescent="0.25">
      <c r="R946"/>
    </row>
    <row r="947" spans="18:18" x14ac:dyDescent="0.25">
      <c r="R947"/>
    </row>
    <row r="948" spans="18:18" x14ac:dyDescent="0.25">
      <c r="R948"/>
    </row>
    <row r="949" spans="18:18" x14ac:dyDescent="0.25">
      <c r="R949"/>
    </row>
    <row r="950" spans="18:18" x14ac:dyDescent="0.25">
      <c r="R950"/>
    </row>
    <row r="951" spans="18:18" x14ac:dyDescent="0.25">
      <c r="R951"/>
    </row>
    <row r="952" spans="18:18" x14ac:dyDescent="0.25">
      <c r="R952"/>
    </row>
    <row r="953" spans="18:18" x14ac:dyDescent="0.25">
      <c r="R953"/>
    </row>
    <row r="954" spans="18:18" x14ac:dyDescent="0.25">
      <c r="R954"/>
    </row>
    <row r="955" spans="18:18" x14ac:dyDescent="0.25">
      <c r="R955"/>
    </row>
    <row r="956" spans="18:18" x14ac:dyDescent="0.25">
      <c r="R956"/>
    </row>
    <row r="957" spans="18:18" x14ac:dyDescent="0.25">
      <c r="R957"/>
    </row>
    <row r="958" spans="18:18" x14ac:dyDescent="0.25">
      <c r="R958"/>
    </row>
    <row r="959" spans="18:18" x14ac:dyDescent="0.25">
      <c r="R959"/>
    </row>
    <row r="960" spans="18:18" x14ac:dyDescent="0.25">
      <c r="R960"/>
    </row>
    <row r="961" spans="18:18" x14ac:dyDescent="0.25">
      <c r="R961"/>
    </row>
    <row r="962" spans="18:18" x14ac:dyDescent="0.25">
      <c r="R962"/>
    </row>
    <row r="963" spans="18:18" x14ac:dyDescent="0.25">
      <c r="R963"/>
    </row>
    <row r="964" spans="18:18" x14ac:dyDescent="0.25">
      <c r="R964"/>
    </row>
    <row r="965" spans="18:18" x14ac:dyDescent="0.25">
      <c r="R965"/>
    </row>
    <row r="966" spans="18:18" x14ac:dyDescent="0.25">
      <c r="R966"/>
    </row>
    <row r="967" spans="18:18" x14ac:dyDescent="0.25">
      <c r="R967"/>
    </row>
    <row r="968" spans="18:18" x14ac:dyDescent="0.25">
      <c r="R968"/>
    </row>
    <row r="969" spans="18:18" x14ac:dyDescent="0.25">
      <c r="R969"/>
    </row>
    <row r="970" spans="18:18" x14ac:dyDescent="0.25">
      <c r="R970"/>
    </row>
    <row r="971" spans="18:18" x14ac:dyDescent="0.25">
      <c r="R971"/>
    </row>
    <row r="972" spans="18:18" x14ac:dyDescent="0.25">
      <c r="R972"/>
    </row>
    <row r="973" spans="18:18" x14ac:dyDescent="0.25">
      <c r="R973"/>
    </row>
    <row r="974" spans="18:18" x14ac:dyDescent="0.25">
      <c r="R974"/>
    </row>
    <row r="975" spans="18:18" x14ac:dyDescent="0.25">
      <c r="R975"/>
    </row>
    <row r="976" spans="18:18" x14ac:dyDescent="0.25">
      <c r="R976"/>
    </row>
    <row r="977" spans="18:18" x14ac:dyDescent="0.25">
      <c r="R977"/>
    </row>
    <row r="978" spans="18:18" x14ac:dyDescent="0.25">
      <c r="R978"/>
    </row>
    <row r="979" spans="18:18" x14ac:dyDescent="0.25">
      <c r="R979"/>
    </row>
    <row r="980" spans="18:18" x14ac:dyDescent="0.25">
      <c r="R980"/>
    </row>
    <row r="981" spans="18:18" x14ac:dyDescent="0.25">
      <c r="R981"/>
    </row>
    <row r="982" spans="18:18" x14ac:dyDescent="0.25">
      <c r="R982"/>
    </row>
    <row r="983" spans="18:18" x14ac:dyDescent="0.25">
      <c r="R983"/>
    </row>
    <row r="984" spans="18:18" x14ac:dyDescent="0.25">
      <c r="R984"/>
    </row>
    <row r="985" spans="18:18" x14ac:dyDescent="0.25">
      <c r="R985"/>
    </row>
    <row r="986" spans="18:18" x14ac:dyDescent="0.25">
      <c r="R986"/>
    </row>
    <row r="987" spans="18:18" x14ac:dyDescent="0.25">
      <c r="R987"/>
    </row>
    <row r="988" spans="18:18" x14ac:dyDescent="0.25">
      <c r="R988"/>
    </row>
    <row r="989" spans="18:18" x14ac:dyDescent="0.25">
      <c r="R989"/>
    </row>
    <row r="990" spans="18:18" x14ac:dyDescent="0.25">
      <c r="R990"/>
    </row>
    <row r="991" spans="18:18" x14ac:dyDescent="0.25">
      <c r="R991"/>
    </row>
    <row r="992" spans="18:18" x14ac:dyDescent="0.25">
      <c r="R992"/>
    </row>
    <row r="993" spans="18:18" x14ac:dyDescent="0.25">
      <c r="R993"/>
    </row>
    <row r="994" spans="18:18" x14ac:dyDescent="0.25">
      <c r="R994"/>
    </row>
    <row r="995" spans="18:18" x14ac:dyDescent="0.25">
      <c r="R995"/>
    </row>
    <row r="996" spans="18:18" x14ac:dyDescent="0.25">
      <c r="R996"/>
    </row>
    <row r="997" spans="18:18" x14ac:dyDescent="0.25">
      <c r="R997"/>
    </row>
    <row r="998" spans="18:18" x14ac:dyDescent="0.25">
      <c r="R998"/>
    </row>
    <row r="999" spans="18:18" x14ac:dyDescent="0.25">
      <c r="R999"/>
    </row>
    <row r="1000" spans="18:18" x14ac:dyDescent="0.25">
      <c r="R1000"/>
    </row>
    <row r="1001" spans="18:18" x14ac:dyDescent="0.25">
      <c r="R1001"/>
    </row>
    <row r="1002" spans="18:18" x14ac:dyDescent="0.25">
      <c r="R1002"/>
    </row>
    <row r="1003" spans="18:18" x14ac:dyDescent="0.25">
      <c r="R1003"/>
    </row>
    <row r="1004" spans="18:18" x14ac:dyDescent="0.25">
      <c r="R1004"/>
    </row>
    <row r="1005" spans="18:18" x14ac:dyDescent="0.25">
      <c r="R1005"/>
    </row>
    <row r="1006" spans="18:18" x14ac:dyDescent="0.25">
      <c r="R1006"/>
    </row>
    <row r="1007" spans="18:18" x14ac:dyDescent="0.25">
      <c r="R1007"/>
    </row>
    <row r="1008" spans="18:18" x14ac:dyDescent="0.25">
      <c r="R1008"/>
    </row>
    <row r="1009" spans="18:18" x14ac:dyDescent="0.25">
      <c r="R1009"/>
    </row>
    <row r="1010" spans="18:18" x14ac:dyDescent="0.25">
      <c r="R1010"/>
    </row>
    <row r="1011" spans="18:18" x14ac:dyDescent="0.25">
      <c r="R1011"/>
    </row>
    <row r="1012" spans="18:18" x14ac:dyDescent="0.25">
      <c r="R1012"/>
    </row>
    <row r="1013" spans="18:18" x14ac:dyDescent="0.25">
      <c r="R1013"/>
    </row>
    <row r="1014" spans="18:18" x14ac:dyDescent="0.25">
      <c r="R1014"/>
    </row>
    <row r="1015" spans="18:18" x14ac:dyDescent="0.25">
      <c r="R1015"/>
    </row>
    <row r="1016" spans="18:18" x14ac:dyDescent="0.25">
      <c r="R1016"/>
    </row>
    <row r="1017" spans="18:18" x14ac:dyDescent="0.25">
      <c r="R1017"/>
    </row>
    <row r="1018" spans="18:18" x14ac:dyDescent="0.25">
      <c r="R1018"/>
    </row>
    <row r="1019" spans="18:18" x14ac:dyDescent="0.25">
      <c r="R1019"/>
    </row>
    <row r="1020" spans="18:18" x14ac:dyDescent="0.25">
      <c r="R1020"/>
    </row>
    <row r="1021" spans="18:18" x14ac:dyDescent="0.25">
      <c r="R1021"/>
    </row>
    <row r="1022" spans="18:18" x14ac:dyDescent="0.25">
      <c r="R1022"/>
    </row>
    <row r="1023" spans="18:18" x14ac:dyDescent="0.25">
      <c r="R1023"/>
    </row>
    <row r="1024" spans="18:18" x14ac:dyDescent="0.25">
      <c r="R1024"/>
    </row>
    <row r="1025" spans="18:18" x14ac:dyDescent="0.25">
      <c r="R1025"/>
    </row>
    <row r="1026" spans="18:18" x14ac:dyDescent="0.25">
      <c r="R1026"/>
    </row>
    <row r="1027" spans="18:18" x14ac:dyDescent="0.25">
      <c r="R1027"/>
    </row>
    <row r="1028" spans="18:18" x14ac:dyDescent="0.25">
      <c r="R1028"/>
    </row>
    <row r="1029" spans="18:18" x14ac:dyDescent="0.25">
      <c r="R1029"/>
    </row>
    <row r="1030" spans="18:18" x14ac:dyDescent="0.25">
      <c r="R1030"/>
    </row>
    <row r="1031" spans="18:18" x14ac:dyDescent="0.25">
      <c r="R1031"/>
    </row>
    <row r="1032" spans="18:18" x14ac:dyDescent="0.25">
      <c r="R1032"/>
    </row>
    <row r="1033" spans="18:18" x14ac:dyDescent="0.25">
      <c r="R1033"/>
    </row>
    <row r="1034" spans="18:18" x14ac:dyDescent="0.25">
      <c r="R1034"/>
    </row>
    <row r="1035" spans="18:18" x14ac:dyDescent="0.25">
      <c r="R1035"/>
    </row>
    <row r="1036" spans="18:18" x14ac:dyDescent="0.25">
      <c r="R1036"/>
    </row>
    <row r="1037" spans="18:18" x14ac:dyDescent="0.25">
      <c r="R1037"/>
    </row>
    <row r="1038" spans="18:18" x14ac:dyDescent="0.25">
      <c r="R1038"/>
    </row>
    <row r="1039" spans="18:18" x14ac:dyDescent="0.25">
      <c r="R1039"/>
    </row>
    <row r="1040" spans="18:18" x14ac:dyDescent="0.25">
      <c r="R1040"/>
    </row>
    <row r="1041" spans="18:18" x14ac:dyDescent="0.25">
      <c r="R1041"/>
    </row>
    <row r="1042" spans="18:18" x14ac:dyDescent="0.25">
      <c r="R1042"/>
    </row>
    <row r="1043" spans="18:18" x14ac:dyDescent="0.25">
      <c r="R1043"/>
    </row>
    <row r="1044" spans="18:18" x14ac:dyDescent="0.25">
      <c r="R1044"/>
    </row>
    <row r="1045" spans="18:18" x14ac:dyDescent="0.25">
      <c r="R1045"/>
    </row>
    <row r="1046" spans="18:18" x14ac:dyDescent="0.25">
      <c r="R1046"/>
    </row>
    <row r="1047" spans="18:18" x14ac:dyDescent="0.25">
      <c r="R1047"/>
    </row>
    <row r="1048" spans="18:18" x14ac:dyDescent="0.25">
      <c r="R1048"/>
    </row>
    <row r="1049" spans="18:18" x14ac:dyDescent="0.25">
      <c r="R1049"/>
    </row>
    <row r="1050" spans="18:18" x14ac:dyDescent="0.25">
      <c r="R1050"/>
    </row>
    <row r="1051" spans="18:18" x14ac:dyDescent="0.25">
      <c r="R1051"/>
    </row>
    <row r="1052" spans="18:18" x14ac:dyDescent="0.25">
      <c r="R1052"/>
    </row>
    <row r="1053" spans="18:18" x14ac:dyDescent="0.25">
      <c r="R1053"/>
    </row>
    <row r="1054" spans="18:18" x14ac:dyDescent="0.25">
      <c r="R1054"/>
    </row>
    <row r="1055" spans="18:18" x14ac:dyDescent="0.25">
      <c r="R1055"/>
    </row>
    <row r="1056" spans="18:18" x14ac:dyDescent="0.25">
      <c r="R1056"/>
    </row>
    <row r="1057" spans="18:18" x14ac:dyDescent="0.25">
      <c r="R1057"/>
    </row>
    <row r="1058" spans="18:18" x14ac:dyDescent="0.25">
      <c r="R1058"/>
    </row>
    <row r="1059" spans="18:18" x14ac:dyDescent="0.25">
      <c r="R1059"/>
    </row>
    <row r="1060" spans="18:18" x14ac:dyDescent="0.25">
      <c r="R1060"/>
    </row>
    <row r="1061" spans="18:18" x14ac:dyDescent="0.25">
      <c r="R1061"/>
    </row>
    <row r="1062" spans="18:18" x14ac:dyDescent="0.25">
      <c r="R1062"/>
    </row>
    <row r="1063" spans="18:18" x14ac:dyDescent="0.25">
      <c r="R1063"/>
    </row>
    <row r="1064" spans="18:18" x14ac:dyDescent="0.25">
      <c r="R1064"/>
    </row>
    <row r="1065" spans="18:18" x14ac:dyDescent="0.25">
      <c r="R1065"/>
    </row>
    <row r="1066" spans="18:18" x14ac:dyDescent="0.25">
      <c r="R1066"/>
    </row>
    <row r="1067" spans="18:18" x14ac:dyDescent="0.25">
      <c r="R1067"/>
    </row>
    <row r="1068" spans="18:18" x14ac:dyDescent="0.25">
      <c r="R1068"/>
    </row>
    <row r="1069" spans="18:18" x14ac:dyDescent="0.25">
      <c r="R1069"/>
    </row>
    <row r="1070" spans="18:18" x14ac:dyDescent="0.25">
      <c r="R1070"/>
    </row>
    <row r="1071" spans="18:18" x14ac:dyDescent="0.25">
      <c r="R1071"/>
    </row>
    <row r="1072" spans="18:18" x14ac:dyDescent="0.25">
      <c r="R1072"/>
    </row>
    <row r="1073" spans="18:18" x14ac:dyDescent="0.25">
      <c r="R1073"/>
    </row>
    <row r="1074" spans="18:18" x14ac:dyDescent="0.25">
      <c r="R1074"/>
    </row>
    <row r="1075" spans="18:18" x14ac:dyDescent="0.25">
      <c r="R1075"/>
    </row>
    <row r="1076" spans="18:18" x14ac:dyDescent="0.25">
      <c r="R1076"/>
    </row>
    <row r="1077" spans="18:18" x14ac:dyDescent="0.25">
      <c r="R1077"/>
    </row>
    <row r="1078" spans="18:18" x14ac:dyDescent="0.25">
      <c r="R1078"/>
    </row>
    <row r="1079" spans="18:18" x14ac:dyDescent="0.25">
      <c r="R1079"/>
    </row>
    <row r="1080" spans="18:18" x14ac:dyDescent="0.25">
      <c r="R1080"/>
    </row>
    <row r="1081" spans="18:18" x14ac:dyDescent="0.25">
      <c r="R1081"/>
    </row>
    <row r="1082" spans="18:18" x14ac:dyDescent="0.25">
      <c r="R1082"/>
    </row>
    <row r="1083" spans="18:18" x14ac:dyDescent="0.25">
      <c r="R1083"/>
    </row>
    <row r="1084" spans="18:18" x14ac:dyDescent="0.25">
      <c r="R1084"/>
    </row>
    <row r="1085" spans="18:18" x14ac:dyDescent="0.25">
      <c r="R1085"/>
    </row>
    <row r="1086" spans="18:18" x14ac:dyDescent="0.25">
      <c r="R1086"/>
    </row>
    <row r="1087" spans="18:18" x14ac:dyDescent="0.25">
      <c r="R1087"/>
    </row>
    <row r="1088" spans="18:18" x14ac:dyDescent="0.25">
      <c r="R1088"/>
    </row>
    <row r="1089" spans="18:18" x14ac:dyDescent="0.25">
      <c r="R1089"/>
    </row>
    <row r="1090" spans="18:18" x14ac:dyDescent="0.25">
      <c r="R1090"/>
    </row>
    <row r="1091" spans="18:18" x14ac:dyDescent="0.25">
      <c r="R1091"/>
    </row>
    <row r="1092" spans="18:18" x14ac:dyDescent="0.25">
      <c r="R1092"/>
    </row>
    <row r="1093" spans="18:18" x14ac:dyDescent="0.25">
      <c r="R1093"/>
    </row>
    <row r="1094" spans="18:18" x14ac:dyDescent="0.25">
      <c r="R1094"/>
    </row>
    <row r="1095" spans="18:18" x14ac:dyDescent="0.25">
      <c r="R1095"/>
    </row>
    <row r="1096" spans="18:18" x14ac:dyDescent="0.25">
      <c r="R1096"/>
    </row>
    <row r="1097" spans="18:18" x14ac:dyDescent="0.25">
      <c r="R1097"/>
    </row>
    <row r="1098" spans="18:18" x14ac:dyDescent="0.25">
      <c r="R1098"/>
    </row>
    <row r="1099" spans="18:18" x14ac:dyDescent="0.25">
      <c r="R1099"/>
    </row>
    <row r="1100" spans="18:18" x14ac:dyDescent="0.25">
      <c r="R1100"/>
    </row>
    <row r="1101" spans="18:18" x14ac:dyDescent="0.25">
      <c r="R1101"/>
    </row>
    <row r="1102" spans="18:18" x14ac:dyDescent="0.25">
      <c r="R1102"/>
    </row>
    <row r="1103" spans="18:18" x14ac:dyDescent="0.25">
      <c r="R1103"/>
    </row>
    <row r="1104" spans="18:18" x14ac:dyDescent="0.25">
      <c r="R1104"/>
    </row>
    <row r="1105" spans="18:18" x14ac:dyDescent="0.25">
      <c r="R1105"/>
    </row>
    <row r="1106" spans="18:18" x14ac:dyDescent="0.25">
      <c r="R1106"/>
    </row>
    <row r="1107" spans="18:18" x14ac:dyDescent="0.25">
      <c r="R1107"/>
    </row>
    <row r="1108" spans="18:18" x14ac:dyDescent="0.25">
      <c r="R1108"/>
    </row>
    <row r="1109" spans="18:18" x14ac:dyDescent="0.25">
      <c r="R1109"/>
    </row>
    <row r="1110" spans="18:18" x14ac:dyDescent="0.25">
      <c r="R1110"/>
    </row>
    <row r="1111" spans="18:18" x14ac:dyDescent="0.25">
      <c r="R1111"/>
    </row>
    <row r="1112" spans="18:18" x14ac:dyDescent="0.25">
      <c r="R1112"/>
    </row>
    <row r="1113" spans="18:18" x14ac:dyDescent="0.25">
      <c r="R1113"/>
    </row>
    <row r="1114" spans="18:18" x14ac:dyDescent="0.25">
      <c r="R1114"/>
    </row>
    <row r="1115" spans="18:18" x14ac:dyDescent="0.25">
      <c r="R1115"/>
    </row>
    <row r="1116" spans="18:18" x14ac:dyDescent="0.25">
      <c r="R1116"/>
    </row>
    <row r="1117" spans="18:18" x14ac:dyDescent="0.25">
      <c r="R1117"/>
    </row>
    <row r="1118" spans="18:18" x14ac:dyDescent="0.25">
      <c r="R1118"/>
    </row>
    <row r="1119" spans="18:18" x14ac:dyDescent="0.25">
      <c r="R1119"/>
    </row>
    <row r="1120" spans="18:18" x14ac:dyDescent="0.25">
      <c r="R1120"/>
    </row>
    <row r="1121" spans="18:18" x14ac:dyDescent="0.25">
      <c r="R1121"/>
    </row>
    <row r="1122" spans="18:18" x14ac:dyDescent="0.25">
      <c r="R1122"/>
    </row>
    <row r="1123" spans="18:18" x14ac:dyDescent="0.25">
      <c r="R1123"/>
    </row>
    <row r="1124" spans="18:18" x14ac:dyDescent="0.25">
      <c r="R1124"/>
    </row>
    <row r="1125" spans="18:18" x14ac:dyDescent="0.25">
      <c r="R1125"/>
    </row>
    <row r="1126" spans="18:18" x14ac:dyDescent="0.25">
      <c r="R1126"/>
    </row>
    <row r="1127" spans="18:18" x14ac:dyDescent="0.25">
      <c r="R1127"/>
    </row>
    <row r="1128" spans="18:18" x14ac:dyDescent="0.25">
      <c r="R1128"/>
    </row>
    <row r="1129" spans="18:18" x14ac:dyDescent="0.25">
      <c r="R1129"/>
    </row>
    <row r="1130" spans="18:18" x14ac:dyDescent="0.25">
      <c r="R1130"/>
    </row>
    <row r="1131" spans="18:18" x14ac:dyDescent="0.25">
      <c r="R1131"/>
    </row>
    <row r="1132" spans="18:18" x14ac:dyDescent="0.25">
      <c r="R1132"/>
    </row>
    <row r="1133" spans="18:18" x14ac:dyDescent="0.25">
      <c r="R1133"/>
    </row>
    <row r="1134" spans="18:18" x14ac:dyDescent="0.25">
      <c r="R1134"/>
    </row>
    <row r="1135" spans="18:18" x14ac:dyDescent="0.25">
      <c r="R1135"/>
    </row>
    <row r="1136" spans="18:18" x14ac:dyDescent="0.25">
      <c r="R1136"/>
    </row>
    <row r="1137" spans="18:18" x14ac:dyDescent="0.25">
      <c r="R1137"/>
    </row>
    <row r="1138" spans="18:18" x14ac:dyDescent="0.25">
      <c r="R1138"/>
    </row>
    <row r="1139" spans="18:18" x14ac:dyDescent="0.25">
      <c r="R1139"/>
    </row>
    <row r="1140" spans="18:18" x14ac:dyDescent="0.25">
      <c r="R1140"/>
    </row>
    <row r="1141" spans="18:18" x14ac:dyDescent="0.25">
      <c r="R1141"/>
    </row>
    <row r="1142" spans="18:18" x14ac:dyDescent="0.25">
      <c r="R1142"/>
    </row>
    <row r="1143" spans="18:18" x14ac:dyDescent="0.25">
      <c r="R1143"/>
    </row>
    <row r="1144" spans="18:18" x14ac:dyDescent="0.25">
      <c r="R1144"/>
    </row>
    <row r="1145" spans="18:18" x14ac:dyDescent="0.25">
      <c r="R1145"/>
    </row>
    <row r="1146" spans="18:18" x14ac:dyDescent="0.25">
      <c r="R1146"/>
    </row>
    <row r="1147" spans="18:18" x14ac:dyDescent="0.25">
      <c r="R1147"/>
    </row>
    <row r="1148" spans="18:18" x14ac:dyDescent="0.25">
      <c r="R1148"/>
    </row>
    <row r="1149" spans="18:18" x14ac:dyDescent="0.25">
      <c r="R1149"/>
    </row>
    <row r="1150" spans="18:18" x14ac:dyDescent="0.25">
      <c r="R1150"/>
    </row>
    <row r="1151" spans="18:18" x14ac:dyDescent="0.25">
      <c r="R1151"/>
    </row>
    <row r="1152" spans="18:18" x14ac:dyDescent="0.25">
      <c r="R1152"/>
    </row>
    <row r="1153" spans="18:18" x14ac:dyDescent="0.25">
      <c r="R1153"/>
    </row>
    <row r="1154" spans="18:18" x14ac:dyDescent="0.25">
      <c r="R1154"/>
    </row>
    <row r="1155" spans="18:18" x14ac:dyDescent="0.25">
      <c r="R1155"/>
    </row>
    <row r="1156" spans="18:18" x14ac:dyDescent="0.25">
      <c r="R1156"/>
    </row>
    <row r="1157" spans="18:18" x14ac:dyDescent="0.25">
      <c r="R1157"/>
    </row>
    <row r="1158" spans="18:18" x14ac:dyDescent="0.25">
      <c r="R1158"/>
    </row>
    <row r="1159" spans="18:18" x14ac:dyDescent="0.25">
      <c r="R1159"/>
    </row>
    <row r="1160" spans="18:18" x14ac:dyDescent="0.25">
      <c r="R1160"/>
    </row>
    <row r="1161" spans="18:18" x14ac:dyDescent="0.25">
      <c r="R1161"/>
    </row>
    <row r="1162" spans="18:18" x14ac:dyDescent="0.25">
      <c r="R1162"/>
    </row>
    <row r="1163" spans="18:18" x14ac:dyDescent="0.25">
      <c r="R1163"/>
    </row>
    <row r="1164" spans="18:18" x14ac:dyDescent="0.25">
      <c r="R1164"/>
    </row>
    <row r="1165" spans="18:18" x14ac:dyDescent="0.25">
      <c r="R1165"/>
    </row>
    <row r="1166" spans="18:18" x14ac:dyDescent="0.25">
      <c r="R1166"/>
    </row>
    <row r="1167" spans="18:18" x14ac:dyDescent="0.25">
      <c r="R1167"/>
    </row>
    <row r="1168" spans="18:18" x14ac:dyDescent="0.25">
      <c r="R1168"/>
    </row>
    <row r="1169" spans="18:18" x14ac:dyDescent="0.25">
      <c r="R1169"/>
    </row>
    <row r="1170" spans="18:18" x14ac:dyDescent="0.25">
      <c r="R1170"/>
    </row>
    <row r="1171" spans="18:18" x14ac:dyDescent="0.25">
      <c r="R1171"/>
    </row>
    <row r="1172" spans="18:18" x14ac:dyDescent="0.25">
      <c r="R1172"/>
    </row>
    <row r="1173" spans="18:18" x14ac:dyDescent="0.25">
      <c r="R1173"/>
    </row>
    <row r="1174" spans="18:18" x14ac:dyDescent="0.25">
      <c r="R1174"/>
    </row>
    <row r="1175" spans="18:18" x14ac:dyDescent="0.25">
      <c r="R1175"/>
    </row>
    <row r="1176" spans="18:18" x14ac:dyDescent="0.25">
      <c r="R1176"/>
    </row>
    <row r="1177" spans="18:18" x14ac:dyDescent="0.25">
      <c r="R1177"/>
    </row>
    <row r="1178" spans="18:18" x14ac:dyDescent="0.25">
      <c r="R1178"/>
    </row>
    <row r="1179" spans="18:18" x14ac:dyDescent="0.25">
      <c r="R1179"/>
    </row>
    <row r="1180" spans="18:18" x14ac:dyDescent="0.25">
      <c r="R1180"/>
    </row>
    <row r="1181" spans="18:18" x14ac:dyDescent="0.25">
      <c r="R1181"/>
    </row>
    <row r="1182" spans="18:18" x14ac:dyDescent="0.25">
      <c r="R1182"/>
    </row>
    <row r="1183" spans="18:18" x14ac:dyDescent="0.25">
      <c r="R1183"/>
    </row>
    <row r="1184" spans="18:18" x14ac:dyDescent="0.25">
      <c r="R1184"/>
    </row>
    <row r="1185" spans="18:18" x14ac:dyDescent="0.25">
      <c r="R1185"/>
    </row>
    <row r="1186" spans="18:18" x14ac:dyDescent="0.25">
      <c r="R1186"/>
    </row>
    <row r="1187" spans="18:18" x14ac:dyDescent="0.25">
      <c r="R1187"/>
    </row>
    <row r="1188" spans="18:18" x14ac:dyDescent="0.25">
      <c r="R1188"/>
    </row>
    <row r="1189" spans="18:18" x14ac:dyDescent="0.25">
      <c r="R1189"/>
    </row>
    <row r="1190" spans="18:18" x14ac:dyDescent="0.25">
      <c r="R1190"/>
    </row>
    <row r="1191" spans="18:18" x14ac:dyDescent="0.25">
      <c r="R1191"/>
    </row>
    <row r="1192" spans="18:18" x14ac:dyDescent="0.25">
      <c r="R1192"/>
    </row>
    <row r="1193" spans="18:18" x14ac:dyDescent="0.25">
      <c r="R1193"/>
    </row>
    <row r="1194" spans="18:18" x14ac:dyDescent="0.25">
      <c r="R1194"/>
    </row>
    <row r="1195" spans="18:18" x14ac:dyDescent="0.25">
      <c r="R1195"/>
    </row>
    <row r="1196" spans="18:18" x14ac:dyDescent="0.25">
      <c r="R1196"/>
    </row>
    <row r="1197" spans="18:18" x14ac:dyDescent="0.25">
      <c r="R1197"/>
    </row>
    <row r="1198" spans="18:18" x14ac:dyDescent="0.25">
      <c r="R1198"/>
    </row>
    <row r="1199" spans="18:18" x14ac:dyDescent="0.25">
      <c r="R1199"/>
    </row>
    <row r="1200" spans="18:18" x14ac:dyDescent="0.25">
      <c r="R1200"/>
    </row>
    <row r="1201" spans="18:18" x14ac:dyDescent="0.25">
      <c r="R1201"/>
    </row>
    <row r="1202" spans="18:18" x14ac:dyDescent="0.25">
      <c r="R1202"/>
    </row>
    <row r="1203" spans="18:18" x14ac:dyDescent="0.25">
      <c r="R1203"/>
    </row>
    <row r="1204" spans="18:18" x14ac:dyDescent="0.25">
      <c r="R1204"/>
    </row>
    <row r="1205" spans="18:18" x14ac:dyDescent="0.25">
      <c r="R1205"/>
    </row>
    <row r="1206" spans="18:18" x14ac:dyDescent="0.25">
      <c r="R1206"/>
    </row>
    <row r="1207" spans="18:18" x14ac:dyDescent="0.25">
      <c r="R1207"/>
    </row>
    <row r="1208" spans="18:18" x14ac:dyDescent="0.25">
      <c r="R1208"/>
    </row>
    <row r="1209" spans="18:18" x14ac:dyDescent="0.25">
      <c r="R1209"/>
    </row>
    <row r="1210" spans="18:18" x14ac:dyDescent="0.25">
      <c r="R1210"/>
    </row>
    <row r="1211" spans="18:18" x14ac:dyDescent="0.25">
      <c r="R1211"/>
    </row>
    <row r="1212" spans="18:18" x14ac:dyDescent="0.25">
      <c r="R1212"/>
    </row>
    <row r="1213" spans="18:18" x14ac:dyDescent="0.25">
      <c r="R1213"/>
    </row>
    <row r="1214" spans="18:18" x14ac:dyDescent="0.25">
      <c r="R1214"/>
    </row>
    <row r="1215" spans="18:18" x14ac:dyDescent="0.25">
      <c r="R1215"/>
    </row>
    <row r="1216" spans="18:18" x14ac:dyDescent="0.25">
      <c r="R1216"/>
    </row>
    <row r="1217" spans="18:18" x14ac:dyDescent="0.25">
      <c r="R1217"/>
    </row>
    <row r="1218" spans="18:18" x14ac:dyDescent="0.25">
      <c r="R1218"/>
    </row>
    <row r="1219" spans="18:18" x14ac:dyDescent="0.25">
      <c r="R1219"/>
    </row>
    <row r="1220" spans="18:18" x14ac:dyDescent="0.25">
      <c r="R1220"/>
    </row>
    <row r="1221" spans="18:18" x14ac:dyDescent="0.25">
      <c r="R1221"/>
    </row>
    <row r="1222" spans="18:18" x14ac:dyDescent="0.25">
      <c r="R1222"/>
    </row>
    <row r="1223" spans="18:18" x14ac:dyDescent="0.25">
      <c r="R1223"/>
    </row>
    <row r="1224" spans="18:18" x14ac:dyDescent="0.25">
      <c r="R1224"/>
    </row>
    <row r="1225" spans="18:18" x14ac:dyDescent="0.25">
      <c r="R1225"/>
    </row>
    <row r="1226" spans="18:18" x14ac:dyDescent="0.25">
      <c r="R1226"/>
    </row>
    <row r="1227" spans="18:18" x14ac:dyDescent="0.25">
      <c r="R1227"/>
    </row>
    <row r="1228" spans="18:18" x14ac:dyDescent="0.25">
      <c r="R1228"/>
    </row>
    <row r="1229" spans="18:18" x14ac:dyDescent="0.25">
      <c r="R1229"/>
    </row>
    <row r="1230" spans="18:18" x14ac:dyDescent="0.25">
      <c r="R1230"/>
    </row>
    <row r="1231" spans="18:18" x14ac:dyDescent="0.25">
      <c r="R1231"/>
    </row>
    <row r="1232" spans="18:18" x14ac:dyDescent="0.25">
      <c r="R1232"/>
    </row>
    <row r="1233" spans="18:18" x14ac:dyDescent="0.25">
      <c r="R1233"/>
    </row>
    <row r="1234" spans="18:18" x14ac:dyDescent="0.25">
      <c r="R1234"/>
    </row>
    <row r="1235" spans="18:18" x14ac:dyDescent="0.25">
      <c r="R1235"/>
    </row>
    <row r="1236" spans="18:18" x14ac:dyDescent="0.25">
      <c r="R1236"/>
    </row>
    <row r="1237" spans="18:18" x14ac:dyDescent="0.25">
      <c r="R1237"/>
    </row>
    <row r="1238" spans="18:18" x14ac:dyDescent="0.25">
      <c r="R1238"/>
    </row>
    <row r="1239" spans="18:18" x14ac:dyDescent="0.25">
      <c r="R1239"/>
    </row>
    <row r="1240" spans="18:18" x14ac:dyDescent="0.25">
      <c r="R1240"/>
    </row>
    <row r="1241" spans="18:18" x14ac:dyDescent="0.25">
      <c r="R1241"/>
    </row>
    <row r="1242" spans="18:18" x14ac:dyDescent="0.25">
      <c r="R1242"/>
    </row>
    <row r="1243" spans="18:18" x14ac:dyDescent="0.25">
      <c r="R1243"/>
    </row>
    <row r="1244" spans="18:18" x14ac:dyDescent="0.25">
      <c r="R1244"/>
    </row>
    <row r="1245" spans="18:18" x14ac:dyDescent="0.25">
      <c r="R1245"/>
    </row>
    <row r="1246" spans="18:18" x14ac:dyDescent="0.25">
      <c r="R1246"/>
    </row>
    <row r="1247" spans="18:18" x14ac:dyDescent="0.25">
      <c r="R1247"/>
    </row>
    <row r="1248" spans="18:18" x14ac:dyDescent="0.25">
      <c r="R1248"/>
    </row>
    <row r="1249" spans="18:18" x14ac:dyDescent="0.25">
      <c r="R1249"/>
    </row>
    <row r="1250" spans="18:18" x14ac:dyDescent="0.25">
      <c r="R1250"/>
    </row>
    <row r="1251" spans="18:18" x14ac:dyDescent="0.25">
      <c r="R1251"/>
    </row>
    <row r="1252" spans="18:18" x14ac:dyDescent="0.25">
      <c r="R1252"/>
    </row>
    <row r="1253" spans="18:18" x14ac:dyDescent="0.25">
      <c r="R1253"/>
    </row>
    <row r="1254" spans="18:18" x14ac:dyDescent="0.25">
      <c r="R1254"/>
    </row>
    <row r="1255" spans="18:18" x14ac:dyDescent="0.25">
      <c r="R1255"/>
    </row>
    <row r="1256" spans="18:18" x14ac:dyDescent="0.25">
      <c r="R1256"/>
    </row>
    <row r="1257" spans="18:18" x14ac:dyDescent="0.25">
      <c r="R1257"/>
    </row>
    <row r="1258" spans="18:18" x14ac:dyDescent="0.25">
      <c r="R1258"/>
    </row>
    <row r="1259" spans="18:18" x14ac:dyDescent="0.25">
      <c r="R1259"/>
    </row>
    <row r="1260" spans="18:18" x14ac:dyDescent="0.25">
      <c r="R1260"/>
    </row>
    <row r="1261" spans="18:18" x14ac:dyDescent="0.25">
      <c r="R1261"/>
    </row>
    <row r="1262" spans="18:18" x14ac:dyDescent="0.25">
      <c r="R1262"/>
    </row>
    <row r="1263" spans="18:18" x14ac:dyDescent="0.25">
      <c r="R1263"/>
    </row>
    <row r="1264" spans="18:18" x14ac:dyDescent="0.25">
      <c r="R1264"/>
    </row>
    <row r="1265" spans="18:18" x14ac:dyDescent="0.25">
      <c r="R1265"/>
    </row>
    <row r="1266" spans="18:18" x14ac:dyDescent="0.25">
      <c r="R1266"/>
    </row>
    <row r="1267" spans="18:18" x14ac:dyDescent="0.25">
      <c r="R1267"/>
    </row>
    <row r="1268" spans="18:18" x14ac:dyDescent="0.25">
      <c r="R1268"/>
    </row>
    <row r="1269" spans="18:18" x14ac:dyDescent="0.25">
      <c r="R1269"/>
    </row>
    <row r="1270" spans="18:18" x14ac:dyDescent="0.25">
      <c r="R1270"/>
    </row>
    <row r="1271" spans="18:18" x14ac:dyDescent="0.25">
      <c r="R1271"/>
    </row>
    <row r="1272" spans="18:18" x14ac:dyDescent="0.25">
      <c r="R1272"/>
    </row>
    <row r="1273" spans="18:18" x14ac:dyDescent="0.25">
      <c r="R1273"/>
    </row>
    <row r="1274" spans="18:18" x14ac:dyDescent="0.25">
      <c r="R1274"/>
    </row>
    <row r="1275" spans="18:18" x14ac:dyDescent="0.25">
      <c r="R1275"/>
    </row>
    <row r="1276" spans="18:18" x14ac:dyDescent="0.25">
      <c r="R1276"/>
    </row>
    <row r="1277" spans="18:18" x14ac:dyDescent="0.25">
      <c r="R1277"/>
    </row>
    <row r="1278" spans="18:18" x14ac:dyDescent="0.25">
      <c r="R1278"/>
    </row>
    <row r="1279" spans="18:18" x14ac:dyDescent="0.25">
      <c r="R1279"/>
    </row>
    <row r="1280" spans="18:18" x14ac:dyDescent="0.25">
      <c r="R1280"/>
    </row>
    <row r="1281" spans="18:18" x14ac:dyDescent="0.25">
      <c r="R1281"/>
    </row>
    <row r="1282" spans="18:18" x14ac:dyDescent="0.25">
      <c r="R1282"/>
    </row>
    <row r="1283" spans="18:18" x14ac:dyDescent="0.25">
      <c r="R1283"/>
    </row>
    <row r="1284" spans="18:18" x14ac:dyDescent="0.25">
      <c r="R1284"/>
    </row>
    <row r="1285" spans="18:18" x14ac:dyDescent="0.25">
      <c r="R1285"/>
    </row>
    <row r="1286" spans="18:18" x14ac:dyDescent="0.25">
      <c r="R1286"/>
    </row>
    <row r="1287" spans="18:18" x14ac:dyDescent="0.25">
      <c r="R1287"/>
    </row>
    <row r="1288" spans="18:18" x14ac:dyDescent="0.25">
      <c r="R1288"/>
    </row>
    <row r="1289" spans="18:18" x14ac:dyDescent="0.25">
      <c r="R1289"/>
    </row>
    <row r="1290" spans="18:18" x14ac:dyDescent="0.25">
      <c r="R1290"/>
    </row>
    <row r="1291" spans="18:18" x14ac:dyDescent="0.25">
      <c r="R1291"/>
    </row>
    <row r="1292" spans="18:18" x14ac:dyDescent="0.25">
      <c r="R1292"/>
    </row>
    <row r="1293" spans="18:18" x14ac:dyDescent="0.25">
      <c r="R1293"/>
    </row>
    <row r="1294" spans="18:18" x14ac:dyDescent="0.25">
      <c r="R1294"/>
    </row>
    <row r="1295" spans="18:18" x14ac:dyDescent="0.25">
      <c r="R1295"/>
    </row>
    <row r="1296" spans="18:18" x14ac:dyDescent="0.25">
      <c r="R1296"/>
    </row>
    <row r="1297" spans="18:18" x14ac:dyDescent="0.25">
      <c r="R1297"/>
    </row>
    <row r="1298" spans="18:18" x14ac:dyDescent="0.25">
      <c r="R1298"/>
    </row>
    <row r="1299" spans="18:18" x14ac:dyDescent="0.25">
      <c r="R1299"/>
    </row>
    <row r="1300" spans="18:18" x14ac:dyDescent="0.25">
      <c r="R1300"/>
    </row>
    <row r="1301" spans="18:18" x14ac:dyDescent="0.25">
      <c r="R1301"/>
    </row>
    <row r="1302" spans="18:18" x14ac:dyDescent="0.25">
      <c r="R1302"/>
    </row>
    <row r="1303" spans="18:18" x14ac:dyDescent="0.25">
      <c r="R1303"/>
    </row>
    <row r="1304" spans="18:18" x14ac:dyDescent="0.25">
      <c r="R1304"/>
    </row>
    <row r="1305" spans="18:18" x14ac:dyDescent="0.25">
      <c r="R1305"/>
    </row>
    <row r="1306" spans="18:18" x14ac:dyDescent="0.25">
      <c r="R1306"/>
    </row>
    <row r="1307" spans="18:18" x14ac:dyDescent="0.25">
      <c r="R1307"/>
    </row>
    <row r="1308" spans="18:18" x14ac:dyDescent="0.25">
      <c r="R1308"/>
    </row>
    <row r="1309" spans="18:18" x14ac:dyDescent="0.25">
      <c r="R1309"/>
    </row>
    <row r="1310" spans="18:18" x14ac:dyDescent="0.25">
      <c r="R1310"/>
    </row>
    <row r="1311" spans="18:18" x14ac:dyDescent="0.25">
      <c r="R1311"/>
    </row>
    <row r="1312" spans="18:18" x14ac:dyDescent="0.25">
      <c r="R1312"/>
    </row>
    <row r="1313" spans="18:18" x14ac:dyDescent="0.25">
      <c r="R1313"/>
    </row>
    <row r="1314" spans="18:18" x14ac:dyDescent="0.25">
      <c r="R1314"/>
    </row>
    <row r="1315" spans="18:18" x14ac:dyDescent="0.25">
      <c r="R1315"/>
    </row>
    <row r="1316" spans="18:18" x14ac:dyDescent="0.25">
      <c r="R1316"/>
    </row>
    <row r="1317" spans="18:18" x14ac:dyDescent="0.25">
      <c r="R1317"/>
    </row>
    <row r="1318" spans="18:18" x14ac:dyDescent="0.25">
      <c r="R1318"/>
    </row>
    <row r="1319" spans="18:18" x14ac:dyDescent="0.25">
      <c r="R1319"/>
    </row>
    <row r="1320" spans="18:18" x14ac:dyDescent="0.25">
      <c r="R1320"/>
    </row>
    <row r="1321" spans="18:18" x14ac:dyDescent="0.25">
      <c r="R1321"/>
    </row>
    <row r="1322" spans="18:18" x14ac:dyDescent="0.25">
      <c r="R1322"/>
    </row>
    <row r="1323" spans="18:18" x14ac:dyDescent="0.25">
      <c r="R1323"/>
    </row>
    <row r="1324" spans="18:18" x14ac:dyDescent="0.25">
      <c r="R1324"/>
    </row>
    <row r="1325" spans="18:18" x14ac:dyDescent="0.25">
      <c r="R1325"/>
    </row>
    <row r="1326" spans="18:18" x14ac:dyDescent="0.25">
      <c r="R1326"/>
    </row>
    <row r="1327" spans="18:18" x14ac:dyDescent="0.25">
      <c r="R1327"/>
    </row>
    <row r="1328" spans="18:18" x14ac:dyDescent="0.25">
      <c r="R1328"/>
    </row>
    <row r="1329" spans="18:18" x14ac:dyDescent="0.25">
      <c r="R1329"/>
    </row>
    <row r="1330" spans="18:18" x14ac:dyDescent="0.25">
      <c r="R1330"/>
    </row>
    <row r="1331" spans="18:18" x14ac:dyDescent="0.25">
      <c r="R1331"/>
    </row>
    <row r="1332" spans="18:18" x14ac:dyDescent="0.25">
      <c r="R1332"/>
    </row>
    <row r="1333" spans="18:18" x14ac:dyDescent="0.25">
      <c r="R1333"/>
    </row>
    <row r="1334" spans="18:18" x14ac:dyDescent="0.25">
      <c r="R1334"/>
    </row>
    <row r="1335" spans="18:18" x14ac:dyDescent="0.25">
      <c r="R1335"/>
    </row>
    <row r="1336" spans="18:18" x14ac:dyDescent="0.25">
      <c r="R1336"/>
    </row>
    <row r="1337" spans="18:18" x14ac:dyDescent="0.25">
      <c r="R1337"/>
    </row>
    <row r="1338" spans="18:18" x14ac:dyDescent="0.25">
      <c r="R1338"/>
    </row>
    <row r="1339" spans="18:18" x14ac:dyDescent="0.25">
      <c r="R1339"/>
    </row>
    <row r="1340" spans="18:18" x14ac:dyDescent="0.25">
      <c r="R1340"/>
    </row>
    <row r="1341" spans="18:18" x14ac:dyDescent="0.25">
      <c r="R1341"/>
    </row>
    <row r="1342" spans="18:18" x14ac:dyDescent="0.25">
      <c r="R1342"/>
    </row>
    <row r="1343" spans="18:18" x14ac:dyDescent="0.25">
      <c r="R1343"/>
    </row>
    <row r="1344" spans="18:18" x14ac:dyDescent="0.25">
      <c r="R1344"/>
    </row>
    <row r="1345" spans="18:18" x14ac:dyDescent="0.25">
      <c r="R1345"/>
    </row>
    <row r="1346" spans="18:18" x14ac:dyDescent="0.25">
      <c r="R1346"/>
    </row>
    <row r="1347" spans="18:18" x14ac:dyDescent="0.25">
      <c r="R1347"/>
    </row>
    <row r="1348" spans="18:18" x14ac:dyDescent="0.25">
      <c r="R1348"/>
    </row>
    <row r="1349" spans="18:18" x14ac:dyDescent="0.25">
      <c r="R1349"/>
    </row>
    <row r="1350" spans="18:18" x14ac:dyDescent="0.25">
      <c r="R1350"/>
    </row>
    <row r="1351" spans="18:18" x14ac:dyDescent="0.25">
      <c r="R1351"/>
    </row>
    <row r="1352" spans="18:18" x14ac:dyDescent="0.25">
      <c r="R1352"/>
    </row>
    <row r="1353" spans="18:18" x14ac:dyDescent="0.25">
      <c r="R1353"/>
    </row>
    <row r="1354" spans="18:18" x14ac:dyDescent="0.25">
      <c r="R1354"/>
    </row>
    <row r="1355" spans="18:18" x14ac:dyDescent="0.25">
      <c r="R1355"/>
    </row>
    <row r="1356" spans="18:18" x14ac:dyDescent="0.25">
      <c r="R1356"/>
    </row>
    <row r="1357" spans="18:18" x14ac:dyDescent="0.25">
      <c r="R1357"/>
    </row>
    <row r="1358" spans="18:18" x14ac:dyDescent="0.25">
      <c r="R1358"/>
    </row>
    <row r="1359" spans="18:18" x14ac:dyDescent="0.25">
      <c r="R1359"/>
    </row>
    <row r="1360" spans="18:18" x14ac:dyDescent="0.25">
      <c r="R1360"/>
    </row>
    <row r="1361" spans="18:18" x14ac:dyDescent="0.25">
      <c r="R1361"/>
    </row>
    <row r="1362" spans="18:18" x14ac:dyDescent="0.25">
      <c r="R1362"/>
    </row>
    <row r="1363" spans="18:18" x14ac:dyDescent="0.25">
      <c r="R1363"/>
    </row>
    <row r="1364" spans="18:18" x14ac:dyDescent="0.25">
      <c r="R1364"/>
    </row>
    <row r="1365" spans="18:18" x14ac:dyDescent="0.25">
      <c r="R1365"/>
    </row>
    <row r="1366" spans="18:18" x14ac:dyDescent="0.25">
      <c r="R1366"/>
    </row>
    <row r="1367" spans="18:18" x14ac:dyDescent="0.25">
      <c r="R1367"/>
    </row>
    <row r="1368" spans="18:18" x14ac:dyDescent="0.25">
      <c r="R1368"/>
    </row>
    <row r="1369" spans="18:18" x14ac:dyDescent="0.25">
      <c r="R1369"/>
    </row>
    <row r="1370" spans="18:18" x14ac:dyDescent="0.25">
      <c r="R1370"/>
    </row>
    <row r="1371" spans="18:18" x14ac:dyDescent="0.25">
      <c r="R1371"/>
    </row>
    <row r="1372" spans="18:18" x14ac:dyDescent="0.25">
      <c r="R1372"/>
    </row>
    <row r="1373" spans="18:18" x14ac:dyDescent="0.25">
      <c r="R1373"/>
    </row>
    <row r="1374" spans="18:18" x14ac:dyDescent="0.25">
      <c r="R1374"/>
    </row>
    <row r="1375" spans="18:18" x14ac:dyDescent="0.25">
      <c r="R1375"/>
    </row>
    <row r="1376" spans="18:18" x14ac:dyDescent="0.25">
      <c r="R1376"/>
    </row>
    <row r="1377" spans="18:18" x14ac:dyDescent="0.25">
      <c r="R1377"/>
    </row>
    <row r="1378" spans="18:18" x14ac:dyDescent="0.25">
      <c r="R1378"/>
    </row>
    <row r="1379" spans="18:18" x14ac:dyDescent="0.25">
      <c r="R1379"/>
    </row>
    <row r="1380" spans="18:18" x14ac:dyDescent="0.25">
      <c r="R1380"/>
    </row>
    <row r="1381" spans="18:18" x14ac:dyDescent="0.25">
      <c r="R1381"/>
    </row>
    <row r="1382" spans="18:18" x14ac:dyDescent="0.25">
      <c r="R1382"/>
    </row>
    <row r="1383" spans="18:18" x14ac:dyDescent="0.25">
      <c r="R1383"/>
    </row>
    <row r="1384" spans="18:18" x14ac:dyDescent="0.25">
      <c r="R1384"/>
    </row>
    <row r="1385" spans="18:18" x14ac:dyDescent="0.25">
      <c r="R1385"/>
    </row>
    <row r="1386" spans="18:18" x14ac:dyDescent="0.25">
      <c r="R1386"/>
    </row>
    <row r="1387" spans="18:18" x14ac:dyDescent="0.25">
      <c r="R1387"/>
    </row>
    <row r="1388" spans="18:18" x14ac:dyDescent="0.25">
      <c r="R1388"/>
    </row>
    <row r="1389" spans="18:18" x14ac:dyDescent="0.25">
      <c r="R1389"/>
    </row>
    <row r="1390" spans="18:18" x14ac:dyDescent="0.25">
      <c r="R1390"/>
    </row>
    <row r="1391" spans="18:18" x14ac:dyDescent="0.25">
      <c r="R1391"/>
    </row>
    <row r="1392" spans="18:18" x14ac:dyDescent="0.25">
      <c r="R1392"/>
    </row>
    <row r="1393" spans="18:18" x14ac:dyDescent="0.25">
      <c r="R1393"/>
    </row>
    <row r="1394" spans="18:18" x14ac:dyDescent="0.25">
      <c r="R1394"/>
    </row>
    <row r="1395" spans="18:18" x14ac:dyDescent="0.25">
      <c r="R1395"/>
    </row>
    <row r="1396" spans="18:18" x14ac:dyDescent="0.25">
      <c r="R1396"/>
    </row>
    <row r="1397" spans="18:18" x14ac:dyDescent="0.25">
      <c r="R1397"/>
    </row>
    <row r="1398" spans="18:18" x14ac:dyDescent="0.25">
      <c r="R1398"/>
    </row>
    <row r="1399" spans="18:18" x14ac:dyDescent="0.25">
      <c r="R1399"/>
    </row>
    <row r="1400" spans="18:18" x14ac:dyDescent="0.25">
      <c r="R1400"/>
    </row>
    <row r="1401" spans="18:18" x14ac:dyDescent="0.25">
      <c r="R1401"/>
    </row>
    <row r="1402" spans="18:18" x14ac:dyDescent="0.25">
      <c r="R1402"/>
    </row>
    <row r="1403" spans="18:18" x14ac:dyDescent="0.25">
      <c r="R1403"/>
    </row>
    <row r="1404" spans="18:18" x14ac:dyDescent="0.25">
      <c r="R1404"/>
    </row>
    <row r="1405" spans="18:18" x14ac:dyDescent="0.25">
      <c r="R1405"/>
    </row>
    <row r="1406" spans="18:18" x14ac:dyDescent="0.25">
      <c r="R1406"/>
    </row>
    <row r="1407" spans="18:18" x14ac:dyDescent="0.25">
      <c r="R1407"/>
    </row>
    <row r="1408" spans="18:18" x14ac:dyDescent="0.25">
      <c r="R1408"/>
    </row>
    <row r="1409" spans="18:18" x14ac:dyDescent="0.25">
      <c r="R1409"/>
    </row>
    <row r="1410" spans="18:18" x14ac:dyDescent="0.25">
      <c r="R1410"/>
    </row>
    <row r="1411" spans="18:18" x14ac:dyDescent="0.25">
      <c r="R1411"/>
    </row>
    <row r="1412" spans="18:18" x14ac:dyDescent="0.25">
      <c r="R1412"/>
    </row>
    <row r="1413" spans="18:18" x14ac:dyDescent="0.25">
      <c r="R1413"/>
    </row>
    <row r="1414" spans="18:18" x14ac:dyDescent="0.25">
      <c r="R1414"/>
    </row>
    <row r="1415" spans="18:18" x14ac:dyDescent="0.25">
      <c r="R1415"/>
    </row>
    <row r="1416" spans="18:18" x14ac:dyDescent="0.25">
      <c r="R1416"/>
    </row>
    <row r="1417" spans="18:18" x14ac:dyDescent="0.25">
      <c r="R1417"/>
    </row>
    <row r="1418" spans="18:18" x14ac:dyDescent="0.25">
      <c r="R1418"/>
    </row>
    <row r="1419" spans="18:18" x14ac:dyDescent="0.25">
      <c r="R1419"/>
    </row>
    <row r="1420" spans="18:18" x14ac:dyDescent="0.25">
      <c r="R1420"/>
    </row>
    <row r="1421" spans="18:18" x14ac:dyDescent="0.25">
      <c r="R1421"/>
    </row>
    <row r="1422" spans="18:18" x14ac:dyDescent="0.25">
      <c r="R1422"/>
    </row>
    <row r="1423" spans="18:18" x14ac:dyDescent="0.25">
      <c r="R1423"/>
    </row>
    <row r="1424" spans="18:18" x14ac:dyDescent="0.25">
      <c r="R1424"/>
    </row>
    <row r="1425" spans="18:18" x14ac:dyDescent="0.25">
      <c r="R1425"/>
    </row>
    <row r="1426" spans="18:18" x14ac:dyDescent="0.25">
      <c r="R1426"/>
    </row>
    <row r="1427" spans="18:18" x14ac:dyDescent="0.25">
      <c r="R1427"/>
    </row>
    <row r="1428" spans="18:18" x14ac:dyDescent="0.25">
      <c r="R1428"/>
    </row>
    <row r="1429" spans="18:18" x14ac:dyDescent="0.25">
      <c r="R1429"/>
    </row>
    <row r="1430" spans="18:18" x14ac:dyDescent="0.25">
      <c r="R1430"/>
    </row>
    <row r="1431" spans="18:18" x14ac:dyDescent="0.25">
      <c r="R1431"/>
    </row>
    <row r="1432" spans="18:18" x14ac:dyDescent="0.25">
      <c r="R1432"/>
    </row>
    <row r="1433" spans="18:18" x14ac:dyDescent="0.25">
      <c r="R1433"/>
    </row>
    <row r="1434" spans="18:18" x14ac:dyDescent="0.25">
      <c r="R1434"/>
    </row>
    <row r="1435" spans="18:18" x14ac:dyDescent="0.25">
      <c r="R1435"/>
    </row>
    <row r="1436" spans="18:18" x14ac:dyDescent="0.25">
      <c r="R1436"/>
    </row>
    <row r="1437" spans="18:18" x14ac:dyDescent="0.25">
      <c r="R1437"/>
    </row>
    <row r="1438" spans="18:18" x14ac:dyDescent="0.25">
      <c r="R1438"/>
    </row>
    <row r="1439" spans="18:18" x14ac:dyDescent="0.25">
      <c r="R1439"/>
    </row>
    <row r="1440" spans="18:18" x14ac:dyDescent="0.25">
      <c r="R1440"/>
    </row>
    <row r="1441" spans="18:18" x14ac:dyDescent="0.25">
      <c r="R1441"/>
    </row>
    <row r="1442" spans="18:18" x14ac:dyDescent="0.25">
      <c r="R1442"/>
    </row>
    <row r="1443" spans="18:18" x14ac:dyDescent="0.25">
      <c r="R1443"/>
    </row>
    <row r="1444" spans="18:18" x14ac:dyDescent="0.25">
      <c r="R1444"/>
    </row>
    <row r="1445" spans="18:18" x14ac:dyDescent="0.25">
      <c r="R1445"/>
    </row>
    <row r="1446" spans="18:18" x14ac:dyDescent="0.25">
      <c r="R1446"/>
    </row>
    <row r="1447" spans="18:18" x14ac:dyDescent="0.25">
      <c r="R1447"/>
    </row>
    <row r="1448" spans="18:18" x14ac:dyDescent="0.25">
      <c r="R1448"/>
    </row>
    <row r="1449" spans="18:18" x14ac:dyDescent="0.25">
      <c r="R1449"/>
    </row>
    <row r="1450" spans="18:18" x14ac:dyDescent="0.25">
      <c r="R1450"/>
    </row>
    <row r="1451" spans="18:18" x14ac:dyDescent="0.25">
      <c r="R1451"/>
    </row>
    <row r="1452" spans="18:18" x14ac:dyDescent="0.25">
      <c r="R1452"/>
    </row>
    <row r="1453" spans="18:18" x14ac:dyDescent="0.25">
      <c r="R1453"/>
    </row>
    <row r="1454" spans="18:18" x14ac:dyDescent="0.25">
      <c r="R1454"/>
    </row>
    <row r="1455" spans="18:18" x14ac:dyDescent="0.25">
      <c r="R1455"/>
    </row>
    <row r="1456" spans="18:18" x14ac:dyDescent="0.25">
      <c r="R1456"/>
    </row>
    <row r="1457" spans="18:18" x14ac:dyDescent="0.25">
      <c r="R1457"/>
    </row>
    <row r="1458" spans="18:18" x14ac:dyDescent="0.25">
      <c r="R1458"/>
    </row>
    <row r="1459" spans="18:18" x14ac:dyDescent="0.25">
      <c r="R1459"/>
    </row>
    <row r="1460" spans="18:18" x14ac:dyDescent="0.25">
      <c r="R1460"/>
    </row>
    <row r="1461" spans="18:18" x14ac:dyDescent="0.25">
      <c r="R1461"/>
    </row>
    <row r="1462" spans="18:18" x14ac:dyDescent="0.25">
      <c r="R1462"/>
    </row>
    <row r="1463" spans="18:18" x14ac:dyDescent="0.25">
      <c r="R1463"/>
    </row>
    <row r="1464" spans="18:18" x14ac:dyDescent="0.25">
      <c r="R1464"/>
    </row>
    <row r="1465" spans="18:18" x14ac:dyDescent="0.25">
      <c r="R1465"/>
    </row>
    <row r="1466" spans="18:18" x14ac:dyDescent="0.25">
      <c r="R1466"/>
    </row>
    <row r="1467" spans="18:18" x14ac:dyDescent="0.25">
      <c r="R1467"/>
    </row>
    <row r="1468" spans="18:18" x14ac:dyDescent="0.25">
      <c r="R1468"/>
    </row>
    <row r="1469" spans="18:18" x14ac:dyDescent="0.25">
      <c r="R1469"/>
    </row>
    <row r="1470" spans="18:18" x14ac:dyDescent="0.25">
      <c r="R1470"/>
    </row>
    <row r="1471" spans="18:18" x14ac:dyDescent="0.25">
      <c r="R1471"/>
    </row>
    <row r="1472" spans="18:18" x14ac:dyDescent="0.25">
      <c r="R1472"/>
    </row>
    <row r="1473" spans="18:18" x14ac:dyDescent="0.25">
      <c r="R1473"/>
    </row>
    <row r="1474" spans="18:18" x14ac:dyDescent="0.25">
      <c r="R1474"/>
    </row>
    <row r="1475" spans="18:18" x14ac:dyDescent="0.25">
      <c r="R1475"/>
    </row>
    <row r="1476" spans="18:18" x14ac:dyDescent="0.25">
      <c r="R1476"/>
    </row>
    <row r="1477" spans="18:18" x14ac:dyDescent="0.25">
      <c r="R1477"/>
    </row>
    <row r="1478" spans="18:18" x14ac:dyDescent="0.25">
      <c r="R1478"/>
    </row>
    <row r="1479" spans="18:18" x14ac:dyDescent="0.25">
      <c r="R1479"/>
    </row>
    <row r="1480" spans="18:18" x14ac:dyDescent="0.25">
      <c r="R1480"/>
    </row>
    <row r="1481" spans="18:18" x14ac:dyDescent="0.25">
      <c r="R1481"/>
    </row>
    <row r="1482" spans="18:18" x14ac:dyDescent="0.25">
      <c r="R1482"/>
    </row>
    <row r="1483" spans="18:18" x14ac:dyDescent="0.25">
      <c r="R1483"/>
    </row>
    <row r="1484" spans="18:18" x14ac:dyDescent="0.25">
      <c r="R1484"/>
    </row>
    <row r="1485" spans="18:18" x14ac:dyDescent="0.25">
      <c r="R1485"/>
    </row>
    <row r="1486" spans="18:18" x14ac:dyDescent="0.25">
      <c r="R1486"/>
    </row>
    <row r="1487" spans="18:18" x14ac:dyDescent="0.25">
      <c r="R1487"/>
    </row>
    <row r="1488" spans="18:18" x14ac:dyDescent="0.25">
      <c r="R1488"/>
    </row>
    <row r="1489" spans="18:18" x14ac:dyDescent="0.25">
      <c r="R1489"/>
    </row>
    <row r="1490" spans="18:18" x14ac:dyDescent="0.25">
      <c r="R1490"/>
    </row>
    <row r="1491" spans="18:18" x14ac:dyDescent="0.25">
      <c r="R1491"/>
    </row>
    <row r="1492" spans="18:18" x14ac:dyDescent="0.25">
      <c r="R1492"/>
    </row>
    <row r="1493" spans="18:18" x14ac:dyDescent="0.25">
      <c r="R1493"/>
    </row>
    <row r="1494" spans="18:18" x14ac:dyDescent="0.25">
      <c r="R1494"/>
    </row>
    <row r="1495" spans="18:18" x14ac:dyDescent="0.25">
      <c r="R1495"/>
    </row>
    <row r="1496" spans="18:18" x14ac:dyDescent="0.25">
      <c r="R1496"/>
    </row>
    <row r="1497" spans="18:18" x14ac:dyDescent="0.25">
      <c r="R1497"/>
    </row>
    <row r="1498" spans="18:18" x14ac:dyDescent="0.25">
      <c r="R1498"/>
    </row>
    <row r="1499" spans="18:18" x14ac:dyDescent="0.25">
      <c r="R1499"/>
    </row>
    <row r="1500" spans="18:18" x14ac:dyDescent="0.25">
      <c r="R1500"/>
    </row>
    <row r="1501" spans="18:18" x14ac:dyDescent="0.25">
      <c r="R1501"/>
    </row>
    <row r="1502" spans="18:18" x14ac:dyDescent="0.25">
      <c r="R1502"/>
    </row>
    <row r="1503" spans="18:18" x14ac:dyDescent="0.25">
      <c r="R1503"/>
    </row>
    <row r="1504" spans="18:18" x14ac:dyDescent="0.25">
      <c r="R1504"/>
    </row>
    <row r="1505" spans="18:18" x14ac:dyDescent="0.25">
      <c r="R1505"/>
    </row>
    <row r="1506" spans="18:18" x14ac:dyDescent="0.25">
      <c r="R1506"/>
    </row>
    <row r="1507" spans="18:18" x14ac:dyDescent="0.25">
      <c r="R1507"/>
    </row>
    <row r="1508" spans="18:18" x14ac:dyDescent="0.25">
      <c r="R1508"/>
    </row>
    <row r="1509" spans="18:18" x14ac:dyDescent="0.25">
      <c r="R1509"/>
    </row>
    <row r="1510" spans="18:18" x14ac:dyDescent="0.25">
      <c r="R1510"/>
    </row>
    <row r="1511" spans="18:18" x14ac:dyDescent="0.25">
      <c r="R1511"/>
    </row>
    <row r="1512" spans="18:18" x14ac:dyDescent="0.25">
      <c r="R1512"/>
    </row>
    <row r="1513" spans="18:18" x14ac:dyDescent="0.25">
      <c r="R1513"/>
    </row>
    <row r="1514" spans="18:18" x14ac:dyDescent="0.25">
      <c r="R1514"/>
    </row>
    <row r="1515" spans="18:18" x14ac:dyDescent="0.25">
      <c r="R1515"/>
    </row>
    <row r="1516" spans="18:18" x14ac:dyDescent="0.25">
      <c r="R1516"/>
    </row>
    <row r="1517" spans="18:18" x14ac:dyDescent="0.25">
      <c r="R1517"/>
    </row>
    <row r="1518" spans="18:18" x14ac:dyDescent="0.25">
      <c r="R1518"/>
    </row>
    <row r="1519" spans="18:18" x14ac:dyDescent="0.25">
      <c r="R1519"/>
    </row>
    <row r="1520" spans="18:18" x14ac:dyDescent="0.25">
      <c r="R1520"/>
    </row>
    <row r="1521" spans="18:18" x14ac:dyDescent="0.25">
      <c r="R1521"/>
    </row>
    <row r="1522" spans="18:18" x14ac:dyDescent="0.25">
      <c r="R1522"/>
    </row>
    <row r="1523" spans="18:18" x14ac:dyDescent="0.25">
      <c r="R1523"/>
    </row>
    <row r="1524" spans="18:18" x14ac:dyDescent="0.25">
      <c r="R1524"/>
    </row>
    <row r="1525" spans="18:18" x14ac:dyDescent="0.25">
      <c r="R1525"/>
    </row>
    <row r="1526" spans="18:18" x14ac:dyDescent="0.25">
      <c r="R1526"/>
    </row>
    <row r="1527" spans="18:18" x14ac:dyDescent="0.25">
      <c r="R1527"/>
    </row>
    <row r="1528" spans="18:18" x14ac:dyDescent="0.25">
      <c r="R1528"/>
    </row>
    <row r="1529" spans="18:18" x14ac:dyDescent="0.25">
      <c r="R1529"/>
    </row>
    <row r="1530" spans="18:18" x14ac:dyDescent="0.25">
      <c r="R1530"/>
    </row>
    <row r="1531" spans="18:18" x14ac:dyDescent="0.25">
      <c r="R1531"/>
    </row>
    <row r="1532" spans="18:18" x14ac:dyDescent="0.25">
      <c r="R1532"/>
    </row>
    <row r="1533" spans="18:18" x14ac:dyDescent="0.25">
      <c r="R1533"/>
    </row>
    <row r="1534" spans="18:18" x14ac:dyDescent="0.25">
      <c r="R1534"/>
    </row>
    <row r="1535" spans="18:18" x14ac:dyDescent="0.25">
      <c r="R1535"/>
    </row>
    <row r="1536" spans="18:18" x14ac:dyDescent="0.25">
      <c r="R1536"/>
    </row>
    <row r="1537" spans="18:18" x14ac:dyDescent="0.25">
      <c r="R1537"/>
    </row>
    <row r="1538" spans="18:18" x14ac:dyDescent="0.25">
      <c r="R1538"/>
    </row>
    <row r="1539" spans="18:18" x14ac:dyDescent="0.25">
      <c r="R1539"/>
    </row>
    <row r="1540" spans="18:18" x14ac:dyDescent="0.25">
      <c r="R1540"/>
    </row>
    <row r="1541" spans="18:18" x14ac:dyDescent="0.25">
      <c r="R1541"/>
    </row>
    <row r="1542" spans="18:18" x14ac:dyDescent="0.25">
      <c r="R1542"/>
    </row>
    <row r="1543" spans="18:18" x14ac:dyDescent="0.25">
      <c r="R1543"/>
    </row>
    <row r="1544" spans="18:18" x14ac:dyDescent="0.25">
      <c r="R1544"/>
    </row>
    <row r="1545" spans="18:18" x14ac:dyDescent="0.25">
      <c r="R1545"/>
    </row>
    <row r="1546" spans="18:18" x14ac:dyDescent="0.25">
      <c r="R1546"/>
    </row>
    <row r="1547" spans="18:18" x14ac:dyDescent="0.25">
      <c r="R1547"/>
    </row>
    <row r="1548" spans="18:18" x14ac:dyDescent="0.25">
      <c r="R1548"/>
    </row>
    <row r="1549" spans="18:18" x14ac:dyDescent="0.25">
      <c r="R1549"/>
    </row>
    <row r="1550" spans="18:18" x14ac:dyDescent="0.25">
      <c r="R1550"/>
    </row>
    <row r="1551" spans="18:18" x14ac:dyDescent="0.25">
      <c r="R1551"/>
    </row>
    <row r="1552" spans="18:18" x14ac:dyDescent="0.25">
      <c r="R1552"/>
    </row>
    <row r="1553" spans="18:18" x14ac:dyDescent="0.25">
      <c r="R1553"/>
    </row>
    <row r="1554" spans="18:18" x14ac:dyDescent="0.25">
      <c r="R1554"/>
    </row>
    <row r="1555" spans="18:18" x14ac:dyDescent="0.25">
      <c r="R1555"/>
    </row>
    <row r="1556" spans="18:18" x14ac:dyDescent="0.25">
      <c r="R1556"/>
    </row>
    <row r="1557" spans="18:18" x14ac:dyDescent="0.25">
      <c r="R1557"/>
    </row>
    <row r="1558" spans="18:18" x14ac:dyDescent="0.25">
      <c r="R1558"/>
    </row>
    <row r="1559" spans="18:18" x14ac:dyDescent="0.25">
      <c r="R1559"/>
    </row>
    <row r="1560" spans="18:18" x14ac:dyDescent="0.25">
      <c r="R1560"/>
    </row>
    <row r="1561" spans="18:18" x14ac:dyDescent="0.25">
      <c r="R1561"/>
    </row>
    <row r="1562" spans="18:18" x14ac:dyDescent="0.25">
      <c r="R1562"/>
    </row>
    <row r="1563" spans="18:18" x14ac:dyDescent="0.25">
      <c r="R1563"/>
    </row>
    <row r="1564" spans="18:18" x14ac:dyDescent="0.25">
      <c r="R1564"/>
    </row>
    <row r="1565" spans="18:18" x14ac:dyDescent="0.25">
      <c r="R1565"/>
    </row>
    <row r="1566" spans="18:18" x14ac:dyDescent="0.25">
      <c r="R1566"/>
    </row>
    <row r="1567" spans="18:18" x14ac:dyDescent="0.25">
      <c r="R1567"/>
    </row>
    <row r="1568" spans="18:18" x14ac:dyDescent="0.25">
      <c r="R1568"/>
    </row>
    <row r="1569" spans="18:18" x14ac:dyDescent="0.25">
      <c r="R1569"/>
    </row>
    <row r="1570" spans="18:18" x14ac:dyDescent="0.25">
      <c r="R1570"/>
    </row>
    <row r="1571" spans="18:18" x14ac:dyDescent="0.25">
      <c r="R1571"/>
    </row>
    <row r="1572" spans="18:18" x14ac:dyDescent="0.25">
      <c r="R1572"/>
    </row>
    <row r="1573" spans="18:18" x14ac:dyDescent="0.25">
      <c r="R1573"/>
    </row>
    <row r="1574" spans="18:18" x14ac:dyDescent="0.25">
      <c r="R1574"/>
    </row>
    <row r="1575" spans="18:18" x14ac:dyDescent="0.25">
      <c r="R1575"/>
    </row>
    <row r="1576" spans="18:18" x14ac:dyDescent="0.25">
      <c r="R1576"/>
    </row>
    <row r="1577" spans="18:18" x14ac:dyDescent="0.25">
      <c r="R1577"/>
    </row>
    <row r="1578" spans="18:18" x14ac:dyDescent="0.25">
      <c r="R1578"/>
    </row>
    <row r="1579" spans="18:18" x14ac:dyDescent="0.25">
      <c r="R1579"/>
    </row>
    <row r="1580" spans="18:18" x14ac:dyDescent="0.25">
      <c r="R1580"/>
    </row>
    <row r="1581" spans="18:18" x14ac:dyDescent="0.25">
      <c r="R1581"/>
    </row>
    <row r="1582" spans="18:18" x14ac:dyDescent="0.25">
      <c r="R1582"/>
    </row>
    <row r="1583" spans="18:18" x14ac:dyDescent="0.25">
      <c r="R1583"/>
    </row>
    <row r="1584" spans="18:18" x14ac:dyDescent="0.25">
      <c r="R1584"/>
    </row>
    <row r="1585" spans="18:18" x14ac:dyDescent="0.25">
      <c r="R1585"/>
    </row>
    <row r="1586" spans="18:18" x14ac:dyDescent="0.25">
      <c r="R1586"/>
    </row>
    <row r="1587" spans="18:18" x14ac:dyDescent="0.25">
      <c r="R1587"/>
    </row>
    <row r="1588" spans="18:18" x14ac:dyDescent="0.25">
      <c r="R1588"/>
    </row>
    <row r="1589" spans="18:18" x14ac:dyDescent="0.25">
      <c r="R1589"/>
    </row>
    <row r="1590" spans="18:18" x14ac:dyDescent="0.25">
      <c r="R1590"/>
    </row>
    <row r="1591" spans="18:18" x14ac:dyDescent="0.25">
      <c r="R1591"/>
    </row>
    <row r="1592" spans="18:18" x14ac:dyDescent="0.25">
      <c r="R1592"/>
    </row>
    <row r="1593" spans="18:18" x14ac:dyDescent="0.25">
      <c r="R1593"/>
    </row>
    <row r="1594" spans="18:18" x14ac:dyDescent="0.25">
      <c r="R1594"/>
    </row>
    <row r="1595" spans="18:18" x14ac:dyDescent="0.25">
      <c r="R1595"/>
    </row>
    <row r="1596" spans="18:18" x14ac:dyDescent="0.25">
      <c r="R1596"/>
    </row>
    <row r="1597" spans="18:18" x14ac:dyDescent="0.25">
      <c r="R1597"/>
    </row>
    <row r="1598" spans="18:18" x14ac:dyDescent="0.25">
      <c r="R1598"/>
    </row>
    <row r="1599" spans="18:18" x14ac:dyDescent="0.25">
      <c r="R1599"/>
    </row>
    <row r="1600" spans="18:18" x14ac:dyDescent="0.25">
      <c r="R1600"/>
    </row>
    <row r="1601" spans="18:18" x14ac:dyDescent="0.25">
      <c r="R1601"/>
    </row>
    <row r="1602" spans="18:18" x14ac:dyDescent="0.25">
      <c r="R1602"/>
    </row>
    <row r="1603" spans="18:18" x14ac:dyDescent="0.25">
      <c r="R1603"/>
    </row>
    <row r="1604" spans="18:18" x14ac:dyDescent="0.25">
      <c r="R1604"/>
    </row>
    <row r="1605" spans="18:18" x14ac:dyDescent="0.25">
      <c r="R1605"/>
    </row>
    <row r="1606" spans="18:18" x14ac:dyDescent="0.25">
      <c r="R1606"/>
    </row>
    <row r="1607" spans="18:18" x14ac:dyDescent="0.25">
      <c r="R1607"/>
    </row>
    <row r="1608" spans="18:18" x14ac:dyDescent="0.25">
      <c r="R1608"/>
    </row>
    <row r="1609" spans="18:18" x14ac:dyDescent="0.25">
      <c r="R1609"/>
    </row>
    <row r="1610" spans="18:18" x14ac:dyDescent="0.25">
      <c r="R1610"/>
    </row>
    <row r="1611" spans="18:18" x14ac:dyDescent="0.25">
      <c r="R1611"/>
    </row>
    <row r="1612" spans="18:18" x14ac:dyDescent="0.25">
      <c r="R1612"/>
    </row>
    <row r="1613" spans="18:18" x14ac:dyDescent="0.25">
      <c r="R1613"/>
    </row>
    <row r="1614" spans="18:18" x14ac:dyDescent="0.25">
      <c r="R1614"/>
    </row>
    <row r="1615" spans="18:18" x14ac:dyDescent="0.25">
      <c r="R1615"/>
    </row>
    <row r="1616" spans="18:18" x14ac:dyDescent="0.25">
      <c r="R1616"/>
    </row>
    <row r="1617" spans="18:18" x14ac:dyDescent="0.25">
      <c r="R1617"/>
    </row>
    <row r="1618" spans="18:18" x14ac:dyDescent="0.25">
      <c r="R1618"/>
    </row>
    <row r="1619" spans="18:18" x14ac:dyDescent="0.25">
      <c r="R1619"/>
    </row>
    <row r="1620" spans="18:18" x14ac:dyDescent="0.25">
      <c r="R1620"/>
    </row>
    <row r="1621" spans="18:18" x14ac:dyDescent="0.25">
      <c r="R1621"/>
    </row>
    <row r="1622" spans="18:18" x14ac:dyDescent="0.25">
      <c r="R1622"/>
    </row>
    <row r="1623" spans="18:18" x14ac:dyDescent="0.25">
      <c r="R1623"/>
    </row>
    <row r="1624" spans="18:18" x14ac:dyDescent="0.25">
      <c r="R1624"/>
    </row>
    <row r="1625" spans="18:18" x14ac:dyDescent="0.25">
      <c r="R1625"/>
    </row>
    <row r="1626" spans="18:18" x14ac:dyDescent="0.25">
      <c r="R1626"/>
    </row>
    <row r="1627" spans="18:18" x14ac:dyDescent="0.25">
      <c r="R1627"/>
    </row>
    <row r="1628" spans="18:18" x14ac:dyDescent="0.25">
      <c r="R1628"/>
    </row>
    <row r="1629" spans="18:18" x14ac:dyDescent="0.25">
      <c r="R1629"/>
    </row>
    <row r="1630" spans="18:18" x14ac:dyDescent="0.25">
      <c r="R1630"/>
    </row>
    <row r="1631" spans="18:18" x14ac:dyDescent="0.25">
      <c r="R1631"/>
    </row>
    <row r="1632" spans="18:18" x14ac:dyDescent="0.25">
      <c r="R1632"/>
    </row>
    <row r="1633" spans="18:18" x14ac:dyDescent="0.25">
      <c r="R1633"/>
    </row>
    <row r="1634" spans="18:18" x14ac:dyDescent="0.25">
      <c r="R1634"/>
    </row>
    <row r="1635" spans="18:18" x14ac:dyDescent="0.25">
      <c r="R1635"/>
    </row>
    <row r="1636" spans="18:18" x14ac:dyDescent="0.25">
      <c r="R1636"/>
    </row>
    <row r="1637" spans="18:18" x14ac:dyDescent="0.25">
      <c r="R1637"/>
    </row>
    <row r="1638" spans="18:18" x14ac:dyDescent="0.25">
      <c r="R1638"/>
    </row>
    <row r="1639" spans="18:18" x14ac:dyDescent="0.25">
      <c r="R1639"/>
    </row>
    <row r="1640" spans="18:18" x14ac:dyDescent="0.25">
      <c r="R1640"/>
    </row>
    <row r="1641" spans="18:18" x14ac:dyDescent="0.25">
      <c r="R1641"/>
    </row>
    <row r="1642" spans="18:18" x14ac:dyDescent="0.25">
      <c r="R1642"/>
    </row>
    <row r="1643" spans="18:18" x14ac:dyDescent="0.25">
      <c r="R1643"/>
    </row>
    <row r="1644" spans="18:18" x14ac:dyDescent="0.25">
      <c r="R1644"/>
    </row>
    <row r="1645" spans="18:18" x14ac:dyDescent="0.25">
      <c r="R1645"/>
    </row>
    <row r="1646" spans="18:18" x14ac:dyDescent="0.25">
      <c r="R1646"/>
    </row>
    <row r="1647" spans="18:18" x14ac:dyDescent="0.25">
      <c r="R1647"/>
    </row>
    <row r="1648" spans="18:18" x14ac:dyDescent="0.25">
      <c r="R1648"/>
    </row>
    <row r="1649" spans="18:18" x14ac:dyDescent="0.25">
      <c r="R1649"/>
    </row>
    <row r="1650" spans="18:18" x14ac:dyDescent="0.25">
      <c r="R1650"/>
    </row>
    <row r="1651" spans="18:18" x14ac:dyDescent="0.25">
      <c r="R1651"/>
    </row>
    <row r="1652" spans="18:18" x14ac:dyDescent="0.25">
      <c r="R1652"/>
    </row>
    <row r="1653" spans="18:18" x14ac:dyDescent="0.25">
      <c r="R1653"/>
    </row>
    <row r="1654" spans="18:18" x14ac:dyDescent="0.25">
      <c r="R1654"/>
    </row>
    <row r="1655" spans="18:18" x14ac:dyDescent="0.25">
      <c r="R1655"/>
    </row>
    <row r="1656" spans="18:18" x14ac:dyDescent="0.25">
      <c r="R1656"/>
    </row>
    <row r="1657" spans="18:18" x14ac:dyDescent="0.25">
      <c r="R1657"/>
    </row>
    <row r="1658" spans="18:18" x14ac:dyDescent="0.25">
      <c r="R1658"/>
    </row>
    <row r="1659" spans="18:18" x14ac:dyDescent="0.25">
      <c r="R1659"/>
    </row>
    <row r="1660" spans="18:18" x14ac:dyDescent="0.25">
      <c r="R1660"/>
    </row>
    <row r="1661" spans="18:18" x14ac:dyDescent="0.25">
      <c r="R1661"/>
    </row>
    <row r="1662" spans="18:18" x14ac:dyDescent="0.25">
      <c r="R1662"/>
    </row>
    <row r="1663" spans="18:18" x14ac:dyDescent="0.25">
      <c r="R1663"/>
    </row>
    <row r="1664" spans="18:18" x14ac:dyDescent="0.25">
      <c r="R1664"/>
    </row>
    <row r="1665" spans="18:18" x14ac:dyDescent="0.25">
      <c r="R1665"/>
    </row>
    <row r="1666" spans="18:18" x14ac:dyDescent="0.25">
      <c r="R1666"/>
    </row>
    <row r="1667" spans="18:18" x14ac:dyDescent="0.25">
      <c r="R1667"/>
    </row>
    <row r="1668" spans="18:18" x14ac:dyDescent="0.25">
      <c r="R1668"/>
    </row>
    <row r="1669" spans="18:18" x14ac:dyDescent="0.25">
      <c r="R1669"/>
    </row>
    <row r="1670" spans="18:18" x14ac:dyDescent="0.25">
      <c r="R1670"/>
    </row>
    <row r="1671" spans="18:18" x14ac:dyDescent="0.25">
      <c r="R1671"/>
    </row>
    <row r="1672" spans="18:18" x14ac:dyDescent="0.25">
      <c r="R1672"/>
    </row>
    <row r="1673" spans="18:18" x14ac:dyDescent="0.25">
      <c r="R1673"/>
    </row>
    <row r="1674" spans="18:18" x14ac:dyDescent="0.25">
      <c r="R1674"/>
    </row>
    <row r="1675" spans="18:18" x14ac:dyDescent="0.25">
      <c r="R1675"/>
    </row>
    <row r="1676" spans="18:18" x14ac:dyDescent="0.25">
      <c r="R1676"/>
    </row>
    <row r="1677" spans="18:18" x14ac:dyDescent="0.25">
      <c r="R1677"/>
    </row>
    <row r="1678" spans="18:18" x14ac:dyDescent="0.25">
      <c r="R1678"/>
    </row>
    <row r="1679" spans="18:18" x14ac:dyDescent="0.25">
      <c r="R1679"/>
    </row>
    <row r="1680" spans="18:18" x14ac:dyDescent="0.25">
      <c r="R1680"/>
    </row>
    <row r="1681" spans="18:18" x14ac:dyDescent="0.25">
      <c r="R1681"/>
    </row>
    <row r="1682" spans="18:18" x14ac:dyDescent="0.25">
      <c r="R1682"/>
    </row>
    <row r="1683" spans="18:18" x14ac:dyDescent="0.25">
      <c r="R1683"/>
    </row>
    <row r="1684" spans="18:18" x14ac:dyDescent="0.25">
      <c r="R1684"/>
    </row>
    <row r="1685" spans="18:18" x14ac:dyDescent="0.25">
      <c r="R1685"/>
    </row>
    <row r="1686" spans="18:18" x14ac:dyDescent="0.25">
      <c r="R1686"/>
    </row>
    <row r="1687" spans="18:18" x14ac:dyDescent="0.25">
      <c r="R1687"/>
    </row>
    <row r="1688" spans="18:18" x14ac:dyDescent="0.25">
      <c r="R1688"/>
    </row>
    <row r="1689" spans="18:18" x14ac:dyDescent="0.25">
      <c r="R1689"/>
    </row>
    <row r="1690" spans="18:18" x14ac:dyDescent="0.25">
      <c r="R1690"/>
    </row>
    <row r="1691" spans="18:18" x14ac:dyDescent="0.25">
      <c r="R1691"/>
    </row>
    <row r="1692" spans="18:18" x14ac:dyDescent="0.25">
      <c r="R1692"/>
    </row>
    <row r="1693" spans="18:18" x14ac:dyDescent="0.25">
      <c r="R1693"/>
    </row>
    <row r="1694" spans="18:18" x14ac:dyDescent="0.25">
      <c r="R1694"/>
    </row>
    <row r="1695" spans="18:18" x14ac:dyDescent="0.25">
      <c r="R1695"/>
    </row>
    <row r="1696" spans="18:18" x14ac:dyDescent="0.25">
      <c r="R1696"/>
    </row>
    <row r="1697" spans="18:18" x14ac:dyDescent="0.25">
      <c r="R1697"/>
    </row>
    <row r="1698" spans="18:18" x14ac:dyDescent="0.25">
      <c r="R1698"/>
    </row>
    <row r="1699" spans="18:18" x14ac:dyDescent="0.25">
      <c r="R1699"/>
    </row>
    <row r="1700" spans="18:18" x14ac:dyDescent="0.25">
      <c r="R1700"/>
    </row>
    <row r="1701" spans="18:18" x14ac:dyDescent="0.25">
      <c r="R1701"/>
    </row>
    <row r="1702" spans="18:18" x14ac:dyDescent="0.25">
      <c r="R1702"/>
    </row>
    <row r="1703" spans="18:18" x14ac:dyDescent="0.25">
      <c r="R1703"/>
    </row>
    <row r="1704" spans="18:18" x14ac:dyDescent="0.25">
      <c r="R1704"/>
    </row>
    <row r="1705" spans="18:18" x14ac:dyDescent="0.25">
      <c r="R1705"/>
    </row>
    <row r="1706" spans="18:18" x14ac:dyDescent="0.25">
      <c r="R1706"/>
    </row>
    <row r="1707" spans="18:18" x14ac:dyDescent="0.25">
      <c r="R1707"/>
    </row>
    <row r="1708" spans="18:18" x14ac:dyDescent="0.25">
      <c r="R1708"/>
    </row>
    <row r="1709" spans="18:18" x14ac:dyDescent="0.25">
      <c r="R1709"/>
    </row>
    <row r="1710" spans="18:18" x14ac:dyDescent="0.25">
      <c r="R1710"/>
    </row>
    <row r="1711" spans="18:18" x14ac:dyDescent="0.25">
      <c r="R1711"/>
    </row>
    <row r="1712" spans="18:18" x14ac:dyDescent="0.25">
      <c r="R1712"/>
    </row>
    <row r="1713" spans="18:18" x14ac:dyDescent="0.25">
      <c r="R1713"/>
    </row>
    <row r="1714" spans="18:18" x14ac:dyDescent="0.25">
      <c r="R1714"/>
    </row>
    <row r="1715" spans="18:18" x14ac:dyDescent="0.25">
      <c r="R1715"/>
    </row>
    <row r="1716" spans="18:18" x14ac:dyDescent="0.25">
      <c r="R1716"/>
    </row>
    <row r="1717" spans="18:18" x14ac:dyDescent="0.25">
      <c r="R1717"/>
    </row>
    <row r="1718" spans="18:18" x14ac:dyDescent="0.25">
      <c r="R1718"/>
    </row>
    <row r="1719" spans="18:18" x14ac:dyDescent="0.25">
      <c r="R1719"/>
    </row>
    <row r="1720" spans="18:18" x14ac:dyDescent="0.25">
      <c r="R1720"/>
    </row>
    <row r="1721" spans="18:18" x14ac:dyDescent="0.25">
      <c r="R1721"/>
    </row>
    <row r="1722" spans="18:18" x14ac:dyDescent="0.25">
      <c r="R1722"/>
    </row>
    <row r="1723" spans="18:18" x14ac:dyDescent="0.25">
      <c r="R1723"/>
    </row>
    <row r="1724" spans="18:18" x14ac:dyDescent="0.25">
      <c r="R1724"/>
    </row>
    <row r="1725" spans="18:18" x14ac:dyDescent="0.25">
      <c r="R1725"/>
    </row>
    <row r="1726" spans="18:18" x14ac:dyDescent="0.25">
      <c r="R1726"/>
    </row>
    <row r="1727" spans="18:18" x14ac:dyDescent="0.25">
      <c r="R1727"/>
    </row>
    <row r="1728" spans="18:18" x14ac:dyDescent="0.25">
      <c r="R1728"/>
    </row>
    <row r="1729" spans="18:18" x14ac:dyDescent="0.25">
      <c r="R1729"/>
    </row>
    <row r="1730" spans="18:18" x14ac:dyDescent="0.25">
      <c r="R1730"/>
    </row>
    <row r="1731" spans="18:18" x14ac:dyDescent="0.25">
      <c r="R1731"/>
    </row>
    <row r="1732" spans="18:18" x14ac:dyDescent="0.25">
      <c r="R1732"/>
    </row>
    <row r="1733" spans="18:18" x14ac:dyDescent="0.25">
      <c r="R1733"/>
    </row>
    <row r="1734" spans="18:18" x14ac:dyDescent="0.25">
      <c r="R1734"/>
    </row>
    <row r="1735" spans="18:18" x14ac:dyDescent="0.25">
      <c r="R1735"/>
    </row>
    <row r="1736" spans="18:18" x14ac:dyDescent="0.25">
      <c r="R1736"/>
    </row>
    <row r="1737" spans="18:18" x14ac:dyDescent="0.25">
      <c r="R1737"/>
    </row>
    <row r="1738" spans="18:18" x14ac:dyDescent="0.25">
      <c r="R1738"/>
    </row>
    <row r="1739" spans="18:18" x14ac:dyDescent="0.25">
      <c r="R1739"/>
    </row>
    <row r="1740" spans="18:18" x14ac:dyDescent="0.25">
      <c r="R1740"/>
    </row>
    <row r="1741" spans="18:18" x14ac:dyDescent="0.25">
      <c r="R1741"/>
    </row>
    <row r="1742" spans="18:18" x14ac:dyDescent="0.25">
      <c r="R1742"/>
    </row>
    <row r="1743" spans="18:18" x14ac:dyDescent="0.25">
      <c r="R1743"/>
    </row>
    <row r="1744" spans="18:18" x14ac:dyDescent="0.25">
      <c r="R1744"/>
    </row>
    <row r="1745" spans="18:18" x14ac:dyDescent="0.25">
      <c r="R1745"/>
    </row>
    <row r="1746" spans="18:18" x14ac:dyDescent="0.25">
      <c r="R1746"/>
    </row>
    <row r="1747" spans="18:18" x14ac:dyDescent="0.25">
      <c r="R1747"/>
    </row>
    <row r="1748" spans="18:18" x14ac:dyDescent="0.25">
      <c r="R1748"/>
    </row>
    <row r="1749" spans="18:18" x14ac:dyDescent="0.25">
      <c r="R1749"/>
    </row>
    <row r="1750" spans="18:18" x14ac:dyDescent="0.25">
      <c r="R1750"/>
    </row>
    <row r="1751" spans="18:18" x14ac:dyDescent="0.25">
      <c r="R1751"/>
    </row>
    <row r="1752" spans="18:18" x14ac:dyDescent="0.25">
      <c r="R1752"/>
    </row>
    <row r="1753" spans="18:18" x14ac:dyDescent="0.25">
      <c r="R1753"/>
    </row>
    <row r="1754" spans="18:18" x14ac:dyDescent="0.25">
      <c r="R1754"/>
    </row>
    <row r="1755" spans="18:18" x14ac:dyDescent="0.25">
      <c r="R1755"/>
    </row>
    <row r="1756" spans="18:18" x14ac:dyDescent="0.25">
      <c r="R1756"/>
    </row>
    <row r="1757" spans="18:18" x14ac:dyDescent="0.25">
      <c r="R1757"/>
    </row>
    <row r="1758" spans="18:18" x14ac:dyDescent="0.25">
      <c r="R1758"/>
    </row>
    <row r="1759" spans="18:18" x14ac:dyDescent="0.25">
      <c r="R1759"/>
    </row>
    <row r="1760" spans="18:18" x14ac:dyDescent="0.25">
      <c r="R1760"/>
    </row>
    <row r="1761" spans="18:18" x14ac:dyDescent="0.25">
      <c r="R1761"/>
    </row>
    <row r="1762" spans="18:18" x14ac:dyDescent="0.25">
      <c r="R1762"/>
    </row>
    <row r="1763" spans="18:18" x14ac:dyDescent="0.25">
      <c r="R1763"/>
    </row>
    <row r="1764" spans="18:18" x14ac:dyDescent="0.25">
      <c r="R1764"/>
    </row>
    <row r="1765" spans="18:18" x14ac:dyDescent="0.25">
      <c r="R1765"/>
    </row>
    <row r="1766" spans="18:18" x14ac:dyDescent="0.25">
      <c r="R1766"/>
    </row>
    <row r="1767" spans="18:18" x14ac:dyDescent="0.25">
      <c r="R1767"/>
    </row>
    <row r="1768" spans="18:18" x14ac:dyDescent="0.25">
      <c r="R1768"/>
    </row>
    <row r="1769" spans="18:18" x14ac:dyDescent="0.25">
      <c r="R1769"/>
    </row>
    <row r="1770" spans="18:18" x14ac:dyDescent="0.25">
      <c r="R1770"/>
    </row>
    <row r="1771" spans="18:18" x14ac:dyDescent="0.25">
      <c r="R1771"/>
    </row>
    <row r="1772" spans="18:18" x14ac:dyDescent="0.25">
      <c r="R1772"/>
    </row>
    <row r="1773" spans="18:18" x14ac:dyDescent="0.25">
      <c r="R1773"/>
    </row>
    <row r="1774" spans="18:18" x14ac:dyDescent="0.25">
      <c r="R1774"/>
    </row>
    <row r="1775" spans="18:18" x14ac:dyDescent="0.25">
      <c r="R1775"/>
    </row>
    <row r="1776" spans="18:18" x14ac:dyDescent="0.25">
      <c r="R1776"/>
    </row>
    <row r="1777" spans="18:18" x14ac:dyDescent="0.25">
      <c r="R1777"/>
    </row>
    <row r="1778" spans="18:18" x14ac:dyDescent="0.25">
      <c r="R1778"/>
    </row>
    <row r="1779" spans="18:18" x14ac:dyDescent="0.25">
      <c r="R1779"/>
    </row>
    <row r="1780" spans="18:18" x14ac:dyDescent="0.25">
      <c r="R1780"/>
    </row>
    <row r="1781" spans="18:18" x14ac:dyDescent="0.25">
      <c r="R1781"/>
    </row>
    <row r="1782" spans="18:18" x14ac:dyDescent="0.25">
      <c r="R1782"/>
    </row>
    <row r="1783" spans="18:18" x14ac:dyDescent="0.25">
      <c r="R1783"/>
    </row>
    <row r="1784" spans="18:18" x14ac:dyDescent="0.25">
      <c r="R1784"/>
    </row>
    <row r="1785" spans="18:18" x14ac:dyDescent="0.25">
      <c r="R1785"/>
    </row>
    <row r="1786" spans="18:18" x14ac:dyDescent="0.25">
      <c r="R1786"/>
    </row>
    <row r="1787" spans="18:18" x14ac:dyDescent="0.25">
      <c r="R1787"/>
    </row>
    <row r="1788" spans="18:18" x14ac:dyDescent="0.25">
      <c r="R1788"/>
    </row>
    <row r="1789" spans="18:18" x14ac:dyDescent="0.25">
      <c r="R1789"/>
    </row>
    <row r="1790" spans="18:18" x14ac:dyDescent="0.25">
      <c r="R1790"/>
    </row>
    <row r="1791" spans="18:18" x14ac:dyDescent="0.25">
      <c r="R1791"/>
    </row>
    <row r="1792" spans="18:18" x14ac:dyDescent="0.25">
      <c r="R1792"/>
    </row>
    <row r="1793" spans="18:18" x14ac:dyDescent="0.25">
      <c r="R1793"/>
    </row>
    <row r="1794" spans="18:18" x14ac:dyDescent="0.25">
      <c r="R1794"/>
    </row>
    <row r="1795" spans="18:18" x14ac:dyDescent="0.25">
      <c r="R1795"/>
    </row>
    <row r="1796" spans="18:18" x14ac:dyDescent="0.25">
      <c r="R1796"/>
    </row>
    <row r="1797" spans="18:18" x14ac:dyDescent="0.25">
      <c r="R1797"/>
    </row>
    <row r="1798" spans="18:18" x14ac:dyDescent="0.25">
      <c r="R1798"/>
    </row>
    <row r="1799" spans="18:18" x14ac:dyDescent="0.25">
      <c r="R1799"/>
    </row>
    <row r="1800" spans="18:18" x14ac:dyDescent="0.25">
      <c r="R1800"/>
    </row>
    <row r="1801" spans="18:18" x14ac:dyDescent="0.25">
      <c r="R1801"/>
    </row>
    <row r="1802" spans="18:18" x14ac:dyDescent="0.25">
      <c r="R1802"/>
    </row>
    <row r="1803" spans="18:18" x14ac:dyDescent="0.25">
      <c r="R1803"/>
    </row>
    <row r="1804" spans="18:18" x14ac:dyDescent="0.25">
      <c r="R1804"/>
    </row>
    <row r="1805" spans="18:18" x14ac:dyDescent="0.25">
      <c r="R1805"/>
    </row>
    <row r="1806" spans="18:18" x14ac:dyDescent="0.25">
      <c r="R1806"/>
    </row>
    <row r="1807" spans="18:18" x14ac:dyDescent="0.25">
      <c r="R1807"/>
    </row>
    <row r="1808" spans="18:18" x14ac:dyDescent="0.25">
      <c r="R1808"/>
    </row>
    <row r="1809" spans="18:18" x14ac:dyDescent="0.25">
      <c r="R1809"/>
    </row>
    <row r="1810" spans="18:18" x14ac:dyDescent="0.25">
      <c r="R1810"/>
    </row>
    <row r="1811" spans="18:18" x14ac:dyDescent="0.25">
      <c r="R1811"/>
    </row>
    <row r="1812" spans="18:18" x14ac:dyDescent="0.25">
      <c r="R1812"/>
    </row>
    <row r="1813" spans="18:18" x14ac:dyDescent="0.25">
      <c r="R1813"/>
    </row>
    <row r="1814" spans="18:18" x14ac:dyDescent="0.25">
      <c r="R1814"/>
    </row>
    <row r="1815" spans="18:18" x14ac:dyDescent="0.25">
      <c r="R1815"/>
    </row>
    <row r="1816" spans="18:18" x14ac:dyDescent="0.25">
      <c r="R1816"/>
    </row>
    <row r="1817" spans="18:18" x14ac:dyDescent="0.25">
      <c r="R1817"/>
    </row>
    <row r="1818" spans="18:18" x14ac:dyDescent="0.25">
      <c r="R1818"/>
    </row>
    <row r="1819" spans="18:18" x14ac:dyDescent="0.25">
      <c r="R1819"/>
    </row>
    <row r="1820" spans="18:18" x14ac:dyDescent="0.25">
      <c r="R1820"/>
    </row>
    <row r="1821" spans="18:18" x14ac:dyDescent="0.25">
      <c r="R1821"/>
    </row>
    <row r="1822" spans="18:18" x14ac:dyDescent="0.25">
      <c r="R1822"/>
    </row>
    <row r="1823" spans="18:18" x14ac:dyDescent="0.25">
      <c r="R1823"/>
    </row>
    <row r="1824" spans="18:18" x14ac:dyDescent="0.25">
      <c r="R1824"/>
    </row>
    <row r="1825" spans="18:18" x14ac:dyDescent="0.25">
      <c r="R1825"/>
    </row>
    <row r="1826" spans="18:18" x14ac:dyDescent="0.25">
      <c r="R1826"/>
    </row>
    <row r="1827" spans="18:18" x14ac:dyDescent="0.25">
      <c r="R1827"/>
    </row>
    <row r="1828" spans="18:18" x14ac:dyDescent="0.25">
      <c r="R1828"/>
    </row>
    <row r="1829" spans="18:18" x14ac:dyDescent="0.25">
      <c r="R1829"/>
    </row>
    <row r="1830" spans="18:18" x14ac:dyDescent="0.25">
      <c r="R1830"/>
    </row>
    <row r="1831" spans="18:18" x14ac:dyDescent="0.25">
      <c r="R1831"/>
    </row>
    <row r="1832" spans="18:18" x14ac:dyDescent="0.25">
      <c r="R1832"/>
    </row>
    <row r="1833" spans="18:18" x14ac:dyDescent="0.25">
      <c r="R1833"/>
    </row>
    <row r="1834" spans="18:18" x14ac:dyDescent="0.25">
      <c r="R1834"/>
    </row>
    <row r="1835" spans="18:18" x14ac:dyDescent="0.25">
      <c r="R1835"/>
    </row>
    <row r="1836" spans="18:18" x14ac:dyDescent="0.25">
      <c r="R1836"/>
    </row>
    <row r="1837" spans="18:18" x14ac:dyDescent="0.25">
      <c r="R1837"/>
    </row>
    <row r="1838" spans="18:18" x14ac:dyDescent="0.25">
      <c r="R1838"/>
    </row>
    <row r="1839" spans="18:18" x14ac:dyDescent="0.25">
      <c r="R1839"/>
    </row>
    <row r="1840" spans="18:18" x14ac:dyDescent="0.25">
      <c r="R1840"/>
    </row>
    <row r="1841" spans="18:18" x14ac:dyDescent="0.25">
      <c r="R1841"/>
    </row>
    <row r="1842" spans="18:18" x14ac:dyDescent="0.25">
      <c r="R1842"/>
    </row>
    <row r="1843" spans="18:18" x14ac:dyDescent="0.25">
      <c r="R1843"/>
    </row>
    <row r="1844" spans="18:18" x14ac:dyDescent="0.25">
      <c r="R1844"/>
    </row>
    <row r="1845" spans="18:18" x14ac:dyDescent="0.25">
      <c r="R1845"/>
    </row>
    <row r="1846" spans="18:18" x14ac:dyDescent="0.25">
      <c r="R1846"/>
    </row>
    <row r="1847" spans="18:18" x14ac:dyDescent="0.25">
      <c r="R1847"/>
    </row>
    <row r="1848" spans="18:18" x14ac:dyDescent="0.25">
      <c r="R1848"/>
    </row>
    <row r="1849" spans="18:18" x14ac:dyDescent="0.25">
      <c r="R1849"/>
    </row>
    <row r="1850" spans="18:18" x14ac:dyDescent="0.25">
      <c r="R1850"/>
    </row>
    <row r="1851" spans="18:18" x14ac:dyDescent="0.25">
      <c r="R1851"/>
    </row>
    <row r="1852" spans="18:18" x14ac:dyDescent="0.25">
      <c r="R1852"/>
    </row>
    <row r="1853" spans="18:18" x14ac:dyDescent="0.25">
      <c r="R1853"/>
    </row>
    <row r="1854" spans="18:18" x14ac:dyDescent="0.25">
      <c r="R1854"/>
    </row>
    <row r="1855" spans="18:18" x14ac:dyDescent="0.25">
      <c r="R1855"/>
    </row>
    <row r="1856" spans="18:18" x14ac:dyDescent="0.25">
      <c r="R1856"/>
    </row>
    <row r="1857" spans="18:18" x14ac:dyDescent="0.25">
      <c r="R1857"/>
    </row>
    <row r="1858" spans="18:18" x14ac:dyDescent="0.25">
      <c r="R1858"/>
    </row>
    <row r="1859" spans="18:18" x14ac:dyDescent="0.25">
      <c r="R1859"/>
    </row>
    <row r="1860" spans="18:18" x14ac:dyDescent="0.25">
      <c r="R1860"/>
    </row>
    <row r="1861" spans="18:18" x14ac:dyDescent="0.25">
      <c r="R1861"/>
    </row>
    <row r="1862" spans="18:18" x14ac:dyDescent="0.25">
      <c r="R1862"/>
    </row>
    <row r="1863" spans="18:18" x14ac:dyDescent="0.25">
      <c r="R1863"/>
    </row>
    <row r="1864" spans="18:18" x14ac:dyDescent="0.25">
      <c r="R1864"/>
    </row>
    <row r="1865" spans="18:18" x14ac:dyDescent="0.25">
      <c r="R1865"/>
    </row>
    <row r="1866" spans="18:18" x14ac:dyDescent="0.25">
      <c r="R1866"/>
    </row>
    <row r="1867" spans="18:18" x14ac:dyDescent="0.25">
      <c r="R1867"/>
    </row>
    <row r="1868" spans="18:18" x14ac:dyDescent="0.25">
      <c r="R1868"/>
    </row>
    <row r="1869" spans="18:18" x14ac:dyDescent="0.25">
      <c r="R1869"/>
    </row>
    <row r="1870" spans="18:18" x14ac:dyDescent="0.25">
      <c r="R1870"/>
    </row>
    <row r="1871" spans="18:18" x14ac:dyDescent="0.25">
      <c r="R1871"/>
    </row>
    <row r="1872" spans="18:18" x14ac:dyDescent="0.25">
      <c r="R1872"/>
    </row>
    <row r="1873" spans="18:18" x14ac:dyDescent="0.25">
      <c r="R1873"/>
    </row>
    <row r="1874" spans="18:18" x14ac:dyDescent="0.25">
      <c r="R1874"/>
    </row>
    <row r="1875" spans="18:18" x14ac:dyDescent="0.25">
      <c r="R1875"/>
    </row>
    <row r="1876" spans="18:18" x14ac:dyDescent="0.25">
      <c r="R1876"/>
    </row>
    <row r="1877" spans="18:18" x14ac:dyDescent="0.25">
      <c r="R1877"/>
    </row>
    <row r="1878" spans="18:18" x14ac:dyDescent="0.25">
      <c r="R1878"/>
    </row>
    <row r="1879" spans="18:18" x14ac:dyDescent="0.25">
      <c r="R1879"/>
    </row>
    <row r="1880" spans="18:18" x14ac:dyDescent="0.25">
      <c r="R1880"/>
    </row>
    <row r="1881" spans="18:18" x14ac:dyDescent="0.25">
      <c r="R1881"/>
    </row>
    <row r="1882" spans="18:18" x14ac:dyDescent="0.25">
      <c r="R1882"/>
    </row>
    <row r="1883" spans="18:18" x14ac:dyDescent="0.25">
      <c r="R1883"/>
    </row>
    <row r="1884" spans="18:18" x14ac:dyDescent="0.25">
      <c r="R1884"/>
    </row>
    <row r="1885" spans="18:18" x14ac:dyDescent="0.25">
      <c r="R1885"/>
    </row>
    <row r="1886" spans="18:18" x14ac:dyDescent="0.25">
      <c r="R1886"/>
    </row>
    <row r="1887" spans="18:18" x14ac:dyDescent="0.25">
      <c r="R1887"/>
    </row>
    <row r="1888" spans="18:18" x14ac:dyDescent="0.25">
      <c r="R1888"/>
    </row>
    <row r="1889" spans="18:18" x14ac:dyDescent="0.25">
      <c r="R1889"/>
    </row>
    <row r="1890" spans="18:18" x14ac:dyDescent="0.25">
      <c r="R1890"/>
    </row>
    <row r="1891" spans="18:18" x14ac:dyDescent="0.25">
      <c r="R1891"/>
    </row>
    <row r="1892" spans="18:18" x14ac:dyDescent="0.25">
      <c r="R1892"/>
    </row>
    <row r="1893" spans="18:18" x14ac:dyDescent="0.25">
      <c r="R1893"/>
    </row>
    <row r="1894" spans="18:18" x14ac:dyDescent="0.25">
      <c r="R1894"/>
    </row>
    <row r="1895" spans="18:18" x14ac:dyDescent="0.25">
      <c r="R1895"/>
    </row>
    <row r="1896" spans="18:18" x14ac:dyDescent="0.25">
      <c r="R1896"/>
    </row>
    <row r="1897" spans="18:18" x14ac:dyDescent="0.25">
      <c r="R1897"/>
    </row>
    <row r="1898" spans="18:18" x14ac:dyDescent="0.25">
      <c r="R1898"/>
    </row>
    <row r="1899" spans="18:18" x14ac:dyDescent="0.25">
      <c r="R1899"/>
    </row>
    <row r="1900" spans="18:18" x14ac:dyDescent="0.25">
      <c r="R1900"/>
    </row>
    <row r="1901" spans="18:18" x14ac:dyDescent="0.25">
      <c r="R1901"/>
    </row>
    <row r="1902" spans="18:18" x14ac:dyDescent="0.25">
      <c r="R1902"/>
    </row>
    <row r="1903" spans="18:18" x14ac:dyDescent="0.25">
      <c r="R1903"/>
    </row>
    <row r="1904" spans="18:18" x14ac:dyDescent="0.25">
      <c r="R1904"/>
    </row>
    <row r="1905" spans="18:18" x14ac:dyDescent="0.25">
      <c r="R1905"/>
    </row>
    <row r="1906" spans="18:18" x14ac:dyDescent="0.25">
      <c r="R1906"/>
    </row>
    <row r="1907" spans="18:18" x14ac:dyDescent="0.25">
      <c r="R1907"/>
    </row>
    <row r="1908" spans="18:18" x14ac:dyDescent="0.25">
      <c r="R1908"/>
    </row>
    <row r="1909" spans="18:18" x14ac:dyDescent="0.25">
      <c r="R1909"/>
    </row>
    <row r="1910" spans="18:18" x14ac:dyDescent="0.25">
      <c r="R1910"/>
    </row>
    <row r="1911" spans="18:18" x14ac:dyDescent="0.25">
      <c r="R1911"/>
    </row>
    <row r="1912" spans="18:18" x14ac:dyDescent="0.25">
      <c r="R1912"/>
    </row>
    <row r="1913" spans="18:18" x14ac:dyDescent="0.25">
      <c r="R1913"/>
    </row>
    <row r="1914" spans="18:18" x14ac:dyDescent="0.25">
      <c r="R1914"/>
    </row>
    <row r="1915" spans="18:18" x14ac:dyDescent="0.25">
      <c r="R1915"/>
    </row>
    <row r="1916" spans="18:18" x14ac:dyDescent="0.25">
      <c r="R1916"/>
    </row>
    <row r="1917" spans="18:18" x14ac:dyDescent="0.25">
      <c r="R1917"/>
    </row>
    <row r="1918" spans="18:18" x14ac:dyDescent="0.25">
      <c r="R1918"/>
    </row>
    <row r="1919" spans="18:18" x14ac:dyDescent="0.25">
      <c r="R1919"/>
    </row>
    <row r="1920" spans="18:18" x14ac:dyDescent="0.25">
      <c r="R1920"/>
    </row>
    <row r="1921" spans="18:18" x14ac:dyDescent="0.25">
      <c r="R1921"/>
    </row>
    <row r="1922" spans="18:18" x14ac:dyDescent="0.25">
      <c r="R1922"/>
    </row>
    <row r="1923" spans="18:18" x14ac:dyDescent="0.25">
      <c r="R1923"/>
    </row>
    <row r="1924" spans="18:18" x14ac:dyDescent="0.25">
      <c r="R1924"/>
    </row>
    <row r="1925" spans="18:18" x14ac:dyDescent="0.25">
      <c r="R1925"/>
    </row>
    <row r="1926" spans="18:18" x14ac:dyDescent="0.25">
      <c r="R1926"/>
    </row>
    <row r="1927" spans="18:18" x14ac:dyDescent="0.25">
      <c r="R1927"/>
    </row>
    <row r="1928" spans="18:18" x14ac:dyDescent="0.25">
      <c r="R1928"/>
    </row>
    <row r="1929" spans="18:18" x14ac:dyDescent="0.25">
      <c r="R1929"/>
    </row>
    <row r="1930" spans="18:18" x14ac:dyDescent="0.25">
      <c r="R1930"/>
    </row>
    <row r="1931" spans="18:18" x14ac:dyDescent="0.25">
      <c r="R1931"/>
    </row>
    <row r="1932" spans="18:18" x14ac:dyDescent="0.25">
      <c r="R1932"/>
    </row>
    <row r="1933" spans="18:18" x14ac:dyDescent="0.25">
      <c r="R1933"/>
    </row>
    <row r="1934" spans="18:18" x14ac:dyDescent="0.25">
      <c r="R1934"/>
    </row>
    <row r="1935" spans="18:18" x14ac:dyDescent="0.25">
      <c r="R1935"/>
    </row>
    <row r="1936" spans="18:18" x14ac:dyDescent="0.25">
      <c r="R1936"/>
    </row>
    <row r="1937" spans="18:18" x14ac:dyDescent="0.25">
      <c r="R1937"/>
    </row>
    <row r="1938" spans="18:18" x14ac:dyDescent="0.25">
      <c r="R1938"/>
    </row>
    <row r="1939" spans="18:18" x14ac:dyDescent="0.25">
      <c r="R1939"/>
    </row>
    <row r="1940" spans="18:18" x14ac:dyDescent="0.25">
      <c r="R1940"/>
    </row>
    <row r="1941" spans="18:18" x14ac:dyDescent="0.25">
      <c r="R1941"/>
    </row>
    <row r="1942" spans="18:18" x14ac:dyDescent="0.25">
      <c r="R1942"/>
    </row>
    <row r="1943" spans="18:18" x14ac:dyDescent="0.25">
      <c r="R1943"/>
    </row>
    <row r="1944" spans="18:18" x14ac:dyDescent="0.25">
      <c r="R1944"/>
    </row>
    <row r="1945" spans="18:18" x14ac:dyDescent="0.25">
      <c r="R1945"/>
    </row>
    <row r="1946" spans="18:18" x14ac:dyDescent="0.25">
      <c r="R1946"/>
    </row>
    <row r="1947" spans="18:18" x14ac:dyDescent="0.25">
      <c r="R1947"/>
    </row>
    <row r="1948" spans="18:18" x14ac:dyDescent="0.25">
      <c r="R1948"/>
    </row>
    <row r="1949" spans="18:18" x14ac:dyDescent="0.25">
      <c r="R1949"/>
    </row>
    <row r="1950" spans="18:18" x14ac:dyDescent="0.25">
      <c r="R1950"/>
    </row>
    <row r="1951" spans="18:18" x14ac:dyDescent="0.25">
      <c r="R1951"/>
    </row>
    <row r="1952" spans="18:18" x14ac:dyDescent="0.25">
      <c r="R1952"/>
    </row>
    <row r="1953" spans="18:18" x14ac:dyDescent="0.25">
      <c r="R1953"/>
    </row>
    <row r="1954" spans="18:18" x14ac:dyDescent="0.25">
      <c r="R1954"/>
    </row>
    <row r="1955" spans="18:18" x14ac:dyDescent="0.25">
      <c r="R1955"/>
    </row>
    <row r="1956" spans="18:18" x14ac:dyDescent="0.25">
      <c r="R1956"/>
    </row>
    <row r="1957" spans="18:18" x14ac:dyDescent="0.25">
      <c r="R1957"/>
    </row>
    <row r="1958" spans="18:18" x14ac:dyDescent="0.25">
      <c r="R1958"/>
    </row>
    <row r="1959" spans="18:18" x14ac:dyDescent="0.25">
      <c r="R1959"/>
    </row>
    <row r="1960" spans="18:18" x14ac:dyDescent="0.25">
      <c r="R1960"/>
    </row>
    <row r="1961" spans="18:18" x14ac:dyDescent="0.25">
      <c r="R1961"/>
    </row>
    <row r="1962" spans="18:18" x14ac:dyDescent="0.25">
      <c r="R1962"/>
    </row>
    <row r="1963" spans="18:18" x14ac:dyDescent="0.25">
      <c r="R1963"/>
    </row>
    <row r="1964" spans="18:18" x14ac:dyDescent="0.25">
      <c r="R1964"/>
    </row>
    <row r="1965" spans="18:18" x14ac:dyDescent="0.25">
      <c r="R1965"/>
    </row>
    <row r="1966" spans="18:18" x14ac:dyDescent="0.25">
      <c r="R1966"/>
    </row>
    <row r="1967" spans="18:18" x14ac:dyDescent="0.25">
      <c r="R1967"/>
    </row>
    <row r="1968" spans="18:18" x14ac:dyDescent="0.25">
      <c r="R1968"/>
    </row>
    <row r="1969" spans="18:18" x14ac:dyDescent="0.25">
      <c r="R1969"/>
    </row>
    <row r="1970" spans="18:18" x14ac:dyDescent="0.25">
      <c r="R1970"/>
    </row>
    <row r="1971" spans="18:18" x14ac:dyDescent="0.25">
      <c r="R1971"/>
    </row>
    <row r="1972" spans="18:18" x14ac:dyDescent="0.25">
      <c r="R1972"/>
    </row>
    <row r="1973" spans="18:18" x14ac:dyDescent="0.25">
      <c r="R1973"/>
    </row>
    <row r="1974" spans="18:18" x14ac:dyDescent="0.25">
      <c r="R1974"/>
    </row>
    <row r="1975" spans="18:18" x14ac:dyDescent="0.25">
      <c r="R1975"/>
    </row>
    <row r="1976" spans="18:18" x14ac:dyDescent="0.25">
      <c r="R1976"/>
    </row>
    <row r="1977" spans="18:18" x14ac:dyDescent="0.25">
      <c r="R1977"/>
    </row>
    <row r="1978" spans="18:18" x14ac:dyDescent="0.25">
      <c r="R1978"/>
    </row>
    <row r="1979" spans="18:18" x14ac:dyDescent="0.25">
      <c r="R1979"/>
    </row>
    <row r="1980" spans="18:18" x14ac:dyDescent="0.25">
      <c r="R1980"/>
    </row>
    <row r="1981" spans="18:18" x14ac:dyDescent="0.25">
      <c r="R1981"/>
    </row>
    <row r="1982" spans="18:18" x14ac:dyDescent="0.25">
      <c r="R1982"/>
    </row>
    <row r="1983" spans="18:18" x14ac:dyDescent="0.25">
      <c r="R1983"/>
    </row>
    <row r="1984" spans="18:18" x14ac:dyDescent="0.25">
      <c r="R1984"/>
    </row>
    <row r="1985" spans="18:18" x14ac:dyDescent="0.25">
      <c r="R1985"/>
    </row>
    <row r="1986" spans="18:18" x14ac:dyDescent="0.25">
      <c r="R1986"/>
    </row>
    <row r="1987" spans="18:18" x14ac:dyDescent="0.25">
      <c r="R1987"/>
    </row>
    <row r="1988" spans="18:18" x14ac:dyDescent="0.25">
      <c r="R1988"/>
    </row>
    <row r="1989" spans="18:18" x14ac:dyDescent="0.25">
      <c r="R1989"/>
    </row>
    <row r="1990" spans="18:18" x14ac:dyDescent="0.25">
      <c r="R1990"/>
    </row>
    <row r="1991" spans="18:18" x14ac:dyDescent="0.25">
      <c r="R1991"/>
    </row>
    <row r="1992" spans="18:18" x14ac:dyDescent="0.25">
      <c r="R1992"/>
    </row>
    <row r="1993" spans="18:18" x14ac:dyDescent="0.25">
      <c r="R1993"/>
    </row>
    <row r="1994" spans="18:18" x14ac:dyDescent="0.25">
      <c r="R1994"/>
    </row>
    <row r="1995" spans="18:18" x14ac:dyDescent="0.25">
      <c r="R1995"/>
    </row>
    <row r="1996" spans="18:18" x14ac:dyDescent="0.25">
      <c r="R1996"/>
    </row>
    <row r="1997" spans="18:18" x14ac:dyDescent="0.25">
      <c r="R1997"/>
    </row>
    <row r="1998" spans="18:18" x14ac:dyDescent="0.25">
      <c r="R1998"/>
    </row>
    <row r="1999" spans="18:18" x14ac:dyDescent="0.25">
      <c r="R1999"/>
    </row>
    <row r="2000" spans="18:18" x14ac:dyDescent="0.25">
      <c r="R2000"/>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42" r:id="rId6" name="Button 2">
              <controlPr defaultSize="0" print="0" autoFill="0" autoPict="0" macro="[0]!Refresh_Series_Data">
                <anchor moveWithCells="1">
                  <from>
                    <xdr:col>6</xdr:col>
                    <xdr:colOff>0</xdr:colOff>
                    <xdr:row>0</xdr:row>
                    <xdr:rowOff>200025</xdr:rowOff>
                  </from>
                  <to>
                    <xdr:col>7</xdr:col>
                    <xdr:colOff>304800</xdr:colOff>
                    <xdr:row>2</xdr:row>
                    <xdr:rowOff>0</xdr:rowOff>
                  </to>
                </anchor>
              </controlPr>
            </control>
          </mc:Choice>
        </mc:AlternateContent>
        <mc:AlternateContent xmlns:mc="http://schemas.openxmlformats.org/markup-compatibility/2006">
          <mc:Choice Requires="x14">
            <control shapeId="10244" r:id="rId7" name="Button 4">
              <controlPr defaultSize="0" print="0" autoFill="0" autoPict="0" macro="[0]!SeriesREChartUp">
                <anchor moveWithCells="1">
                  <from>
                    <xdr:col>5</xdr:col>
                    <xdr:colOff>457200</xdr:colOff>
                    <xdr:row>4</xdr:row>
                    <xdr:rowOff>0</xdr:rowOff>
                  </from>
                  <to>
                    <xdr:col>5</xdr:col>
                    <xdr:colOff>1371600</xdr:colOff>
                    <xdr:row>5</xdr:row>
                    <xdr:rowOff>47625</xdr:rowOff>
                  </to>
                </anchor>
              </controlPr>
            </control>
          </mc:Choice>
        </mc:AlternateContent>
        <mc:AlternateContent xmlns:mc="http://schemas.openxmlformats.org/markup-compatibility/2006">
          <mc:Choice Requires="x14">
            <control shapeId="10245" r:id="rId8" name="Button 5">
              <controlPr defaultSize="0" print="0" autoFill="0" autoPict="0" macro="[0]!SeriesRE_ChartDown">
                <anchor moveWithCells="1">
                  <from>
                    <xdr:col>5</xdr:col>
                    <xdr:colOff>466725</xdr:colOff>
                    <xdr:row>6</xdr:row>
                    <xdr:rowOff>0</xdr:rowOff>
                  </from>
                  <to>
                    <xdr:col>6</xdr:col>
                    <xdr:colOff>0</xdr:colOff>
                    <xdr:row>7</xdr:row>
                    <xdr:rowOff>47625</xdr:rowOff>
                  </to>
                </anchor>
              </controlPr>
            </control>
          </mc:Choice>
        </mc:AlternateContent>
        <mc:AlternateContent xmlns:mc="http://schemas.openxmlformats.org/markup-compatibility/2006">
          <mc:Choice Requires="x14">
            <control shapeId="10246" r:id="rId9" name="Button 6">
              <controlPr defaultSize="0" print="0" autoFill="0" autoPict="0" macro="[0]!SeriesNChartUp">
                <anchor moveWithCells="1">
                  <from>
                    <xdr:col>21</xdr:col>
                    <xdr:colOff>466725</xdr:colOff>
                    <xdr:row>4</xdr:row>
                    <xdr:rowOff>0</xdr:rowOff>
                  </from>
                  <to>
                    <xdr:col>22</xdr:col>
                    <xdr:colOff>0</xdr:colOff>
                    <xdr:row>5</xdr:row>
                    <xdr:rowOff>47625</xdr:rowOff>
                  </to>
                </anchor>
              </controlPr>
            </control>
          </mc:Choice>
        </mc:AlternateContent>
        <mc:AlternateContent xmlns:mc="http://schemas.openxmlformats.org/markup-compatibility/2006">
          <mc:Choice Requires="x14">
            <control shapeId="10247" r:id="rId10" name="Button 7">
              <controlPr defaultSize="0" print="0" autoFill="0" autoPict="0" macro="[0]!SeriesNChartDown">
                <anchor moveWithCells="1">
                  <from>
                    <xdr:col>21</xdr:col>
                    <xdr:colOff>466725</xdr:colOff>
                    <xdr:row>6</xdr:row>
                    <xdr:rowOff>0</xdr:rowOff>
                  </from>
                  <to>
                    <xdr:col>22</xdr:col>
                    <xdr:colOff>0</xdr:colOff>
                    <xdr:row>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39987-0969-473B-98E9-F2AE95218D9E}">
  <sheetPr codeName="Sheet7">
    <tabColor theme="4"/>
  </sheetPr>
  <dimension ref="A1:N77"/>
  <sheetViews>
    <sheetView workbookViewId="0">
      <selection activeCell="C20" sqref="C20"/>
    </sheetView>
  </sheetViews>
  <sheetFormatPr defaultRowHeight="15" x14ac:dyDescent="0.25"/>
  <cols>
    <col min="1" max="1" width="40.7109375" style="1" customWidth="1"/>
    <col min="2" max="2" width="7.140625" style="1" bestFit="1" customWidth="1"/>
    <col min="3" max="3" width="20.7109375" style="1" customWidth="1"/>
    <col min="4" max="12" width="9.140625" style="1"/>
    <col min="13" max="13" width="30.7109375" style="1" customWidth="1"/>
    <col min="14" max="14" width="6.28515625" style="1" bestFit="1" customWidth="1"/>
    <col min="15" max="15" width="20.7109375" style="1" customWidth="1"/>
    <col min="16" max="16384" width="9.140625" style="1"/>
  </cols>
  <sheetData>
    <row r="1" spans="1:14" ht="20.100000000000001" customHeight="1" x14ac:dyDescent="0.25">
      <c r="A1" s="2" t="s">
        <v>271</v>
      </c>
      <c r="B1" s="1" t="s">
        <v>270</v>
      </c>
      <c r="M1" s="2" t="s">
        <v>272</v>
      </c>
      <c r="N1" s="1" t="s">
        <v>264</v>
      </c>
    </row>
    <row r="2" spans="1:14" x14ac:dyDescent="0.25">
      <c r="A2" s="4" t="s">
        <v>255</v>
      </c>
      <c r="B2">
        <v>1</v>
      </c>
      <c r="C2"/>
      <c r="M2" s="6" t="s">
        <v>88</v>
      </c>
      <c r="N2" s="1">
        <v>1</v>
      </c>
    </row>
    <row r="3" spans="1:14" x14ac:dyDescent="0.25">
      <c r="A3" s="4" t="s">
        <v>106</v>
      </c>
      <c r="B3">
        <v>1</v>
      </c>
      <c r="C3"/>
      <c r="M3" s="6" t="s">
        <v>250</v>
      </c>
      <c r="N3" s="1">
        <v>1</v>
      </c>
    </row>
    <row r="4" spans="1:14" x14ac:dyDescent="0.25">
      <c r="A4" s="4" t="s">
        <v>83</v>
      </c>
      <c r="B4">
        <v>1</v>
      </c>
      <c r="C4"/>
      <c r="M4" s="6" t="s">
        <v>155</v>
      </c>
      <c r="N4" s="1">
        <v>1</v>
      </c>
    </row>
    <row r="5" spans="1:14" x14ac:dyDescent="0.25">
      <c r="A5" s="4" t="s">
        <v>249</v>
      </c>
      <c r="B5">
        <v>1</v>
      </c>
      <c r="C5"/>
      <c r="M5" s="6" t="s">
        <v>260</v>
      </c>
      <c r="N5" s="1">
        <v>1</v>
      </c>
    </row>
    <row r="6" spans="1:14" x14ac:dyDescent="0.25">
      <c r="A6" s="4" t="s">
        <v>969</v>
      </c>
      <c r="B6">
        <v>1</v>
      </c>
      <c r="C6"/>
      <c r="M6" s="6" t="s">
        <v>258</v>
      </c>
      <c r="N6" s="1">
        <v>1</v>
      </c>
    </row>
    <row r="7" spans="1:14" x14ac:dyDescent="0.25">
      <c r="A7" s="4" t="s">
        <v>100</v>
      </c>
      <c r="B7">
        <v>1</v>
      </c>
      <c r="C7"/>
      <c r="M7" s="6" t="s">
        <v>223</v>
      </c>
      <c r="N7" s="1">
        <v>1</v>
      </c>
    </row>
    <row r="8" spans="1:14" x14ac:dyDescent="0.25">
      <c r="A8" s="4" t="s">
        <v>214</v>
      </c>
      <c r="B8">
        <v>1</v>
      </c>
      <c r="C8"/>
      <c r="M8" s="6" t="s">
        <v>238</v>
      </c>
      <c r="N8" s="1">
        <v>1</v>
      </c>
    </row>
    <row r="9" spans="1:14" x14ac:dyDescent="0.25">
      <c r="A9" s="4" t="s">
        <v>228</v>
      </c>
      <c r="B9">
        <v>1</v>
      </c>
      <c r="C9"/>
      <c r="M9" s="6" t="s">
        <v>231</v>
      </c>
      <c r="N9" s="1">
        <v>1</v>
      </c>
    </row>
    <row r="10" spans="1:14" x14ac:dyDescent="0.25">
      <c r="A10" s="4" t="s">
        <v>95</v>
      </c>
      <c r="B10">
        <v>1</v>
      </c>
      <c r="C10"/>
      <c r="M10" s="6" t="s">
        <v>193</v>
      </c>
      <c r="N10" s="1">
        <v>1</v>
      </c>
    </row>
    <row r="11" spans="1:14" x14ac:dyDescent="0.25">
      <c r="A11" s="4" t="s">
        <v>217</v>
      </c>
      <c r="B11">
        <v>1</v>
      </c>
      <c r="C11"/>
      <c r="M11" s="6" t="s">
        <v>229</v>
      </c>
      <c r="N11" s="1">
        <v>1</v>
      </c>
    </row>
    <row r="12" spans="1:14" x14ac:dyDescent="0.25">
      <c r="A12" s="4" t="s">
        <v>175</v>
      </c>
      <c r="B12">
        <v>1</v>
      </c>
      <c r="C12"/>
      <c r="M12" s="6" t="s">
        <v>176</v>
      </c>
      <c r="N12" s="1">
        <v>1</v>
      </c>
    </row>
    <row r="13" spans="1:14" x14ac:dyDescent="0.25">
      <c r="A13" s="4" t="s">
        <v>243</v>
      </c>
      <c r="B13">
        <v>1</v>
      </c>
      <c r="C13"/>
      <c r="M13" s="6" t="s">
        <v>101</v>
      </c>
      <c r="N13" s="1">
        <v>1</v>
      </c>
    </row>
    <row r="14" spans="1:14" x14ac:dyDescent="0.25">
      <c r="A14" s="4" t="s">
        <v>222</v>
      </c>
      <c r="B14">
        <v>1</v>
      </c>
      <c r="C14"/>
      <c r="M14" s="6" t="s">
        <v>84</v>
      </c>
      <c r="N14" s="1">
        <v>1</v>
      </c>
    </row>
    <row r="15" spans="1:14" x14ac:dyDescent="0.25">
      <c r="A15" s="4" t="s">
        <v>89</v>
      </c>
      <c r="B15">
        <v>1</v>
      </c>
      <c r="C15"/>
      <c r="M15" s="6" t="s">
        <v>170</v>
      </c>
      <c r="N15" s="1">
        <v>1</v>
      </c>
    </row>
    <row r="16" spans="1:14" x14ac:dyDescent="0.25">
      <c r="A16" s="4" t="s">
        <v>208</v>
      </c>
      <c r="B16">
        <v>1</v>
      </c>
      <c r="C16"/>
      <c r="M16" s="6" t="s">
        <v>970</v>
      </c>
      <c r="N16" s="1">
        <v>1</v>
      </c>
    </row>
    <row r="17" spans="1:14" x14ac:dyDescent="0.25">
      <c r="A17" s="4" t="s">
        <v>178</v>
      </c>
      <c r="B17">
        <v>1</v>
      </c>
      <c r="C17"/>
      <c r="M17" s="6" t="s">
        <v>150</v>
      </c>
      <c r="N17" s="1">
        <v>1</v>
      </c>
    </row>
    <row r="18" spans="1:14" x14ac:dyDescent="0.25">
      <c r="A18" s="4" t="s">
        <v>212</v>
      </c>
      <c r="B18">
        <v>1</v>
      </c>
      <c r="C18"/>
      <c r="M18" s="6" t="s">
        <v>196</v>
      </c>
      <c r="N18" s="1">
        <v>1</v>
      </c>
    </row>
    <row r="19" spans="1:14" x14ac:dyDescent="0.25">
      <c r="A19" s="4" t="s">
        <v>120</v>
      </c>
      <c r="B19">
        <v>1</v>
      </c>
      <c r="M19" s="6" t="s">
        <v>75</v>
      </c>
      <c r="N19" s="1">
        <v>1</v>
      </c>
    </row>
    <row r="20" spans="1:14" x14ac:dyDescent="0.25">
      <c r="A20" s="4" t="s">
        <v>239</v>
      </c>
      <c r="B20">
        <v>1</v>
      </c>
      <c r="M20" s="6" t="s">
        <v>121</v>
      </c>
      <c r="N20" s="1">
        <v>1</v>
      </c>
    </row>
    <row r="21" spans="1:14" x14ac:dyDescent="0.25">
      <c r="A21" s="4" t="s">
        <v>149</v>
      </c>
      <c r="B21">
        <v>1</v>
      </c>
      <c r="M21" s="6" t="s">
        <v>160</v>
      </c>
      <c r="N21" s="1">
        <v>1</v>
      </c>
    </row>
    <row r="22" spans="1:14" x14ac:dyDescent="0.25">
      <c r="A22" s="4" t="s">
        <v>245</v>
      </c>
      <c r="B22">
        <v>1</v>
      </c>
      <c r="M22" s="6" t="s">
        <v>263</v>
      </c>
      <c r="N22" s="1">
        <v>1</v>
      </c>
    </row>
    <row r="23" spans="1:14" x14ac:dyDescent="0.25">
      <c r="A23" s="4" t="s">
        <v>103</v>
      </c>
      <c r="B23">
        <v>1</v>
      </c>
      <c r="M23" s="6" t="s">
        <v>200</v>
      </c>
      <c r="N23" s="1">
        <v>1</v>
      </c>
    </row>
    <row r="24" spans="1:14" x14ac:dyDescent="0.25">
      <c r="A24" s="4" t="s">
        <v>192</v>
      </c>
      <c r="B24">
        <v>1</v>
      </c>
      <c r="M24" s="6" t="s">
        <v>90</v>
      </c>
      <c r="N24" s="1">
        <v>1</v>
      </c>
    </row>
    <row r="25" spans="1:14" x14ac:dyDescent="0.25">
      <c r="A25" s="4" t="s">
        <v>74</v>
      </c>
      <c r="B25">
        <v>1</v>
      </c>
      <c r="M25" s="6" t="s">
        <v>225</v>
      </c>
      <c r="N25" s="1">
        <v>1</v>
      </c>
    </row>
    <row r="26" spans="1:14" x14ac:dyDescent="0.25">
      <c r="A26" s="4" t="s">
        <v>224</v>
      </c>
      <c r="B26">
        <v>1</v>
      </c>
      <c r="M26" s="6" t="s">
        <v>254</v>
      </c>
      <c r="N26" s="1">
        <v>1</v>
      </c>
    </row>
    <row r="27" spans="1:14" x14ac:dyDescent="0.25">
      <c r="A27" s="4" t="s">
        <v>144</v>
      </c>
      <c r="B27">
        <v>1</v>
      </c>
      <c r="M27" s="6" t="s">
        <v>188</v>
      </c>
      <c r="N27" s="1">
        <v>1</v>
      </c>
    </row>
    <row r="28" spans="1:14" x14ac:dyDescent="0.25">
      <c r="A28" s="4" t="s">
        <v>199</v>
      </c>
      <c r="B28">
        <v>1</v>
      </c>
      <c r="M28" s="6" t="s">
        <v>107</v>
      </c>
      <c r="N28" s="1">
        <v>1</v>
      </c>
    </row>
    <row r="29" spans="1:14" x14ac:dyDescent="0.25">
      <c r="A29" s="4" t="s">
        <v>146</v>
      </c>
      <c r="B29">
        <v>1</v>
      </c>
      <c r="M29" s="6" t="s">
        <v>96</v>
      </c>
      <c r="N29" s="1">
        <v>1</v>
      </c>
    </row>
    <row r="30" spans="1:14" x14ac:dyDescent="0.25">
      <c r="A30" s="4" t="s">
        <v>230</v>
      </c>
      <c r="B30">
        <v>1</v>
      </c>
      <c r="M30" s="6" t="s">
        <v>147</v>
      </c>
      <c r="N30" s="1">
        <v>1</v>
      </c>
    </row>
    <row r="31" spans="1:14" x14ac:dyDescent="0.25">
      <c r="A31" s="4" t="s">
        <v>253</v>
      </c>
      <c r="B31">
        <v>1</v>
      </c>
      <c r="M31" s="6" t="s">
        <v>202</v>
      </c>
      <c r="N31" s="1">
        <v>1</v>
      </c>
    </row>
    <row r="32" spans="1:14" x14ac:dyDescent="0.25">
      <c r="A32" s="4" t="s">
        <v>259</v>
      </c>
      <c r="B32">
        <v>1</v>
      </c>
      <c r="M32" s="6" t="s">
        <v>185</v>
      </c>
      <c r="N32" s="1">
        <v>1</v>
      </c>
    </row>
    <row r="33" spans="1:14" x14ac:dyDescent="0.25">
      <c r="A33" s="4" t="s">
        <v>165</v>
      </c>
      <c r="B33">
        <v>1</v>
      </c>
      <c r="M33" s="6" t="s">
        <v>233</v>
      </c>
      <c r="N33" s="1">
        <v>1</v>
      </c>
    </row>
    <row r="34" spans="1:14" x14ac:dyDescent="0.25">
      <c r="A34" s="4" t="s">
        <v>240</v>
      </c>
      <c r="B34">
        <v>1</v>
      </c>
      <c r="M34" s="6" t="s">
        <v>189</v>
      </c>
      <c r="N34" s="1">
        <v>1</v>
      </c>
    </row>
    <row r="35" spans="1:14" x14ac:dyDescent="0.25">
      <c r="A35" s="4" t="s">
        <v>179</v>
      </c>
      <c r="B35">
        <v>1</v>
      </c>
      <c r="M35" s="6" t="s">
        <v>204</v>
      </c>
      <c r="N35" s="1">
        <v>1</v>
      </c>
    </row>
    <row r="36" spans="1:14" x14ac:dyDescent="0.25">
      <c r="A36" s="4" t="s">
        <v>154</v>
      </c>
      <c r="B36">
        <v>1</v>
      </c>
      <c r="M36" s="6" t="s">
        <v>104</v>
      </c>
      <c r="N36" s="1">
        <v>1</v>
      </c>
    </row>
    <row r="37" spans="1:14" x14ac:dyDescent="0.25">
      <c r="A37" s="4" t="s">
        <v>87</v>
      </c>
      <c r="B37">
        <v>1</v>
      </c>
      <c r="M37" s="6" t="s">
        <v>142</v>
      </c>
      <c r="N37" s="1">
        <v>1</v>
      </c>
    </row>
    <row r="38" spans="1:14" x14ac:dyDescent="0.25">
      <c r="A38" s="4" t="s">
        <v>123</v>
      </c>
      <c r="B38">
        <v>1</v>
      </c>
      <c r="M38" s="6" t="s">
        <v>145</v>
      </c>
      <c r="N38" s="1">
        <v>1</v>
      </c>
    </row>
    <row r="39" spans="1:14" x14ac:dyDescent="0.25">
      <c r="A39" s="4" t="s">
        <v>252</v>
      </c>
      <c r="B39">
        <v>1</v>
      </c>
      <c r="M39" s="6" t="s">
        <v>256</v>
      </c>
      <c r="N39" s="1">
        <v>1</v>
      </c>
    </row>
    <row r="40" spans="1:14" x14ac:dyDescent="0.25">
      <c r="A40" s="4" t="s">
        <v>168</v>
      </c>
      <c r="B40">
        <v>1</v>
      </c>
      <c r="M40" s="6" t="s">
        <v>218</v>
      </c>
      <c r="N40" s="1">
        <v>1</v>
      </c>
    </row>
    <row r="41" spans="1:14" x14ac:dyDescent="0.25">
      <c r="A41" s="4" t="s">
        <v>226</v>
      </c>
      <c r="B41">
        <v>1</v>
      </c>
      <c r="M41" s="6" t="s">
        <v>227</v>
      </c>
      <c r="N41" s="1">
        <v>1</v>
      </c>
    </row>
    <row r="42" spans="1:14" x14ac:dyDescent="0.25">
      <c r="A42" s="4" t="s">
        <v>257</v>
      </c>
      <c r="B42">
        <v>1</v>
      </c>
      <c r="M42" s="6" t="s">
        <v>241</v>
      </c>
      <c r="N42" s="1">
        <v>1</v>
      </c>
    </row>
    <row r="43" spans="1:14" x14ac:dyDescent="0.25">
      <c r="A43" s="4" t="s">
        <v>133</v>
      </c>
      <c r="B43">
        <v>1</v>
      </c>
      <c r="M43" s="6" t="s">
        <v>124</v>
      </c>
      <c r="N43" s="1">
        <v>2</v>
      </c>
    </row>
    <row r="44" spans="1:14" x14ac:dyDescent="0.25">
      <c r="A44" s="4" t="s">
        <v>201</v>
      </c>
      <c r="B44">
        <v>1</v>
      </c>
      <c r="M44" s="6" t="s">
        <v>235</v>
      </c>
      <c r="N44" s="1">
        <v>2</v>
      </c>
    </row>
    <row r="45" spans="1:14" x14ac:dyDescent="0.25">
      <c r="A45" s="4" t="s">
        <v>232</v>
      </c>
      <c r="B45">
        <v>1</v>
      </c>
      <c r="M45" s="6" t="s">
        <v>166</v>
      </c>
      <c r="N45" s="1">
        <v>2</v>
      </c>
    </row>
    <row r="46" spans="1:14" x14ac:dyDescent="0.25">
      <c r="A46" s="4" t="s">
        <v>195</v>
      </c>
      <c r="B46">
        <v>1</v>
      </c>
      <c r="M46" s="6" t="s">
        <v>221</v>
      </c>
      <c r="N46" s="1">
        <v>2</v>
      </c>
    </row>
    <row r="47" spans="1:14" x14ac:dyDescent="0.25">
      <c r="A47" s="4" t="s">
        <v>141</v>
      </c>
      <c r="B47">
        <v>1</v>
      </c>
      <c r="M47" s="6" t="s">
        <v>70</v>
      </c>
      <c r="N47" s="1">
        <v>2</v>
      </c>
    </row>
    <row r="48" spans="1:14" x14ac:dyDescent="0.25">
      <c r="A48" s="4" t="s">
        <v>184</v>
      </c>
      <c r="B48">
        <v>1</v>
      </c>
      <c r="M48" s="6" t="s">
        <v>206</v>
      </c>
      <c r="N48" s="1">
        <v>2</v>
      </c>
    </row>
    <row r="49" spans="1:14" x14ac:dyDescent="0.25">
      <c r="A49" s="4" t="s">
        <v>187</v>
      </c>
      <c r="B49">
        <v>2</v>
      </c>
      <c r="M49" s="6" t="s">
        <v>180</v>
      </c>
      <c r="N49" s="1">
        <v>2</v>
      </c>
    </row>
    <row r="50" spans="1:14" x14ac:dyDescent="0.25">
      <c r="A50" s="4" t="s">
        <v>203</v>
      </c>
      <c r="B50">
        <v>2</v>
      </c>
      <c r="M50" s="6" t="s">
        <v>237</v>
      </c>
      <c r="N50" s="1">
        <v>3</v>
      </c>
    </row>
    <row r="51" spans="1:14" x14ac:dyDescent="0.25">
      <c r="A51" s="4" t="s">
        <v>205</v>
      </c>
      <c r="B51">
        <v>2</v>
      </c>
      <c r="M51" s="6" t="s">
        <v>136</v>
      </c>
      <c r="N51" s="1">
        <v>3</v>
      </c>
    </row>
    <row r="52" spans="1:14" x14ac:dyDescent="0.25">
      <c r="A52" s="4" t="s">
        <v>85</v>
      </c>
      <c r="B52">
        <v>2</v>
      </c>
      <c r="M52" s="6" t="s">
        <v>138</v>
      </c>
      <c r="N52" s="1">
        <v>3</v>
      </c>
    </row>
    <row r="53" spans="1:14" x14ac:dyDescent="0.25">
      <c r="A53" s="4" t="s">
        <v>69</v>
      </c>
      <c r="B53">
        <v>2</v>
      </c>
      <c r="M53" s="6" t="s">
        <v>86</v>
      </c>
      <c r="N53" s="1">
        <v>3</v>
      </c>
    </row>
    <row r="54" spans="1:14" x14ac:dyDescent="0.25">
      <c r="A54" s="4" t="s">
        <v>234</v>
      </c>
      <c r="B54">
        <v>2</v>
      </c>
      <c r="M54" s="6" t="s">
        <v>127</v>
      </c>
      <c r="N54" s="1">
        <v>4</v>
      </c>
    </row>
    <row r="55" spans="1:14" x14ac:dyDescent="0.25">
      <c r="A55" s="4" t="s">
        <v>220</v>
      </c>
      <c r="B55">
        <v>2</v>
      </c>
      <c r="M55" s="6" t="s">
        <v>92</v>
      </c>
      <c r="N55" s="1">
        <v>8</v>
      </c>
    </row>
    <row r="56" spans="1:14" x14ac:dyDescent="0.25">
      <c r="A56" s="4" t="s">
        <v>135</v>
      </c>
      <c r="B56">
        <v>3</v>
      </c>
      <c r="M56" s="6" t="s">
        <v>114</v>
      </c>
      <c r="N56" s="1">
        <v>8</v>
      </c>
    </row>
    <row r="57" spans="1:14" x14ac:dyDescent="0.25">
      <c r="A57" s="4" t="s">
        <v>236</v>
      </c>
      <c r="B57">
        <v>3</v>
      </c>
      <c r="M57" s="6" t="s">
        <v>110</v>
      </c>
      <c r="N57" s="1">
        <v>12</v>
      </c>
    </row>
    <row r="58" spans="1:14" x14ac:dyDescent="0.25">
      <c r="A58" s="4" t="s">
        <v>137</v>
      </c>
      <c r="B58">
        <v>3</v>
      </c>
      <c r="M58" s="6" t="s">
        <v>78</v>
      </c>
      <c r="N58" s="1">
        <v>13</v>
      </c>
    </row>
    <row r="59" spans="1:14" x14ac:dyDescent="0.25">
      <c r="A59" s="4" t="s">
        <v>126</v>
      </c>
      <c r="B59">
        <v>4</v>
      </c>
      <c r="M59" s="6" t="s">
        <v>81</v>
      </c>
      <c r="N59" s="1">
        <v>16</v>
      </c>
    </row>
    <row r="60" spans="1:14" x14ac:dyDescent="0.25">
      <c r="A60" s="4" t="s">
        <v>113</v>
      </c>
      <c r="B60">
        <v>8</v>
      </c>
      <c r="M60" s="6" t="s">
        <v>118</v>
      </c>
      <c r="N60" s="1">
        <v>26</v>
      </c>
    </row>
    <row r="61" spans="1:14" x14ac:dyDescent="0.25">
      <c r="A61" s="4" t="s">
        <v>91</v>
      </c>
      <c r="B61">
        <v>10</v>
      </c>
      <c r="M61"/>
      <c r="N61"/>
    </row>
    <row r="62" spans="1:14" x14ac:dyDescent="0.25">
      <c r="A62" s="4" t="s">
        <v>109</v>
      </c>
      <c r="B62">
        <v>12</v>
      </c>
      <c r="M62"/>
      <c r="N62"/>
    </row>
    <row r="63" spans="1:14" x14ac:dyDescent="0.25">
      <c r="A63" s="4" t="s">
        <v>77</v>
      </c>
      <c r="B63">
        <v>14</v>
      </c>
      <c r="M63"/>
      <c r="N63"/>
    </row>
    <row r="64" spans="1:14" x14ac:dyDescent="0.25">
      <c r="A64" s="4" t="s">
        <v>80</v>
      </c>
      <c r="B64">
        <v>16</v>
      </c>
      <c r="M64"/>
      <c r="N64"/>
    </row>
    <row r="65" spans="1:14" x14ac:dyDescent="0.25">
      <c r="A65" s="4" t="s">
        <v>117</v>
      </c>
      <c r="B65">
        <v>26</v>
      </c>
      <c r="M65"/>
      <c r="N65"/>
    </row>
    <row r="66" spans="1:14" x14ac:dyDescent="0.25">
      <c r="A66"/>
      <c r="B66"/>
      <c r="M66"/>
      <c r="N66"/>
    </row>
    <row r="67" spans="1:14" x14ac:dyDescent="0.25">
      <c r="A67"/>
      <c r="B67"/>
      <c r="M67"/>
      <c r="N67"/>
    </row>
    <row r="68" spans="1:14" x14ac:dyDescent="0.25">
      <c r="A68"/>
      <c r="B68"/>
      <c r="M68"/>
      <c r="N68"/>
    </row>
    <row r="69" spans="1:14" x14ac:dyDescent="0.25">
      <c r="A69"/>
      <c r="B69"/>
      <c r="M69"/>
      <c r="N69"/>
    </row>
    <row r="70" spans="1:14" x14ac:dyDescent="0.25">
      <c r="A70"/>
      <c r="B70"/>
      <c r="M70"/>
      <c r="N70"/>
    </row>
    <row r="71" spans="1:14" x14ac:dyDescent="0.25">
      <c r="A71"/>
      <c r="B71"/>
      <c r="M71"/>
      <c r="N71"/>
    </row>
    <row r="72" spans="1:14" x14ac:dyDescent="0.25">
      <c r="A72"/>
      <c r="B72"/>
    </row>
    <row r="73" spans="1:14" x14ac:dyDescent="0.25">
      <c r="A73"/>
      <c r="B73"/>
    </row>
    <row r="74" spans="1:14" x14ac:dyDescent="0.25">
      <c r="A74"/>
      <c r="B74"/>
    </row>
    <row r="75" spans="1:14" x14ac:dyDescent="0.25">
      <c r="A75"/>
      <c r="B75"/>
    </row>
    <row r="76" spans="1:14" x14ac:dyDescent="0.25">
      <c r="A76"/>
      <c r="B76"/>
    </row>
    <row r="77" spans="1:14" x14ac:dyDescent="0.25">
      <c r="A77"/>
      <c r="B77"/>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Refresh_Publisher_Data">
                <anchor moveWithCells="1">
                  <from>
                    <xdr:col>3</xdr:col>
                    <xdr:colOff>9525</xdr:colOff>
                    <xdr:row>0</xdr:row>
                    <xdr:rowOff>200025</xdr:rowOff>
                  </from>
                  <to>
                    <xdr:col>4</xdr:col>
                    <xdr:colOff>314325</xdr:colOff>
                    <xdr:row>2</xdr:row>
                    <xdr:rowOff>0</xdr:rowOff>
                  </to>
                </anchor>
              </controlPr>
            </control>
          </mc:Choice>
        </mc:AlternateContent>
        <mc:AlternateContent xmlns:mc="http://schemas.openxmlformats.org/markup-compatibility/2006">
          <mc:Choice Requires="x14">
            <control shapeId="15362" r:id="rId7" name="Button 2">
              <controlPr defaultSize="0" print="0" autoFill="0" autoPict="0" macro="[0]!PubRE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5363" r:id="rId8" name="Button 3">
              <controlPr defaultSize="0" print="0" autoFill="0" autoPict="0" macro="[0]!PubRE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5365" r:id="rId9" name="Button 5">
              <controlPr defaultSize="0" print="0" autoFill="0" autoPict="0" macro="[0]!PubN_ChartUp">
                <anchor moveWithCells="1">
                  <from>
                    <xdr:col>14</xdr:col>
                    <xdr:colOff>466725</xdr:colOff>
                    <xdr:row>4</xdr:row>
                    <xdr:rowOff>0</xdr:rowOff>
                  </from>
                  <to>
                    <xdr:col>15</xdr:col>
                    <xdr:colOff>0</xdr:colOff>
                    <xdr:row>5</xdr:row>
                    <xdr:rowOff>47625</xdr:rowOff>
                  </to>
                </anchor>
              </controlPr>
            </control>
          </mc:Choice>
        </mc:AlternateContent>
        <mc:AlternateContent xmlns:mc="http://schemas.openxmlformats.org/markup-compatibility/2006">
          <mc:Choice Requires="x14">
            <control shapeId="15366" r:id="rId10" name="Button 6">
              <controlPr defaultSize="0" print="0" autoFill="0" autoPict="0" macro="[0]!PubN_ChartDown">
                <anchor moveWithCells="1">
                  <from>
                    <xdr:col>14</xdr:col>
                    <xdr:colOff>466725</xdr:colOff>
                    <xdr:row>6</xdr:row>
                    <xdr:rowOff>0</xdr:rowOff>
                  </from>
                  <to>
                    <xdr:col>15</xdr:col>
                    <xdr:colOff>0</xdr:colOff>
                    <xdr:row>7</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4472C4"/>
  </sheetPr>
  <dimension ref="A1:AA500"/>
  <sheetViews>
    <sheetView zoomScaleNormal="100" workbookViewId="0">
      <selection activeCell="Q14" sqref="Q14"/>
    </sheetView>
  </sheetViews>
  <sheetFormatPr defaultRowHeight="15" x14ac:dyDescent="0.25"/>
  <cols>
    <col min="1" max="1" width="12.140625" style="1" bestFit="1" customWidth="1"/>
    <col min="2" max="2" width="7.140625" style="1" bestFit="1" customWidth="1"/>
    <col min="3" max="3" width="20.7109375" style="1" customWidth="1"/>
    <col min="4" max="4" width="9.140625" style="1" customWidth="1"/>
    <col min="5" max="12" width="9.140625" style="1"/>
    <col min="13" max="13" width="13.7109375" style="6" hidden="1" customWidth="1"/>
    <col min="14" max="14" width="18" style="1" hidden="1" customWidth="1"/>
    <col min="15" max="15" width="14" style="1" hidden="1" customWidth="1"/>
    <col min="16" max="16" width="9.140625" style="1" customWidth="1"/>
    <col min="17" max="17" width="10.7109375" style="13" bestFit="1" customWidth="1"/>
    <col min="18" max="18" width="7.140625" style="1" bestFit="1" customWidth="1"/>
    <col min="19" max="19" width="20.7109375" style="1" customWidth="1"/>
    <col min="20" max="16384" width="9.140625" style="1"/>
  </cols>
  <sheetData>
    <row r="1" spans="1:27" ht="20.100000000000001" customHeight="1" x14ac:dyDescent="0.25">
      <c r="A1" s="2" t="s">
        <v>273</v>
      </c>
      <c r="B1" s="1" t="s">
        <v>270</v>
      </c>
      <c r="M1" s="68" t="s">
        <v>274</v>
      </c>
      <c r="N1" s="68" t="s">
        <v>275</v>
      </c>
      <c r="O1" s="68" t="s">
        <v>276</v>
      </c>
      <c r="Q1" s="2" t="s">
        <v>277</v>
      </c>
      <c r="R1" s="1" t="s">
        <v>270</v>
      </c>
    </row>
    <row r="2" spans="1:27" ht="15" customHeight="1" x14ac:dyDescent="0.25">
      <c r="A2" s="6">
        <v>2022</v>
      </c>
      <c r="B2" s="1">
        <v>1</v>
      </c>
      <c r="M2" s="8" cm="1">
        <f t="array" ref="M2:M15">Orders[Pub Date (RE)]</f>
        <v>0</v>
      </c>
      <c r="N2" s="3">
        <f>IF(M2=0,1,IFERROR(REPLACE(M2,5,5," ")*1,1))</f>
        <v>1</v>
      </c>
      <c r="O2" s="14" t="s">
        <v>278</v>
      </c>
      <c r="Q2" s="4" t="s">
        <v>279</v>
      </c>
      <c r="R2">
        <v>2</v>
      </c>
      <c r="S2"/>
      <c r="W2" s="7" t="s">
        <v>280</v>
      </c>
      <c r="X2" s="18" t="e">
        <f>O5</f>
        <v>#VALUE!</v>
      </c>
      <c r="Z2" s="7" t="s">
        <v>281</v>
      </c>
      <c r="AA2" s="18" t="e">
        <f>O9</f>
        <v>#VALUE!</v>
      </c>
    </row>
    <row r="3" spans="1:27" ht="15" customHeight="1" x14ac:dyDescent="0.25">
      <c r="A3" s="6">
        <v>2023</v>
      </c>
      <c r="B3" s="1">
        <v>24</v>
      </c>
      <c r="M3" s="6">
        <v>0</v>
      </c>
      <c r="N3" s="3">
        <f t="shared" ref="N3:N66" si="0">IF(M3=0,1,IFERROR(REPLACE(M3,5,5," ")*1,1))</f>
        <v>1</v>
      </c>
      <c r="O3" s="15">
        <f>MIN(N:N)</f>
        <v>1</v>
      </c>
      <c r="Q3" s="4" t="s">
        <v>282</v>
      </c>
      <c r="R3">
        <v>3</v>
      </c>
      <c r="S3"/>
    </row>
    <row r="4" spans="1:27" ht="15" customHeight="1" x14ac:dyDescent="0.25">
      <c r="A4" s="6" t="s">
        <v>251</v>
      </c>
      <c r="B4" s="1">
        <v>1</v>
      </c>
      <c r="M4" s="6">
        <v>0</v>
      </c>
      <c r="N4" s="3">
        <f t="shared" si="0"/>
        <v>1</v>
      </c>
      <c r="O4" s="15" t="str">
        <f>REPLACE(O3,1,3,"")</f>
        <v/>
      </c>
      <c r="Q4" s="4" t="s">
        <v>283</v>
      </c>
      <c r="R4">
        <v>31</v>
      </c>
      <c r="S4"/>
    </row>
    <row r="5" spans="1:27" ht="15" customHeight="1" x14ac:dyDescent="0.25">
      <c r="A5" s="6" t="s">
        <v>246</v>
      </c>
      <c r="B5" s="1">
        <v>1</v>
      </c>
      <c r="M5" s="6">
        <v>0</v>
      </c>
      <c r="N5" s="3">
        <f t="shared" si="0"/>
        <v>1</v>
      </c>
      <c r="O5" s="16" t="e">
        <f>O3-O4</f>
        <v>#VALUE!</v>
      </c>
      <c r="Q5" s="4" t="s">
        <v>284</v>
      </c>
      <c r="R5">
        <v>29</v>
      </c>
      <c r="S5"/>
    </row>
    <row r="6" spans="1:27" ht="15" customHeight="1" x14ac:dyDescent="0.25">
      <c r="A6" s="6" t="s">
        <v>139</v>
      </c>
      <c r="B6" s="1">
        <v>1</v>
      </c>
      <c r="M6" s="6">
        <v>0</v>
      </c>
      <c r="N6" s="3">
        <f t="shared" si="0"/>
        <v>1</v>
      </c>
      <c r="O6" s="17" t="s">
        <v>285</v>
      </c>
      <c r="Q6" s="4" t="s">
        <v>286</v>
      </c>
      <c r="R6">
        <v>32</v>
      </c>
      <c r="S6"/>
    </row>
    <row r="7" spans="1:27" ht="15" customHeight="1" x14ac:dyDescent="0.25">
      <c r="A7" s="6" t="s">
        <v>128</v>
      </c>
      <c r="B7" s="1">
        <v>1</v>
      </c>
      <c r="M7" s="6">
        <v>0</v>
      </c>
      <c r="N7" s="3">
        <f t="shared" si="0"/>
        <v>1</v>
      </c>
      <c r="O7" s="15">
        <f>MAX(N:N)</f>
        <v>1</v>
      </c>
      <c r="Q7" s="4" t="s">
        <v>287</v>
      </c>
      <c r="R7">
        <v>77</v>
      </c>
      <c r="S7"/>
    </row>
    <row r="8" spans="1:27" ht="15" customHeight="1" x14ac:dyDescent="0.25">
      <c r="A8" s="6" t="s">
        <v>194</v>
      </c>
      <c r="B8" s="1">
        <v>4</v>
      </c>
      <c r="M8" s="6">
        <v>0</v>
      </c>
      <c r="N8" s="3">
        <f t="shared" si="0"/>
        <v>1</v>
      </c>
      <c r="O8" s="15" t="e">
        <f>REPLACE(O7,1,3,"")-10</f>
        <v>#VALUE!</v>
      </c>
      <c r="Q8" s="4" t="s">
        <v>288</v>
      </c>
      <c r="R8">
        <v>40</v>
      </c>
      <c r="S8"/>
    </row>
    <row r="9" spans="1:27" ht="15" customHeight="1" x14ac:dyDescent="0.25">
      <c r="A9" s="6" t="s">
        <v>102</v>
      </c>
      <c r="B9" s="1">
        <v>1</v>
      </c>
      <c r="M9" s="6">
        <v>0</v>
      </c>
      <c r="N9" s="3">
        <f t="shared" si="0"/>
        <v>1</v>
      </c>
      <c r="O9" s="16" t="e">
        <f>O7-O8</f>
        <v>#VALUE!</v>
      </c>
      <c r="Q9" s="4" t="s">
        <v>289</v>
      </c>
      <c r="R9">
        <v>121</v>
      </c>
      <c r="S9"/>
    </row>
    <row r="10" spans="1:27" ht="15" customHeight="1" x14ac:dyDescent="0.25">
      <c r="A10" s="6" t="s">
        <v>97</v>
      </c>
      <c r="B10" s="1">
        <v>2</v>
      </c>
      <c r="M10" s="6">
        <v>0</v>
      </c>
      <c r="N10" s="3">
        <f t="shared" si="0"/>
        <v>1</v>
      </c>
      <c r="O10" s="3"/>
      <c r="Q10"/>
      <c r="R10"/>
      <c r="S10"/>
    </row>
    <row r="11" spans="1:27" ht="15" customHeight="1" x14ac:dyDescent="0.25">
      <c r="A11" s="6" t="s">
        <v>116</v>
      </c>
      <c r="B11" s="1">
        <v>13</v>
      </c>
      <c r="M11" s="6">
        <v>0</v>
      </c>
      <c r="N11" s="3">
        <f t="shared" si="0"/>
        <v>1</v>
      </c>
      <c r="O11" s="3"/>
      <c r="Q11"/>
      <c r="R11"/>
      <c r="S11"/>
    </row>
    <row r="12" spans="1:27" ht="15" customHeight="1" x14ac:dyDescent="0.25">
      <c r="A12" s="6" t="s">
        <v>98</v>
      </c>
      <c r="B12" s="1">
        <v>1</v>
      </c>
      <c r="M12" s="6">
        <v>0</v>
      </c>
      <c r="N12" s="3">
        <f t="shared" si="0"/>
        <v>1</v>
      </c>
      <c r="O12" s="3"/>
      <c r="Q12"/>
      <c r="R12"/>
      <c r="S12"/>
    </row>
    <row r="13" spans="1:27" ht="15" customHeight="1" x14ac:dyDescent="0.25">
      <c r="A13" s="6" t="s">
        <v>162</v>
      </c>
      <c r="B13" s="1">
        <v>7</v>
      </c>
      <c r="M13" s="6">
        <v>0</v>
      </c>
      <c r="N13" s="3">
        <f t="shared" si="0"/>
        <v>1</v>
      </c>
      <c r="O13" s="3"/>
      <c r="Q13"/>
      <c r="R13"/>
      <c r="S13"/>
    </row>
    <row r="14" spans="1:27" ht="15" customHeight="1" x14ac:dyDescent="0.25">
      <c r="A14" s="6" t="s">
        <v>105</v>
      </c>
      <c r="B14" s="1">
        <v>1</v>
      </c>
      <c r="M14" s="6">
        <v>0</v>
      </c>
      <c r="N14" s="3">
        <f t="shared" si="0"/>
        <v>1</v>
      </c>
      <c r="O14" s="3"/>
      <c r="Q14"/>
      <c r="R14"/>
      <c r="S14"/>
    </row>
    <row r="15" spans="1:27" ht="15" customHeight="1" x14ac:dyDescent="0.25">
      <c r="A15" s="6" t="s">
        <v>93</v>
      </c>
      <c r="B15" s="1">
        <v>5</v>
      </c>
      <c r="M15" s="6">
        <v>0</v>
      </c>
      <c r="N15" s="3">
        <f t="shared" si="0"/>
        <v>1</v>
      </c>
      <c r="O15" s="3"/>
      <c r="Q15"/>
      <c r="R15"/>
      <c r="S15"/>
    </row>
    <row r="16" spans="1:27" ht="15" customHeight="1" x14ac:dyDescent="0.25">
      <c r="A16" s="6" t="s">
        <v>171</v>
      </c>
      <c r="B16" s="1">
        <v>1</v>
      </c>
      <c r="N16" s="3">
        <f t="shared" si="0"/>
        <v>1</v>
      </c>
      <c r="O16" s="3"/>
      <c r="Q16"/>
      <c r="R16"/>
      <c r="S16"/>
    </row>
    <row r="17" spans="1:19" ht="15" customHeight="1" x14ac:dyDescent="0.25">
      <c r="A17" s="6" t="s">
        <v>242</v>
      </c>
      <c r="B17" s="1">
        <v>1</v>
      </c>
      <c r="N17" s="3">
        <f t="shared" si="0"/>
        <v>1</v>
      </c>
      <c r="O17" s="3"/>
      <c r="Q17"/>
      <c r="R17"/>
      <c r="S17"/>
    </row>
    <row r="18" spans="1:19" ht="15" customHeight="1" x14ac:dyDescent="0.25">
      <c r="A18" s="6" t="s">
        <v>131</v>
      </c>
      <c r="B18" s="1">
        <v>4</v>
      </c>
      <c r="N18" s="3">
        <f t="shared" si="0"/>
        <v>1</v>
      </c>
      <c r="O18" s="3"/>
      <c r="Q18"/>
      <c r="R18"/>
      <c r="S18"/>
    </row>
    <row r="19" spans="1:19" ht="15" customHeight="1" x14ac:dyDescent="0.25">
      <c r="A19" s="6" t="s">
        <v>111</v>
      </c>
      <c r="B19" s="1">
        <v>4</v>
      </c>
      <c r="N19" s="3">
        <f t="shared" si="0"/>
        <v>1</v>
      </c>
      <c r="O19" s="3"/>
      <c r="Q19"/>
      <c r="R19"/>
    </row>
    <row r="20" spans="1:19" ht="15" customHeight="1" x14ac:dyDescent="0.25">
      <c r="A20" s="6" t="s">
        <v>161</v>
      </c>
      <c r="B20" s="1">
        <v>1</v>
      </c>
      <c r="N20" s="3">
        <f t="shared" si="0"/>
        <v>1</v>
      </c>
      <c r="O20" s="3"/>
      <c r="Q20"/>
      <c r="R20"/>
    </row>
    <row r="21" spans="1:19" ht="15" customHeight="1" x14ac:dyDescent="0.25">
      <c r="A21" s="6" t="s">
        <v>112</v>
      </c>
      <c r="B21" s="1">
        <v>7</v>
      </c>
      <c r="N21" s="3">
        <f t="shared" si="0"/>
        <v>1</v>
      </c>
      <c r="O21" s="3"/>
      <c r="Q21"/>
      <c r="R21"/>
    </row>
    <row r="22" spans="1:19" ht="15" customHeight="1" x14ac:dyDescent="0.25">
      <c r="A22" s="6" t="s">
        <v>125</v>
      </c>
      <c r="B22" s="1">
        <v>1</v>
      </c>
      <c r="N22" s="3">
        <f t="shared" si="0"/>
        <v>1</v>
      </c>
      <c r="O22" s="3"/>
      <c r="Q22"/>
      <c r="R22"/>
    </row>
    <row r="23" spans="1:19" ht="15" customHeight="1" x14ac:dyDescent="0.25">
      <c r="A23" s="6" t="s">
        <v>156</v>
      </c>
      <c r="B23" s="1">
        <v>2</v>
      </c>
      <c r="N23" s="3">
        <f t="shared" si="0"/>
        <v>1</v>
      </c>
      <c r="O23" s="3"/>
      <c r="Q23"/>
      <c r="R23"/>
    </row>
    <row r="24" spans="1:19" ht="15" customHeight="1" x14ac:dyDescent="0.25">
      <c r="A24" s="6" t="s">
        <v>169</v>
      </c>
      <c r="B24" s="1">
        <v>2</v>
      </c>
      <c r="N24" s="3">
        <f t="shared" si="0"/>
        <v>1</v>
      </c>
      <c r="O24" s="3"/>
      <c r="Q24"/>
      <c r="R24"/>
    </row>
    <row r="25" spans="1:19" ht="15" customHeight="1" x14ac:dyDescent="0.25">
      <c r="A25" s="6" t="s">
        <v>122</v>
      </c>
      <c r="B25" s="1">
        <v>2</v>
      </c>
      <c r="N25" s="3">
        <f t="shared" si="0"/>
        <v>1</v>
      </c>
      <c r="O25" s="3"/>
      <c r="Q25"/>
      <c r="R25"/>
    </row>
    <row r="26" spans="1:19" ht="15" customHeight="1" x14ac:dyDescent="0.25">
      <c r="A26" s="6" t="s">
        <v>244</v>
      </c>
      <c r="B26" s="1">
        <v>2</v>
      </c>
      <c r="N26" s="3">
        <f t="shared" si="0"/>
        <v>1</v>
      </c>
      <c r="O26" s="3"/>
      <c r="Q26"/>
      <c r="R26"/>
    </row>
    <row r="27" spans="1:19" ht="15" customHeight="1" x14ac:dyDescent="0.25">
      <c r="A27" s="6" t="s">
        <v>190</v>
      </c>
      <c r="B27" s="1">
        <v>1</v>
      </c>
      <c r="N27" s="3">
        <f t="shared" si="0"/>
        <v>1</v>
      </c>
      <c r="O27" s="3"/>
      <c r="Q27"/>
      <c r="R27"/>
    </row>
    <row r="28" spans="1:19" ht="15" customHeight="1" x14ac:dyDescent="0.25">
      <c r="A28" s="6" t="s">
        <v>143</v>
      </c>
      <c r="B28" s="1">
        <v>2</v>
      </c>
      <c r="N28" s="3">
        <f t="shared" si="0"/>
        <v>1</v>
      </c>
      <c r="O28" s="3"/>
      <c r="Q28"/>
      <c r="R28"/>
    </row>
    <row r="29" spans="1:19" ht="15" customHeight="1" x14ac:dyDescent="0.25">
      <c r="A29" s="6" t="s">
        <v>99</v>
      </c>
      <c r="B29" s="1">
        <v>3</v>
      </c>
      <c r="N29" s="3">
        <f t="shared" si="0"/>
        <v>1</v>
      </c>
      <c r="O29" s="3"/>
      <c r="Q29"/>
      <c r="R29"/>
    </row>
    <row r="30" spans="1:19" x14ac:dyDescent="0.25">
      <c r="A30" s="6" t="s">
        <v>108</v>
      </c>
      <c r="B30" s="1">
        <v>4</v>
      </c>
      <c r="N30" s="3">
        <f t="shared" si="0"/>
        <v>1</v>
      </c>
      <c r="O30" s="3"/>
      <c r="Q30"/>
      <c r="R30"/>
    </row>
    <row r="31" spans="1:19" ht="15" customHeight="1" x14ac:dyDescent="0.25">
      <c r="A31" s="6" t="s">
        <v>183</v>
      </c>
      <c r="B31" s="1">
        <v>1</v>
      </c>
      <c r="N31" s="3">
        <f t="shared" si="0"/>
        <v>1</v>
      </c>
      <c r="O31" s="3"/>
      <c r="Q31"/>
      <c r="R31"/>
    </row>
    <row r="32" spans="1:19" x14ac:dyDescent="0.25">
      <c r="A32" s="6" t="s">
        <v>153</v>
      </c>
      <c r="B32" s="1">
        <v>2</v>
      </c>
      <c r="N32" s="3">
        <f t="shared" si="0"/>
        <v>1</v>
      </c>
      <c r="O32" s="3"/>
      <c r="Q32"/>
      <c r="R32"/>
    </row>
    <row r="33" spans="1:18" x14ac:dyDescent="0.25">
      <c r="A33" s="6" t="s">
        <v>197</v>
      </c>
      <c r="B33" s="1">
        <v>2</v>
      </c>
      <c r="N33" s="3">
        <f t="shared" si="0"/>
        <v>1</v>
      </c>
      <c r="O33" s="3"/>
      <c r="Q33"/>
      <c r="R33"/>
    </row>
    <row r="34" spans="1:18" x14ac:dyDescent="0.25">
      <c r="A34" s="6" t="s">
        <v>163</v>
      </c>
      <c r="B34" s="1">
        <v>1</v>
      </c>
      <c r="N34" s="3">
        <f t="shared" si="0"/>
        <v>1</v>
      </c>
      <c r="O34" s="3"/>
      <c r="Q34"/>
      <c r="R34"/>
    </row>
    <row r="35" spans="1:18" x14ac:dyDescent="0.25">
      <c r="A35" s="6" t="s">
        <v>79</v>
      </c>
      <c r="B35" s="1">
        <v>1</v>
      </c>
      <c r="N35" s="3">
        <f t="shared" si="0"/>
        <v>1</v>
      </c>
      <c r="O35" s="3"/>
      <c r="Q35"/>
      <c r="R35"/>
    </row>
    <row r="36" spans="1:18" x14ac:dyDescent="0.25">
      <c r="A36" s="6" t="s">
        <v>140</v>
      </c>
      <c r="B36" s="1">
        <v>2</v>
      </c>
      <c r="N36" s="3">
        <f t="shared" si="0"/>
        <v>1</v>
      </c>
      <c r="O36" s="3"/>
      <c r="Q36"/>
      <c r="R36"/>
    </row>
    <row r="37" spans="1:18" x14ac:dyDescent="0.25">
      <c r="A37" s="6" t="s">
        <v>119</v>
      </c>
      <c r="B37" s="1">
        <v>26</v>
      </c>
      <c r="N37" s="3">
        <f t="shared" si="0"/>
        <v>1</v>
      </c>
      <c r="O37" s="3"/>
      <c r="Q37"/>
      <c r="R37"/>
    </row>
    <row r="38" spans="1:18" x14ac:dyDescent="0.25">
      <c r="A38" s="6" t="s">
        <v>172</v>
      </c>
      <c r="B38" s="1">
        <v>4</v>
      </c>
      <c r="N38" s="3">
        <f t="shared" si="0"/>
        <v>1</v>
      </c>
      <c r="O38" s="3"/>
      <c r="Q38"/>
      <c r="R38"/>
    </row>
    <row r="39" spans="1:18" x14ac:dyDescent="0.25">
      <c r="A39" s="6" t="s">
        <v>177</v>
      </c>
      <c r="B39" s="1">
        <v>2</v>
      </c>
      <c r="N39" s="3">
        <f t="shared" si="0"/>
        <v>1</v>
      </c>
      <c r="O39" s="3"/>
      <c r="Q39"/>
      <c r="R39"/>
    </row>
    <row r="40" spans="1:18" x14ac:dyDescent="0.25">
      <c r="A40" s="6" t="s">
        <v>94</v>
      </c>
      <c r="B40" s="1">
        <v>1</v>
      </c>
      <c r="N40" s="3">
        <f t="shared" si="0"/>
        <v>1</v>
      </c>
      <c r="O40" s="3"/>
      <c r="Q40"/>
      <c r="R40"/>
    </row>
    <row r="41" spans="1:18" x14ac:dyDescent="0.25">
      <c r="A41" s="6" t="s">
        <v>132</v>
      </c>
      <c r="B41" s="1">
        <v>5</v>
      </c>
      <c r="N41" s="3">
        <f t="shared" si="0"/>
        <v>1</v>
      </c>
      <c r="O41" s="3"/>
      <c r="Q41"/>
      <c r="R41"/>
    </row>
    <row r="42" spans="1:18" x14ac:dyDescent="0.25">
      <c r="A42" s="6" t="s">
        <v>182</v>
      </c>
      <c r="B42" s="1">
        <v>1</v>
      </c>
      <c r="N42" s="3">
        <f t="shared" si="0"/>
        <v>1</v>
      </c>
      <c r="O42" s="3"/>
      <c r="Q42"/>
      <c r="R42"/>
    </row>
    <row r="43" spans="1:18" x14ac:dyDescent="0.25">
      <c r="A43" s="6" t="s">
        <v>115</v>
      </c>
      <c r="B43" s="1">
        <v>13</v>
      </c>
      <c r="N43" s="3">
        <f t="shared" si="0"/>
        <v>1</v>
      </c>
      <c r="O43" s="3"/>
      <c r="Q43"/>
      <c r="R43"/>
    </row>
    <row r="44" spans="1:18" x14ac:dyDescent="0.25">
      <c r="A44" s="6" t="s">
        <v>159</v>
      </c>
      <c r="B44" s="1">
        <v>2</v>
      </c>
      <c r="N44" s="3">
        <f t="shared" si="0"/>
        <v>1</v>
      </c>
      <c r="O44" s="3"/>
      <c r="Q44"/>
      <c r="R44"/>
    </row>
    <row r="45" spans="1:18" x14ac:dyDescent="0.25">
      <c r="A45" s="6" t="s">
        <v>71</v>
      </c>
      <c r="B45" s="1">
        <v>5</v>
      </c>
      <c r="N45" s="3">
        <f t="shared" si="0"/>
        <v>1</v>
      </c>
      <c r="O45" s="3"/>
      <c r="Q45"/>
      <c r="R45"/>
    </row>
    <row r="46" spans="1:18" x14ac:dyDescent="0.25">
      <c r="A46" s="6" t="s">
        <v>209</v>
      </c>
      <c r="B46" s="1">
        <v>5</v>
      </c>
      <c r="N46" s="3">
        <f t="shared" si="0"/>
        <v>1</v>
      </c>
      <c r="O46" s="3"/>
      <c r="Q46"/>
      <c r="R46"/>
    </row>
    <row r="47" spans="1:18" x14ac:dyDescent="0.25">
      <c r="A47" s="6" t="s">
        <v>134</v>
      </c>
      <c r="B47" s="1">
        <v>7</v>
      </c>
      <c r="N47" s="3">
        <f t="shared" si="0"/>
        <v>1</v>
      </c>
      <c r="O47" s="3"/>
      <c r="Q47"/>
      <c r="R47"/>
    </row>
    <row r="48" spans="1:18" x14ac:dyDescent="0.25">
      <c r="A48" s="6" t="s">
        <v>173</v>
      </c>
      <c r="B48" s="1">
        <v>4</v>
      </c>
      <c r="N48" s="3">
        <f t="shared" si="0"/>
        <v>1</v>
      </c>
      <c r="O48" s="3"/>
      <c r="Q48"/>
      <c r="R48"/>
    </row>
    <row r="49" spans="1:18" x14ac:dyDescent="0.25">
      <c r="A49" s="6" t="s">
        <v>198</v>
      </c>
      <c r="B49" s="1">
        <v>52</v>
      </c>
      <c r="N49" s="3">
        <f t="shared" si="0"/>
        <v>1</v>
      </c>
      <c r="O49" s="3"/>
      <c r="Q49"/>
      <c r="R49"/>
    </row>
    <row r="50" spans="1:18" x14ac:dyDescent="0.25">
      <c r="A50" s="6" t="s">
        <v>181</v>
      </c>
      <c r="B50" s="1">
        <v>20</v>
      </c>
      <c r="N50" s="3">
        <f t="shared" si="0"/>
        <v>1</v>
      </c>
      <c r="O50" s="3"/>
      <c r="Q50"/>
      <c r="R50"/>
    </row>
    <row r="51" spans="1:18" x14ac:dyDescent="0.25">
      <c r="A51"/>
      <c r="B51"/>
      <c r="N51" s="3">
        <f t="shared" si="0"/>
        <v>1</v>
      </c>
      <c r="O51" s="3"/>
      <c r="Q51"/>
      <c r="R51"/>
    </row>
    <row r="52" spans="1:18" x14ac:dyDescent="0.25">
      <c r="A52"/>
      <c r="B52"/>
      <c r="N52" s="3">
        <f t="shared" si="0"/>
        <v>1</v>
      </c>
      <c r="O52" s="3"/>
      <c r="Q52"/>
      <c r="R52"/>
    </row>
    <row r="53" spans="1:18" x14ac:dyDescent="0.25">
      <c r="A53"/>
      <c r="B53"/>
      <c r="N53" s="3">
        <f t="shared" si="0"/>
        <v>1</v>
      </c>
      <c r="O53" s="3"/>
      <c r="Q53"/>
      <c r="R53"/>
    </row>
    <row r="54" spans="1:18" x14ac:dyDescent="0.25">
      <c r="A54"/>
      <c r="B54"/>
      <c r="N54" s="3">
        <f t="shared" si="0"/>
        <v>1</v>
      </c>
      <c r="O54" s="3"/>
      <c r="Q54"/>
      <c r="R54"/>
    </row>
    <row r="55" spans="1:18" x14ac:dyDescent="0.25">
      <c r="A55"/>
      <c r="B55"/>
      <c r="N55" s="3">
        <f t="shared" si="0"/>
        <v>1</v>
      </c>
      <c r="O55" s="3"/>
      <c r="Q55"/>
      <c r="R55"/>
    </row>
    <row r="56" spans="1:18" x14ac:dyDescent="0.25">
      <c r="A56"/>
      <c r="B56"/>
      <c r="N56" s="3">
        <f t="shared" si="0"/>
        <v>1</v>
      </c>
      <c r="O56" s="3"/>
    </row>
    <row r="57" spans="1:18" x14ac:dyDescent="0.25">
      <c r="A57"/>
      <c r="B57"/>
      <c r="N57" s="3">
        <f t="shared" si="0"/>
        <v>1</v>
      </c>
      <c r="O57" s="3"/>
    </row>
    <row r="58" spans="1:18" x14ac:dyDescent="0.25">
      <c r="A58"/>
      <c r="B58"/>
      <c r="N58" s="3">
        <f t="shared" si="0"/>
        <v>1</v>
      </c>
      <c r="O58" s="3"/>
    </row>
    <row r="59" spans="1:18" x14ac:dyDescent="0.25">
      <c r="A59"/>
      <c r="B59"/>
      <c r="N59" s="3">
        <f t="shared" si="0"/>
        <v>1</v>
      </c>
      <c r="O59" s="3"/>
    </row>
    <row r="60" spans="1:18" x14ac:dyDescent="0.25">
      <c r="A60"/>
      <c r="B60"/>
      <c r="N60" s="3">
        <f t="shared" si="0"/>
        <v>1</v>
      </c>
      <c r="O60" s="3"/>
    </row>
    <row r="61" spans="1:18" x14ac:dyDescent="0.25">
      <c r="A61"/>
      <c r="B61"/>
      <c r="N61" s="3">
        <f t="shared" si="0"/>
        <v>1</v>
      </c>
      <c r="O61" s="3"/>
    </row>
    <row r="62" spans="1:18" x14ac:dyDescent="0.25">
      <c r="A62"/>
      <c r="B62"/>
      <c r="N62" s="3">
        <f t="shared" si="0"/>
        <v>1</v>
      </c>
      <c r="O62" s="3"/>
    </row>
    <row r="63" spans="1:18" x14ac:dyDescent="0.25">
      <c r="A63"/>
      <c r="B63"/>
      <c r="N63" s="3">
        <f t="shared" si="0"/>
        <v>1</v>
      </c>
      <c r="O63" s="3"/>
    </row>
    <row r="64" spans="1:18" x14ac:dyDescent="0.25">
      <c r="A64"/>
      <c r="B64"/>
      <c r="N64" s="3">
        <f t="shared" si="0"/>
        <v>1</v>
      </c>
      <c r="O64" s="3"/>
    </row>
    <row r="65" spans="1:15" x14ac:dyDescent="0.25">
      <c r="A65"/>
      <c r="B65"/>
      <c r="N65" s="3">
        <f t="shared" si="0"/>
        <v>1</v>
      </c>
      <c r="O65" s="3"/>
    </row>
    <row r="66" spans="1:15" x14ac:dyDescent="0.25">
      <c r="A66"/>
      <c r="B66"/>
      <c r="N66" s="3">
        <f t="shared" si="0"/>
        <v>1</v>
      </c>
      <c r="O66" s="3"/>
    </row>
    <row r="67" spans="1:15" x14ac:dyDescent="0.25">
      <c r="N67" s="3">
        <f t="shared" ref="N67:N130" si="1">IF(M67=0,1,IFERROR(REPLACE(M67,5,5," ")*1,1))</f>
        <v>1</v>
      </c>
      <c r="O67" s="3"/>
    </row>
    <row r="68" spans="1:15" x14ac:dyDescent="0.25">
      <c r="N68" s="3">
        <f t="shared" si="1"/>
        <v>1</v>
      </c>
      <c r="O68" s="3"/>
    </row>
    <row r="69" spans="1:15" x14ac:dyDescent="0.25">
      <c r="N69" s="3">
        <f t="shared" si="1"/>
        <v>1</v>
      </c>
      <c r="O69" s="3"/>
    </row>
    <row r="70" spans="1:15" x14ac:dyDescent="0.25">
      <c r="N70" s="3">
        <f t="shared" si="1"/>
        <v>1</v>
      </c>
      <c r="O70" s="3"/>
    </row>
    <row r="71" spans="1:15" x14ac:dyDescent="0.25">
      <c r="N71" s="3">
        <f t="shared" si="1"/>
        <v>1</v>
      </c>
      <c r="O71" s="3"/>
    </row>
    <row r="72" spans="1:15" x14ac:dyDescent="0.25">
      <c r="N72" s="3">
        <f t="shared" si="1"/>
        <v>1</v>
      </c>
      <c r="O72" s="3"/>
    </row>
    <row r="73" spans="1:15" x14ac:dyDescent="0.25">
      <c r="N73" s="3">
        <f t="shared" si="1"/>
        <v>1</v>
      </c>
      <c r="O73" s="3"/>
    </row>
    <row r="74" spans="1:15" x14ac:dyDescent="0.25">
      <c r="N74" s="3">
        <f t="shared" si="1"/>
        <v>1</v>
      </c>
      <c r="O74" s="3"/>
    </row>
    <row r="75" spans="1:15" x14ac:dyDescent="0.25">
      <c r="N75" s="3">
        <f t="shared" si="1"/>
        <v>1</v>
      </c>
      <c r="O75" s="3"/>
    </row>
    <row r="76" spans="1:15" x14ac:dyDescent="0.25">
      <c r="N76" s="3">
        <f t="shared" si="1"/>
        <v>1</v>
      </c>
      <c r="O76" s="3"/>
    </row>
    <row r="77" spans="1:15" x14ac:dyDescent="0.25">
      <c r="N77" s="3">
        <f t="shared" si="1"/>
        <v>1</v>
      </c>
      <c r="O77" s="3"/>
    </row>
    <row r="78" spans="1:15" x14ac:dyDescent="0.25">
      <c r="N78" s="3">
        <f t="shared" si="1"/>
        <v>1</v>
      </c>
      <c r="O78" s="3"/>
    </row>
    <row r="79" spans="1:15" x14ac:dyDescent="0.25">
      <c r="N79" s="3">
        <f t="shared" si="1"/>
        <v>1</v>
      </c>
      <c r="O79" s="3"/>
    </row>
    <row r="80" spans="1:15" x14ac:dyDescent="0.25">
      <c r="N80" s="3">
        <f t="shared" si="1"/>
        <v>1</v>
      </c>
      <c r="O80" s="3"/>
    </row>
    <row r="81" spans="14:15" x14ac:dyDescent="0.25">
      <c r="N81" s="3">
        <f t="shared" si="1"/>
        <v>1</v>
      </c>
      <c r="O81" s="3"/>
    </row>
    <row r="82" spans="14:15" x14ac:dyDescent="0.25">
      <c r="N82" s="3">
        <f t="shared" si="1"/>
        <v>1</v>
      </c>
      <c r="O82" s="3"/>
    </row>
    <row r="83" spans="14:15" x14ac:dyDescent="0.25">
      <c r="N83" s="3">
        <f t="shared" si="1"/>
        <v>1</v>
      </c>
      <c r="O83" s="3"/>
    </row>
    <row r="84" spans="14:15" x14ac:dyDescent="0.25">
      <c r="N84" s="3">
        <f t="shared" si="1"/>
        <v>1</v>
      </c>
      <c r="O84" s="3"/>
    </row>
    <row r="85" spans="14:15" x14ac:dyDescent="0.25">
      <c r="N85" s="3">
        <f t="shared" si="1"/>
        <v>1</v>
      </c>
      <c r="O85" s="3"/>
    </row>
    <row r="86" spans="14:15" x14ac:dyDescent="0.25">
      <c r="N86" s="3">
        <f t="shared" si="1"/>
        <v>1</v>
      </c>
      <c r="O86" s="3"/>
    </row>
    <row r="87" spans="14:15" x14ac:dyDescent="0.25">
      <c r="N87" s="3">
        <f t="shared" si="1"/>
        <v>1</v>
      </c>
      <c r="O87" s="3"/>
    </row>
    <row r="88" spans="14:15" x14ac:dyDescent="0.25">
      <c r="N88" s="3">
        <f t="shared" si="1"/>
        <v>1</v>
      </c>
      <c r="O88" s="3"/>
    </row>
    <row r="89" spans="14:15" x14ac:dyDescent="0.25">
      <c r="N89" s="3">
        <f t="shared" si="1"/>
        <v>1</v>
      </c>
      <c r="O89" s="3"/>
    </row>
    <row r="90" spans="14:15" x14ac:dyDescent="0.25">
      <c r="N90" s="3">
        <f t="shared" si="1"/>
        <v>1</v>
      </c>
      <c r="O90" s="3"/>
    </row>
    <row r="91" spans="14:15" x14ac:dyDescent="0.25">
      <c r="N91" s="3">
        <f t="shared" si="1"/>
        <v>1</v>
      </c>
      <c r="O91" s="3"/>
    </row>
    <row r="92" spans="14:15" x14ac:dyDescent="0.25">
      <c r="N92" s="3">
        <f t="shared" si="1"/>
        <v>1</v>
      </c>
      <c r="O92" s="3"/>
    </row>
    <row r="93" spans="14:15" x14ac:dyDescent="0.25">
      <c r="N93" s="3">
        <f t="shared" si="1"/>
        <v>1</v>
      </c>
      <c r="O93" s="3"/>
    </row>
    <row r="94" spans="14:15" x14ac:dyDescent="0.25">
      <c r="N94" s="3">
        <f t="shared" si="1"/>
        <v>1</v>
      </c>
      <c r="O94" s="3"/>
    </row>
    <row r="95" spans="14:15" x14ac:dyDescent="0.25">
      <c r="N95" s="3">
        <f t="shared" si="1"/>
        <v>1</v>
      </c>
      <c r="O95" s="3"/>
    </row>
    <row r="96" spans="14:15" x14ac:dyDescent="0.25">
      <c r="N96" s="3">
        <f t="shared" si="1"/>
        <v>1</v>
      </c>
      <c r="O96" s="3"/>
    </row>
    <row r="97" spans="14:15" x14ac:dyDescent="0.25">
      <c r="N97" s="3">
        <f t="shared" si="1"/>
        <v>1</v>
      </c>
      <c r="O97" s="3"/>
    </row>
    <row r="98" spans="14:15" x14ac:dyDescent="0.25">
      <c r="N98" s="3">
        <f t="shared" si="1"/>
        <v>1</v>
      </c>
      <c r="O98" s="3"/>
    </row>
    <row r="99" spans="14:15" x14ac:dyDescent="0.25">
      <c r="N99" s="3">
        <f t="shared" si="1"/>
        <v>1</v>
      </c>
      <c r="O99" s="3"/>
    </row>
    <row r="100" spans="14:15" x14ac:dyDescent="0.25">
      <c r="N100" s="3">
        <f t="shared" si="1"/>
        <v>1</v>
      </c>
      <c r="O100" s="3"/>
    </row>
    <row r="101" spans="14:15" x14ac:dyDescent="0.25">
      <c r="N101" s="3">
        <f t="shared" si="1"/>
        <v>1</v>
      </c>
      <c r="O101" s="3"/>
    </row>
    <row r="102" spans="14:15" x14ac:dyDescent="0.25">
      <c r="N102" s="3">
        <f t="shared" si="1"/>
        <v>1</v>
      </c>
      <c r="O102" s="3"/>
    </row>
    <row r="103" spans="14:15" x14ac:dyDescent="0.25">
      <c r="N103" s="3">
        <f t="shared" si="1"/>
        <v>1</v>
      </c>
      <c r="O103" s="3"/>
    </row>
    <row r="104" spans="14:15" x14ac:dyDescent="0.25">
      <c r="N104" s="3">
        <f t="shared" si="1"/>
        <v>1</v>
      </c>
      <c r="O104" s="3"/>
    </row>
    <row r="105" spans="14:15" x14ac:dyDescent="0.25">
      <c r="N105" s="3">
        <f t="shared" si="1"/>
        <v>1</v>
      </c>
      <c r="O105" s="3"/>
    </row>
    <row r="106" spans="14:15" x14ac:dyDescent="0.25">
      <c r="N106" s="3">
        <f t="shared" si="1"/>
        <v>1</v>
      </c>
      <c r="O106" s="3"/>
    </row>
    <row r="107" spans="14:15" x14ac:dyDescent="0.25">
      <c r="N107" s="3">
        <f t="shared" si="1"/>
        <v>1</v>
      </c>
      <c r="O107" s="3"/>
    </row>
    <row r="108" spans="14:15" x14ac:dyDescent="0.25">
      <c r="N108" s="3">
        <f t="shared" si="1"/>
        <v>1</v>
      </c>
      <c r="O108" s="3"/>
    </row>
    <row r="109" spans="14:15" x14ac:dyDescent="0.25">
      <c r="N109" s="3">
        <f t="shared" si="1"/>
        <v>1</v>
      </c>
      <c r="O109" s="3"/>
    </row>
    <row r="110" spans="14:15" x14ac:dyDescent="0.25">
      <c r="N110" s="3">
        <f t="shared" si="1"/>
        <v>1</v>
      </c>
      <c r="O110" s="3"/>
    </row>
    <row r="111" spans="14:15" x14ac:dyDescent="0.25">
      <c r="N111" s="3">
        <f t="shared" si="1"/>
        <v>1</v>
      </c>
      <c r="O111" s="3"/>
    </row>
    <row r="112" spans="14:15" x14ac:dyDescent="0.25">
      <c r="N112" s="3">
        <f t="shared" si="1"/>
        <v>1</v>
      </c>
      <c r="O112" s="3"/>
    </row>
    <row r="113" spans="14:15" x14ac:dyDescent="0.25">
      <c r="N113" s="3">
        <f t="shared" si="1"/>
        <v>1</v>
      </c>
      <c r="O113" s="3"/>
    </row>
    <row r="114" spans="14:15" x14ac:dyDescent="0.25">
      <c r="N114" s="3">
        <f t="shared" si="1"/>
        <v>1</v>
      </c>
      <c r="O114" s="3"/>
    </row>
    <row r="115" spans="14:15" x14ac:dyDescent="0.25">
      <c r="N115" s="3">
        <f t="shared" si="1"/>
        <v>1</v>
      </c>
      <c r="O115" s="3"/>
    </row>
    <row r="116" spans="14:15" x14ac:dyDescent="0.25">
      <c r="N116" s="3">
        <f t="shared" si="1"/>
        <v>1</v>
      </c>
      <c r="O116" s="3"/>
    </row>
    <row r="117" spans="14:15" x14ac:dyDescent="0.25">
      <c r="N117" s="3">
        <f t="shared" si="1"/>
        <v>1</v>
      </c>
      <c r="O117" s="3"/>
    </row>
    <row r="118" spans="14:15" x14ac:dyDescent="0.25">
      <c r="N118" s="3">
        <f t="shared" si="1"/>
        <v>1</v>
      </c>
      <c r="O118" s="3"/>
    </row>
    <row r="119" spans="14:15" x14ac:dyDescent="0.25">
      <c r="N119" s="3">
        <f t="shared" si="1"/>
        <v>1</v>
      </c>
      <c r="O119" s="3"/>
    </row>
    <row r="120" spans="14:15" x14ac:dyDescent="0.25">
      <c r="N120" s="3">
        <f t="shared" si="1"/>
        <v>1</v>
      </c>
      <c r="O120" s="3"/>
    </row>
    <row r="121" spans="14:15" x14ac:dyDescent="0.25">
      <c r="N121" s="3">
        <f t="shared" si="1"/>
        <v>1</v>
      </c>
      <c r="O121" s="3"/>
    </row>
    <row r="122" spans="14:15" x14ac:dyDescent="0.25">
      <c r="N122" s="3">
        <f t="shared" si="1"/>
        <v>1</v>
      </c>
      <c r="O122" s="3"/>
    </row>
    <row r="123" spans="14:15" x14ac:dyDescent="0.25">
      <c r="N123" s="3">
        <f t="shared" si="1"/>
        <v>1</v>
      </c>
      <c r="O123" s="3"/>
    </row>
    <row r="124" spans="14:15" x14ac:dyDescent="0.25">
      <c r="N124" s="3">
        <f t="shared" si="1"/>
        <v>1</v>
      </c>
      <c r="O124" s="3"/>
    </row>
    <row r="125" spans="14:15" x14ac:dyDescent="0.25">
      <c r="N125" s="3">
        <f t="shared" si="1"/>
        <v>1</v>
      </c>
      <c r="O125" s="3"/>
    </row>
    <row r="126" spans="14:15" x14ac:dyDescent="0.25">
      <c r="N126" s="3">
        <f t="shared" si="1"/>
        <v>1</v>
      </c>
      <c r="O126" s="3"/>
    </row>
    <row r="127" spans="14:15" x14ac:dyDescent="0.25">
      <c r="N127" s="3">
        <f t="shared" si="1"/>
        <v>1</v>
      </c>
      <c r="O127" s="3"/>
    </row>
    <row r="128" spans="14:15" x14ac:dyDescent="0.25">
      <c r="N128" s="3">
        <f t="shared" si="1"/>
        <v>1</v>
      </c>
      <c r="O128" s="3"/>
    </row>
    <row r="129" spans="14:15" x14ac:dyDescent="0.25">
      <c r="N129" s="3">
        <f t="shared" si="1"/>
        <v>1</v>
      </c>
      <c r="O129" s="3"/>
    </row>
    <row r="130" spans="14:15" x14ac:dyDescent="0.25">
      <c r="N130" s="3">
        <f t="shared" si="1"/>
        <v>1</v>
      </c>
      <c r="O130" s="3"/>
    </row>
    <row r="131" spans="14:15" x14ac:dyDescent="0.25">
      <c r="N131" s="3">
        <f t="shared" ref="N131:N194" si="2">IF(M131=0,1,IFERROR(REPLACE(M131,5,5," ")*1,1))</f>
        <v>1</v>
      </c>
      <c r="O131" s="3"/>
    </row>
    <row r="132" spans="14:15" x14ac:dyDescent="0.25">
      <c r="N132" s="3">
        <f t="shared" si="2"/>
        <v>1</v>
      </c>
      <c r="O132" s="3"/>
    </row>
    <row r="133" spans="14:15" x14ac:dyDescent="0.25">
      <c r="N133" s="3">
        <f t="shared" si="2"/>
        <v>1</v>
      </c>
      <c r="O133" s="3"/>
    </row>
    <row r="134" spans="14:15" x14ac:dyDescent="0.25">
      <c r="N134" s="3">
        <f t="shared" si="2"/>
        <v>1</v>
      </c>
      <c r="O134" s="3"/>
    </row>
    <row r="135" spans="14:15" x14ac:dyDescent="0.25">
      <c r="N135" s="3">
        <f t="shared" si="2"/>
        <v>1</v>
      </c>
      <c r="O135" s="3"/>
    </row>
    <row r="136" spans="14:15" x14ac:dyDescent="0.25">
      <c r="N136" s="3">
        <f t="shared" si="2"/>
        <v>1</v>
      </c>
      <c r="O136" s="3"/>
    </row>
    <row r="137" spans="14:15" x14ac:dyDescent="0.25">
      <c r="N137" s="3">
        <f t="shared" si="2"/>
        <v>1</v>
      </c>
      <c r="O137" s="3"/>
    </row>
    <row r="138" spans="14:15" x14ac:dyDescent="0.25">
      <c r="N138" s="3">
        <f t="shared" si="2"/>
        <v>1</v>
      </c>
      <c r="O138" s="3"/>
    </row>
    <row r="139" spans="14:15" x14ac:dyDescent="0.25">
      <c r="N139" s="3">
        <f t="shared" si="2"/>
        <v>1</v>
      </c>
      <c r="O139" s="3"/>
    </row>
    <row r="140" spans="14:15" x14ac:dyDescent="0.25">
      <c r="N140" s="3">
        <f t="shared" si="2"/>
        <v>1</v>
      </c>
      <c r="O140" s="3"/>
    </row>
    <row r="141" spans="14:15" x14ac:dyDescent="0.25">
      <c r="N141" s="3">
        <f t="shared" si="2"/>
        <v>1</v>
      </c>
      <c r="O141" s="3"/>
    </row>
    <row r="142" spans="14:15" x14ac:dyDescent="0.25">
      <c r="N142" s="3">
        <f t="shared" si="2"/>
        <v>1</v>
      </c>
      <c r="O142" s="3"/>
    </row>
    <row r="143" spans="14:15" x14ac:dyDescent="0.25">
      <c r="N143" s="3">
        <f t="shared" si="2"/>
        <v>1</v>
      </c>
      <c r="O143" s="3"/>
    </row>
    <row r="144" spans="14:15" x14ac:dyDescent="0.25">
      <c r="N144" s="3">
        <f t="shared" si="2"/>
        <v>1</v>
      </c>
      <c r="O144" s="3"/>
    </row>
    <row r="145" spans="14:15" x14ac:dyDescent="0.25">
      <c r="N145" s="3">
        <f t="shared" si="2"/>
        <v>1</v>
      </c>
      <c r="O145" s="3"/>
    </row>
    <row r="146" spans="14:15" x14ac:dyDescent="0.25">
      <c r="N146" s="3">
        <f t="shared" si="2"/>
        <v>1</v>
      </c>
      <c r="O146" s="3"/>
    </row>
    <row r="147" spans="14:15" x14ac:dyDescent="0.25">
      <c r="N147" s="3">
        <f t="shared" si="2"/>
        <v>1</v>
      </c>
      <c r="O147" s="3"/>
    </row>
    <row r="148" spans="14:15" x14ac:dyDescent="0.25">
      <c r="N148" s="3">
        <f t="shared" si="2"/>
        <v>1</v>
      </c>
      <c r="O148" s="3"/>
    </row>
    <row r="149" spans="14:15" x14ac:dyDescent="0.25">
      <c r="N149" s="3">
        <f t="shared" si="2"/>
        <v>1</v>
      </c>
      <c r="O149" s="3"/>
    </row>
    <row r="150" spans="14:15" x14ac:dyDescent="0.25">
      <c r="N150" s="3">
        <f t="shared" si="2"/>
        <v>1</v>
      </c>
      <c r="O150" s="3"/>
    </row>
    <row r="151" spans="14:15" x14ac:dyDescent="0.25">
      <c r="N151" s="3">
        <f t="shared" si="2"/>
        <v>1</v>
      </c>
      <c r="O151" s="3"/>
    </row>
    <row r="152" spans="14:15" x14ac:dyDescent="0.25">
      <c r="N152" s="3">
        <f t="shared" si="2"/>
        <v>1</v>
      </c>
      <c r="O152" s="3"/>
    </row>
    <row r="153" spans="14:15" x14ac:dyDescent="0.25">
      <c r="N153" s="3">
        <f t="shared" si="2"/>
        <v>1</v>
      </c>
      <c r="O153" s="3"/>
    </row>
    <row r="154" spans="14:15" x14ac:dyDescent="0.25">
      <c r="N154" s="3">
        <f t="shared" si="2"/>
        <v>1</v>
      </c>
      <c r="O154" s="3"/>
    </row>
    <row r="155" spans="14:15" x14ac:dyDescent="0.25">
      <c r="N155" s="3">
        <f t="shared" si="2"/>
        <v>1</v>
      </c>
      <c r="O155" s="3"/>
    </row>
    <row r="156" spans="14:15" x14ac:dyDescent="0.25">
      <c r="N156" s="3">
        <f t="shared" si="2"/>
        <v>1</v>
      </c>
      <c r="O156" s="3"/>
    </row>
    <row r="157" spans="14:15" x14ac:dyDescent="0.25">
      <c r="N157" s="3">
        <f t="shared" si="2"/>
        <v>1</v>
      </c>
      <c r="O157" s="3"/>
    </row>
    <row r="158" spans="14:15" x14ac:dyDescent="0.25">
      <c r="N158" s="3">
        <f t="shared" si="2"/>
        <v>1</v>
      </c>
      <c r="O158" s="3"/>
    </row>
    <row r="159" spans="14:15" x14ac:dyDescent="0.25">
      <c r="N159" s="3">
        <f t="shared" si="2"/>
        <v>1</v>
      </c>
      <c r="O159" s="3"/>
    </row>
    <row r="160" spans="14:15" x14ac:dyDescent="0.25">
      <c r="N160" s="3">
        <f t="shared" si="2"/>
        <v>1</v>
      </c>
      <c r="O160" s="3"/>
    </row>
    <row r="161" spans="14:15" x14ac:dyDescent="0.25">
      <c r="N161" s="3">
        <f t="shared" si="2"/>
        <v>1</v>
      </c>
      <c r="O161" s="3"/>
    </row>
    <row r="162" spans="14:15" x14ac:dyDescent="0.25">
      <c r="N162" s="3">
        <f t="shared" si="2"/>
        <v>1</v>
      </c>
      <c r="O162" s="3"/>
    </row>
    <row r="163" spans="14:15" x14ac:dyDescent="0.25">
      <c r="N163" s="3">
        <f t="shared" si="2"/>
        <v>1</v>
      </c>
      <c r="O163" s="3"/>
    </row>
    <row r="164" spans="14:15" x14ac:dyDescent="0.25">
      <c r="N164" s="3">
        <f t="shared" si="2"/>
        <v>1</v>
      </c>
      <c r="O164" s="3"/>
    </row>
    <row r="165" spans="14:15" x14ac:dyDescent="0.25">
      <c r="N165" s="3">
        <f t="shared" si="2"/>
        <v>1</v>
      </c>
      <c r="O165" s="3"/>
    </row>
    <row r="166" spans="14:15" x14ac:dyDescent="0.25">
      <c r="N166" s="3">
        <f t="shared" si="2"/>
        <v>1</v>
      </c>
      <c r="O166" s="3"/>
    </row>
    <row r="167" spans="14:15" x14ac:dyDescent="0.25">
      <c r="N167" s="3">
        <f t="shared" si="2"/>
        <v>1</v>
      </c>
      <c r="O167" s="3"/>
    </row>
    <row r="168" spans="14:15" x14ac:dyDescent="0.25">
      <c r="N168" s="3">
        <f t="shared" si="2"/>
        <v>1</v>
      </c>
      <c r="O168" s="3"/>
    </row>
    <row r="169" spans="14:15" x14ac:dyDescent="0.25">
      <c r="N169" s="3">
        <f t="shared" si="2"/>
        <v>1</v>
      </c>
      <c r="O169" s="3"/>
    </row>
    <row r="170" spans="14:15" x14ac:dyDescent="0.25">
      <c r="N170" s="3">
        <f t="shared" si="2"/>
        <v>1</v>
      </c>
      <c r="O170" s="3"/>
    </row>
    <row r="171" spans="14:15" x14ac:dyDescent="0.25">
      <c r="N171" s="3">
        <f t="shared" si="2"/>
        <v>1</v>
      </c>
      <c r="O171" s="3"/>
    </row>
    <row r="172" spans="14:15" x14ac:dyDescent="0.25">
      <c r="N172" s="3">
        <f t="shared" si="2"/>
        <v>1</v>
      </c>
      <c r="O172" s="3"/>
    </row>
    <row r="173" spans="14:15" x14ac:dyDescent="0.25">
      <c r="N173" s="3">
        <f t="shared" si="2"/>
        <v>1</v>
      </c>
      <c r="O173" s="3"/>
    </row>
    <row r="174" spans="14:15" x14ac:dyDescent="0.25">
      <c r="N174" s="3">
        <f t="shared" si="2"/>
        <v>1</v>
      </c>
      <c r="O174" s="3"/>
    </row>
    <row r="175" spans="14:15" x14ac:dyDescent="0.25">
      <c r="N175" s="3">
        <f t="shared" si="2"/>
        <v>1</v>
      </c>
      <c r="O175" s="3"/>
    </row>
    <row r="176" spans="14:15" x14ac:dyDescent="0.25">
      <c r="N176" s="3">
        <f t="shared" si="2"/>
        <v>1</v>
      </c>
      <c r="O176" s="3"/>
    </row>
    <row r="177" spans="14:15" x14ac:dyDescent="0.25">
      <c r="N177" s="3">
        <f t="shared" si="2"/>
        <v>1</v>
      </c>
      <c r="O177" s="3"/>
    </row>
    <row r="178" spans="14:15" x14ac:dyDescent="0.25">
      <c r="N178" s="3">
        <f t="shared" si="2"/>
        <v>1</v>
      </c>
      <c r="O178" s="3"/>
    </row>
    <row r="179" spans="14:15" x14ac:dyDescent="0.25">
      <c r="N179" s="3">
        <f t="shared" si="2"/>
        <v>1</v>
      </c>
      <c r="O179" s="3"/>
    </row>
    <row r="180" spans="14:15" x14ac:dyDescent="0.25">
      <c r="N180" s="3">
        <f t="shared" si="2"/>
        <v>1</v>
      </c>
      <c r="O180" s="3"/>
    </row>
    <row r="181" spans="14:15" x14ac:dyDescent="0.25">
      <c r="N181" s="3">
        <f t="shared" si="2"/>
        <v>1</v>
      </c>
      <c r="O181" s="3"/>
    </row>
    <row r="182" spans="14:15" x14ac:dyDescent="0.25">
      <c r="N182" s="3">
        <f t="shared" si="2"/>
        <v>1</v>
      </c>
      <c r="O182" s="3"/>
    </row>
    <row r="183" spans="14:15" x14ac:dyDescent="0.25">
      <c r="N183" s="3">
        <f t="shared" si="2"/>
        <v>1</v>
      </c>
      <c r="O183" s="3"/>
    </row>
    <row r="184" spans="14:15" x14ac:dyDescent="0.25">
      <c r="N184" s="3">
        <f t="shared" si="2"/>
        <v>1</v>
      </c>
      <c r="O184" s="3"/>
    </row>
    <row r="185" spans="14:15" x14ac:dyDescent="0.25">
      <c r="N185" s="3">
        <f t="shared" si="2"/>
        <v>1</v>
      </c>
      <c r="O185" s="3"/>
    </row>
    <row r="186" spans="14:15" x14ac:dyDescent="0.25">
      <c r="N186" s="3">
        <f t="shared" si="2"/>
        <v>1</v>
      </c>
      <c r="O186" s="3"/>
    </row>
    <row r="187" spans="14:15" x14ac:dyDescent="0.25">
      <c r="N187" s="3">
        <f t="shared" si="2"/>
        <v>1</v>
      </c>
      <c r="O187" s="3"/>
    </row>
    <row r="188" spans="14:15" x14ac:dyDescent="0.25">
      <c r="N188" s="3">
        <f t="shared" si="2"/>
        <v>1</v>
      </c>
      <c r="O188" s="3"/>
    </row>
    <row r="189" spans="14:15" x14ac:dyDescent="0.25">
      <c r="N189" s="3">
        <f t="shared" si="2"/>
        <v>1</v>
      </c>
      <c r="O189" s="3"/>
    </row>
    <row r="190" spans="14:15" x14ac:dyDescent="0.25">
      <c r="N190" s="3">
        <f t="shared" si="2"/>
        <v>1</v>
      </c>
      <c r="O190" s="3"/>
    </row>
    <row r="191" spans="14:15" x14ac:dyDescent="0.25">
      <c r="N191" s="3">
        <f t="shared" si="2"/>
        <v>1</v>
      </c>
      <c r="O191" s="3"/>
    </row>
    <row r="192" spans="14:15" x14ac:dyDescent="0.25">
      <c r="N192" s="3">
        <f t="shared" si="2"/>
        <v>1</v>
      </c>
      <c r="O192" s="3"/>
    </row>
    <row r="193" spans="14:15" x14ac:dyDescent="0.25">
      <c r="N193" s="3">
        <f t="shared" si="2"/>
        <v>1</v>
      </c>
      <c r="O193" s="3"/>
    </row>
    <row r="194" spans="14:15" x14ac:dyDescent="0.25">
      <c r="N194" s="3">
        <f t="shared" si="2"/>
        <v>1</v>
      </c>
      <c r="O194" s="3"/>
    </row>
    <row r="195" spans="14:15" x14ac:dyDescent="0.25">
      <c r="N195" s="3">
        <f t="shared" ref="N195:N258" si="3">IF(M195=0,1,IFERROR(REPLACE(M195,5,5," ")*1,1))</f>
        <v>1</v>
      </c>
      <c r="O195" s="3"/>
    </row>
    <row r="196" spans="14:15" x14ac:dyDescent="0.25">
      <c r="N196" s="3">
        <f t="shared" si="3"/>
        <v>1</v>
      </c>
      <c r="O196" s="3"/>
    </row>
    <row r="197" spans="14:15" x14ac:dyDescent="0.25">
      <c r="N197" s="3">
        <f t="shared" si="3"/>
        <v>1</v>
      </c>
      <c r="O197" s="3"/>
    </row>
    <row r="198" spans="14:15" x14ac:dyDescent="0.25">
      <c r="N198" s="3">
        <f t="shared" si="3"/>
        <v>1</v>
      </c>
      <c r="O198" s="3"/>
    </row>
    <row r="199" spans="14:15" x14ac:dyDescent="0.25">
      <c r="N199" s="3">
        <f t="shared" si="3"/>
        <v>1</v>
      </c>
      <c r="O199" s="3"/>
    </row>
    <row r="200" spans="14:15" x14ac:dyDescent="0.25">
      <c r="N200" s="3">
        <f t="shared" si="3"/>
        <v>1</v>
      </c>
      <c r="O200" s="3"/>
    </row>
    <row r="201" spans="14:15" x14ac:dyDescent="0.25">
      <c r="N201" s="3">
        <f t="shared" si="3"/>
        <v>1</v>
      </c>
      <c r="O201" s="3"/>
    </row>
    <row r="202" spans="14:15" x14ac:dyDescent="0.25">
      <c r="N202" s="3">
        <f t="shared" si="3"/>
        <v>1</v>
      </c>
      <c r="O202" s="3"/>
    </row>
    <row r="203" spans="14:15" x14ac:dyDescent="0.25">
      <c r="N203" s="3">
        <f t="shared" si="3"/>
        <v>1</v>
      </c>
      <c r="O203" s="3"/>
    </row>
    <row r="204" spans="14:15" x14ac:dyDescent="0.25">
      <c r="N204" s="3">
        <f t="shared" si="3"/>
        <v>1</v>
      </c>
      <c r="O204" s="3"/>
    </row>
    <row r="205" spans="14:15" x14ac:dyDescent="0.25">
      <c r="N205" s="3">
        <f t="shared" si="3"/>
        <v>1</v>
      </c>
      <c r="O205" s="3"/>
    </row>
    <row r="206" spans="14:15" x14ac:dyDescent="0.25">
      <c r="N206" s="3">
        <f t="shared" si="3"/>
        <v>1</v>
      </c>
      <c r="O206" s="3"/>
    </row>
    <row r="207" spans="14:15" x14ac:dyDescent="0.25">
      <c r="N207" s="3">
        <f t="shared" si="3"/>
        <v>1</v>
      </c>
      <c r="O207" s="3"/>
    </row>
    <row r="208" spans="14:15" x14ac:dyDescent="0.25">
      <c r="N208" s="3">
        <f t="shared" si="3"/>
        <v>1</v>
      </c>
      <c r="O208" s="3"/>
    </row>
    <row r="209" spans="14:15" x14ac:dyDescent="0.25">
      <c r="N209" s="3">
        <f t="shared" si="3"/>
        <v>1</v>
      </c>
      <c r="O209" s="3"/>
    </row>
    <row r="210" spans="14:15" x14ac:dyDescent="0.25">
      <c r="N210" s="3">
        <f t="shared" si="3"/>
        <v>1</v>
      </c>
      <c r="O210" s="3"/>
    </row>
    <row r="211" spans="14:15" x14ac:dyDescent="0.25">
      <c r="N211" s="3">
        <f t="shared" si="3"/>
        <v>1</v>
      </c>
      <c r="O211" s="3"/>
    </row>
    <row r="212" spans="14:15" x14ac:dyDescent="0.25">
      <c r="N212" s="3">
        <f t="shared" si="3"/>
        <v>1</v>
      </c>
      <c r="O212" s="3"/>
    </row>
    <row r="213" spans="14:15" x14ac:dyDescent="0.25">
      <c r="N213" s="3">
        <f t="shared" si="3"/>
        <v>1</v>
      </c>
      <c r="O213" s="3"/>
    </row>
    <row r="214" spans="14:15" x14ac:dyDescent="0.25">
      <c r="N214" s="3">
        <f t="shared" si="3"/>
        <v>1</v>
      </c>
      <c r="O214" s="3"/>
    </row>
    <row r="215" spans="14:15" x14ac:dyDescent="0.25">
      <c r="N215" s="3">
        <f t="shared" si="3"/>
        <v>1</v>
      </c>
      <c r="O215" s="3"/>
    </row>
    <row r="216" spans="14:15" x14ac:dyDescent="0.25">
      <c r="N216" s="3">
        <f t="shared" si="3"/>
        <v>1</v>
      </c>
      <c r="O216" s="3"/>
    </row>
    <row r="217" spans="14:15" x14ac:dyDescent="0.25">
      <c r="N217" s="3">
        <f t="shared" si="3"/>
        <v>1</v>
      </c>
      <c r="O217" s="3"/>
    </row>
    <row r="218" spans="14:15" x14ac:dyDescent="0.25">
      <c r="N218" s="3">
        <f t="shared" si="3"/>
        <v>1</v>
      </c>
      <c r="O218" s="3"/>
    </row>
    <row r="219" spans="14:15" x14ac:dyDescent="0.25">
      <c r="N219" s="3">
        <f t="shared" si="3"/>
        <v>1</v>
      </c>
      <c r="O219" s="3"/>
    </row>
    <row r="220" spans="14:15" x14ac:dyDescent="0.25">
      <c r="N220" s="3">
        <f t="shared" si="3"/>
        <v>1</v>
      </c>
      <c r="O220" s="3"/>
    </row>
    <row r="221" spans="14:15" x14ac:dyDescent="0.25">
      <c r="N221" s="3">
        <f t="shared" si="3"/>
        <v>1</v>
      </c>
      <c r="O221" s="3"/>
    </row>
    <row r="222" spans="14:15" x14ac:dyDescent="0.25">
      <c r="N222" s="3">
        <f t="shared" si="3"/>
        <v>1</v>
      </c>
      <c r="O222" s="3"/>
    </row>
    <row r="223" spans="14:15" x14ac:dyDescent="0.25">
      <c r="N223" s="3">
        <f t="shared" si="3"/>
        <v>1</v>
      </c>
      <c r="O223" s="3"/>
    </row>
    <row r="224" spans="14:15" x14ac:dyDescent="0.25">
      <c r="N224" s="3">
        <f t="shared" si="3"/>
        <v>1</v>
      </c>
      <c r="O224" s="3"/>
    </row>
    <row r="225" spans="14:15" x14ac:dyDescent="0.25">
      <c r="N225" s="3">
        <f t="shared" si="3"/>
        <v>1</v>
      </c>
      <c r="O225" s="3"/>
    </row>
    <row r="226" spans="14:15" x14ac:dyDescent="0.25">
      <c r="N226" s="3">
        <f t="shared" si="3"/>
        <v>1</v>
      </c>
      <c r="O226" s="3"/>
    </row>
    <row r="227" spans="14:15" x14ac:dyDescent="0.25">
      <c r="N227" s="3">
        <f t="shared" si="3"/>
        <v>1</v>
      </c>
      <c r="O227" s="3"/>
    </row>
    <row r="228" spans="14:15" x14ac:dyDescent="0.25">
      <c r="N228" s="3">
        <f t="shared" si="3"/>
        <v>1</v>
      </c>
      <c r="O228" s="3"/>
    </row>
    <row r="229" spans="14:15" x14ac:dyDescent="0.25">
      <c r="N229" s="3">
        <f t="shared" si="3"/>
        <v>1</v>
      </c>
      <c r="O229" s="3"/>
    </row>
    <row r="230" spans="14:15" x14ac:dyDescent="0.25">
      <c r="N230" s="3">
        <f t="shared" si="3"/>
        <v>1</v>
      </c>
      <c r="O230" s="3"/>
    </row>
    <row r="231" spans="14:15" x14ac:dyDescent="0.25">
      <c r="N231" s="3">
        <f t="shared" si="3"/>
        <v>1</v>
      </c>
      <c r="O231" s="3"/>
    </row>
    <row r="232" spans="14:15" x14ac:dyDescent="0.25">
      <c r="N232" s="3">
        <f t="shared" si="3"/>
        <v>1</v>
      </c>
      <c r="O232" s="3"/>
    </row>
    <row r="233" spans="14:15" x14ac:dyDescent="0.25">
      <c r="N233" s="3">
        <f t="shared" si="3"/>
        <v>1</v>
      </c>
      <c r="O233" s="3"/>
    </row>
    <row r="234" spans="14:15" x14ac:dyDescent="0.25">
      <c r="N234" s="3">
        <f t="shared" si="3"/>
        <v>1</v>
      </c>
      <c r="O234" s="3"/>
    </row>
    <row r="235" spans="14:15" x14ac:dyDescent="0.25">
      <c r="N235" s="3">
        <f t="shared" si="3"/>
        <v>1</v>
      </c>
      <c r="O235" s="3"/>
    </row>
    <row r="236" spans="14:15" x14ac:dyDescent="0.25">
      <c r="N236" s="3">
        <f t="shared" si="3"/>
        <v>1</v>
      </c>
      <c r="O236" s="3"/>
    </row>
    <row r="237" spans="14:15" x14ac:dyDescent="0.25">
      <c r="N237" s="3">
        <f t="shared" si="3"/>
        <v>1</v>
      </c>
      <c r="O237" s="3"/>
    </row>
    <row r="238" spans="14:15" x14ac:dyDescent="0.25">
      <c r="N238" s="3">
        <f t="shared" si="3"/>
        <v>1</v>
      </c>
      <c r="O238" s="3"/>
    </row>
    <row r="239" spans="14:15" x14ac:dyDescent="0.25">
      <c r="N239" s="3">
        <f t="shared" si="3"/>
        <v>1</v>
      </c>
      <c r="O239" s="3"/>
    </row>
    <row r="240" spans="14:15" x14ac:dyDescent="0.25">
      <c r="N240" s="3">
        <f t="shared" si="3"/>
        <v>1</v>
      </c>
      <c r="O240" s="3"/>
    </row>
    <row r="241" spans="14:15" x14ac:dyDescent="0.25">
      <c r="N241" s="3">
        <f t="shared" si="3"/>
        <v>1</v>
      </c>
      <c r="O241" s="3"/>
    </row>
    <row r="242" spans="14:15" x14ac:dyDescent="0.25">
      <c r="N242" s="3">
        <f t="shared" si="3"/>
        <v>1</v>
      </c>
      <c r="O242" s="3"/>
    </row>
    <row r="243" spans="14:15" x14ac:dyDescent="0.25">
      <c r="N243" s="3">
        <f t="shared" si="3"/>
        <v>1</v>
      </c>
      <c r="O243" s="3"/>
    </row>
    <row r="244" spans="14:15" x14ac:dyDescent="0.25">
      <c r="N244" s="3">
        <f t="shared" si="3"/>
        <v>1</v>
      </c>
      <c r="O244" s="3"/>
    </row>
    <row r="245" spans="14:15" x14ac:dyDescent="0.25">
      <c r="N245" s="3">
        <f t="shared" si="3"/>
        <v>1</v>
      </c>
      <c r="O245" s="3"/>
    </row>
    <row r="246" spans="14:15" x14ac:dyDescent="0.25">
      <c r="N246" s="3">
        <f t="shared" si="3"/>
        <v>1</v>
      </c>
      <c r="O246" s="3"/>
    </row>
    <row r="247" spans="14:15" x14ac:dyDescent="0.25">
      <c r="N247" s="3">
        <f t="shared" si="3"/>
        <v>1</v>
      </c>
      <c r="O247" s="3"/>
    </row>
    <row r="248" spans="14:15" x14ac:dyDescent="0.25">
      <c r="N248" s="3">
        <f t="shared" si="3"/>
        <v>1</v>
      </c>
      <c r="O248" s="3"/>
    </row>
    <row r="249" spans="14:15" x14ac:dyDescent="0.25">
      <c r="N249" s="3">
        <f t="shared" si="3"/>
        <v>1</v>
      </c>
      <c r="O249" s="3"/>
    </row>
    <row r="250" spans="14:15" x14ac:dyDescent="0.25">
      <c r="N250" s="3">
        <f t="shared" si="3"/>
        <v>1</v>
      </c>
      <c r="O250" s="3"/>
    </row>
    <row r="251" spans="14:15" x14ac:dyDescent="0.25">
      <c r="N251" s="3">
        <f t="shared" si="3"/>
        <v>1</v>
      </c>
      <c r="O251" s="3"/>
    </row>
    <row r="252" spans="14:15" x14ac:dyDescent="0.25">
      <c r="N252" s="3">
        <f t="shared" si="3"/>
        <v>1</v>
      </c>
      <c r="O252" s="3"/>
    </row>
    <row r="253" spans="14:15" x14ac:dyDescent="0.25">
      <c r="N253" s="3">
        <f t="shared" si="3"/>
        <v>1</v>
      </c>
      <c r="O253" s="3"/>
    </row>
    <row r="254" spans="14:15" x14ac:dyDescent="0.25">
      <c r="N254" s="3">
        <f t="shared" si="3"/>
        <v>1</v>
      </c>
      <c r="O254" s="3"/>
    </row>
    <row r="255" spans="14:15" x14ac:dyDescent="0.25">
      <c r="N255" s="3">
        <f t="shared" si="3"/>
        <v>1</v>
      </c>
      <c r="O255" s="3"/>
    </row>
    <row r="256" spans="14:15" x14ac:dyDescent="0.25">
      <c r="N256" s="3">
        <f t="shared" si="3"/>
        <v>1</v>
      </c>
      <c r="O256" s="3"/>
    </row>
    <row r="257" spans="14:15" x14ac:dyDescent="0.25">
      <c r="N257" s="3">
        <f t="shared" si="3"/>
        <v>1</v>
      </c>
      <c r="O257" s="3"/>
    </row>
    <row r="258" spans="14:15" x14ac:dyDescent="0.25">
      <c r="N258" s="3">
        <f t="shared" si="3"/>
        <v>1</v>
      </c>
      <c r="O258" s="3"/>
    </row>
    <row r="259" spans="14:15" x14ac:dyDescent="0.25">
      <c r="N259" s="3">
        <f t="shared" ref="N259:N322" si="4">IF(M259=0,1,IFERROR(REPLACE(M259,5,5," ")*1,1))</f>
        <v>1</v>
      </c>
      <c r="O259" s="3"/>
    </row>
    <row r="260" spans="14:15" x14ac:dyDescent="0.25">
      <c r="N260" s="3">
        <f t="shared" si="4"/>
        <v>1</v>
      </c>
      <c r="O260" s="3"/>
    </row>
    <row r="261" spans="14:15" x14ac:dyDescent="0.25">
      <c r="N261" s="3">
        <f t="shared" si="4"/>
        <v>1</v>
      </c>
      <c r="O261" s="3"/>
    </row>
    <row r="262" spans="14:15" x14ac:dyDescent="0.25">
      <c r="N262" s="3">
        <f t="shared" si="4"/>
        <v>1</v>
      </c>
      <c r="O262" s="3"/>
    </row>
    <row r="263" spans="14:15" x14ac:dyDescent="0.25">
      <c r="N263" s="3">
        <f t="shared" si="4"/>
        <v>1</v>
      </c>
      <c r="O263" s="3"/>
    </row>
    <row r="264" spans="14:15" x14ac:dyDescent="0.25">
      <c r="N264" s="3">
        <f t="shared" si="4"/>
        <v>1</v>
      </c>
      <c r="O264" s="3"/>
    </row>
    <row r="265" spans="14:15" x14ac:dyDescent="0.25">
      <c r="N265" s="3">
        <f t="shared" si="4"/>
        <v>1</v>
      </c>
      <c r="O265" s="3"/>
    </row>
    <row r="266" spans="14:15" x14ac:dyDescent="0.25">
      <c r="N266" s="3">
        <f t="shared" si="4"/>
        <v>1</v>
      </c>
      <c r="O266" s="3"/>
    </row>
    <row r="267" spans="14:15" x14ac:dyDescent="0.25">
      <c r="N267" s="3">
        <f t="shared" si="4"/>
        <v>1</v>
      </c>
      <c r="O267" s="3"/>
    </row>
    <row r="268" spans="14:15" x14ac:dyDescent="0.25">
      <c r="N268" s="3">
        <f t="shared" si="4"/>
        <v>1</v>
      </c>
      <c r="O268" s="3"/>
    </row>
    <row r="269" spans="14:15" x14ac:dyDescent="0.25">
      <c r="N269" s="3">
        <f t="shared" si="4"/>
        <v>1</v>
      </c>
      <c r="O269" s="3"/>
    </row>
    <row r="270" spans="14:15" x14ac:dyDescent="0.25">
      <c r="N270" s="3">
        <f t="shared" si="4"/>
        <v>1</v>
      </c>
      <c r="O270" s="3"/>
    </row>
    <row r="271" spans="14:15" x14ac:dyDescent="0.25">
      <c r="N271" s="3">
        <f t="shared" si="4"/>
        <v>1</v>
      </c>
      <c r="O271" s="3"/>
    </row>
    <row r="272" spans="14:15" x14ac:dyDescent="0.25">
      <c r="N272" s="3">
        <f t="shared" si="4"/>
        <v>1</v>
      </c>
      <c r="O272" s="3"/>
    </row>
    <row r="273" spans="14:15" x14ac:dyDescent="0.25">
      <c r="N273" s="3">
        <f t="shared" si="4"/>
        <v>1</v>
      </c>
      <c r="O273" s="3"/>
    </row>
    <row r="274" spans="14:15" x14ac:dyDescent="0.25">
      <c r="N274" s="3">
        <f t="shared" si="4"/>
        <v>1</v>
      </c>
      <c r="O274" s="3"/>
    </row>
    <row r="275" spans="14:15" x14ac:dyDescent="0.25">
      <c r="N275" s="3">
        <f t="shared" si="4"/>
        <v>1</v>
      </c>
      <c r="O275" s="3"/>
    </row>
    <row r="276" spans="14:15" x14ac:dyDescent="0.25">
      <c r="N276" s="3">
        <f t="shared" si="4"/>
        <v>1</v>
      </c>
      <c r="O276" s="3"/>
    </row>
    <row r="277" spans="14:15" x14ac:dyDescent="0.25">
      <c r="N277" s="3">
        <f t="shared" si="4"/>
        <v>1</v>
      </c>
      <c r="O277" s="3"/>
    </row>
    <row r="278" spans="14:15" x14ac:dyDescent="0.25">
      <c r="N278" s="3">
        <f t="shared" si="4"/>
        <v>1</v>
      </c>
      <c r="O278" s="3"/>
    </row>
    <row r="279" spans="14:15" x14ac:dyDescent="0.25">
      <c r="N279" s="3">
        <f t="shared" si="4"/>
        <v>1</v>
      </c>
      <c r="O279" s="3"/>
    </row>
    <row r="280" spans="14:15" x14ac:dyDescent="0.25">
      <c r="N280" s="3">
        <f t="shared" si="4"/>
        <v>1</v>
      </c>
      <c r="O280" s="3"/>
    </row>
    <row r="281" spans="14:15" x14ac:dyDescent="0.25">
      <c r="N281" s="3">
        <f t="shared" si="4"/>
        <v>1</v>
      </c>
      <c r="O281" s="3"/>
    </row>
    <row r="282" spans="14:15" x14ac:dyDescent="0.25">
      <c r="N282" s="3">
        <f t="shared" si="4"/>
        <v>1</v>
      </c>
      <c r="O282" s="3"/>
    </row>
    <row r="283" spans="14:15" x14ac:dyDescent="0.25">
      <c r="N283" s="3">
        <f t="shared" si="4"/>
        <v>1</v>
      </c>
      <c r="O283" s="3"/>
    </row>
    <row r="284" spans="14:15" x14ac:dyDescent="0.25">
      <c r="N284" s="3">
        <f t="shared" si="4"/>
        <v>1</v>
      </c>
      <c r="O284" s="3"/>
    </row>
    <row r="285" spans="14:15" x14ac:dyDescent="0.25">
      <c r="N285" s="3">
        <f t="shared" si="4"/>
        <v>1</v>
      </c>
      <c r="O285" s="3"/>
    </row>
    <row r="286" spans="14:15" x14ac:dyDescent="0.25">
      <c r="N286" s="3">
        <f t="shared" si="4"/>
        <v>1</v>
      </c>
      <c r="O286" s="3"/>
    </row>
    <row r="287" spans="14:15" x14ac:dyDescent="0.25">
      <c r="N287" s="3">
        <f t="shared" si="4"/>
        <v>1</v>
      </c>
      <c r="O287" s="3"/>
    </row>
    <row r="288" spans="14:15" x14ac:dyDescent="0.25">
      <c r="N288" s="3">
        <f t="shared" si="4"/>
        <v>1</v>
      </c>
      <c r="O288" s="3"/>
    </row>
    <row r="289" spans="14:15" x14ac:dyDescent="0.25">
      <c r="N289" s="3">
        <f t="shared" si="4"/>
        <v>1</v>
      </c>
      <c r="O289" s="3"/>
    </row>
    <row r="290" spans="14:15" x14ac:dyDescent="0.25">
      <c r="N290" s="3">
        <f t="shared" si="4"/>
        <v>1</v>
      </c>
      <c r="O290" s="3"/>
    </row>
    <row r="291" spans="14:15" x14ac:dyDescent="0.25">
      <c r="N291" s="3">
        <f t="shared" si="4"/>
        <v>1</v>
      </c>
      <c r="O291" s="3"/>
    </row>
    <row r="292" spans="14:15" x14ac:dyDescent="0.25">
      <c r="N292" s="3">
        <f t="shared" si="4"/>
        <v>1</v>
      </c>
      <c r="O292" s="3"/>
    </row>
    <row r="293" spans="14:15" x14ac:dyDescent="0.25">
      <c r="N293" s="3">
        <f t="shared" si="4"/>
        <v>1</v>
      </c>
      <c r="O293" s="3"/>
    </row>
    <row r="294" spans="14:15" x14ac:dyDescent="0.25">
      <c r="N294" s="3">
        <f t="shared" si="4"/>
        <v>1</v>
      </c>
      <c r="O294" s="3"/>
    </row>
    <row r="295" spans="14:15" x14ac:dyDescent="0.25">
      <c r="N295" s="3">
        <f t="shared" si="4"/>
        <v>1</v>
      </c>
      <c r="O295" s="3"/>
    </row>
    <row r="296" spans="14:15" x14ac:dyDescent="0.25">
      <c r="N296" s="3">
        <f t="shared" si="4"/>
        <v>1</v>
      </c>
      <c r="O296" s="3"/>
    </row>
    <row r="297" spans="14:15" x14ac:dyDescent="0.25">
      <c r="N297" s="3">
        <f t="shared" si="4"/>
        <v>1</v>
      </c>
      <c r="O297" s="3"/>
    </row>
    <row r="298" spans="14:15" x14ac:dyDescent="0.25">
      <c r="N298" s="3">
        <f t="shared" si="4"/>
        <v>1</v>
      </c>
      <c r="O298" s="3"/>
    </row>
    <row r="299" spans="14:15" x14ac:dyDescent="0.25">
      <c r="N299" s="3">
        <f t="shared" si="4"/>
        <v>1</v>
      </c>
      <c r="O299" s="3"/>
    </row>
    <row r="300" spans="14:15" x14ac:dyDescent="0.25">
      <c r="N300" s="3">
        <f t="shared" si="4"/>
        <v>1</v>
      </c>
      <c r="O300" s="3"/>
    </row>
    <row r="301" spans="14:15" x14ac:dyDescent="0.25">
      <c r="N301" s="3">
        <f t="shared" si="4"/>
        <v>1</v>
      </c>
      <c r="O301" s="3"/>
    </row>
    <row r="302" spans="14:15" x14ac:dyDescent="0.25">
      <c r="N302" s="3">
        <f t="shared" si="4"/>
        <v>1</v>
      </c>
      <c r="O302" s="3"/>
    </row>
    <row r="303" spans="14:15" x14ac:dyDescent="0.25">
      <c r="N303" s="3">
        <f t="shared" si="4"/>
        <v>1</v>
      </c>
      <c r="O303" s="3"/>
    </row>
    <row r="304" spans="14:15" x14ac:dyDescent="0.25">
      <c r="N304" s="3">
        <f t="shared" si="4"/>
        <v>1</v>
      </c>
      <c r="O304" s="3"/>
    </row>
    <row r="305" spans="14:15" x14ac:dyDescent="0.25">
      <c r="N305" s="3">
        <f t="shared" si="4"/>
        <v>1</v>
      </c>
      <c r="O305" s="3"/>
    </row>
    <row r="306" spans="14:15" x14ac:dyDescent="0.25">
      <c r="N306" s="3">
        <f t="shared" si="4"/>
        <v>1</v>
      </c>
      <c r="O306" s="3"/>
    </row>
    <row r="307" spans="14:15" x14ac:dyDescent="0.25">
      <c r="N307" s="3">
        <f t="shared" si="4"/>
        <v>1</v>
      </c>
      <c r="O307" s="3"/>
    </row>
    <row r="308" spans="14:15" x14ac:dyDescent="0.25">
      <c r="N308" s="3">
        <f t="shared" si="4"/>
        <v>1</v>
      </c>
      <c r="O308" s="3"/>
    </row>
    <row r="309" spans="14:15" x14ac:dyDescent="0.25">
      <c r="N309" s="3">
        <f t="shared" si="4"/>
        <v>1</v>
      </c>
      <c r="O309" s="3"/>
    </row>
    <row r="310" spans="14:15" x14ac:dyDescent="0.25">
      <c r="N310" s="3">
        <f t="shared" si="4"/>
        <v>1</v>
      </c>
      <c r="O310" s="3"/>
    </row>
    <row r="311" spans="14:15" x14ac:dyDescent="0.25">
      <c r="N311" s="3">
        <f t="shared" si="4"/>
        <v>1</v>
      </c>
      <c r="O311" s="3"/>
    </row>
    <row r="312" spans="14:15" x14ac:dyDescent="0.25">
      <c r="N312" s="3">
        <f t="shared" si="4"/>
        <v>1</v>
      </c>
      <c r="O312" s="3"/>
    </row>
    <row r="313" spans="14:15" x14ac:dyDescent="0.25">
      <c r="N313" s="3">
        <f t="shared" si="4"/>
        <v>1</v>
      </c>
      <c r="O313" s="3"/>
    </row>
    <row r="314" spans="14:15" x14ac:dyDescent="0.25">
      <c r="N314" s="3">
        <f t="shared" si="4"/>
        <v>1</v>
      </c>
      <c r="O314" s="3"/>
    </row>
    <row r="315" spans="14:15" x14ac:dyDescent="0.25">
      <c r="N315" s="3">
        <f t="shared" si="4"/>
        <v>1</v>
      </c>
      <c r="O315" s="3"/>
    </row>
    <row r="316" spans="14:15" x14ac:dyDescent="0.25">
      <c r="N316" s="3">
        <f t="shared" si="4"/>
        <v>1</v>
      </c>
      <c r="O316" s="3"/>
    </row>
    <row r="317" spans="14:15" x14ac:dyDescent="0.25">
      <c r="N317" s="3">
        <f t="shared" si="4"/>
        <v>1</v>
      </c>
      <c r="O317" s="3"/>
    </row>
    <row r="318" spans="14:15" x14ac:dyDescent="0.25">
      <c r="N318" s="3">
        <f t="shared" si="4"/>
        <v>1</v>
      </c>
      <c r="O318" s="3"/>
    </row>
    <row r="319" spans="14:15" x14ac:dyDescent="0.25">
      <c r="N319" s="3">
        <f t="shared" si="4"/>
        <v>1</v>
      </c>
      <c r="O319" s="3"/>
    </row>
    <row r="320" spans="14:15" x14ac:dyDescent="0.25">
      <c r="N320" s="3">
        <f t="shared" si="4"/>
        <v>1</v>
      </c>
      <c r="O320" s="3"/>
    </row>
    <row r="321" spans="14:15" x14ac:dyDescent="0.25">
      <c r="N321" s="3">
        <f t="shared" si="4"/>
        <v>1</v>
      </c>
      <c r="O321" s="3"/>
    </row>
    <row r="322" spans="14:15" x14ac:dyDescent="0.25">
      <c r="N322" s="3">
        <f t="shared" si="4"/>
        <v>1</v>
      </c>
      <c r="O322" s="3"/>
    </row>
    <row r="323" spans="14:15" x14ac:dyDescent="0.25">
      <c r="N323" s="3">
        <f t="shared" ref="N323:N336" si="5">IF(M323=0,1,IFERROR(REPLACE(M323,5,5," ")*1,1))</f>
        <v>1</v>
      </c>
      <c r="O323" s="3"/>
    </row>
    <row r="324" spans="14:15" x14ac:dyDescent="0.25">
      <c r="N324" s="3">
        <f t="shared" si="5"/>
        <v>1</v>
      </c>
      <c r="O324" s="3"/>
    </row>
    <row r="325" spans="14:15" x14ac:dyDescent="0.25">
      <c r="N325" s="3">
        <f t="shared" si="5"/>
        <v>1</v>
      </c>
      <c r="O325" s="3"/>
    </row>
    <row r="326" spans="14:15" x14ac:dyDescent="0.25">
      <c r="N326" s="3">
        <f t="shared" si="5"/>
        <v>1</v>
      </c>
      <c r="O326" s="3"/>
    </row>
    <row r="327" spans="14:15" x14ac:dyDescent="0.25">
      <c r="N327" s="3">
        <f t="shared" si="5"/>
        <v>1</v>
      </c>
      <c r="O327" s="3"/>
    </row>
    <row r="328" spans="14:15" x14ac:dyDescent="0.25">
      <c r="N328" s="3">
        <f t="shared" si="5"/>
        <v>1</v>
      </c>
      <c r="O328" s="3"/>
    </row>
    <row r="329" spans="14:15" x14ac:dyDescent="0.25">
      <c r="N329" s="3">
        <f t="shared" si="5"/>
        <v>1</v>
      </c>
      <c r="O329" s="3"/>
    </row>
    <row r="330" spans="14:15" x14ac:dyDescent="0.25">
      <c r="N330" s="3">
        <f t="shared" si="5"/>
        <v>1</v>
      </c>
      <c r="O330" s="3"/>
    </row>
    <row r="331" spans="14:15" x14ac:dyDescent="0.25">
      <c r="N331" s="3">
        <f t="shared" si="5"/>
        <v>1</v>
      </c>
      <c r="O331" s="3"/>
    </row>
    <row r="332" spans="14:15" x14ac:dyDescent="0.25">
      <c r="N332" s="3">
        <f t="shared" si="5"/>
        <v>1</v>
      </c>
      <c r="O332" s="3"/>
    </row>
    <row r="333" spans="14:15" x14ac:dyDescent="0.25">
      <c r="N333" s="3">
        <f t="shared" si="5"/>
        <v>1</v>
      </c>
      <c r="O333" s="3"/>
    </row>
    <row r="334" spans="14:15" x14ac:dyDescent="0.25">
      <c r="N334" s="3">
        <f t="shared" si="5"/>
        <v>1</v>
      </c>
      <c r="O334" s="3"/>
    </row>
    <row r="335" spans="14:15" x14ac:dyDescent="0.25">
      <c r="N335" s="3">
        <f t="shared" si="5"/>
        <v>1</v>
      </c>
      <c r="O335" s="3"/>
    </row>
    <row r="336" spans="14:15" x14ac:dyDescent="0.25">
      <c r="N336" s="3">
        <f t="shared" si="5"/>
        <v>1</v>
      </c>
      <c r="O336" s="3"/>
    </row>
    <row r="337" spans="14:15" x14ac:dyDescent="0.25">
      <c r="N337" s="3"/>
      <c r="O337" s="3"/>
    </row>
    <row r="338" spans="14:15" x14ac:dyDescent="0.25">
      <c r="N338" s="3"/>
      <c r="O338" s="3"/>
    </row>
    <row r="339" spans="14:15" x14ac:dyDescent="0.25">
      <c r="N339" s="3"/>
      <c r="O339" s="3"/>
    </row>
    <row r="340" spans="14:15" x14ac:dyDescent="0.25">
      <c r="N340" s="3"/>
      <c r="O340" s="3"/>
    </row>
    <row r="341" spans="14:15" x14ac:dyDescent="0.25">
      <c r="N341" s="3"/>
      <c r="O341" s="3"/>
    </row>
    <row r="342" spans="14:15" x14ac:dyDescent="0.25">
      <c r="N342" s="3"/>
      <c r="O342" s="3"/>
    </row>
    <row r="343" spans="14:15" x14ac:dyDescent="0.25">
      <c r="N343" s="3"/>
      <c r="O343" s="3"/>
    </row>
    <row r="344" spans="14:15" x14ac:dyDescent="0.25">
      <c r="N344" s="3"/>
      <c r="O344" s="3"/>
    </row>
    <row r="345" spans="14:15" x14ac:dyDescent="0.25">
      <c r="N345" s="3"/>
      <c r="O345" s="3"/>
    </row>
    <row r="346" spans="14:15" x14ac:dyDescent="0.25">
      <c r="N346" s="3"/>
      <c r="O346" s="3"/>
    </row>
    <row r="347" spans="14:15" x14ac:dyDescent="0.25">
      <c r="N347" s="3"/>
      <c r="O347" s="3"/>
    </row>
    <row r="348" spans="14:15" x14ac:dyDescent="0.25">
      <c r="N348" s="3"/>
      <c r="O348" s="3"/>
    </row>
    <row r="349" spans="14:15" x14ac:dyDescent="0.25">
      <c r="N349" s="3"/>
      <c r="O349" s="3"/>
    </row>
    <row r="350" spans="14:15" x14ac:dyDescent="0.25">
      <c r="N350" s="3"/>
      <c r="O350" s="3"/>
    </row>
    <row r="351" spans="14:15" x14ac:dyDescent="0.25">
      <c r="N351" s="3"/>
      <c r="O351" s="3"/>
    </row>
    <row r="352" spans="14:15" x14ac:dyDescent="0.25">
      <c r="N352" s="3"/>
      <c r="O352" s="3"/>
    </row>
    <row r="353" spans="14:15" x14ac:dyDescent="0.25">
      <c r="N353" s="3"/>
      <c r="O353" s="3"/>
    </row>
    <row r="354" spans="14:15" x14ac:dyDescent="0.25">
      <c r="N354" s="3"/>
      <c r="O354" s="3"/>
    </row>
    <row r="355" spans="14:15" x14ac:dyDescent="0.25">
      <c r="N355" s="3"/>
      <c r="O355" s="3"/>
    </row>
    <row r="356" spans="14:15" x14ac:dyDescent="0.25">
      <c r="N356" s="3"/>
      <c r="O356" s="3"/>
    </row>
    <row r="357" spans="14:15" x14ac:dyDescent="0.25">
      <c r="N357" s="3"/>
      <c r="O357" s="3"/>
    </row>
    <row r="358" spans="14:15" x14ac:dyDescent="0.25">
      <c r="N358" s="3"/>
      <c r="O358" s="3"/>
    </row>
    <row r="359" spans="14:15" x14ac:dyDescent="0.25">
      <c r="N359" s="3"/>
      <c r="O359" s="3"/>
    </row>
    <row r="360" spans="14:15" x14ac:dyDescent="0.25">
      <c r="N360" s="3"/>
      <c r="O360" s="3"/>
    </row>
    <row r="361" spans="14:15" x14ac:dyDescent="0.25">
      <c r="N361" s="3"/>
      <c r="O361" s="3"/>
    </row>
    <row r="362" spans="14:15" x14ac:dyDescent="0.25">
      <c r="N362" s="3"/>
      <c r="O362" s="3"/>
    </row>
    <row r="363" spans="14:15" x14ac:dyDescent="0.25">
      <c r="N363" s="3"/>
      <c r="O363" s="3"/>
    </row>
    <row r="364" spans="14:15" x14ac:dyDescent="0.25">
      <c r="N364" s="3"/>
      <c r="O364" s="3"/>
    </row>
    <row r="365" spans="14:15" x14ac:dyDescent="0.25">
      <c r="N365" s="3"/>
      <c r="O365" s="3"/>
    </row>
    <row r="366" spans="14:15" x14ac:dyDescent="0.25">
      <c r="N366" s="3"/>
      <c r="O366" s="3"/>
    </row>
    <row r="367" spans="14:15" x14ac:dyDescent="0.25">
      <c r="N367" s="3"/>
      <c r="O367" s="3"/>
    </row>
    <row r="368" spans="14:15" x14ac:dyDescent="0.25">
      <c r="N368" s="3"/>
      <c r="O368" s="3"/>
    </row>
    <row r="369" spans="14:15" x14ac:dyDescent="0.25">
      <c r="N369" s="3"/>
      <c r="O369" s="3"/>
    </row>
    <row r="370" spans="14:15" x14ac:dyDescent="0.25">
      <c r="N370" s="3"/>
      <c r="O370" s="3"/>
    </row>
    <row r="371" spans="14:15" x14ac:dyDescent="0.25">
      <c r="N371" s="3"/>
      <c r="O371" s="3"/>
    </row>
    <row r="372" spans="14:15" x14ac:dyDescent="0.25">
      <c r="N372" s="3"/>
      <c r="O372" s="3"/>
    </row>
    <row r="373" spans="14:15" x14ac:dyDescent="0.25">
      <c r="N373" s="3"/>
      <c r="O373" s="3"/>
    </row>
    <row r="374" spans="14:15" x14ac:dyDescent="0.25">
      <c r="N374" s="3"/>
      <c r="O374" s="3"/>
    </row>
    <row r="375" spans="14:15" x14ac:dyDescent="0.25">
      <c r="N375" s="3"/>
      <c r="O375" s="3"/>
    </row>
    <row r="376" spans="14:15" x14ac:dyDescent="0.25">
      <c r="N376" s="3"/>
      <c r="O376" s="3"/>
    </row>
    <row r="377" spans="14:15" x14ac:dyDescent="0.25">
      <c r="N377" s="3"/>
      <c r="O377" s="3"/>
    </row>
    <row r="378" spans="14:15" x14ac:dyDescent="0.25">
      <c r="N378" s="3"/>
      <c r="O378" s="3"/>
    </row>
    <row r="379" spans="14:15" x14ac:dyDescent="0.25">
      <c r="N379" s="3"/>
      <c r="O379" s="3"/>
    </row>
    <row r="380" spans="14:15" x14ac:dyDescent="0.25">
      <c r="N380" s="3"/>
      <c r="O380" s="3"/>
    </row>
    <row r="381" spans="14:15" x14ac:dyDescent="0.25">
      <c r="N381" s="3"/>
      <c r="O381" s="3"/>
    </row>
    <row r="382" spans="14:15" x14ac:dyDescent="0.25">
      <c r="N382" s="3"/>
      <c r="O382" s="3"/>
    </row>
    <row r="383" spans="14:15" x14ac:dyDescent="0.25">
      <c r="N383" s="3"/>
      <c r="O383" s="3"/>
    </row>
    <row r="384" spans="14:15" x14ac:dyDescent="0.25">
      <c r="N384" s="3"/>
      <c r="O384" s="3"/>
    </row>
    <row r="385" spans="14:15" x14ac:dyDescent="0.25">
      <c r="N385" s="3"/>
      <c r="O385" s="3"/>
    </row>
    <row r="386" spans="14:15" x14ac:dyDescent="0.25">
      <c r="N386" s="3"/>
      <c r="O386" s="3"/>
    </row>
    <row r="387" spans="14:15" x14ac:dyDescent="0.25">
      <c r="N387" s="3"/>
      <c r="O387" s="3"/>
    </row>
    <row r="388" spans="14:15" x14ac:dyDescent="0.25">
      <c r="N388" s="3"/>
      <c r="O388" s="3"/>
    </row>
    <row r="389" spans="14:15" x14ac:dyDescent="0.25">
      <c r="N389" s="3"/>
      <c r="O389" s="3"/>
    </row>
    <row r="390" spans="14:15" x14ac:dyDescent="0.25">
      <c r="N390" s="3"/>
      <c r="O390" s="3"/>
    </row>
    <row r="391" spans="14:15" x14ac:dyDescent="0.25">
      <c r="N391" s="3"/>
      <c r="O391" s="3"/>
    </row>
    <row r="392" spans="14:15" x14ac:dyDescent="0.25">
      <c r="N392" s="3"/>
      <c r="O392" s="3"/>
    </row>
    <row r="393" spans="14:15" x14ac:dyDescent="0.25">
      <c r="N393" s="3"/>
      <c r="O393" s="3"/>
    </row>
    <row r="394" spans="14:15" x14ac:dyDescent="0.25">
      <c r="N394" s="3"/>
      <c r="O394" s="3"/>
    </row>
    <row r="395" spans="14:15" x14ac:dyDescent="0.25">
      <c r="N395" s="3"/>
      <c r="O395" s="3"/>
    </row>
    <row r="396" spans="14:15" x14ac:dyDescent="0.25">
      <c r="N396" s="3"/>
      <c r="O396" s="3"/>
    </row>
    <row r="397" spans="14:15" x14ac:dyDescent="0.25">
      <c r="N397" s="3"/>
      <c r="O397" s="3"/>
    </row>
    <row r="398" spans="14:15" x14ac:dyDescent="0.25">
      <c r="N398" s="3"/>
      <c r="O398" s="3"/>
    </row>
    <row r="399" spans="14:15" x14ac:dyDescent="0.25">
      <c r="N399" s="3"/>
      <c r="O399" s="3"/>
    </row>
    <row r="400" spans="14:15" x14ac:dyDescent="0.25">
      <c r="N400" s="3"/>
      <c r="O400" s="3"/>
    </row>
    <row r="401" spans="14:15" x14ac:dyDescent="0.25">
      <c r="N401" s="3"/>
      <c r="O401" s="3"/>
    </row>
    <row r="402" spans="14:15" x14ac:dyDescent="0.25">
      <c r="N402" s="3"/>
      <c r="O402" s="3"/>
    </row>
    <row r="403" spans="14:15" x14ac:dyDescent="0.25">
      <c r="N403" s="3"/>
      <c r="O403" s="3"/>
    </row>
    <row r="404" spans="14:15" x14ac:dyDescent="0.25">
      <c r="N404" s="3"/>
      <c r="O404" s="3"/>
    </row>
    <row r="405" spans="14:15" x14ac:dyDescent="0.25">
      <c r="N405" s="3"/>
      <c r="O405" s="3"/>
    </row>
    <row r="406" spans="14:15" x14ac:dyDescent="0.25">
      <c r="N406" s="3"/>
      <c r="O406" s="3"/>
    </row>
    <row r="407" spans="14:15" x14ac:dyDescent="0.25">
      <c r="N407" s="3"/>
      <c r="O407" s="3"/>
    </row>
    <row r="408" spans="14:15" x14ac:dyDescent="0.25">
      <c r="N408" s="3"/>
      <c r="O408" s="3"/>
    </row>
    <row r="409" spans="14:15" x14ac:dyDescent="0.25">
      <c r="N409" s="3"/>
      <c r="O409" s="3"/>
    </row>
    <row r="410" spans="14:15" x14ac:dyDescent="0.25">
      <c r="N410" s="3"/>
      <c r="O410" s="3"/>
    </row>
    <row r="411" spans="14:15" x14ac:dyDescent="0.25">
      <c r="N411" s="3"/>
      <c r="O411" s="3"/>
    </row>
    <row r="412" spans="14:15" x14ac:dyDescent="0.25">
      <c r="N412" s="3"/>
      <c r="O412" s="3"/>
    </row>
    <row r="413" spans="14:15" x14ac:dyDescent="0.25">
      <c r="N413" s="3"/>
      <c r="O413" s="3"/>
    </row>
    <row r="414" spans="14:15" x14ac:dyDescent="0.25">
      <c r="N414" s="3"/>
      <c r="O414" s="3"/>
    </row>
    <row r="415" spans="14:15" x14ac:dyDescent="0.25">
      <c r="N415" s="3"/>
      <c r="O415" s="3"/>
    </row>
    <row r="416" spans="14:15" x14ac:dyDescent="0.25">
      <c r="N416" s="3"/>
      <c r="O416" s="3"/>
    </row>
    <row r="417" spans="14:15" x14ac:dyDescent="0.25">
      <c r="N417" s="3"/>
      <c r="O417" s="3"/>
    </row>
    <row r="418" spans="14:15" x14ac:dyDescent="0.25">
      <c r="N418" s="3"/>
      <c r="O418" s="3"/>
    </row>
    <row r="419" spans="14:15" x14ac:dyDescent="0.25">
      <c r="N419" s="3"/>
      <c r="O419" s="3"/>
    </row>
    <row r="420" spans="14:15" x14ac:dyDescent="0.25">
      <c r="N420" s="3"/>
      <c r="O420" s="3"/>
    </row>
    <row r="421" spans="14:15" x14ac:dyDescent="0.25">
      <c r="N421" s="3"/>
      <c r="O421" s="3"/>
    </row>
    <row r="422" spans="14:15" x14ac:dyDescent="0.25">
      <c r="N422" s="3"/>
      <c r="O422" s="3"/>
    </row>
    <row r="423" spans="14:15" x14ac:dyDescent="0.25">
      <c r="N423" s="3"/>
      <c r="O423" s="3"/>
    </row>
    <row r="424" spans="14:15" x14ac:dyDescent="0.25">
      <c r="N424" s="3"/>
      <c r="O424" s="3"/>
    </row>
    <row r="425" spans="14:15" x14ac:dyDescent="0.25">
      <c r="N425" s="3"/>
      <c r="O425" s="3"/>
    </row>
    <row r="426" spans="14:15" x14ac:dyDescent="0.25">
      <c r="N426" s="3"/>
      <c r="O426" s="3"/>
    </row>
    <row r="427" spans="14:15" x14ac:dyDescent="0.25">
      <c r="N427" s="3"/>
      <c r="O427" s="3"/>
    </row>
    <row r="428" spans="14:15" x14ac:dyDescent="0.25">
      <c r="N428" s="3"/>
      <c r="O428" s="3"/>
    </row>
    <row r="429" spans="14:15" x14ac:dyDescent="0.25">
      <c r="N429" s="3"/>
      <c r="O429" s="3"/>
    </row>
    <row r="430" spans="14:15" x14ac:dyDescent="0.25">
      <c r="N430" s="3"/>
      <c r="O430" s="3"/>
    </row>
    <row r="431" spans="14:15" x14ac:dyDescent="0.25">
      <c r="N431" s="3"/>
      <c r="O431" s="3"/>
    </row>
    <row r="432" spans="14:15" x14ac:dyDescent="0.25">
      <c r="N432" s="3"/>
      <c r="O432" s="3"/>
    </row>
    <row r="433" spans="14:15" x14ac:dyDescent="0.25">
      <c r="N433" s="3"/>
      <c r="O433" s="3"/>
    </row>
    <row r="434" spans="14:15" x14ac:dyDescent="0.25">
      <c r="N434" s="3"/>
      <c r="O434" s="3"/>
    </row>
    <row r="435" spans="14:15" x14ac:dyDescent="0.25">
      <c r="N435" s="3"/>
      <c r="O435" s="3"/>
    </row>
    <row r="436" spans="14:15" x14ac:dyDescent="0.25">
      <c r="N436" s="3"/>
      <c r="O436" s="3"/>
    </row>
    <row r="437" spans="14:15" x14ac:dyDescent="0.25">
      <c r="N437" s="3"/>
      <c r="O437" s="3"/>
    </row>
    <row r="438" spans="14:15" x14ac:dyDescent="0.25">
      <c r="N438" s="3"/>
      <c r="O438" s="3"/>
    </row>
    <row r="439" spans="14:15" x14ac:dyDescent="0.25">
      <c r="N439" s="3"/>
      <c r="O439" s="3"/>
    </row>
    <row r="440" spans="14:15" x14ac:dyDescent="0.25">
      <c r="N440" s="3"/>
      <c r="O440" s="3"/>
    </row>
    <row r="441" spans="14:15" x14ac:dyDescent="0.25">
      <c r="N441" s="3"/>
      <c r="O441" s="3"/>
    </row>
    <row r="442" spans="14:15" x14ac:dyDescent="0.25">
      <c r="N442" s="3"/>
      <c r="O442" s="3"/>
    </row>
    <row r="443" spans="14:15" x14ac:dyDescent="0.25">
      <c r="N443" s="3"/>
      <c r="O443" s="3"/>
    </row>
    <row r="444" spans="14:15" x14ac:dyDescent="0.25">
      <c r="N444" s="3"/>
      <c r="O444" s="3"/>
    </row>
    <row r="445" spans="14:15" x14ac:dyDescent="0.25">
      <c r="N445" s="3"/>
      <c r="O445" s="3"/>
    </row>
    <row r="446" spans="14:15" x14ac:dyDescent="0.25">
      <c r="N446" s="3"/>
      <c r="O446" s="3"/>
    </row>
    <row r="447" spans="14:15" x14ac:dyDescent="0.25">
      <c r="N447" s="3"/>
      <c r="O447" s="3"/>
    </row>
    <row r="448" spans="14:15" x14ac:dyDescent="0.25">
      <c r="N448" s="3"/>
      <c r="O448" s="3"/>
    </row>
    <row r="449" spans="14:15" x14ac:dyDescent="0.25">
      <c r="N449" s="3"/>
      <c r="O449" s="3"/>
    </row>
    <row r="450" spans="14:15" x14ac:dyDescent="0.25">
      <c r="N450" s="3"/>
      <c r="O450" s="3"/>
    </row>
    <row r="451" spans="14:15" x14ac:dyDescent="0.25">
      <c r="N451" s="3"/>
      <c r="O451" s="3"/>
    </row>
    <row r="452" spans="14:15" x14ac:dyDescent="0.25">
      <c r="N452" s="3"/>
      <c r="O452" s="3"/>
    </row>
    <row r="453" spans="14:15" x14ac:dyDescent="0.25">
      <c r="N453" s="3"/>
      <c r="O453" s="3"/>
    </row>
    <row r="454" spans="14:15" x14ac:dyDescent="0.25">
      <c r="N454" s="3"/>
      <c r="O454" s="3"/>
    </row>
    <row r="455" spans="14:15" x14ac:dyDescent="0.25">
      <c r="N455" s="3"/>
      <c r="O455" s="3"/>
    </row>
    <row r="456" spans="14:15" x14ac:dyDescent="0.25">
      <c r="N456" s="3"/>
      <c r="O456" s="3"/>
    </row>
    <row r="457" spans="14:15" x14ac:dyDescent="0.25">
      <c r="N457" s="3"/>
      <c r="O457" s="3"/>
    </row>
    <row r="458" spans="14:15" x14ac:dyDescent="0.25">
      <c r="N458" s="3"/>
      <c r="O458" s="3"/>
    </row>
    <row r="459" spans="14:15" x14ac:dyDescent="0.25">
      <c r="N459" s="3"/>
      <c r="O459" s="3"/>
    </row>
    <row r="460" spans="14:15" x14ac:dyDescent="0.25">
      <c r="N460" s="3"/>
      <c r="O460" s="3"/>
    </row>
    <row r="461" spans="14:15" x14ac:dyDescent="0.25">
      <c r="N461" s="3"/>
      <c r="O461" s="3"/>
    </row>
    <row r="462" spans="14:15" x14ac:dyDescent="0.25">
      <c r="N462" s="3"/>
      <c r="O462" s="3"/>
    </row>
    <row r="463" spans="14:15" x14ac:dyDescent="0.25">
      <c r="N463" s="3"/>
      <c r="O463" s="3"/>
    </row>
    <row r="464" spans="14:15" x14ac:dyDescent="0.25">
      <c r="N464" s="3"/>
      <c r="O464" s="3"/>
    </row>
    <row r="465" spans="14:15" x14ac:dyDescent="0.25">
      <c r="N465" s="3"/>
      <c r="O465" s="3"/>
    </row>
    <row r="466" spans="14:15" x14ac:dyDescent="0.25">
      <c r="N466" s="3"/>
      <c r="O466" s="3"/>
    </row>
    <row r="467" spans="14:15" x14ac:dyDescent="0.25">
      <c r="N467" s="3"/>
      <c r="O467" s="3"/>
    </row>
    <row r="468" spans="14:15" x14ac:dyDescent="0.25">
      <c r="N468" s="3"/>
      <c r="O468" s="3"/>
    </row>
    <row r="469" spans="14:15" x14ac:dyDescent="0.25">
      <c r="N469" s="3"/>
      <c r="O469" s="3"/>
    </row>
    <row r="470" spans="14:15" x14ac:dyDescent="0.25">
      <c r="N470" s="3"/>
      <c r="O470" s="3"/>
    </row>
    <row r="471" spans="14:15" x14ac:dyDescent="0.25">
      <c r="N471" s="3"/>
      <c r="O471" s="3"/>
    </row>
    <row r="472" spans="14:15" x14ac:dyDescent="0.25">
      <c r="N472" s="3"/>
      <c r="O472" s="3"/>
    </row>
    <row r="473" spans="14:15" x14ac:dyDescent="0.25">
      <c r="N473" s="3"/>
      <c r="O473" s="3"/>
    </row>
    <row r="474" spans="14:15" x14ac:dyDescent="0.25">
      <c r="N474" s="3"/>
      <c r="O474" s="3"/>
    </row>
    <row r="475" spans="14:15" x14ac:dyDescent="0.25">
      <c r="N475" s="3"/>
      <c r="O475" s="3"/>
    </row>
    <row r="476" spans="14:15" x14ac:dyDescent="0.25">
      <c r="N476" s="3"/>
      <c r="O476" s="3"/>
    </row>
    <row r="477" spans="14:15" x14ac:dyDescent="0.25">
      <c r="N477" s="3"/>
      <c r="O477" s="3"/>
    </row>
    <row r="478" spans="14:15" x14ac:dyDescent="0.25">
      <c r="N478" s="3"/>
      <c r="O478" s="3"/>
    </row>
    <row r="479" spans="14:15" x14ac:dyDescent="0.25">
      <c r="N479" s="3"/>
      <c r="O479" s="3"/>
    </row>
    <row r="480" spans="14:15" x14ac:dyDescent="0.25">
      <c r="N480" s="3"/>
      <c r="O480" s="3"/>
    </row>
    <row r="481" spans="14:15" x14ac:dyDescent="0.25">
      <c r="N481" s="3"/>
      <c r="O481" s="3"/>
    </row>
    <row r="482" spans="14:15" x14ac:dyDescent="0.25">
      <c r="N482" s="3"/>
      <c r="O482" s="3"/>
    </row>
    <row r="483" spans="14:15" x14ac:dyDescent="0.25">
      <c r="N483" s="3"/>
      <c r="O483" s="3"/>
    </row>
    <row r="484" spans="14:15" x14ac:dyDescent="0.25">
      <c r="N484" s="3"/>
      <c r="O484" s="3"/>
    </row>
    <row r="485" spans="14:15" x14ac:dyDescent="0.25">
      <c r="N485" s="3"/>
      <c r="O485" s="3"/>
    </row>
    <row r="486" spans="14:15" x14ac:dyDescent="0.25">
      <c r="N486" s="3"/>
      <c r="O486" s="3"/>
    </row>
    <row r="487" spans="14:15" x14ac:dyDescent="0.25">
      <c r="N487" s="3"/>
      <c r="O487" s="3"/>
    </row>
    <row r="488" spans="14:15" x14ac:dyDescent="0.25">
      <c r="N488" s="3"/>
      <c r="O488" s="3"/>
    </row>
    <row r="489" spans="14:15" x14ac:dyDescent="0.25">
      <c r="N489" s="3"/>
      <c r="O489" s="3"/>
    </row>
    <row r="490" spans="14:15" x14ac:dyDescent="0.25">
      <c r="N490" s="3"/>
      <c r="O490" s="3"/>
    </row>
    <row r="491" spans="14:15" x14ac:dyDescent="0.25">
      <c r="N491" s="3"/>
      <c r="O491" s="3"/>
    </row>
    <row r="492" spans="14:15" x14ac:dyDescent="0.25">
      <c r="N492" s="3"/>
      <c r="O492" s="3"/>
    </row>
    <row r="493" spans="14:15" x14ac:dyDescent="0.25">
      <c r="N493" s="3"/>
      <c r="O493" s="3"/>
    </row>
    <row r="494" spans="14:15" x14ac:dyDescent="0.25">
      <c r="N494" s="3"/>
      <c r="O494" s="3"/>
    </row>
    <row r="495" spans="14:15" x14ac:dyDescent="0.25">
      <c r="N495" s="3"/>
      <c r="O495" s="3"/>
    </row>
    <row r="496" spans="14:15" x14ac:dyDescent="0.25">
      <c r="N496" s="3"/>
      <c r="O496" s="3"/>
    </row>
    <row r="497" spans="14:15" x14ac:dyDescent="0.25">
      <c r="N497" s="3"/>
      <c r="O497" s="3"/>
    </row>
    <row r="498" spans="14:15" x14ac:dyDescent="0.25">
      <c r="N498" s="3"/>
      <c r="O498" s="3"/>
    </row>
    <row r="499" spans="14:15" x14ac:dyDescent="0.25">
      <c r="N499" s="3"/>
      <c r="O499" s="3"/>
    </row>
    <row r="500" spans="14:15" x14ac:dyDescent="0.25">
      <c r="N500" s="3"/>
      <c r="O500" s="3"/>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Refresh_PubDate_Data">
                <anchor moveWithCells="1">
                  <from>
                    <xdr:col>3</xdr:col>
                    <xdr:colOff>0</xdr:colOff>
                    <xdr:row>0</xdr:row>
                    <xdr:rowOff>200025</xdr:rowOff>
                  </from>
                  <to>
                    <xdr:col>4</xdr:col>
                    <xdr:colOff>304800</xdr:colOff>
                    <xdr:row>2</xdr:row>
                    <xdr:rowOff>0</xdr:rowOff>
                  </to>
                </anchor>
              </controlPr>
            </control>
          </mc:Choice>
        </mc:AlternateContent>
        <mc:AlternateContent xmlns:mc="http://schemas.openxmlformats.org/markup-compatibility/2006">
          <mc:Choice Requires="x14">
            <control shapeId="16386" r:id="rId7" name="Button 2">
              <controlPr defaultSize="0" print="0" autoFill="0" autoPict="0" macro="[0]!Year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6387" r:id="rId8" name="Button 3">
              <controlPr defaultSize="0" print="0" autoFill="0" autoPict="0" macro="[0]!Year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6388" r:id="rId9" name="Button 4">
              <controlPr defaultSize="0" print="0" autoFill="0" autoPict="0" macro="[0]!Decade_ChartUp">
                <anchor moveWithCells="1">
                  <from>
                    <xdr:col>18</xdr:col>
                    <xdr:colOff>466725</xdr:colOff>
                    <xdr:row>4</xdr:row>
                    <xdr:rowOff>0</xdr:rowOff>
                  </from>
                  <to>
                    <xdr:col>19</xdr:col>
                    <xdr:colOff>0</xdr:colOff>
                    <xdr:row>5</xdr:row>
                    <xdr:rowOff>47625</xdr:rowOff>
                  </to>
                </anchor>
              </controlPr>
            </control>
          </mc:Choice>
        </mc:AlternateContent>
        <mc:AlternateContent xmlns:mc="http://schemas.openxmlformats.org/markup-compatibility/2006">
          <mc:Choice Requires="x14">
            <control shapeId="16389" r:id="rId10" name="Button 5">
              <controlPr defaultSize="0" print="0" autoFill="0" autoPict="0" macro="[0]!Decade_ChartDown">
                <anchor moveWithCells="1">
                  <from>
                    <xdr:col>18</xdr:col>
                    <xdr:colOff>466725</xdr:colOff>
                    <xdr:row>6</xdr:row>
                    <xdr:rowOff>0</xdr:rowOff>
                  </from>
                  <to>
                    <xdr:col>19</xdr:col>
                    <xdr:colOff>0</xdr:colOff>
                    <xdr:row>7</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3B0D-03D1-42BF-9D91-94464D3841C0}">
  <sheetPr codeName="Sheet8">
    <tabColor theme="4"/>
  </sheetPr>
  <dimension ref="A1:P12573"/>
  <sheetViews>
    <sheetView topLeftCell="B1" zoomScaleNormal="100" workbookViewId="0">
      <selection activeCell="D20" sqref="D20"/>
    </sheetView>
  </sheetViews>
  <sheetFormatPr defaultRowHeight="15" customHeight="1" x14ac:dyDescent="0.25"/>
  <cols>
    <col min="1" max="1" width="9.140625" hidden="1" customWidth="1"/>
    <col min="2" max="2" width="40.7109375" customWidth="1"/>
    <col min="3" max="3" width="7.140625" bestFit="1" customWidth="1"/>
    <col min="4" max="4" width="20.7109375" customWidth="1"/>
    <col min="14" max="14" width="12.42578125" hidden="1" customWidth="1"/>
    <col min="15" max="15" width="40.7109375" customWidth="1"/>
    <col min="16" max="16" width="7.140625" bestFit="1" customWidth="1"/>
    <col min="17" max="17" width="20.7109375" customWidth="1"/>
  </cols>
  <sheetData>
    <row r="1" spans="1:16" ht="20.100000000000001" customHeight="1" x14ac:dyDescent="0.25">
      <c r="A1" s="10" t="s">
        <v>290</v>
      </c>
      <c r="N1" s="19" t="s">
        <v>291</v>
      </c>
    </row>
    <row r="2" spans="1:16" ht="15" customHeight="1" x14ac:dyDescent="0.25">
      <c r="A2" t="s" cm="1">
        <v>732</v>
      </c>
      <c r="N2" t="s" cm="1">
        <v>732</v>
      </c>
    </row>
    <row r="3" spans="1:16" ht="15" customHeight="1" x14ac:dyDescent="0.25">
      <c r="A3" t="s" cm="1">
        <v>732</v>
      </c>
      <c r="N3" t="s" cm="1">
        <v>732</v>
      </c>
    </row>
    <row r="4" spans="1:16" ht="15" customHeight="1" x14ac:dyDescent="0.25">
      <c r="A4" t="s" cm="1">
        <v>732</v>
      </c>
      <c r="B4" s="12" t="s">
        <v>290</v>
      </c>
      <c r="C4" t="s">
        <v>270</v>
      </c>
      <c r="N4" t="s" cm="1">
        <v>732</v>
      </c>
      <c r="O4" s="12" t="s">
        <v>297</v>
      </c>
      <c r="P4" t="s">
        <v>270</v>
      </c>
    </row>
    <row r="5" spans="1:16" ht="15" customHeight="1" x14ac:dyDescent="0.25">
      <c r="A5" t="s" cm="1">
        <v>942</v>
      </c>
      <c r="B5" s="4" t="s">
        <v>298</v>
      </c>
      <c r="N5" t="s" cm="1">
        <v>943</v>
      </c>
      <c r="O5" s="4" t="s">
        <v>355</v>
      </c>
      <c r="P5">
        <v>1</v>
      </c>
    </row>
    <row r="6" spans="1:16" ht="15" customHeight="1" x14ac:dyDescent="0.25">
      <c r="A6" t="s" cm="1">
        <v>945</v>
      </c>
      <c r="B6" s="4" t="s">
        <v>480</v>
      </c>
      <c r="C6">
        <v>1</v>
      </c>
      <c r="N6" t="s" cm="1">
        <v>948</v>
      </c>
      <c r="O6" s="4" t="s">
        <v>359</v>
      </c>
      <c r="P6">
        <v>1</v>
      </c>
    </row>
    <row r="7" spans="1:16" ht="15" customHeight="1" x14ac:dyDescent="0.25">
      <c r="A7" t="s" cm="1">
        <v>952</v>
      </c>
      <c r="B7" s="4" t="s">
        <v>483</v>
      </c>
      <c r="C7">
        <v>1</v>
      </c>
      <c r="N7" t="s" cm="1">
        <v>954</v>
      </c>
      <c r="O7" s="4" t="s">
        <v>305</v>
      </c>
      <c r="P7">
        <v>1</v>
      </c>
    </row>
    <row r="8" spans="1:16" ht="15" customHeight="1" x14ac:dyDescent="0.25">
      <c r="A8" t="s" cm="1">
        <v>561</v>
      </c>
      <c r="B8" s="4" t="s">
        <v>529</v>
      </c>
      <c r="C8">
        <v>1</v>
      </c>
      <c r="N8" t="s" cm="1">
        <v>465</v>
      </c>
      <c r="O8" s="4" t="s">
        <v>366</v>
      </c>
      <c r="P8">
        <v>1</v>
      </c>
    </row>
    <row r="9" spans="1:16" ht="15" customHeight="1" x14ac:dyDescent="0.25">
      <c r="A9" t="s" cm="1">
        <v>483</v>
      </c>
      <c r="B9" s="4" t="s">
        <v>407</v>
      </c>
      <c r="C9">
        <v>1</v>
      </c>
      <c r="N9" t="s" cm="1">
        <v>480</v>
      </c>
      <c r="O9" s="4" t="s">
        <v>957</v>
      </c>
      <c r="P9">
        <v>1</v>
      </c>
    </row>
    <row r="10" spans="1:16" ht="15" customHeight="1" x14ac:dyDescent="0.25">
      <c r="A10" t="s" cm="1">
        <v>372</v>
      </c>
      <c r="B10" s="4" t="s">
        <v>580</v>
      </c>
      <c r="C10">
        <v>1</v>
      </c>
      <c r="N10" t="s" cm="1">
        <v>544</v>
      </c>
      <c r="O10" s="4" t="s">
        <v>369</v>
      </c>
      <c r="P10">
        <v>1</v>
      </c>
    </row>
    <row r="11" spans="1:16" ht="15" customHeight="1" x14ac:dyDescent="0.25">
      <c r="A11" t="s" cm="1">
        <v>358</v>
      </c>
      <c r="B11" s="4" t="s">
        <v>492</v>
      </c>
      <c r="C11">
        <v>1</v>
      </c>
      <c r="N11" t="s" cm="1">
        <v>354</v>
      </c>
      <c r="O11" s="4" t="s">
        <v>555</v>
      </c>
      <c r="P11">
        <v>1</v>
      </c>
    </row>
    <row r="12" spans="1:16" ht="15" customHeight="1" x14ac:dyDescent="0.25">
      <c r="A12" t="s" cm="1">
        <v>547</v>
      </c>
      <c r="B12" s="4" t="s">
        <v>707</v>
      </c>
      <c r="C12">
        <v>1</v>
      </c>
      <c r="N12" t="s" cm="1">
        <v>548</v>
      </c>
      <c r="O12" s="4" t="s">
        <v>373</v>
      </c>
      <c r="P12">
        <v>1</v>
      </c>
    </row>
    <row r="13" spans="1:16" ht="15" customHeight="1" x14ac:dyDescent="0.25">
      <c r="A13" t="s" cm="1">
        <v>550</v>
      </c>
      <c r="B13" s="4" t="s">
        <v>505</v>
      </c>
      <c r="C13">
        <v>1</v>
      </c>
      <c r="N13" t="s" cm="1">
        <v>551</v>
      </c>
      <c r="O13" s="4" t="s">
        <v>321</v>
      </c>
      <c r="P13">
        <v>1</v>
      </c>
    </row>
    <row r="14" spans="1:16" ht="15" customHeight="1" x14ac:dyDescent="0.25">
      <c r="A14" t="s" cm="1">
        <v>491</v>
      </c>
      <c r="B14" s="4" t="s">
        <v>328</v>
      </c>
      <c r="C14">
        <v>1</v>
      </c>
      <c r="N14" t="s" cm="1">
        <v>491</v>
      </c>
      <c r="O14" s="4" t="s">
        <v>380</v>
      </c>
      <c r="P14">
        <v>1</v>
      </c>
    </row>
    <row r="15" spans="1:16" ht="15" customHeight="1" x14ac:dyDescent="0.25">
      <c r="A15" t="s" cm="1">
        <v>312</v>
      </c>
      <c r="B15" s="4" t="s">
        <v>511</v>
      </c>
      <c r="C15">
        <v>1</v>
      </c>
      <c r="N15" t="s" cm="1">
        <v>312</v>
      </c>
      <c r="O15" s="4" t="s">
        <v>621</v>
      </c>
      <c r="P15">
        <v>1</v>
      </c>
    </row>
    <row r="16" spans="1:16" ht="15" customHeight="1" x14ac:dyDescent="0.25">
      <c r="A16" t="s" cm="1">
        <v>511</v>
      </c>
      <c r="B16" s="4" t="s">
        <v>332</v>
      </c>
      <c r="C16">
        <v>1</v>
      </c>
      <c r="N16" t="s" cm="1">
        <v>505</v>
      </c>
      <c r="O16" s="4" t="s">
        <v>384</v>
      </c>
      <c r="P16">
        <v>1</v>
      </c>
    </row>
    <row r="17" spans="1:16" ht="15" customHeight="1" x14ac:dyDescent="0.25">
      <c r="A17" t="s" cm="1">
        <v>554</v>
      </c>
      <c r="B17" s="4" t="s">
        <v>518</v>
      </c>
      <c r="C17">
        <v>1</v>
      </c>
      <c r="N17" t="s" cm="1">
        <v>554</v>
      </c>
      <c r="O17" s="4" t="s">
        <v>325</v>
      </c>
      <c r="P17">
        <v>1</v>
      </c>
    </row>
    <row r="18" spans="1:16" ht="15" customHeight="1" x14ac:dyDescent="0.25">
      <c r="A18" t="s" cm="1">
        <v>452</v>
      </c>
      <c r="B18" s="4" t="s">
        <v>337</v>
      </c>
      <c r="C18">
        <v>1</v>
      </c>
      <c r="N18" t="s" cm="1">
        <v>556</v>
      </c>
      <c r="O18" s="4" t="s">
        <v>387</v>
      </c>
      <c r="P18">
        <v>1</v>
      </c>
    </row>
    <row r="19" spans="1:16" ht="15" customHeight="1" x14ac:dyDescent="0.25">
      <c r="A19" t="s" cm="1">
        <v>536</v>
      </c>
      <c r="B19" s="4" t="s">
        <v>515</v>
      </c>
      <c r="C19">
        <v>1</v>
      </c>
      <c r="N19" t="s" cm="1">
        <v>415</v>
      </c>
      <c r="O19" s="4" t="s">
        <v>746</v>
      </c>
      <c r="P19">
        <v>1</v>
      </c>
    </row>
    <row r="20" spans="1:16" ht="15" customHeight="1" x14ac:dyDescent="0.25">
      <c r="A20" t="s" cm="1">
        <v>565</v>
      </c>
      <c r="B20" s="4" t="s">
        <v>325</v>
      </c>
      <c r="C20">
        <v>1</v>
      </c>
      <c r="N20" t="s" cm="1">
        <v>565</v>
      </c>
      <c r="O20" s="4" t="s">
        <v>389</v>
      </c>
      <c r="P20">
        <v>1</v>
      </c>
    </row>
    <row r="21" spans="1:16" ht="15" customHeight="1" x14ac:dyDescent="0.25">
      <c r="A21" t="s" cm="1">
        <v>437</v>
      </c>
      <c r="B21" s="4" t="s">
        <v>514</v>
      </c>
      <c r="C21">
        <v>1</v>
      </c>
      <c r="N21" t="s" cm="1">
        <v>564</v>
      </c>
      <c r="O21" s="4" t="s">
        <v>334</v>
      </c>
      <c r="P21">
        <v>1</v>
      </c>
    </row>
    <row r="22" spans="1:16" ht="15" customHeight="1" x14ac:dyDescent="0.25">
      <c r="A22" t="s" cm="1">
        <v>570</v>
      </c>
      <c r="B22" s="4" t="s">
        <v>352</v>
      </c>
      <c r="C22">
        <v>1</v>
      </c>
      <c r="N22" t="s" cm="1">
        <v>570</v>
      </c>
      <c r="O22" s="4" t="s">
        <v>393</v>
      </c>
      <c r="P22">
        <v>1</v>
      </c>
    </row>
    <row r="23" spans="1:16" ht="15" customHeight="1" x14ac:dyDescent="0.25">
      <c r="A23" t="s" cm="1">
        <v>328</v>
      </c>
      <c r="B23" s="4" t="s">
        <v>507</v>
      </c>
      <c r="C23">
        <v>1</v>
      </c>
      <c r="N23" t="s" cm="1">
        <v>572</v>
      </c>
      <c r="O23" s="4" t="s">
        <v>338</v>
      </c>
      <c r="P23">
        <v>1</v>
      </c>
    </row>
    <row r="24" spans="1:16" ht="15" customHeight="1" x14ac:dyDescent="0.25">
      <c r="A24" t="s" cm="1">
        <v>574</v>
      </c>
      <c r="B24" s="4" t="s">
        <v>429</v>
      </c>
      <c r="C24">
        <v>1</v>
      </c>
      <c r="N24" t="s" cm="1">
        <v>570</v>
      </c>
      <c r="O24" s="4" t="s">
        <v>396</v>
      </c>
      <c r="P24">
        <v>1</v>
      </c>
    </row>
    <row r="25" spans="1:16" ht="15" customHeight="1" x14ac:dyDescent="0.25">
      <c r="A25" t="s" cm="1">
        <v>305</v>
      </c>
      <c r="B25" s="4" t="s">
        <v>538</v>
      </c>
      <c r="C25">
        <v>1</v>
      </c>
      <c r="N25" t="s" cm="1">
        <v>305</v>
      </c>
      <c r="O25" s="4" t="s">
        <v>345</v>
      </c>
      <c r="P25">
        <v>1</v>
      </c>
    </row>
    <row r="26" spans="1:16" ht="15" customHeight="1" x14ac:dyDescent="0.25">
      <c r="A26" t="s" cm="1">
        <v>569</v>
      </c>
      <c r="B26" s="4" t="s">
        <v>635</v>
      </c>
      <c r="C26">
        <v>1</v>
      </c>
      <c r="N26" t="s" cm="1">
        <v>569</v>
      </c>
      <c r="O26" s="4" t="s">
        <v>583</v>
      </c>
      <c r="P26">
        <v>1</v>
      </c>
    </row>
    <row r="27" spans="1:16" ht="15" customHeight="1" x14ac:dyDescent="0.25">
      <c r="A27" t="s" cm="1">
        <v>552</v>
      </c>
      <c r="B27" s="4" t="s">
        <v>419</v>
      </c>
      <c r="C27">
        <v>1</v>
      </c>
      <c r="N27" t="s" cm="1">
        <v>552</v>
      </c>
      <c r="O27" s="4" t="s">
        <v>348</v>
      </c>
      <c r="P27">
        <v>1</v>
      </c>
    </row>
    <row r="28" spans="1:16" ht="15" customHeight="1" x14ac:dyDescent="0.25">
      <c r="A28" t="s" cm="1">
        <v>567</v>
      </c>
      <c r="B28" s="4" t="s">
        <v>549</v>
      </c>
      <c r="C28">
        <v>1</v>
      </c>
      <c r="N28" t="s" cm="1">
        <v>567</v>
      </c>
      <c r="O28" s="4" t="s">
        <v>405</v>
      </c>
      <c r="P28">
        <v>1</v>
      </c>
    </row>
    <row r="29" spans="1:16" ht="15" customHeight="1" x14ac:dyDescent="0.25">
      <c r="A29" t="s" cm="1">
        <v>771</v>
      </c>
      <c r="B29" s="4" t="s">
        <v>423</v>
      </c>
      <c r="C29">
        <v>1</v>
      </c>
      <c r="N29" t="s" cm="1">
        <v>771</v>
      </c>
      <c r="O29" s="4" t="s">
        <v>357</v>
      </c>
      <c r="P29">
        <v>1</v>
      </c>
    </row>
    <row r="30" spans="1:16" ht="15" customHeight="1" x14ac:dyDescent="0.25">
      <c r="A30" t="s" cm="1">
        <v>771</v>
      </c>
      <c r="B30" s="4" t="s">
        <v>722</v>
      </c>
      <c r="C30">
        <v>1</v>
      </c>
      <c r="N30" t="s" cm="1">
        <v>771</v>
      </c>
      <c r="O30" s="4" t="s">
        <v>407</v>
      </c>
      <c r="P30">
        <v>1</v>
      </c>
    </row>
    <row r="31" spans="1:16" ht="15" customHeight="1" x14ac:dyDescent="0.25">
      <c r="A31" t="s" cm="1">
        <v>771</v>
      </c>
      <c r="B31" s="4" t="s">
        <v>426</v>
      </c>
      <c r="C31">
        <v>1</v>
      </c>
      <c r="N31" t="s" cm="1">
        <v>771</v>
      </c>
      <c r="O31" s="4" t="s">
        <v>631</v>
      </c>
      <c r="P31">
        <v>1</v>
      </c>
    </row>
    <row r="32" spans="1:16" ht="15" customHeight="1" x14ac:dyDescent="0.25">
      <c r="A32" t="s" cm="1">
        <v>771</v>
      </c>
      <c r="B32" s="4" t="s">
        <v>375</v>
      </c>
      <c r="C32">
        <v>1</v>
      </c>
      <c r="N32" t="s" cm="1">
        <v>771</v>
      </c>
      <c r="O32" s="4" t="s">
        <v>409</v>
      </c>
      <c r="P32">
        <v>1</v>
      </c>
    </row>
    <row r="33" spans="1:16" ht="15" customHeight="1" x14ac:dyDescent="0.25">
      <c r="A33" t="s" cm="1">
        <v>811</v>
      </c>
      <c r="B33" s="4" t="s">
        <v>300</v>
      </c>
      <c r="C33">
        <v>1</v>
      </c>
      <c r="N33" t="s" cm="1">
        <v>811</v>
      </c>
      <c r="O33" s="4" t="s">
        <v>448</v>
      </c>
      <c r="P33">
        <v>1</v>
      </c>
    </row>
    <row r="34" spans="1:16" ht="15" customHeight="1" x14ac:dyDescent="0.25">
      <c r="A34" t="s" cm="1">
        <v>817</v>
      </c>
      <c r="B34" s="4" t="s">
        <v>381</v>
      </c>
      <c r="C34">
        <v>1</v>
      </c>
      <c r="N34" t="s" cm="1">
        <v>821</v>
      </c>
      <c r="O34" s="4" t="s">
        <v>416</v>
      </c>
      <c r="P34">
        <v>1</v>
      </c>
    </row>
    <row r="35" spans="1:16" ht="15" customHeight="1" x14ac:dyDescent="0.25">
      <c r="A35" t="s" cm="1">
        <v>829</v>
      </c>
      <c r="B35" s="4" t="s">
        <v>191</v>
      </c>
      <c r="C35">
        <v>1</v>
      </c>
      <c r="N35" t="s" cm="1">
        <v>829</v>
      </c>
      <c r="O35" s="4" t="s">
        <v>341</v>
      </c>
      <c r="P35">
        <v>1</v>
      </c>
    </row>
    <row r="36" spans="1:16" ht="15" customHeight="1" x14ac:dyDescent="0.25">
      <c r="A36" t="s" cm="1">
        <v>815</v>
      </c>
      <c r="B36" s="4" t="s">
        <v>296</v>
      </c>
      <c r="C36">
        <v>1</v>
      </c>
      <c r="N36" t="s" cm="1">
        <v>839</v>
      </c>
      <c r="O36" s="4" t="s">
        <v>419</v>
      </c>
      <c r="P36">
        <v>1</v>
      </c>
    </row>
    <row r="37" spans="1:16" ht="15" customHeight="1" x14ac:dyDescent="0.25">
      <c r="A37" t="s" cm="1">
        <v>862</v>
      </c>
      <c r="B37" s="4" t="s">
        <v>442</v>
      </c>
      <c r="C37">
        <v>1</v>
      </c>
      <c r="N37" t="s" cm="1">
        <v>862</v>
      </c>
      <c r="O37" s="4" t="s">
        <v>367</v>
      </c>
      <c r="P37">
        <v>1</v>
      </c>
    </row>
    <row r="38" spans="1:16" ht="15" customHeight="1" x14ac:dyDescent="0.25">
      <c r="A38" t="s" cm="1">
        <v>847</v>
      </c>
      <c r="B38" s="4" t="s">
        <v>390</v>
      </c>
      <c r="C38">
        <v>1</v>
      </c>
      <c r="N38" t="s" cm="1">
        <v>847</v>
      </c>
      <c r="O38" s="4" t="s">
        <v>423</v>
      </c>
      <c r="P38">
        <v>1</v>
      </c>
    </row>
    <row r="39" spans="1:16" ht="15" customHeight="1" x14ac:dyDescent="0.25">
      <c r="A39" t="s" cm="1">
        <v>852</v>
      </c>
      <c r="B39" s="4" t="s">
        <v>447</v>
      </c>
      <c r="C39">
        <v>1</v>
      </c>
      <c r="N39" t="s" cm="1">
        <v>852</v>
      </c>
      <c r="O39" s="4" t="s">
        <v>371</v>
      </c>
      <c r="P39">
        <v>1</v>
      </c>
    </row>
    <row r="40" spans="1:16" ht="15" customHeight="1" x14ac:dyDescent="0.25">
      <c r="A40" t="s" cm="1">
        <v>852</v>
      </c>
      <c r="B40" s="4" t="s">
        <v>293</v>
      </c>
      <c r="C40">
        <v>1</v>
      </c>
      <c r="N40" t="s" cm="1">
        <v>852</v>
      </c>
      <c r="O40" s="4" t="s">
        <v>426</v>
      </c>
      <c r="P40">
        <v>1</v>
      </c>
    </row>
    <row r="41" spans="1:16" ht="15" customHeight="1" x14ac:dyDescent="0.25">
      <c r="A41" t="s" cm="1">
        <v>849</v>
      </c>
      <c r="B41" s="4" t="s">
        <v>450</v>
      </c>
      <c r="C41">
        <v>1</v>
      </c>
      <c r="N41" t="s" cm="1">
        <v>455</v>
      </c>
      <c r="O41" s="4" t="s">
        <v>533</v>
      </c>
      <c r="P41">
        <v>1</v>
      </c>
    </row>
    <row r="42" spans="1:16" ht="15" customHeight="1" x14ac:dyDescent="0.25">
      <c r="A42" t="s" cm="1">
        <v>849</v>
      </c>
      <c r="B42" s="4" t="s">
        <v>398</v>
      </c>
      <c r="C42">
        <v>1</v>
      </c>
      <c r="N42" t="s" cm="1">
        <v>455</v>
      </c>
      <c r="O42" s="4" t="s">
        <v>301</v>
      </c>
      <c r="P42">
        <v>1</v>
      </c>
    </row>
    <row r="43" spans="1:16" ht="15" customHeight="1" x14ac:dyDescent="0.25">
      <c r="A43" t="s" cm="1">
        <v>866</v>
      </c>
      <c r="B43" s="4" t="s">
        <v>186</v>
      </c>
      <c r="C43">
        <v>1</v>
      </c>
      <c r="N43" t="s" cm="1">
        <v>869</v>
      </c>
      <c r="O43" s="4" t="s">
        <v>463</v>
      </c>
      <c r="P43">
        <v>1</v>
      </c>
    </row>
    <row r="44" spans="1:16" ht="15" customHeight="1" x14ac:dyDescent="0.25">
      <c r="A44" t="s" cm="1">
        <v>870</v>
      </c>
      <c r="B44" s="4" t="s">
        <v>402</v>
      </c>
      <c r="C44">
        <v>1</v>
      </c>
      <c r="N44" t="s" cm="1">
        <v>548</v>
      </c>
      <c r="O44" s="4" t="s">
        <v>442</v>
      </c>
      <c r="P44">
        <v>1</v>
      </c>
    </row>
    <row r="45" spans="1:16" ht="15" customHeight="1" x14ac:dyDescent="0.25">
      <c r="A45" t="s" cm="1">
        <v>877</v>
      </c>
      <c r="B45" s="4" t="s">
        <v>333</v>
      </c>
      <c r="C45">
        <v>1</v>
      </c>
      <c r="N45" t="s" cm="1">
        <v>878</v>
      </c>
      <c r="O45" s="4" t="s">
        <v>516</v>
      </c>
      <c r="P45">
        <v>1</v>
      </c>
    </row>
    <row r="46" spans="1:16" ht="15" customHeight="1" x14ac:dyDescent="0.25">
      <c r="A46" t="s" cm="1">
        <v>879</v>
      </c>
      <c r="B46" s="4" t="s">
        <v>348</v>
      </c>
      <c r="C46">
        <v>1</v>
      </c>
      <c r="N46" t="s" cm="1">
        <v>884</v>
      </c>
      <c r="O46" s="4" t="s">
        <v>447</v>
      </c>
      <c r="P46">
        <v>1</v>
      </c>
    </row>
    <row r="47" spans="1:16" ht="15" customHeight="1" x14ac:dyDescent="0.25">
      <c r="A47" t="s" cm="1">
        <v>879</v>
      </c>
      <c r="B47" s="4" t="s">
        <v>331</v>
      </c>
      <c r="C47">
        <v>1</v>
      </c>
      <c r="N47" t="s" cm="1">
        <v>884</v>
      </c>
      <c r="O47" s="4" t="s">
        <v>466</v>
      </c>
      <c r="P47">
        <v>1</v>
      </c>
    </row>
    <row r="48" spans="1:16" ht="15" customHeight="1" x14ac:dyDescent="0.25">
      <c r="A48" t="s" cm="1">
        <v>887</v>
      </c>
      <c r="B48" s="4" t="s">
        <v>357</v>
      </c>
      <c r="C48">
        <v>1</v>
      </c>
      <c r="N48" t="s" cm="1">
        <v>887</v>
      </c>
      <c r="O48" s="4" t="s">
        <v>450</v>
      </c>
      <c r="P48">
        <v>1</v>
      </c>
    </row>
    <row r="49" spans="1:16" ht="15" customHeight="1" x14ac:dyDescent="0.25">
      <c r="A49" t="s" cm="1">
        <v>636</v>
      </c>
      <c r="B49" s="4" t="s">
        <v>568</v>
      </c>
      <c r="C49">
        <v>1</v>
      </c>
      <c r="N49" t="s" cm="1">
        <v>636</v>
      </c>
      <c r="O49" s="4" t="s">
        <v>545</v>
      </c>
      <c r="P49">
        <v>1</v>
      </c>
    </row>
    <row r="50" spans="1:16" ht="15" customHeight="1" x14ac:dyDescent="0.25">
      <c r="A50" t="s" cm="1">
        <v>893</v>
      </c>
      <c r="B50" s="4" t="s">
        <v>410</v>
      </c>
      <c r="C50">
        <v>1</v>
      </c>
      <c r="N50" t="s" cm="1">
        <v>294</v>
      </c>
      <c r="O50" s="4" t="s">
        <v>456</v>
      </c>
      <c r="P50">
        <v>1</v>
      </c>
    </row>
    <row r="51" spans="1:16" ht="15" customHeight="1" x14ac:dyDescent="0.25">
      <c r="A51" t="s" cm="1">
        <v>444</v>
      </c>
      <c r="B51" s="4" t="s">
        <v>587</v>
      </c>
      <c r="C51">
        <v>1</v>
      </c>
      <c r="N51" t="s" cm="1">
        <v>446</v>
      </c>
      <c r="O51" s="4" t="s">
        <v>471</v>
      </c>
      <c r="P51">
        <v>1</v>
      </c>
    </row>
    <row r="52" spans="1:16" ht="15" customHeight="1" x14ac:dyDescent="0.25">
      <c r="A52" t="s" cm="1">
        <v>433</v>
      </c>
      <c r="B52" s="4" t="s">
        <v>294</v>
      </c>
      <c r="C52">
        <v>1</v>
      </c>
      <c r="N52" t="s" cm="1">
        <v>433</v>
      </c>
      <c r="O52" s="4" t="s">
        <v>461</v>
      </c>
      <c r="P52">
        <v>1</v>
      </c>
    </row>
    <row r="53" spans="1:16" ht="15" customHeight="1" x14ac:dyDescent="0.25">
      <c r="A53" t="s" cm="1">
        <v>300</v>
      </c>
      <c r="B53" s="4" t="s">
        <v>589</v>
      </c>
      <c r="C53">
        <v>1</v>
      </c>
      <c r="N53" t="s" cm="1">
        <v>301</v>
      </c>
      <c r="O53" s="4" t="s">
        <v>521</v>
      </c>
      <c r="P53">
        <v>1</v>
      </c>
    </row>
    <row r="54" spans="1:16" ht="15" customHeight="1" x14ac:dyDescent="0.25">
      <c r="A54" t="s" cm="1">
        <v>517</v>
      </c>
      <c r="B54" s="4" t="s">
        <v>413</v>
      </c>
      <c r="C54">
        <v>1</v>
      </c>
      <c r="N54" t="s" cm="1">
        <v>294</v>
      </c>
      <c r="O54" s="4" t="s">
        <v>473</v>
      </c>
      <c r="P54">
        <v>1</v>
      </c>
    </row>
    <row r="55" spans="1:16" ht="15" customHeight="1" x14ac:dyDescent="0.25">
      <c r="A55" t="s" cm="1">
        <v>517</v>
      </c>
      <c r="B55" s="4" t="s">
        <v>591</v>
      </c>
      <c r="C55">
        <v>1</v>
      </c>
      <c r="N55" t="s" cm="1">
        <v>294</v>
      </c>
      <c r="O55" s="4" t="s">
        <v>474</v>
      </c>
      <c r="P55">
        <v>1</v>
      </c>
    </row>
    <row r="56" spans="1:16" ht="15" customHeight="1" x14ac:dyDescent="0.25">
      <c r="A56" t="s" cm="1">
        <v>517</v>
      </c>
      <c r="B56" s="4" t="s">
        <v>361</v>
      </c>
      <c r="C56">
        <v>1</v>
      </c>
      <c r="N56" t="s" cm="1">
        <v>294</v>
      </c>
      <c r="O56" s="4" t="s">
        <v>476</v>
      </c>
      <c r="P56">
        <v>1</v>
      </c>
    </row>
    <row r="57" spans="1:16" ht="15" customHeight="1" x14ac:dyDescent="0.25">
      <c r="A57" t="s" cm="1">
        <v>517</v>
      </c>
      <c r="B57" s="4" t="s">
        <v>574</v>
      </c>
      <c r="C57">
        <v>1</v>
      </c>
      <c r="N57" t="s" cm="1">
        <v>294</v>
      </c>
      <c r="O57" s="4" t="s">
        <v>404</v>
      </c>
      <c r="P57">
        <v>1</v>
      </c>
    </row>
    <row r="58" spans="1:16" ht="15" customHeight="1" x14ac:dyDescent="0.25">
      <c r="A58" t="s" cm="1">
        <v>334</v>
      </c>
      <c r="B58" s="4" t="s">
        <v>693</v>
      </c>
      <c r="C58">
        <v>1</v>
      </c>
      <c r="N58" t="s" cm="1">
        <v>334</v>
      </c>
      <c r="O58" s="4" t="s">
        <v>481</v>
      </c>
      <c r="P58">
        <v>1</v>
      </c>
    </row>
    <row r="59" spans="1:16" ht="15" customHeight="1" x14ac:dyDescent="0.25">
      <c r="A59" t="s" cm="1">
        <v>330</v>
      </c>
      <c r="B59" s="4" t="s">
        <v>473</v>
      </c>
      <c r="C59">
        <v>1</v>
      </c>
      <c r="N59" t="s" cm="1">
        <v>330</v>
      </c>
      <c r="O59" s="4" t="s">
        <v>523</v>
      </c>
      <c r="P59">
        <v>1</v>
      </c>
    </row>
    <row r="60" spans="1:16" ht="15" customHeight="1" x14ac:dyDescent="0.25">
      <c r="A60" t="s" cm="1">
        <v>377</v>
      </c>
      <c r="B60" s="4" t="s">
        <v>609</v>
      </c>
      <c r="C60">
        <v>1</v>
      </c>
      <c r="N60" t="s" cm="1">
        <v>379</v>
      </c>
      <c r="O60" s="4" t="s">
        <v>485</v>
      </c>
      <c r="P60">
        <v>1</v>
      </c>
    </row>
    <row r="61" spans="1:16" ht="15" customHeight="1" x14ac:dyDescent="0.25">
      <c r="A61" t="s" cm="1">
        <v>377</v>
      </c>
      <c r="B61" s="4" t="s">
        <v>476</v>
      </c>
      <c r="C61">
        <v>1</v>
      </c>
      <c r="N61" t="s" cm="1">
        <v>379</v>
      </c>
      <c r="O61" s="4" t="s">
        <v>479</v>
      </c>
      <c r="P61">
        <v>1</v>
      </c>
    </row>
    <row r="62" spans="1:16" ht="15" customHeight="1" x14ac:dyDescent="0.25">
      <c r="A62" t="s" cm="1">
        <v>377</v>
      </c>
      <c r="B62" s="4" t="s">
        <v>367</v>
      </c>
      <c r="C62">
        <v>1</v>
      </c>
      <c r="N62" t="s" cm="1">
        <v>379</v>
      </c>
      <c r="O62" s="4" t="s">
        <v>489</v>
      </c>
      <c r="P62">
        <v>1</v>
      </c>
    </row>
    <row r="63" spans="1:16" ht="15" customHeight="1" x14ac:dyDescent="0.25">
      <c r="A63" t="s" cm="1">
        <v>377</v>
      </c>
      <c r="B63" s="4" t="s">
        <v>602</v>
      </c>
      <c r="C63">
        <v>1</v>
      </c>
      <c r="N63" t="s" cm="1">
        <v>379</v>
      </c>
      <c r="O63" s="4" t="s">
        <v>174</v>
      </c>
      <c r="P63">
        <v>1</v>
      </c>
    </row>
    <row r="64" spans="1:16" ht="15" customHeight="1" x14ac:dyDescent="0.25">
      <c r="A64" t="s" cm="1">
        <v>377</v>
      </c>
      <c r="B64" s="4" t="s">
        <v>612</v>
      </c>
      <c r="C64">
        <v>1</v>
      </c>
      <c r="N64" t="s" cm="1">
        <v>379</v>
      </c>
      <c r="O64" s="4" t="s">
        <v>493</v>
      </c>
      <c r="P64">
        <v>1</v>
      </c>
    </row>
    <row r="65" spans="1:16" ht="15" customHeight="1" x14ac:dyDescent="0.25">
      <c r="A65" t="s" cm="1">
        <v>377</v>
      </c>
      <c r="B65" s="4" t="s">
        <v>604</v>
      </c>
      <c r="C65">
        <v>1</v>
      </c>
      <c r="N65" t="s" cm="1">
        <v>379</v>
      </c>
      <c r="O65" s="4" t="s">
        <v>414</v>
      </c>
      <c r="P65">
        <v>1</v>
      </c>
    </row>
    <row r="66" spans="1:16" ht="15" customHeight="1" x14ac:dyDescent="0.25">
      <c r="A66" t="s" cm="1">
        <v>377</v>
      </c>
      <c r="B66" s="4" t="s">
        <v>681</v>
      </c>
      <c r="C66">
        <v>1</v>
      </c>
      <c r="N66" t="s" cm="1">
        <v>379</v>
      </c>
      <c r="O66" s="4" t="s">
        <v>497</v>
      </c>
      <c r="P66">
        <v>1</v>
      </c>
    </row>
    <row r="67" spans="1:16" ht="15" customHeight="1" x14ac:dyDescent="0.25">
      <c r="A67" t="s" cm="1">
        <v>377</v>
      </c>
      <c r="B67" s="4" t="s">
        <v>611</v>
      </c>
      <c r="C67">
        <v>1</v>
      </c>
      <c r="N67" t="s" cm="1">
        <v>379</v>
      </c>
      <c r="O67" s="4" t="s">
        <v>299</v>
      </c>
      <c r="P67">
        <v>1</v>
      </c>
    </row>
    <row r="68" spans="1:16" ht="15" customHeight="1" x14ac:dyDescent="0.25">
      <c r="A68" t="s" cm="1">
        <v>377</v>
      </c>
      <c r="B68" s="4" t="s">
        <v>434</v>
      </c>
      <c r="C68">
        <v>1</v>
      </c>
      <c r="N68" t="s" cm="1">
        <v>379</v>
      </c>
      <c r="O68" s="4" t="s">
        <v>501</v>
      </c>
      <c r="P68">
        <v>1</v>
      </c>
    </row>
    <row r="69" spans="1:16" ht="15" customHeight="1" x14ac:dyDescent="0.25">
      <c r="A69" t="s" cm="1">
        <v>377</v>
      </c>
      <c r="B69" s="4" t="s">
        <v>481</v>
      </c>
      <c r="C69">
        <v>1</v>
      </c>
      <c r="N69" t="s" cm="1">
        <v>379</v>
      </c>
      <c r="O69" s="4" t="s">
        <v>157</v>
      </c>
      <c r="P69">
        <v>1</v>
      </c>
    </row>
    <row r="70" spans="1:16" ht="15" customHeight="1" x14ac:dyDescent="0.25">
      <c r="A70" t="s" cm="1">
        <v>377</v>
      </c>
      <c r="B70" s="4" t="s">
        <v>684</v>
      </c>
      <c r="C70">
        <v>1</v>
      </c>
      <c r="N70" t="s" cm="1">
        <v>379</v>
      </c>
      <c r="O70" s="4" t="s">
        <v>506</v>
      </c>
      <c r="P70">
        <v>1</v>
      </c>
    </row>
    <row r="71" spans="1:16" ht="15" customHeight="1" x14ac:dyDescent="0.25">
      <c r="A71" t="s" cm="1">
        <v>377</v>
      </c>
      <c r="B71" s="4" t="s">
        <v>497</v>
      </c>
      <c r="C71">
        <v>1</v>
      </c>
      <c r="N71" t="s" cm="1">
        <v>379</v>
      </c>
      <c r="O71" s="4" t="s">
        <v>421</v>
      </c>
      <c r="P71">
        <v>1</v>
      </c>
    </row>
    <row r="72" spans="1:16" ht="15" customHeight="1" x14ac:dyDescent="0.25">
      <c r="A72" t="s" cm="1">
        <v>377</v>
      </c>
      <c r="B72" s="4" t="s">
        <v>382</v>
      </c>
      <c r="C72">
        <v>1</v>
      </c>
      <c r="N72" t="s" cm="1">
        <v>379</v>
      </c>
      <c r="O72" s="4" t="s">
        <v>513</v>
      </c>
      <c r="P72">
        <v>1</v>
      </c>
    </row>
    <row r="73" spans="1:16" ht="15" customHeight="1" x14ac:dyDescent="0.25">
      <c r="A73" t="s" cm="1">
        <v>331</v>
      </c>
      <c r="B73" s="4" t="s">
        <v>617</v>
      </c>
      <c r="C73">
        <v>1</v>
      </c>
      <c r="N73" t="s" cm="1">
        <v>333</v>
      </c>
      <c r="O73" s="4" t="s">
        <v>309</v>
      </c>
      <c r="P73">
        <v>1</v>
      </c>
    </row>
    <row r="74" spans="1:16" ht="15" customHeight="1" x14ac:dyDescent="0.25">
      <c r="A74" t="s" cm="1">
        <v>468</v>
      </c>
      <c r="B74" s="4" t="s">
        <v>452</v>
      </c>
      <c r="C74">
        <v>1</v>
      </c>
      <c r="N74" t="s" cm="1">
        <v>470</v>
      </c>
      <c r="O74" s="4" t="s">
        <v>522</v>
      </c>
      <c r="P74">
        <v>1</v>
      </c>
    </row>
    <row r="75" spans="1:16" ht="15" customHeight="1" x14ac:dyDescent="0.25">
      <c r="A75" t="s" cm="1">
        <v>468</v>
      </c>
      <c r="B75" s="4" t="s">
        <v>506</v>
      </c>
      <c r="C75">
        <v>1</v>
      </c>
      <c r="N75" t="s" cm="1">
        <v>470</v>
      </c>
      <c r="O75" s="4" t="s">
        <v>603</v>
      </c>
      <c r="P75">
        <v>1</v>
      </c>
    </row>
    <row r="76" spans="1:16" ht="15" customHeight="1" x14ac:dyDescent="0.25">
      <c r="A76" t="s" cm="1">
        <v>468</v>
      </c>
      <c r="B76" s="4" t="s">
        <v>457</v>
      </c>
      <c r="C76">
        <v>1</v>
      </c>
      <c r="N76" t="s" cm="1">
        <v>470</v>
      </c>
      <c r="O76" s="4" t="s">
        <v>527</v>
      </c>
      <c r="P76">
        <v>1</v>
      </c>
    </row>
    <row r="77" spans="1:16" ht="15" customHeight="1" x14ac:dyDescent="0.25">
      <c r="A77" t="s" cm="1">
        <v>468</v>
      </c>
      <c r="B77" s="4" t="s">
        <v>513</v>
      </c>
      <c r="C77">
        <v>1</v>
      </c>
      <c r="N77" t="s" cm="1">
        <v>470</v>
      </c>
      <c r="O77" s="4" t="s">
        <v>327</v>
      </c>
      <c r="P77">
        <v>1</v>
      </c>
    </row>
    <row r="78" spans="1:16" ht="15" customHeight="1" x14ac:dyDescent="0.25">
      <c r="A78" t="s" cm="1">
        <v>468</v>
      </c>
      <c r="B78" s="4" t="s">
        <v>465</v>
      </c>
      <c r="C78">
        <v>1</v>
      </c>
      <c r="N78" t="s" cm="1">
        <v>470</v>
      </c>
      <c r="O78" s="4" t="s">
        <v>531</v>
      </c>
      <c r="P78">
        <v>1</v>
      </c>
    </row>
    <row r="79" spans="1:16" ht="15" customHeight="1" x14ac:dyDescent="0.25">
      <c r="A79" t="s" cm="1">
        <v>468</v>
      </c>
      <c r="B79" s="4" t="s">
        <v>522</v>
      </c>
      <c r="C79">
        <v>1</v>
      </c>
      <c r="N79" t="s" cm="1">
        <v>470</v>
      </c>
      <c r="O79" s="4" t="s">
        <v>336</v>
      </c>
      <c r="P79">
        <v>1</v>
      </c>
    </row>
    <row r="80" spans="1:16" ht="15" customHeight="1" x14ac:dyDescent="0.25">
      <c r="A80" t="s" cm="1">
        <v>468</v>
      </c>
      <c r="B80" s="4" t="s">
        <v>469</v>
      </c>
      <c r="C80">
        <v>1</v>
      </c>
      <c r="N80" t="s" cm="1">
        <v>470</v>
      </c>
      <c r="O80" s="4" t="s">
        <v>532</v>
      </c>
      <c r="P80">
        <v>1</v>
      </c>
    </row>
    <row r="81" spans="1:16" ht="15" customHeight="1" x14ac:dyDescent="0.25">
      <c r="A81" t="s" cm="1">
        <v>315</v>
      </c>
      <c r="B81" s="4" t="s">
        <v>620</v>
      </c>
      <c r="C81">
        <v>1</v>
      </c>
      <c r="N81" t="s" cm="1">
        <v>317</v>
      </c>
      <c r="O81" s="4" t="s">
        <v>350</v>
      </c>
      <c r="P81">
        <v>1</v>
      </c>
    </row>
    <row r="82" spans="1:16" ht="15" customHeight="1" x14ac:dyDescent="0.25">
      <c r="A82" t="s" cm="1">
        <v>315</v>
      </c>
      <c r="B82" s="4" t="s">
        <v>391</v>
      </c>
      <c r="C82">
        <v>1</v>
      </c>
      <c r="N82" t="s" cm="1">
        <v>317</v>
      </c>
      <c r="O82" s="4" t="s">
        <v>539</v>
      </c>
      <c r="P82">
        <v>1</v>
      </c>
    </row>
    <row r="83" spans="1:16" ht="15" customHeight="1" x14ac:dyDescent="0.25">
      <c r="A83" t="s" cm="1">
        <v>315</v>
      </c>
      <c r="B83" s="4" t="s">
        <v>616</v>
      </c>
      <c r="C83">
        <v>1</v>
      </c>
      <c r="N83" t="s" cm="1">
        <v>317</v>
      </c>
      <c r="O83" s="4" t="s">
        <v>363</v>
      </c>
      <c r="P83">
        <v>1</v>
      </c>
    </row>
    <row r="84" spans="1:16" ht="15" customHeight="1" x14ac:dyDescent="0.25">
      <c r="A84" t="s" cm="1">
        <v>315</v>
      </c>
      <c r="B84" s="4" t="s">
        <v>392</v>
      </c>
      <c r="C84">
        <v>1</v>
      </c>
      <c r="N84" t="s" cm="1">
        <v>317</v>
      </c>
      <c r="O84" s="4" t="s">
        <v>541</v>
      </c>
      <c r="P84">
        <v>1</v>
      </c>
    </row>
    <row r="85" spans="1:16" ht="15" customHeight="1" x14ac:dyDescent="0.25">
      <c r="A85" t="s" cm="1">
        <v>315</v>
      </c>
      <c r="B85" s="4" t="s">
        <v>623</v>
      </c>
      <c r="C85">
        <v>1</v>
      </c>
      <c r="N85" t="s" cm="1">
        <v>317</v>
      </c>
      <c r="O85" s="4" t="s">
        <v>428</v>
      </c>
      <c r="P85">
        <v>1</v>
      </c>
    </row>
    <row r="86" spans="1:16" ht="15" customHeight="1" x14ac:dyDescent="0.25">
      <c r="A86" t="s" cm="1">
        <v>486</v>
      </c>
      <c r="B86" s="4" t="s">
        <v>394</v>
      </c>
      <c r="C86">
        <v>1</v>
      </c>
      <c r="N86" t="s" cm="1">
        <v>487</v>
      </c>
      <c r="O86" s="4" t="s">
        <v>543</v>
      </c>
      <c r="P86">
        <v>1</v>
      </c>
    </row>
    <row r="87" spans="1:16" ht="15" customHeight="1" x14ac:dyDescent="0.25">
      <c r="A87" t="s" cm="1">
        <v>436</v>
      </c>
      <c r="B87" s="4" t="s">
        <v>625</v>
      </c>
      <c r="C87">
        <v>1</v>
      </c>
      <c r="N87" t="s" cm="1">
        <v>410</v>
      </c>
      <c r="O87" s="4" t="s">
        <v>600</v>
      </c>
      <c r="P87">
        <v>1</v>
      </c>
    </row>
    <row r="88" spans="1:16" ht="15" customHeight="1" x14ac:dyDescent="0.25">
      <c r="A88" t="s" cm="1">
        <v>343</v>
      </c>
      <c r="B88" s="4" t="s">
        <v>400</v>
      </c>
      <c r="C88">
        <v>1</v>
      </c>
      <c r="N88" t="s" cm="1">
        <v>344</v>
      </c>
      <c r="O88" s="4" t="s">
        <v>546</v>
      </c>
      <c r="P88">
        <v>1</v>
      </c>
    </row>
    <row r="89" spans="1:16" ht="15" customHeight="1" x14ac:dyDescent="0.25">
      <c r="A89" t="s" cm="1">
        <v>343</v>
      </c>
      <c r="B89" s="4" t="s">
        <v>629</v>
      </c>
      <c r="C89">
        <v>1</v>
      </c>
      <c r="N89" t="s" cm="1">
        <v>344</v>
      </c>
      <c r="O89" s="4" t="s">
        <v>549</v>
      </c>
      <c r="P89">
        <v>1</v>
      </c>
    </row>
    <row r="90" spans="1:16" ht="15" customHeight="1" x14ac:dyDescent="0.25">
      <c r="A90" t="s" cm="1">
        <v>343</v>
      </c>
      <c r="B90" s="4" t="s">
        <v>490</v>
      </c>
      <c r="C90">
        <v>1</v>
      </c>
      <c r="N90" t="s" cm="1">
        <v>344</v>
      </c>
      <c r="O90" s="4" t="s">
        <v>552</v>
      </c>
      <c r="P90">
        <v>1</v>
      </c>
    </row>
    <row r="91" spans="1:16" ht="15" customHeight="1" x14ac:dyDescent="0.25">
      <c r="A91" t="s" cm="1">
        <v>343</v>
      </c>
      <c r="B91" s="4" t="s">
        <v>548</v>
      </c>
      <c r="C91">
        <v>1</v>
      </c>
      <c r="N91" t="s" cm="1">
        <v>344</v>
      </c>
      <c r="O91" s="4" t="s">
        <v>500</v>
      </c>
      <c r="P91">
        <v>1</v>
      </c>
    </row>
    <row r="92" spans="1:16" ht="15" customHeight="1" x14ac:dyDescent="0.25">
      <c r="A92" t="s" cm="1">
        <v>351</v>
      </c>
      <c r="B92" s="4" t="s">
        <v>495</v>
      </c>
      <c r="C92">
        <v>1</v>
      </c>
      <c r="N92" t="s" cm="1">
        <v>353</v>
      </c>
      <c r="O92" s="4" t="s">
        <v>312</v>
      </c>
      <c r="P92">
        <v>1</v>
      </c>
    </row>
    <row r="93" spans="1:16" ht="15" customHeight="1" x14ac:dyDescent="0.25">
      <c r="A93" t="s" cm="1">
        <v>351</v>
      </c>
      <c r="B93" s="4" t="s">
        <v>547</v>
      </c>
      <c r="C93">
        <v>1</v>
      </c>
      <c r="N93" t="s" cm="1">
        <v>353</v>
      </c>
      <c r="O93" s="4" t="s">
        <v>443</v>
      </c>
      <c r="P93">
        <v>1</v>
      </c>
    </row>
    <row r="94" spans="1:16" ht="15" customHeight="1" x14ac:dyDescent="0.25">
      <c r="A94" t="s" cm="1">
        <v>351</v>
      </c>
      <c r="B94" s="4" t="s">
        <v>499</v>
      </c>
      <c r="C94">
        <v>1</v>
      </c>
      <c r="N94" t="s" cm="1">
        <v>353</v>
      </c>
      <c r="O94" s="4" t="s">
        <v>491</v>
      </c>
      <c r="P94">
        <v>1</v>
      </c>
    </row>
    <row r="95" spans="1:16" ht="15" customHeight="1" x14ac:dyDescent="0.25">
      <c r="A95" t="s" cm="1">
        <v>351</v>
      </c>
      <c r="B95" s="4" t="s">
        <v>565</v>
      </c>
      <c r="C95">
        <v>1</v>
      </c>
      <c r="N95" t="s" cm="1">
        <v>353</v>
      </c>
      <c r="O95" s="4" t="s">
        <v>361</v>
      </c>
      <c r="P95">
        <v>1</v>
      </c>
    </row>
    <row r="96" spans="1:16" ht="15" customHeight="1" x14ac:dyDescent="0.25">
      <c r="A96" t="s" cm="1">
        <v>351</v>
      </c>
      <c r="B96" s="4" t="s">
        <v>503</v>
      </c>
      <c r="C96">
        <v>1</v>
      </c>
      <c r="N96" t="s" cm="1">
        <v>353</v>
      </c>
      <c r="O96" s="4" t="s">
        <v>811</v>
      </c>
      <c r="P96">
        <v>1</v>
      </c>
    </row>
    <row r="97" spans="1:16" ht="15" customHeight="1" x14ac:dyDescent="0.25">
      <c r="A97" t="s" cm="1">
        <v>351</v>
      </c>
      <c r="B97" s="4" t="s">
        <v>637</v>
      </c>
      <c r="C97">
        <v>1</v>
      </c>
      <c r="N97" t="s" cm="1">
        <v>353</v>
      </c>
      <c r="O97" s="4" t="s">
        <v>540</v>
      </c>
      <c r="P97">
        <v>1</v>
      </c>
    </row>
    <row r="98" spans="1:16" ht="15" customHeight="1" x14ac:dyDescent="0.25">
      <c r="A98" t="s" cm="1">
        <v>351</v>
      </c>
      <c r="B98" s="4" t="s">
        <v>627</v>
      </c>
      <c r="C98">
        <v>1</v>
      </c>
      <c r="N98" t="s" cm="1">
        <v>353</v>
      </c>
      <c r="O98" s="4" t="s">
        <v>839</v>
      </c>
      <c r="P98">
        <v>1</v>
      </c>
    </row>
    <row r="99" spans="1:16" ht="15" customHeight="1" x14ac:dyDescent="0.25">
      <c r="A99" t="s" cm="1">
        <v>430</v>
      </c>
      <c r="B99" s="4" t="s">
        <v>484</v>
      </c>
      <c r="C99">
        <v>1</v>
      </c>
      <c r="N99" t="s" cm="1">
        <v>432</v>
      </c>
      <c r="O99" s="4" t="s">
        <v>458</v>
      </c>
      <c r="P99">
        <v>1</v>
      </c>
    </row>
    <row r="100" spans="1:16" ht="15" customHeight="1" x14ac:dyDescent="0.25">
      <c r="A100" t="s" cm="1">
        <v>157</v>
      </c>
      <c r="B100" s="4" t="s">
        <v>665</v>
      </c>
      <c r="C100">
        <v>1</v>
      </c>
      <c r="N100" t="s" cm="1">
        <v>157</v>
      </c>
      <c r="O100" s="4" t="s">
        <v>829</v>
      </c>
      <c r="P100">
        <v>1</v>
      </c>
    </row>
    <row r="101" spans="1:16" ht="15" customHeight="1" x14ac:dyDescent="0.25">
      <c r="A101" t="s" cm="1">
        <v>514</v>
      </c>
      <c r="B101" s="4" t="s">
        <v>482</v>
      </c>
      <c r="C101">
        <v>1</v>
      </c>
      <c r="N101" t="s" cm="1">
        <v>515</v>
      </c>
      <c r="O101" s="4" t="s">
        <v>386</v>
      </c>
      <c r="P101">
        <v>1</v>
      </c>
    </row>
    <row r="102" spans="1:16" ht="15" customHeight="1" x14ac:dyDescent="0.25">
      <c r="A102" t="s" cm="1">
        <v>482</v>
      </c>
      <c r="B102" s="4" t="s">
        <v>525</v>
      </c>
      <c r="C102">
        <v>1</v>
      </c>
      <c r="N102" t="s" cm="1">
        <v>484</v>
      </c>
      <c r="O102" s="4" t="s">
        <v>816</v>
      </c>
      <c r="P102">
        <v>1</v>
      </c>
    </row>
    <row r="103" spans="1:16" ht="15" customHeight="1" x14ac:dyDescent="0.25">
      <c r="A103" t="s" cm="1">
        <v>429</v>
      </c>
      <c r="B103" s="4" t="s">
        <v>432</v>
      </c>
      <c r="C103">
        <v>1</v>
      </c>
      <c r="N103" t="s" cm="1">
        <v>356</v>
      </c>
      <c r="O103" s="4" t="s">
        <v>391</v>
      </c>
      <c r="P103">
        <v>1</v>
      </c>
    </row>
    <row r="104" spans="1:16" ht="15" customHeight="1" x14ac:dyDescent="0.25">
      <c r="A104" t="s" cm="1">
        <v>451</v>
      </c>
      <c r="B104" s="4" t="s">
        <v>528</v>
      </c>
      <c r="C104">
        <v>1</v>
      </c>
      <c r="N104" t="s" cm="1">
        <v>451</v>
      </c>
      <c r="O104" s="4" t="s">
        <v>831</v>
      </c>
      <c r="P104">
        <v>1</v>
      </c>
    </row>
    <row r="105" spans="1:16" ht="15" customHeight="1" x14ac:dyDescent="0.25">
      <c r="A105" t="s" cm="1">
        <v>191</v>
      </c>
      <c r="B105" s="4" t="s">
        <v>430</v>
      </c>
      <c r="C105">
        <v>1</v>
      </c>
      <c r="N105" t="s" cm="1">
        <v>512</v>
      </c>
      <c r="O105" s="4" t="s">
        <v>394</v>
      </c>
      <c r="P105">
        <v>1</v>
      </c>
    </row>
    <row r="106" spans="1:16" ht="15" customHeight="1" x14ac:dyDescent="0.25">
      <c r="A106" t="s" cm="1">
        <v>373</v>
      </c>
      <c r="B106" s="4" t="s">
        <v>453</v>
      </c>
      <c r="C106">
        <v>1</v>
      </c>
      <c r="N106" t="s" cm="1">
        <v>373</v>
      </c>
      <c r="O106" s="4" t="s">
        <v>814</v>
      </c>
      <c r="P106">
        <v>1</v>
      </c>
    </row>
    <row r="107" spans="1:16" ht="15" customHeight="1" x14ac:dyDescent="0.25">
      <c r="A107" t="s" cm="1">
        <v>158</v>
      </c>
      <c r="B107" s="4" t="s">
        <v>541</v>
      </c>
      <c r="C107">
        <v>1</v>
      </c>
      <c r="N107" t="s" cm="1">
        <v>387</v>
      </c>
      <c r="O107" s="4" t="s">
        <v>535</v>
      </c>
      <c r="P107">
        <v>1</v>
      </c>
    </row>
    <row r="108" spans="1:16" ht="15" customHeight="1" x14ac:dyDescent="0.25">
      <c r="A108" t="s" cm="1">
        <v>494</v>
      </c>
      <c r="B108" s="4" t="s">
        <v>444</v>
      </c>
      <c r="C108">
        <v>1</v>
      </c>
      <c r="N108" t="s" cm="1">
        <v>443</v>
      </c>
      <c r="O108" s="4" t="s">
        <v>820</v>
      </c>
      <c r="P108">
        <v>1</v>
      </c>
    </row>
    <row r="109" spans="1:16" ht="15" customHeight="1" x14ac:dyDescent="0.25">
      <c r="A109" t="s" cm="1">
        <v>306</v>
      </c>
      <c r="B109" s="4" t="s">
        <v>543</v>
      </c>
      <c r="C109">
        <v>1</v>
      </c>
      <c r="N109" t="s" cm="1">
        <v>308</v>
      </c>
      <c r="O109" s="4" t="s">
        <v>640</v>
      </c>
      <c r="P109">
        <v>1</v>
      </c>
    </row>
    <row r="110" spans="1:16" ht="15" customHeight="1" x14ac:dyDescent="0.25">
      <c r="A110" t="s" cm="1">
        <v>339</v>
      </c>
      <c r="B110" s="4" t="s">
        <v>479</v>
      </c>
      <c r="C110">
        <v>1</v>
      </c>
      <c r="N110" t="s" cm="1">
        <v>341</v>
      </c>
      <c r="O110" s="4" t="s">
        <v>833</v>
      </c>
      <c r="P110">
        <v>1</v>
      </c>
    </row>
    <row r="111" spans="1:16" ht="15" customHeight="1" x14ac:dyDescent="0.25">
      <c r="A111" t="s" cm="1">
        <v>502</v>
      </c>
      <c r="B111" s="4" t="s">
        <v>552</v>
      </c>
      <c r="C111">
        <v>1</v>
      </c>
      <c r="N111" t="s" cm="1">
        <v>446</v>
      </c>
      <c r="O111" s="4" t="s">
        <v>164</v>
      </c>
      <c r="P111">
        <v>1</v>
      </c>
    </row>
    <row r="112" spans="1:16" ht="15" customHeight="1" x14ac:dyDescent="0.25">
      <c r="A112" t="s" cm="1">
        <v>442</v>
      </c>
      <c r="B112" s="4" t="s">
        <v>174</v>
      </c>
      <c r="C112">
        <v>1</v>
      </c>
      <c r="N112" t="s" cm="1">
        <v>442</v>
      </c>
      <c r="O112" s="4" t="s">
        <v>834</v>
      </c>
      <c r="P112">
        <v>1</v>
      </c>
    </row>
    <row r="113" spans="1:16" ht="15" customHeight="1" x14ac:dyDescent="0.25">
      <c r="A113" t="s" cm="1">
        <v>445</v>
      </c>
      <c r="B113" s="4" t="s">
        <v>312</v>
      </c>
      <c r="C113">
        <v>1</v>
      </c>
      <c r="N113" t="s" cm="1">
        <v>462</v>
      </c>
      <c r="O113" s="4" t="s">
        <v>302</v>
      </c>
      <c r="P113">
        <v>1</v>
      </c>
    </row>
    <row r="114" spans="1:16" ht="15" customHeight="1" x14ac:dyDescent="0.25">
      <c r="A114" t="s" cm="1">
        <v>310</v>
      </c>
      <c r="B114" s="4" t="s">
        <v>414</v>
      </c>
      <c r="C114">
        <v>1</v>
      </c>
      <c r="N114" t="s" cm="1">
        <v>310</v>
      </c>
      <c r="O114" s="4" t="s">
        <v>835</v>
      </c>
      <c r="P114">
        <v>1</v>
      </c>
    </row>
    <row r="115" spans="1:16" ht="15" customHeight="1" x14ac:dyDescent="0.25">
      <c r="A115" t="s" cm="1">
        <v>164</v>
      </c>
      <c r="B115" s="4" t="s">
        <v>491</v>
      </c>
      <c r="C115">
        <v>1</v>
      </c>
      <c r="N115" t="s" cm="1">
        <v>164</v>
      </c>
      <c r="O115" s="4" t="s">
        <v>425</v>
      </c>
      <c r="P115">
        <v>1</v>
      </c>
    </row>
    <row r="116" spans="1:16" ht="15" customHeight="1" x14ac:dyDescent="0.25">
      <c r="A116" t="s" cm="1">
        <v>295</v>
      </c>
      <c r="B116" s="4" t="s">
        <v>632</v>
      </c>
      <c r="C116">
        <v>1</v>
      </c>
      <c r="N116" t="s" cm="1">
        <v>296</v>
      </c>
      <c r="O116" s="4" t="s">
        <v>825</v>
      </c>
      <c r="P116">
        <v>1</v>
      </c>
    </row>
    <row r="117" spans="1:16" ht="15" customHeight="1" x14ac:dyDescent="0.25">
      <c r="A117" t="s" cm="1">
        <v>313</v>
      </c>
      <c r="B117" s="4" t="s">
        <v>305</v>
      </c>
      <c r="C117">
        <v>1</v>
      </c>
      <c r="N117" t="s" cm="1">
        <v>313</v>
      </c>
      <c r="O117" s="4" t="s">
        <v>323</v>
      </c>
      <c r="P117">
        <v>1</v>
      </c>
    </row>
    <row r="118" spans="1:16" ht="15" customHeight="1" x14ac:dyDescent="0.25">
      <c r="A118" t="s" cm="1">
        <v>401</v>
      </c>
      <c r="B118" s="4" t="s">
        <v>302</v>
      </c>
      <c r="C118">
        <v>1</v>
      </c>
      <c r="N118" t="s" cm="1">
        <v>317</v>
      </c>
      <c r="O118" s="4" t="s">
        <v>847</v>
      </c>
      <c r="P118">
        <v>1</v>
      </c>
    </row>
    <row r="119" spans="1:16" ht="15" customHeight="1" x14ac:dyDescent="0.25">
      <c r="A119" t="s" cm="1">
        <v>507</v>
      </c>
      <c r="B119" s="4" t="s">
        <v>658</v>
      </c>
      <c r="C119">
        <v>1</v>
      </c>
      <c r="N119" t="s" cm="1">
        <v>509</v>
      </c>
      <c r="O119" s="4" t="s">
        <v>347</v>
      </c>
      <c r="P119">
        <v>1</v>
      </c>
    </row>
    <row r="120" spans="1:16" ht="15" customHeight="1" x14ac:dyDescent="0.25">
      <c r="A120" t="s" cm="1">
        <v>421</v>
      </c>
      <c r="B120" s="4" t="s">
        <v>157</v>
      </c>
      <c r="C120">
        <v>1</v>
      </c>
      <c r="N120" t="s" cm="1">
        <v>421</v>
      </c>
      <c r="O120" s="4" t="s">
        <v>848</v>
      </c>
      <c r="P120">
        <v>1</v>
      </c>
    </row>
    <row r="121" spans="1:16" ht="15" customHeight="1" x14ac:dyDescent="0.25">
      <c r="A121" t="s" cm="1">
        <v>453</v>
      </c>
      <c r="B121" s="4" t="s">
        <v>576</v>
      </c>
      <c r="C121">
        <v>1</v>
      </c>
      <c r="N121" t="s" cm="1">
        <v>455</v>
      </c>
      <c r="O121" s="4" t="s">
        <v>320</v>
      </c>
      <c r="P121">
        <v>1</v>
      </c>
    </row>
    <row r="122" spans="1:16" ht="15" customHeight="1" x14ac:dyDescent="0.25">
      <c r="A122" t="s" cm="1">
        <v>303</v>
      </c>
      <c r="B122" s="4" t="s">
        <v>421</v>
      </c>
      <c r="C122">
        <v>1</v>
      </c>
      <c r="N122" t="s" cm="1">
        <v>304</v>
      </c>
      <c r="O122" s="4" t="s">
        <v>862</v>
      </c>
      <c r="P122">
        <v>1</v>
      </c>
    </row>
    <row r="123" spans="1:16" ht="15" customHeight="1" x14ac:dyDescent="0.25">
      <c r="A123" t="s" cm="1">
        <v>167</v>
      </c>
      <c r="B123" s="4" t="s">
        <v>535</v>
      </c>
      <c r="C123">
        <v>1</v>
      </c>
      <c r="N123" t="s" cm="1">
        <v>167</v>
      </c>
      <c r="O123" s="4" t="s">
        <v>329</v>
      </c>
      <c r="P123">
        <v>1</v>
      </c>
    </row>
    <row r="124" spans="1:16" ht="15" customHeight="1" x14ac:dyDescent="0.25">
      <c r="A124" t="s" cm="1">
        <v>478</v>
      </c>
      <c r="B124" s="4" t="s">
        <v>633</v>
      </c>
      <c r="C124">
        <v>1</v>
      </c>
      <c r="N124" t="s" cm="1">
        <v>475</v>
      </c>
      <c r="O124" s="4" t="s">
        <v>887</v>
      </c>
      <c r="P124">
        <v>1</v>
      </c>
    </row>
    <row r="125" spans="1:16" ht="15" customHeight="1" x14ac:dyDescent="0.25">
      <c r="A125" t="s" cm="1">
        <v>498</v>
      </c>
      <c r="B125" s="4" t="s">
        <v>668</v>
      </c>
      <c r="C125">
        <v>1</v>
      </c>
      <c r="N125" t="s" cm="1">
        <v>498</v>
      </c>
      <c r="O125" s="4" t="s">
        <v>439</v>
      </c>
      <c r="P125">
        <v>1</v>
      </c>
    </row>
    <row r="126" spans="1:16" ht="15" customHeight="1" x14ac:dyDescent="0.25">
      <c r="A126" t="s" cm="1">
        <v>364</v>
      </c>
      <c r="B126" s="4" t="s">
        <v>867</v>
      </c>
      <c r="C126">
        <v>1</v>
      </c>
      <c r="N126" t="s" cm="1">
        <v>353</v>
      </c>
      <c r="O126" s="4" t="s">
        <v>863</v>
      </c>
      <c r="P126">
        <v>1</v>
      </c>
    </row>
    <row r="127" spans="1:16" ht="15" customHeight="1" x14ac:dyDescent="0.25">
      <c r="A127" t="s" cm="1">
        <v>364</v>
      </c>
      <c r="B127" s="4" t="s">
        <v>670</v>
      </c>
      <c r="C127">
        <v>1</v>
      </c>
      <c r="N127" t="s" cm="1">
        <v>353</v>
      </c>
      <c r="O127" s="4" t="s">
        <v>655</v>
      </c>
      <c r="P127">
        <v>1</v>
      </c>
    </row>
    <row r="128" spans="1:16" ht="15" customHeight="1" x14ac:dyDescent="0.25">
      <c r="A128" t="s" cm="1">
        <v>364</v>
      </c>
      <c r="B128" s="4" t="s">
        <v>323</v>
      </c>
      <c r="C128">
        <v>1</v>
      </c>
      <c r="N128" t="s" cm="1">
        <v>353</v>
      </c>
      <c r="O128" s="4" t="s">
        <v>926</v>
      </c>
      <c r="P128">
        <v>1</v>
      </c>
    </row>
    <row r="129" spans="1:16" ht="15" customHeight="1" x14ac:dyDescent="0.25">
      <c r="A129" t="s" cm="1">
        <v>364</v>
      </c>
      <c r="B129" s="4" t="s">
        <v>671</v>
      </c>
      <c r="C129">
        <v>1</v>
      </c>
      <c r="N129" t="s" cm="1">
        <v>353</v>
      </c>
      <c r="O129" s="4" t="s">
        <v>382</v>
      </c>
      <c r="P129">
        <v>1</v>
      </c>
    </row>
    <row r="130" spans="1:16" ht="15" customHeight="1" x14ac:dyDescent="0.25">
      <c r="A130" t="s" cm="1">
        <v>364</v>
      </c>
      <c r="B130" s="4" t="s">
        <v>307</v>
      </c>
      <c r="C130">
        <v>1</v>
      </c>
      <c r="N130" t="s" cm="1">
        <v>353</v>
      </c>
      <c r="O130" s="4" t="s">
        <v>888</v>
      </c>
      <c r="P130">
        <v>1</v>
      </c>
    </row>
    <row r="131" spans="1:16" ht="15" customHeight="1" x14ac:dyDescent="0.25">
      <c r="A131" t="s" cm="1">
        <v>364</v>
      </c>
      <c r="B131" s="4" t="s">
        <v>560</v>
      </c>
      <c r="C131">
        <v>1</v>
      </c>
      <c r="N131" t="s" cm="1">
        <v>353</v>
      </c>
      <c r="O131" s="4" t="s">
        <v>392</v>
      </c>
      <c r="P131">
        <v>1</v>
      </c>
    </row>
    <row r="132" spans="1:16" ht="15" customHeight="1" x14ac:dyDescent="0.25">
      <c r="A132" t="s" cm="1">
        <v>364</v>
      </c>
      <c r="B132" s="4" t="s">
        <v>318</v>
      </c>
      <c r="C132">
        <v>1</v>
      </c>
      <c r="N132" t="s" cm="1">
        <v>353</v>
      </c>
      <c r="O132" s="4" t="s">
        <v>895</v>
      </c>
      <c r="P132">
        <v>1</v>
      </c>
    </row>
    <row r="133" spans="1:16" ht="15" customHeight="1" x14ac:dyDescent="0.25">
      <c r="A133" t="s" cm="1">
        <v>364</v>
      </c>
      <c r="B133" s="4" t="s">
        <v>674</v>
      </c>
      <c r="C133">
        <v>1</v>
      </c>
      <c r="N133" t="s" cm="1">
        <v>353</v>
      </c>
      <c r="O133" s="4" t="s">
        <v>477</v>
      </c>
      <c r="P133">
        <v>1</v>
      </c>
    </row>
    <row r="134" spans="1:16" ht="15" customHeight="1" x14ac:dyDescent="0.25">
      <c r="A134" t="s" cm="1">
        <v>414</v>
      </c>
      <c r="B134" s="4" t="s">
        <v>639</v>
      </c>
      <c r="C134">
        <v>1</v>
      </c>
      <c r="N134" t="s" cm="1">
        <v>414</v>
      </c>
      <c r="O134" s="4" t="s">
        <v>929</v>
      </c>
      <c r="P134">
        <v>1</v>
      </c>
    </row>
    <row r="135" spans="1:16" ht="15" customHeight="1" x14ac:dyDescent="0.25">
      <c r="A135" t="s" cm="1">
        <v>459</v>
      </c>
      <c r="B135" s="4" t="s">
        <v>676</v>
      </c>
      <c r="C135">
        <v>1</v>
      </c>
      <c r="N135" t="s" cm="1">
        <v>455</v>
      </c>
      <c r="O135" s="4" t="s">
        <v>526</v>
      </c>
      <c r="P135">
        <v>1</v>
      </c>
    </row>
    <row r="136" spans="1:16" ht="15" customHeight="1" x14ac:dyDescent="0.25">
      <c r="A136" t="s" cm="1">
        <v>186</v>
      </c>
      <c r="B136" s="4" t="s">
        <v>324</v>
      </c>
      <c r="C136">
        <v>1</v>
      </c>
      <c r="N136" t="s" cm="1">
        <v>456</v>
      </c>
      <c r="O136" s="4" t="s">
        <v>931</v>
      </c>
      <c r="P136">
        <v>1</v>
      </c>
    </row>
    <row r="137" spans="1:16" ht="15" customHeight="1" x14ac:dyDescent="0.25">
      <c r="A137" t="s" cm="1">
        <v>292</v>
      </c>
      <c r="B137" s="4" t="s">
        <v>321</v>
      </c>
      <c r="C137">
        <v>1</v>
      </c>
      <c r="N137" t="s" cm="1">
        <v>293</v>
      </c>
      <c r="O137" s="4" t="s">
        <v>319</v>
      </c>
      <c r="P137">
        <v>1</v>
      </c>
    </row>
    <row r="138" spans="1:16" ht="15" customHeight="1" x14ac:dyDescent="0.25">
      <c r="A138" t="s" cm="1">
        <v>440</v>
      </c>
      <c r="B138" s="4" t="s">
        <v>306</v>
      </c>
      <c r="C138">
        <v>1</v>
      </c>
      <c r="N138" t="s" cm="1">
        <v>413</v>
      </c>
      <c r="O138" s="4" t="s">
        <v>897</v>
      </c>
      <c r="P138">
        <v>1</v>
      </c>
    </row>
    <row r="139" spans="1:16" ht="15" customHeight="1" x14ac:dyDescent="0.25">
      <c r="A139" t="s" cm="1">
        <v>148</v>
      </c>
      <c r="B139" s="4" t="s">
        <v>557</v>
      </c>
      <c r="C139">
        <v>1</v>
      </c>
      <c r="N139" t="s" cm="1">
        <v>148</v>
      </c>
      <c r="O139" s="4" t="s">
        <v>529</v>
      </c>
      <c r="P139">
        <v>1</v>
      </c>
    </row>
    <row r="140" spans="1:16" ht="15" customHeight="1" x14ac:dyDescent="0.25">
      <c r="A140" t="s" cm="1">
        <v>294</v>
      </c>
      <c r="B140" s="4" t="s">
        <v>340</v>
      </c>
      <c r="C140">
        <v>1</v>
      </c>
      <c r="N140" t="s" cm="1">
        <v>294</v>
      </c>
      <c r="O140" s="4" t="s">
        <v>913</v>
      </c>
      <c r="P140">
        <v>1</v>
      </c>
    </row>
    <row r="141" spans="1:16" ht="15" customHeight="1" x14ac:dyDescent="0.25">
      <c r="A141" t="s" cm="1">
        <v>174</v>
      </c>
      <c r="B141" s="4" t="s">
        <v>640</v>
      </c>
      <c r="C141">
        <v>1</v>
      </c>
      <c r="N141" t="s" cm="1">
        <v>174</v>
      </c>
      <c r="O141" s="4" t="s">
        <v>435</v>
      </c>
      <c r="P141">
        <v>1</v>
      </c>
    </row>
    <row r="142" spans="1:16" ht="15" customHeight="1" x14ac:dyDescent="0.25">
      <c r="A142" t="s" cm="1">
        <v>167</v>
      </c>
      <c r="B142" s="4" t="s">
        <v>349</v>
      </c>
      <c r="C142">
        <v>1</v>
      </c>
      <c r="N142" t="s" cm="1">
        <v>167</v>
      </c>
      <c r="O142" s="4" t="s">
        <v>914</v>
      </c>
      <c r="P142">
        <v>1</v>
      </c>
    </row>
    <row r="143" spans="1:16" ht="15" customHeight="1" x14ac:dyDescent="0.25">
      <c r="A143" t="s" cm="1">
        <v>907</v>
      </c>
      <c r="B143" s="4" t="s">
        <v>559</v>
      </c>
      <c r="C143">
        <v>1</v>
      </c>
      <c r="N143" t="s" cm="1">
        <v>912</v>
      </c>
      <c r="O143" s="4" t="s">
        <v>438</v>
      </c>
      <c r="P143">
        <v>1</v>
      </c>
    </row>
    <row r="144" spans="1:16" ht="15" customHeight="1" x14ac:dyDescent="0.25">
      <c r="A144" t="s" cm="1">
        <v>916</v>
      </c>
      <c r="B144" s="4" t="s">
        <v>358</v>
      </c>
      <c r="C144">
        <v>1</v>
      </c>
      <c r="N144" t="s" cm="1">
        <v>924</v>
      </c>
      <c r="O144" s="4" t="s">
        <v>915</v>
      </c>
      <c r="P144">
        <v>1</v>
      </c>
    </row>
    <row r="145" spans="1:16" ht="15" customHeight="1" x14ac:dyDescent="0.25">
      <c r="A145" t="s" cm="1">
        <v>397</v>
      </c>
      <c r="B145" s="4" t="s">
        <v>309</v>
      </c>
      <c r="C145">
        <v>1</v>
      </c>
      <c r="N145" t="s" cm="1">
        <v>399</v>
      </c>
      <c r="O145" s="4" t="s">
        <v>400</v>
      </c>
      <c r="P145">
        <v>1</v>
      </c>
    </row>
    <row r="146" spans="1:16" ht="15" customHeight="1" x14ac:dyDescent="0.25">
      <c r="A146" t="s" cm="1">
        <v>397</v>
      </c>
      <c r="B146" s="4" t="s">
        <v>368</v>
      </c>
      <c r="C146">
        <v>1</v>
      </c>
      <c r="N146" t="s" cm="1">
        <v>399</v>
      </c>
      <c r="O146" s="4" t="s">
        <v>960</v>
      </c>
      <c r="P146">
        <v>1</v>
      </c>
    </row>
    <row r="147" spans="1:16" ht="15" customHeight="1" x14ac:dyDescent="0.25">
      <c r="A147" t="s" cm="1">
        <v>397</v>
      </c>
      <c r="B147" s="4" t="s">
        <v>677</v>
      </c>
      <c r="C147">
        <v>1</v>
      </c>
      <c r="N147" t="s" cm="1">
        <v>399</v>
      </c>
      <c r="O147" s="4" t="s">
        <v>451</v>
      </c>
      <c r="P147">
        <v>1</v>
      </c>
    </row>
    <row r="148" spans="1:16" ht="15" customHeight="1" x14ac:dyDescent="0.25">
      <c r="A148" t="s" cm="1">
        <v>397</v>
      </c>
      <c r="B148" s="4" t="s">
        <v>374</v>
      </c>
      <c r="C148">
        <v>1</v>
      </c>
      <c r="N148" t="s" cm="1">
        <v>399</v>
      </c>
      <c r="O148" s="4" t="s">
        <v>961</v>
      </c>
      <c r="P148">
        <v>1</v>
      </c>
    </row>
    <row r="149" spans="1:16" ht="15" customHeight="1" x14ac:dyDescent="0.25">
      <c r="A149" t="s" cm="1">
        <v>397</v>
      </c>
      <c r="B149" s="4" t="s">
        <v>588</v>
      </c>
      <c r="C149">
        <v>1</v>
      </c>
      <c r="N149" t="s" cm="1">
        <v>399</v>
      </c>
      <c r="O149" s="4" t="s">
        <v>496</v>
      </c>
      <c r="P149">
        <v>1</v>
      </c>
    </row>
    <row r="150" spans="1:16" ht="15" customHeight="1" x14ac:dyDescent="0.25">
      <c r="A150" t="s" cm="1">
        <v>397</v>
      </c>
      <c r="B150" s="4" t="s">
        <v>383</v>
      </c>
      <c r="C150">
        <v>1</v>
      </c>
      <c r="N150" t="s" cm="1">
        <v>399</v>
      </c>
      <c r="O150" s="4" t="s">
        <v>944</v>
      </c>
      <c r="P150">
        <v>1</v>
      </c>
    </row>
    <row r="151" spans="1:16" ht="15" customHeight="1" x14ac:dyDescent="0.25">
      <c r="A151" t="s" cm="1">
        <v>397</v>
      </c>
      <c r="B151" s="4" t="s">
        <v>649</v>
      </c>
      <c r="C151">
        <v>1</v>
      </c>
      <c r="N151" t="s" cm="1">
        <v>399</v>
      </c>
      <c r="O151" s="4" t="s">
        <v>388</v>
      </c>
      <c r="P151">
        <v>1</v>
      </c>
    </row>
    <row r="152" spans="1:16" ht="15" customHeight="1" x14ac:dyDescent="0.25">
      <c r="A152" t="s" cm="1">
        <v>397</v>
      </c>
      <c r="B152" s="4" t="s">
        <v>373</v>
      </c>
      <c r="C152">
        <v>1</v>
      </c>
      <c r="N152" t="s" cm="1">
        <v>399</v>
      </c>
      <c r="O152" s="4" t="s">
        <v>965</v>
      </c>
      <c r="P152">
        <v>1</v>
      </c>
    </row>
    <row r="153" spans="1:16" ht="15" customHeight="1" x14ac:dyDescent="0.25">
      <c r="A153" t="s" cm="1">
        <v>397</v>
      </c>
      <c r="B153" s="4" t="s">
        <v>695</v>
      </c>
      <c r="C153">
        <v>1</v>
      </c>
      <c r="N153" t="s" cm="1">
        <v>399</v>
      </c>
      <c r="O153" s="4" t="s">
        <v>318</v>
      </c>
      <c r="P153">
        <v>1</v>
      </c>
    </row>
    <row r="154" spans="1:16" ht="15" customHeight="1" x14ac:dyDescent="0.25">
      <c r="A154" t="s" cm="1">
        <v>397</v>
      </c>
      <c r="B154" s="4" t="s">
        <v>401</v>
      </c>
      <c r="C154">
        <v>1</v>
      </c>
      <c r="N154" t="s" cm="1">
        <v>399</v>
      </c>
      <c r="O154" s="4" t="s">
        <v>955</v>
      </c>
      <c r="P154">
        <v>1</v>
      </c>
    </row>
    <row r="155" spans="1:16" ht="15" customHeight="1" x14ac:dyDescent="0.25">
      <c r="A155" t="s" cm="1">
        <v>397</v>
      </c>
      <c r="B155" s="4" t="s">
        <v>388</v>
      </c>
      <c r="C155">
        <v>1</v>
      </c>
      <c r="N155" t="s" cm="1">
        <v>399</v>
      </c>
      <c r="O155" s="4" t="s">
        <v>542</v>
      </c>
      <c r="P155">
        <v>1</v>
      </c>
    </row>
    <row r="156" spans="1:16" ht="15" customHeight="1" x14ac:dyDescent="0.25">
      <c r="A156" t="s" cm="1">
        <v>397</v>
      </c>
      <c r="B156" s="4" t="s">
        <v>384</v>
      </c>
      <c r="C156">
        <v>1</v>
      </c>
      <c r="N156" t="s" cm="1">
        <v>399</v>
      </c>
      <c r="O156" s="4" t="s">
        <v>964</v>
      </c>
      <c r="P156">
        <v>1</v>
      </c>
    </row>
    <row r="157" spans="1:16" ht="15" customHeight="1" x14ac:dyDescent="0.25">
      <c r="A157" t="s" cm="1">
        <v>397</v>
      </c>
      <c r="B157" s="4" t="s">
        <v>546</v>
      </c>
      <c r="C157">
        <v>1</v>
      </c>
      <c r="N157" t="s" cm="1">
        <v>399</v>
      </c>
      <c r="O157" s="4" t="s">
        <v>504</v>
      </c>
      <c r="P157">
        <v>1</v>
      </c>
    </row>
    <row r="158" spans="1:16" ht="15" customHeight="1" x14ac:dyDescent="0.25">
      <c r="A158" t="s" cm="1">
        <v>397</v>
      </c>
      <c r="B158" s="4" t="s">
        <v>389</v>
      </c>
      <c r="C158">
        <v>1</v>
      </c>
      <c r="N158" t="s" cm="1">
        <v>399</v>
      </c>
      <c r="O158" s="4" t="s">
        <v>951</v>
      </c>
      <c r="P158">
        <v>1</v>
      </c>
    </row>
    <row r="159" spans="1:16" ht="15" customHeight="1" x14ac:dyDescent="0.25">
      <c r="A159" t="s" cm="1">
        <v>397</v>
      </c>
      <c r="B159" s="4" t="s">
        <v>700</v>
      </c>
      <c r="C159">
        <v>1</v>
      </c>
      <c r="N159" t="s" cm="1">
        <v>399</v>
      </c>
      <c r="O159" s="4" t="s">
        <v>557</v>
      </c>
      <c r="P159">
        <v>2</v>
      </c>
    </row>
    <row r="160" spans="1:16" ht="15" customHeight="1" x14ac:dyDescent="0.25">
      <c r="A160" t="s" cm="1">
        <v>397</v>
      </c>
      <c r="B160" s="4" t="s">
        <v>396</v>
      </c>
      <c r="C160">
        <v>1</v>
      </c>
      <c r="N160" t="s" cm="1">
        <v>399</v>
      </c>
      <c r="O160" s="4" t="s">
        <v>689</v>
      </c>
      <c r="P160">
        <v>2</v>
      </c>
    </row>
    <row r="161" spans="1:16" ht="15" customHeight="1" x14ac:dyDescent="0.25">
      <c r="A161" t="s" cm="1">
        <v>397</v>
      </c>
      <c r="B161" s="4" t="s">
        <v>702</v>
      </c>
      <c r="C161">
        <v>1</v>
      </c>
      <c r="N161" t="s" cm="1">
        <v>399</v>
      </c>
      <c r="O161" s="4" t="s">
        <v>310</v>
      </c>
      <c r="P161">
        <v>2</v>
      </c>
    </row>
    <row r="162" spans="1:16" ht="15" customHeight="1" x14ac:dyDescent="0.25">
      <c r="A162" t="s" cm="1">
        <v>397</v>
      </c>
      <c r="B162" s="4" t="s">
        <v>418</v>
      </c>
      <c r="C162">
        <v>1</v>
      </c>
      <c r="N162" t="s" cm="1">
        <v>399</v>
      </c>
      <c r="O162" s="4" t="s">
        <v>410</v>
      </c>
      <c r="P162">
        <v>2</v>
      </c>
    </row>
    <row r="163" spans="1:16" ht="15" customHeight="1" x14ac:dyDescent="0.25">
      <c r="A163" t="s" cm="1">
        <v>397</v>
      </c>
      <c r="B163" s="4" t="s">
        <v>705</v>
      </c>
      <c r="C163">
        <v>1</v>
      </c>
      <c r="N163" t="s" cm="1">
        <v>399</v>
      </c>
      <c r="O163" s="4" t="s">
        <v>433</v>
      </c>
      <c r="P163">
        <v>2</v>
      </c>
    </row>
    <row r="164" spans="1:16" ht="15" customHeight="1" x14ac:dyDescent="0.25">
      <c r="A164" t="s" cm="1">
        <v>397</v>
      </c>
      <c r="B164" s="4" t="s">
        <v>869</v>
      </c>
      <c r="C164">
        <v>1</v>
      </c>
      <c r="N164" t="s" cm="1">
        <v>399</v>
      </c>
      <c r="O164" s="4" t="s">
        <v>626</v>
      </c>
      <c r="P164">
        <v>2</v>
      </c>
    </row>
    <row r="165" spans="1:16" ht="15" customHeight="1" x14ac:dyDescent="0.25">
      <c r="A165" t="s" cm="1">
        <v>397</v>
      </c>
      <c r="B165" s="4" t="s">
        <v>708</v>
      </c>
      <c r="C165">
        <v>1</v>
      </c>
      <c r="N165" t="s" cm="1">
        <v>399</v>
      </c>
      <c r="O165" s="4" t="s">
        <v>610</v>
      </c>
      <c r="P165">
        <v>2</v>
      </c>
    </row>
    <row r="166" spans="1:16" ht="15" customHeight="1" x14ac:dyDescent="0.25">
      <c r="A166" t="s" cm="1">
        <v>397</v>
      </c>
      <c r="B166" s="4" t="s">
        <v>431</v>
      </c>
      <c r="C166">
        <v>1</v>
      </c>
      <c r="N166" t="s" cm="1">
        <v>399</v>
      </c>
      <c r="O166" s="4" t="s">
        <v>519</v>
      </c>
      <c r="P166">
        <v>2</v>
      </c>
    </row>
    <row r="167" spans="1:16" ht="15" customHeight="1" x14ac:dyDescent="0.25">
      <c r="A167" t="s" cm="1">
        <v>397</v>
      </c>
      <c r="B167" s="4" t="s">
        <v>711</v>
      </c>
      <c r="C167">
        <v>1</v>
      </c>
      <c r="N167" t="s" cm="1">
        <v>399</v>
      </c>
      <c r="O167" s="4" t="s">
        <v>661</v>
      </c>
      <c r="P167">
        <v>2</v>
      </c>
    </row>
    <row r="168" spans="1:16" ht="15" customHeight="1" x14ac:dyDescent="0.25">
      <c r="A168" t="s" cm="1">
        <v>397</v>
      </c>
      <c r="B168" s="4" t="s">
        <v>441</v>
      </c>
      <c r="C168">
        <v>1</v>
      </c>
      <c r="N168" t="s" cm="1">
        <v>399</v>
      </c>
      <c r="O168" s="4" t="s">
        <v>562</v>
      </c>
      <c r="P168">
        <v>2</v>
      </c>
    </row>
    <row r="169" spans="1:16" ht="15" customHeight="1" x14ac:dyDescent="0.25">
      <c r="A169" t="s" cm="1">
        <v>397</v>
      </c>
      <c r="B169" s="4" t="s">
        <v>673</v>
      </c>
      <c r="C169">
        <v>1</v>
      </c>
      <c r="N169" t="s" cm="1">
        <v>399</v>
      </c>
      <c r="O169" s="4" t="s">
        <v>608</v>
      </c>
      <c r="P169">
        <v>2</v>
      </c>
    </row>
    <row r="170" spans="1:16" ht="15" customHeight="1" x14ac:dyDescent="0.25">
      <c r="A170" t="s" cm="1">
        <v>397</v>
      </c>
      <c r="B170" s="4" t="s">
        <v>449</v>
      </c>
      <c r="C170">
        <v>1</v>
      </c>
      <c r="N170" t="s" cm="1">
        <v>399</v>
      </c>
      <c r="O170" s="4" t="s">
        <v>579</v>
      </c>
      <c r="P170">
        <v>2</v>
      </c>
    </row>
    <row r="171" spans="1:16" ht="15" customHeight="1" x14ac:dyDescent="0.25">
      <c r="A171" t="s" cm="1">
        <v>960</v>
      </c>
      <c r="B171" s="4" t="s">
        <v>311</v>
      </c>
      <c r="C171">
        <v>1</v>
      </c>
      <c r="N171" t="s" cm="1">
        <v>960</v>
      </c>
      <c r="O171" s="4" t="s">
        <v>335</v>
      </c>
      <c r="P171">
        <v>2</v>
      </c>
    </row>
    <row r="172" spans="1:16" ht="15" customHeight="1" x14ac:dyDescent="0.25">
      <c r="A172" t="s">
        <v>889</v>
      </c>
      <c r="B172" s="4" t="s">
        <v>460</v>
      </c>
      <c r="C172">
        <v>1</v>
      </c>
      <c r="N172" t="s" cm="1">
        <v>889</v>
      </c>
      <c r="O172" s="4" t="s">
        <v>616</v>
      </c>
      <c r="P172">
        <v>2</v>
      </c>
    </row>
    <row r="173" spans="1:16" ht="15" customHeight="1" x14ac:dyDescent="0.25">
      <c r="A173" t="s">
        <v>889</v>
      </c>
      <c r="B173" s="4" t="s">
        <v>811</v>
      </c>
      <c r="C173">
        <v>1</v>
      </c>
      <c r="N173" t="s" cm="1">
        <v>889</v>
      </c>
      <c r="O173" s="4" t="s">
        <v>643</v>
      </c>
      <c r="P173">
        <v>2</v>
      </c>
    </row>
    <row r="174" spans="1:16" ht="15" customHeight="1" x14ac:dyDescent="0.25">
      <c r="A174" t="s">
        <v>889</v>
      </c>
      <c r="B174" s="4" t="s">
        <v>467</v>
      </c>
      <c r="C174">
        <v>1</v>
      </c>
      <c r="N174" t="s" cm="1">
        <v>889</v>
      </c>
      <c r="O174" s="4" t="s">
        <v>615</v>
      </c>
      <c r="P174">
        <v>2</v>
      </c>
    </row>
    <row r="175" spans="1:16" ht="15" customHeight="1" x14ac:dyDescent="0.25">
      <c r="A175" t="s">
        <v>943</v>
      </c>
      <c r="B175" s="4" t="s">
        <v>815</v>
      </c>
      <c r="C175">
        <v>1</v>
      </c>
      <c r="N175" t="s" cm="1">
        <v>943</v>
      </c>
      <c r="O175" s="4" t="s">
        <v>634</v>
      </c>
      <c r="P175">
        <v>2</v>
      </c>
    </row>
    <row r="176" spans="1:16" ht="15" customHeight="1" x14ac:dyDescent="0.25">
      <c r="A176" t="s">
        <v>946</v>
      </c>
      <c r="B176" s="4" t="s">
        <v>475</v>
      </c>
      <c r="C176">
        <v>1</v>
      </c>
      <c r="N176" t="s" cm="1">
        <v>949</v>
      </c>
      <c r="O176" s="4" t="s">
        <v>567</v>
      </c>
      <c r="P176">
        <v>2</v>
      </c>
    </row>
    <row r="177" spans="1:16" ht="15" customHeight="1" x14ac:dyDescent="0.25">
      <c r="A177" t="s">
        <v>953</v>
      </c>
      <c r="B177" s="4" t="s">
        <v>817</v>
      </c>
      <c r="C177">
        <v>1</v>
      </c>
      <c r="N177" t="s" cm="1">
        <v>954</v>
      </c>
      <c r="O177" s="4" t="s">
        <v>544</v>
      </c>
      <c r="P177">
        <v>2</v>
      </c>
    </row>
    <row r="178" spans="1:16" ht="15" customHeight="1" x14ac:dyDescent="0.25">
      <c r="A178" t="s">
        <v>694</v>
      </c>
      <c r="B178" s="4" t="s">
        <v>957</v>
      </c>
      <c r="C178">
        <v>1</v>
      </c>
      <c r="N178" t="s" cm="1">
        <v>362</v>
      </c>
      <c r="O178" s="4" t="s">
        <v>565</v>
      </c>
      <c r="P178">
        <v>2</v>
      </c>
    </row>
    <row r="179" spans="1:16" ht="15" customHeight="1" x14ac:dyDescent="0.25">
      <c r="A179" t="s">
        <v>550</v>
      </c>
      <c r="B179" s="4" t="s">
        <v>829</v>
      </c>
      <c r="C179">
        <v>1</v>
      </c>
      <c r="N179" t="s" cm="1">
        <v>551</v>
      </c>
      <c r="O179" s="4" t="s">
        <v>560</v>
      </c>
      <c r="P179">
        <v>2</v>
      </c>
    </row>
    <row r="180" spans="1:16" ht="15" customHeight="1" x14ac:dyDescent="0.25">
      <c r="A180" t="s">
        <v>368</v>
      </c>
      <c r="B180" s="4" t="s">
        <v>320</v>
      </c>
      <c r="C180">
        <v>1</v>
      </c>
      <c r="N180" t="s" cm="1">
        <v>544</v>
      </c>
      <c r="O180" s="4" t="s">
        <v>484</v>
      </c>
      <c r="P180">
        <v>2</v>
      </c>
    </row>
    <row r="181" spans="1:16" ht="15" customHeight="1" x14ac:dyDescent="0.25">
      <c r="A181" t="s">
        <v>457</v>
      </c>
      <c r="B181" s="4" t="s">
        <v>812</v>
      </c>
      <c r="C181">
        <v>1</v>
      </c>
      <c r="N181" t="s" cm="1">
        <v>595</v>
      </c>
      <c r="O181" s="4" t="s">
        <v>378</v>
      </c>
      <c r="P181">
        <v>2</v>
      </c>
    </row>
    <row r="182" spans="1:16" ht="15" customHeight="1" x14ac:dyDescent="0.25">
      <c r="A182" t="s">
        <v>454</v>
      </c>
      <c r="B182" s="4" t="s">
        <v>585</v>
      </c>
      <c r="C182">
        <v>1</v>
      </c>
      <c r="N182" t="s" cm="1">
        <v>449</v>
      </c>
      <c r="O182" s="4" t="s">
        <v>432</v>
      </c>
      <c r="P182">
        <v>2</v>
      </c>
    </row>
    <row r="183" spans="1:16" ht="15" customHeight="1" x14ac:dyDescent="0.25">
      <c r="A183" t="s">
        <v>551</v>
      </c>
      <c r="B183" s="4" t="s">
        <v>816</v>
      </c>
      <c r="C183">
        <v>1</v>
      </c>
      <c r="N183" t="s" cm="1">
        <v>551</v>
      </c>
      <c r="O183" s="4" t="s">
        <v>573</v>
      </c>
      <c r="P183">
        <v>2</v>
      </c>
    </row>
    <row r="184" spans="1:16" ht="15" customHeight="1" x14ac:dyDescent="0.25">
      <c r="A184" t="s">
        <v>693</v>
      </c>
      <c r="B184" s="4" t="s">
        <v>600</v>
      </c>
      <c r="C184">
        <v>1</v>
      </c>
      <c r="N184" t="s" cm="1">
        <v>566</v>
      </c>
      <c r="O184" s="4" t="s">
        <v>413</v>
      </c>
      <c r="P184">
        <v>2</v>
      </c>
    </row>
    <row r="185" spans="1:16" ht="15" customHeight="1" x14ac:dyDescent="0.25">
      <c r="A185" t="s">
        <v>323</v>
      </c>
      <c r="B185" s="4" t="s">
        <v>818</v>
      </c>
      <c r="C185">
        <v>1</v>
      </c>
      <c r="N185" t="s" cm="1">
        <v>323</v>
      </c>
      <c r="O185" s="4" t="s">
        <v>556</v>
      </c>
      <c r="P185">
        <v>2</v>
      </c>
    </row>
    <row r="186" spans="1:16" ht="15" customHeight="1" x14ac:dyDescent="0.25">
      <c r="A186" t="s">
        <v>587</v>
      </c>
      <c r="B186" s="4" t="s">
        <v>356</v>
      </c>
      <c r="C186">
        <v>1</v>
      </c>
      <c r="N186" t="s" cm="1">
        <v>568</v>
      </c>
      <c r="O186" s="4" t="s">
        <v>499</v>
      </c>
      <c r="P186">
        <v>2</v>
      </c>
    </row>
    <row r="187" spans="1:16" ht="15" customHeight="1" x14ac:dyDescent="0.25">
      <c r="A187" t="s">
        <v>633</v>
      </c>
      <c r="B187" s="4" t="s">
        <v>830</v>
      </c>
      <c r="C187">
        <v>1</v>
      </c>
      <c r="N187" t="s" cm="1">
        <v>563</v>
      </c>
      <c r="O187" s="4" t="s">
        <v>418</v>
      </c>
      <c r="P187">
        <v>2</v>
      </c>
    </row>
    <row r="188" spans="1:16" ht="15" customHeight="1" x14ac:dyDescent="0.25">
      <c r="A188" t="s">
        <v>495</v>
      </c>
      <c r="B188" s="4" t="s">
        <v>329</v>
      </c>
      <c r="C188">
        <v>1</v>
      </c>
      <c r="N188" t="s" cm="1">
        <v>615</v>
      </c>
      <c r="O188" s="4" t="s">
        <v>588</v>
      </c>
      <c r="P188">
        <v>2</v>
      </c>
    </row>
    <row r="189" spans="1:16" ht="15" customHeight="1" x14ac:dyDescent="0.25">
      <c r="A189" t="s">
        <v>629</v>
      </c>
      <c r="B189" s="4" t="s">
        <v>813</v>
      </c>
      <c r="C189">
        <v>1</v>
      </c>
      <c r="N189" t="s" cm="1">
        <v>532</v>
      </c>
      <c r="O189" s="4" t="s">
        <v>449</v>
      </c>
      <c r="P189">
        <v>2</v>
      </c>
    </row>
    <row r="190" spans="1:16" ht="15" customHeight="1" x14ac:dyDescent="0.25">
      <c r="A190" t="s">
        <v>471</v>
      </c>
      <c r="B190" s="4" t="s">
        <v>703</v>
      </c>
      <c r="C190">
        <v>1</v>
      </c>
      <c r="N190" t="s" cm="1">
        <v>471</v>
      </c>
      <c r="O190" s="4" t="s">
        <v>590</v>
      </c>
      <c r="P190">
        <v>2</v>
      </c>
    </row>
    <row r="191" spans="1:16" ht="15" customHeight="1" x14ac:dyDescent="0.25">
      <c r="A191" t="s">
        <v>637</v>
      </c>
      <c r="B191" s="4" t="s">
        <v>819</v>
      </c>
      <c r="C191">
        <v>1</v>
      </c>
      <c r="N191" t="s" cm="1">
        <v>565</v>
      </c>
      <c r="O191" s="4" t="s">
        <v>475</v>
      </c>
      <c r="P191">
        <v>2</v>
      </c>
    </row>
    <row r="192" spans="1:16" ht="15" customHeight="1" x14ac:dyDescent="0.25">
      <c r="A192" t="s">
        <v>612</v>
      </c>
      <c r="B192" s="4" t="s">
        <v>385</v>
      </c>
      <c r="C192">
        <v>1</v>
      </c>
      <c r="N192" t="s" cm="1">
        <v>424</v>
      </c>
      <c r="O192" s="4" t="s">
        <v>569</v>
      </c>
      <c r="P192">
        <v>2</v>
      </c>
    </row>
    <row r="193" spans="1:16" ht="15" customHeight="1" x14ac:dyDescent="0.25">
      <c r="A193" t="s">
        <v>602</v>
      </c>
      <c r="B193" s="4" t="s">
        <v>831</v>
      </c>
      <c r="C193">
        <v>1</v>
      </c>
      <c r="N193" t="s" cm="1">
        <v>656</v>
      </c>
      <c r="O193" s="4" t="s">
        <v>465</v>
      </c>
      <c r="P193">
        <v>2</v>
      </c>
    </row>
    <row r="194" spans="1:16" ht="15" customHeight="1" x14ac:dyDescent="0.25">
      <c r="A194" t="s">
        <v>525</v>
      </c>
      <c r="B194" s="4" t="s">
        <v>599</v>
      </c>
      <c r="C194">
        <v>1</v>
      </c>
      <c r="N194" t="s" cm="1">
        <v>590</v>
      </c>
      <c r="O194" s="4" t="s">
        <v>821</v>
      </c>
      <c r="P194">
        <v>2</v>
      </c>
    </row>
    <row r="195" spans="1:16" ht="15" customHeight="1" x14ac:dyDescent="0.25">
      <c r="A195" t="s">
        <v>383</v>
      </c>
      <c r="B195" s="4" t="s">
        <v>814</v>
      </c>
      <c r="C195">
        <v>1</v>
      </c>
      <c r="N195" t="s" cm="1">
        <v>378</v>
      </c>
      <c r="O195" s="4" t="s">
        <v>509</v>
      </c>
      <c r="P195">
        <v>2</v>
      </c>
    </row>
    <row r="196" spans="1:16" ht="15" customHeight="1" x14ac:dyDescent="0.25">
      <c r="A196" t="s">
        <v>569</v>
      </c>
      <c r="B196" s="4" t="s">
        <v>697</v>
      </c>
      <c r="C196">
        <v>1</v>
      </c>
      <c r="N196" t="s" cm="1">
        <v>569</v>
      </c>
      <c r="O196" s="4" t="s">
        <v>822</v>
      </c>
      <c r="P196">
        <v>2</v>
      </c>
    </row>
    <row r="197" spans="1:16" ht="15" customHeight="1" x14ac:dyDescent="0.25">
      <c r="A197" t="s">
        <v>400</v>
      </c>
      <c r="B197" s="4" t="s">
        <v>820</v>
      </c>
      <c r="C197">
        <v>1</v>
      </c>
      <c r="N197" t="s" cm="1">
        <v>400</v>
      </c>
      <c r="O197" s="4" t="s">
        <v>605</v>
      </c>
      <c r="P197">
        <v>2</v>
      </c>
    </row>
    <row r="198" spans="1:16" ht="15" customHeight="1" x14ac:dyDescent="0.25">
      <c r="A198" t="s">
        <v>431</v>
      </c>
      <c r="B198" s="4" t="s">
        <v>494</v>
      </c>
      <c r="C198">
        <v>1</v>
      </c>
      <c r="N198" t="s" cm="1">
        <v>564</v>
      </c>
      <c r="O198" s="4" t="s">
        <v>832</v>
      </c>
      <c r="P198">
        <v>2</v>
      </c>
    </row>
    <row r="199" spans="1:16" ht="15" customHeight="1" x14ac:dyDescent="0.25">
      <c r="A199" t="s">
        <v>772</v>
      </c>
      <c r="B199" s="4" t="s">
        <v>832</v>
      </c>
      <c r="C199">
        <v>1</v>
      </c>
      <c r="N199" t="s" cm="1">
        <v>772</v>
      </c>
      <c r="O199" s="4" t="s">
        <v>167</v>
      </c>
      <c r="P199">
        <v>2</v>
      </c>
    </row>
    <row r="200" spans="1:16" ht="15" customHeight="1" x14ac:dyDescent="0.25">
      <c r="A200" t="s">
        <v>772</v>
      </c>
      <c r="B200" s="4" t="s">
        <v>436</v>
      </c>
      <c r="C200">
        <v>1</v>
      </c>
      <c r="N200" t="s" cm="1">
        <v>772</v>
      </c>
      <c r="O200" s="4" t="s">
        <v>823</v>
      </c>
      <c r="P200">
        <v>2</v>
      </c>
    </row>
    <row r="201" spans="1:16" ht="15" customHeight="1" x14ac:dyDescent="0.25">
      <c r="A201" t="s">
        <v>772</v>
      </c>
      <c r="B201" s="4" t="s">
        <v>821</v>
      </c>
      <c r="C201">
        <v>1</v>
      </c>
      <c r="N201" t="s" cm="1">
        <v>772</v>
      </c>
      <c r="O201" s="4" t="s">
        <v>568</v>
      </c>
      <c r="P201">
        <v>2</v>
      </c>
    </row>
    <row r="202" spans="1:16" ht="15" customHeight="1" x14ac:dyDescent="0.25">
      <c r="A202" t="s">
        <v>772</v>
      </c>
      <c r="B202" s="4" t="s">
        <v>440</v>
      </c>
      <c r="C202">
        <v>1</v>
      </c>
      <c r="N202" t="s" cm="1">
        <v>772</v>
      </c>
      <c r="O202" s="4" t="s">
        <v>840</v>
      </c>
      <c r="P202">
        <v>2</v>
      </c>
    </row>
    <row r="203" spans="1:16" ht="15" customHeight="1" x14ac:dyDescent="0.25">
      <c r="A203" t="s">
        <v>812</v>
      </c>
      <c r="B203" s="4" t="s">
        <v>833</v>
      </c>
      <c r="C203">
        <v>1</v>
      </c>
      <c r="N203" t="s" cm="1">
        <v>840</v>
      </c>
      <c r="O203" s="4" t="s">
        <v>584</v>
      </c>
      <c r="P203">
        <v>2</v>
      </c>
    </row>
    <row r="204" spans="1:16" ht="15" customHeight="1" x14ac:dyDescent="0.25">
      <c r="A204" t="s">
        <v>818</v>
      </c>
      <c r="B204" s="4" t="s">
        <v>417</v>
      </c>
      <c r="C204">
        <v>1</v>
      </c>
      <c r="N204" t="s" cm="1">
        <v>822</v>
      </c>
      <c r="O204" s="4" t="s">
        <v>948</v>
      </c>
      <c r="P204">
        <v>2</v>
      </c>
    </row>
    <row r="205" spans="1:16" ht="15" customHeight="1" x14ac:dyDescent="0.25">
      <c r="A205" t="s">
        <v>830</v>
      </c>
      <c r="B205" s="4" t="s">
        <v>822</v>
      </c>
      <c r="C205">
        <v>1</v>
      </c>
      <c r="N205" t="s" cm="1">
        <v>832</v>
      </c>
      <c r="O205" s="4" t="s">
        <v>424</v>
      </c>
      <c r="P205">
        <v>2</v>
      </c>
    </row>
    <row r="206" spans="1:16" ht="15" customHeight="1" x14ac:dyDescent="0.25">
      <c r="A206" t="s">
        <v>816</v>
      </c>
      <c r="B206" s="4" t="s">
        <v>424</v>
      </c>
      <c r="C206">
        <v>1</v>
      </c>
      <c r="N206" t="s" cm="1">
        <v>816</v>
      </c>
      <c r="O206" s="4" t="s">
        <v>836</v>
      </c>
      <c r="P206">
        <v>2</v>
      </c>
    </row>
    <row r="207" spans="1:16" ht="15" customHeight="1" x14ac:dyDescent="0.25">
      <c r="A207" t="s">
        <v>863</v>
      </c>
      <c r="B207" s="4" t="s">
        <v>834</v>
      </c>
      <c r="C207">
        <v>1</v>
      </c>
      <c r="N207" t="s" cm="1">
        <v>863</v>
      </c>
      <c r="O207" s="4" t="s">
        <v>427</v>
      </c>
      <c r="P207">
        <v>2</v>
      </c>
    </row>
    <row r="208" spans="1:16" ht="15" customHeight="1" x14ac:dyDescent="0.25">
      <c r="A208" t="s">
        <v>848</v>
      </c>
      <c r="B208" s="4" t="s">
        <v>661</v>
      </c>
      <c r="C208">
        <v>1</v>
      </c>
      <c r="N208" t="s" cm="1">
        <v>848</v>
      </c>
      <c r="O208" s="4" t="s">
        <v>824</v>
      </c>
      <c r="P208">
        <v>2</v>
      </c>
    </row>
    <row r="209" spans="1:16" ht="15" customHeight="1" x14ac:dyDescent="0.25">
      <c r="A209" t="s">
        <v>853</v>
      </c>
      <c r="B209" s="4" t="s">
        <v>823</v>
      </c>
      <c r="C209">
        <v>1</v>
      </c>
      <c r="N209" t="s" cm="1">
        <v>853</v>
      </c>
      <c r="O209" s="4" t="s">
        <v>322</v>
      </c>
      <c r="P209">
        <v>2</v>
      </c>
    </row>
    <row r="210" spans="1:16" ht="15" customHeight="1" x14ac:dyDescent="0.25">
      <c r="A210" t="s">
        <v>864</v>
      </c>
      <c r="B210" s="4" t="s">
        <v>533</v>
      </c>
      <c r="C210">
        <v>1</v>
      </c>
      <c r="N210" t="s" cm="1">
        <v>455</v>
      </c>
      <c r="O210" s="4" t="s">
        <v>356</v>
      </c>
      <c r="P210">
        <v>2</v>
      </c>
    </row>
    <row r="211" spans="1:16" ht="15" customHeight="1" x14ac:dyDescent="0.25">
      <c r="A211" t="s">
        <v>850</v>
      </c>
      <c r="B211" s="4" t="s">
        <v>835</v>
      </c>
      <c r="C211">
        <v>1</v>
      </c>
      <c r="N211" t="s" cm="1">
        <v>455</v>
      </c>
      <c r="O211" s="4" t="s">
        <v>572</v>
      </c>
      <c r="P211">
        <v>2</v>
      </c>
    </row>
    <row r="212" spans="1:16" ht="15" customHeight="1" x14ac:dyDescent="0.25">
      <c r="A212" t="s">
        <v>850</v>
      </c>
      <c r="B212" s="4" t="s">
        <v>595</v>
      </c>
      <c r="C212">
        <v>1</v>
      </c>
      <c r="N212" t="s" cm="1">
        <v>455</v>
      </c>
      <c r="O212" s="4" t="s">
        <v>852</v>
      </c>
      <c r="P212">
        <v>2</v>
      </c>
    </row>
    <row r="213" spans="1:16" ht="15" customHeight="1" x14ac:dyDescent="0.25">
      <c r="A213" t="s">
        <v>867</v>
      </c>
      <c r="B213" s="4" t="s">
        <v>825</v>
      </c>
      <c r="C213">
        <v>1</v>
      </c>
      <c r="N213" t="s" cm="1">
        <v>868</v>
      </c>
      <c r="O213" s="4" t="s">
        <v>354</v>
      </c>
      <c r="P213">
        <v>2</v>
      </c>
    </row>
    <row r="214" spans="1:16" ht="15" customHeight="1" x14ac:dyDescent="0.25">
      <c r="A214" t="s">
        <v>871</v>
      </c>
      <c r="B214" s="4" t="s">
        <v>561</v>
      </c>
      <c r="C214">
        <v>1</v>
      </c>
      <c r="N214" t="s" cm="1">
        <v>926</v>
      </c>
      <c r="O214" s="4" t="s">
        <v>853</v>
      </c>
      <c r="P214">
        <v>2</v>
      </c>
    </row>
    <row r="215" spans="1:16" ht="15" customHeight="1" x14ac:dyDescent="0.25">
      <c r="A215" t="s">
        <v>878</v>
      </c>
      <c r="B215" s="4" t="s">
        <v>826</v>
      </c>
      <c r="C215">
        <v>1</v>
      </c>
      <c r="N215" t="s" cm="1">
        <v>878</v>
      </c>
      <c r="O215" s="4" t="s">
        <v>316</v>
      </c>
      <c r="P215">
        <v>2</v>
      </c>
    </row>
    <row r="216" spans="1:16" ht="15" customHeight="1" x14ac:dyDescent="0.25">
      <c r="A216" t="s">
        <v>880</v>
      </c>
      <c r="B216" s="4" t="s">
        <v>545</v>
      </c>
      <c r="C216">
        <v>1</v>
      </c>
      <c r="N216" t="s" cm="1">
        <v>885</v>
      </c>
      <c r="O216" s="4" t="s">
        <v>878</v>
      </c>
      <c r="P216">
        <v>2</v>
      </c>
    </row>
    <row r="217" spans="1:16" ht="15" customHeight="1" x14ac:dyDescent="0.25">
      <c r="A217" t="s">
        <v>880</v>
      </c>
      <c r="B217" s="4" t="s">
        <v>837</v>
      </c>
      <c r="C217">
        <v>1</v>
      </c>
      <c r="N217" t="s" cm="1">
        <v>885</v>
      </c>
      <c r="O217" s="4" t="s">
        <v>148</v>
      </c>
      <c r="P217">
        <v>2</v>
      </c>
    </row>
    <row r="218" spans="1:16" ht="15" customHeight="1" x14ac:dyDescent="0.25">
      <c r="A218" t="s">
        <v>888</v>
      </c>
      <c r="B218" s="4" t="s">
        <v>521</v>
      </c>
      <c r="C218">
        <v>1</v>
      </c>
      <c r="N218" t="s" cm="1">
        <v>888</v>
      </c>
      <c r="O218" s="4" t="s">
        <v>924</v>
      </c>
      <c r="P218">
        <v>2</v>
      </c>
    </row>
    <row r="219" spans="1:16" ht="15" customHeight="1" x14ac:dyDescent="0.25">
      <c r="A219" t="s">
        <v>732</v>
      </c>
      <c r="B219" s="4" t="s">
        <v>838</v>
      </c>
      <c r="C219">
        <v>1</v>
      </c>
      <c r="N219" t="s" cm="1">
        <v>732</v>
      </c>
      <c r="O219" s="4" t="s">
        <v>869</v>
      </c>
      <c r="P219">
        <v>2</v>
      </c>
    </row>
    <row r="220" spans="1:16" ht="15" customHeight="1" x14ac:dyDescent="0.25">
      <c r="A220" t="s">
        <v>894</v>
      </c>
      <c r="B220" s="4" t="s">
        <v>615</v>
      </c>
      <c r="C220">
        <v>1</v>
      </c>
      <c r="N220" t="s" cm="1">
        <v>294</v>
      </c>
      <c r="O220" s="4" t="s">
        <v>360</v>
      </c>
      <c r="P220">
        <v>2</v>
      </c>
    </row>
    <row r="221" spans="1:16" ht="15" customHeight="1" x14ac:dyDescent="0.25">
      <c r="A221" t="s">
        <v>446</v>
      </c>
      <c r="B221" s="4" t="s">
        <v>847</v>
      </c>
      <c r="C221">
        <v>1</v>
      </c>
      <c r="N221" t="s" cm="1">
        <v>446</v>
      </c>
      <c r="O221" s="4" t="s">
        <v>480</v>
      </c>
      <c r="P221">
        <v>2</v>
      </c>
    </row>
    <row r="222" spans="1:16" ht="15" customHeight="1" x14ac:dyDescent="0.25">
      <c r="A222" t="s">
        <v>636</v>
      </c>
      <c r="B222" s="4" t="s">
        <v>660</v>
      </c>
      <c r="C222">
        <v>1</v>
      </c>
      <c r="N222" t="s" cm="1">
        <v>636</v>
      </c>
      <c r="O222" s="4" t="s">
        <v>498</v>
      </c>
      <c r="P222">
        <v>2</v>
      </c>
    </row>
    <row r="223" spans="1:16" ht="15" customHeight="1" x14ac:dyDescent="0.25">
      <c r="A223" t="s">
        <v>582</v>
      </c>
      <c r="B223" s="4" t="s">
        <v>848</v>
      </c>
      <c r="C223">
        <v>1</v>
      </c>
      <c r="N223" t="s" cm="1">
        <v>582</v>
      </c>
      <c r="O223" s="4" t="s">
        <v>630</v>
      </c>
      <c r="P223">
        <v>2</v>
      </c>
    </row>
    <row r="224" spans="1:16" ht="15" customHeight="1" x14ac:dyDescent="0.25">
      <c r="A224" t="s">
        <v>664</v>
      </c>
      <c r="B224" s="4" t="s">
        <v>520</v>
      </c>
      <c r="C224">
        <v>1</v>
      </c>
      <c r="N224" t="s" cm="1">
        <v>666</v>
      </c>
      <c r="O224" s="4" t="s">
        <v>928</v>
      </c>
      <c r="P224">
        <v>2</v>
      </c>
    </row>
    <row r="225" spans="1:16" ht="15" customHeight="1" x14ac:dyDescent="0.25">
      <c r="A225" t="s">
        <v>664</v>
      </c>
      <c r="B225" s="4" t="s">
        <v>862</v>
      </c>
      <c r="C225">
        <v>1</v>
      </c>
      <c r="N225" t="s" cm="1">
        <v>666</v>
      </c>
      <c r="O225" s="4" t="s">
        <v>333</v>
      </c>
      <c r="P225">
        <v>2</v>
      </c>
    </row>
    <row r="226" spans="1:16" ht="15" customHeight="1" x14ac:dyDescent="0.25">
      <c r="A226" t="s">
        <v>664</v>
      </c>
      <c r="B226" s="4" t="s">
        <v>688</v>
      </c>
      <c r="C226">
        <v>1</v>
      </c>
      <c r="N226" t="s" cm="1">
        <v>666</v>
      </c>
      <c r="O226" s="4" t="s">
        <v>872</v>
      </c>
      <c r="P226">
        <v>2</v>
      </c>
    </row>
    <row r="227" spans="1:16" ht="15" customHeight="1" x14ac:dyDescent="0.25">
      <c r="A227" t="s">
        <v>664</v>
      </c>
      <c r="B227" s="4" t="s">
        <v>870</v>
      </c>
      <c r="C227">
        <v>1</v>
      </c>
      <c r="N227" t="s" cm="1">
        <v>666</v>
      </c>
      <c r="O227" s="4" t="s">
        <v>609</v>
      </c>
      <c r="P227">
        <v>2</v>
      </c>
    </row>
    <row r="228" spans="1:16" ht="15" customHeight="1" x14ac:dyDescent="0.25">
      <c r="A228" t="s">
        <v>386</v>
      </c>
      <c r="B228" s="4" t="s">
        <v>502</v>
      </c>
      <c r="C228">
        <v>1</v>
      </c>
      <c r="N228" t="s" cm="1">
        <v>386</v>
      </c>
      <c r="O228" s="4" t="s">
        <v>559</v>
      </c>
      <c r="P228">
        <v>2</v>
      </c>
    </row>
    <row r="229" spans="1:16" ht="15" customHeight="1" x14ac:dyDescent="0.25">
      <c r="A229" t="s">
        <v>467</v>
      </c>
      <c r="B229" s="4" t="s">
        <v>877</v>
      </c>
      <c r="C229">
        <v>1</v>
      </c>
      <c r="N229" t="s" cm="1">
        <v>594</v>
      </c>
      <c r="O229" s="4" t="s">
        <v>307</v>
      </c>
      <c r="P229">
        <v>2</v>
      </c>
    </row>
    <row r="230" spans="1:16" ht="15" customHeight="1" x14ac:dyDescent="0.25">
      <c r="A230" t="s">
        <v>613</v>
      </c>
      <c r="B230" s="4" t="s">
        <v>542</v>
      </c>
      <c r="C230">
        <v>1</v>
      </c>
      <c r="N230" t="s" cm="1">
        <v>614</v>
      </c>
      <c r="O230" s="4" t="s">
        <v>896</v>
      </c>
      <c r="P230">
        <v>2</v>
      </c>
    </row>
    <row r="231" spans="1:16" ht="15" customHeight="1" x14ac:dyDescent="0.25">
      <c r="A231" t="s">
        <v>613</v>
      </c>
      <c r="B231" s="4" t="s">
        <v>887</v>
      </c>
      <c r="C231">
        <v>1</v>
      </c>
      <c r="N231" t="s" cm="1">
        <v>614</v>
      </c>
      <c r="O231" s="4" t="s">
        <v>622</v>
      </c>
      <c r="P231">
        <v>2</v>
      </c>
    </row>
    <row r="232" spans="1:16" ht="15" customHeight="1" x14ac:dyDescent="0.25">
      <c r="A232" t="s">
        <v>613</v>
      </c>
      <c r="B232" s="4" t="s">
        <v>526</v>
      </c>
      <c r="C232">
        <v>1</v>
      </c>
      <c r="N232" t="s" cm="1">
        <v>614</v>
      </c>
      <c r="O232" s="4" t="s">
        <v>932</v>
      </c>
      <c r="P232">
        <v>2</v>
      </c>
    </row>
    <row r="233" spans="1:16" ht="15" customHeight="1" x14ac:dyDescent="0.25">
      <c r="A233" t="s">
        <v>613</v>
      </c>
      <c r="B233" s="4" t="s">
        <v>893</v>
      </c>
      <c r="C233">
        <v>1</v>
      </c>
      <c r="N233" t="s" cm="1">
        <v>614</v>
      </c>
      <c r="O233" s="4" t="s">
        <v>296</v>
      </c>
      <c r="P233">
        <v>2</v>
      </c>
    </row>
    <row r="234" spans="1:16" ht="15" customHeight="1" x14ac:dyDescent="0.25">
      <c r="A234" t="s">
        <v>613</v>
      </c>
      <c r="B234" s="4" t="s">
        <v>558</v>
      </c>
      <c r="C234">
        <v>1</v>
      </c>
      <c r="N234" t="s" cm="1">
        <v>614</v>
      </c>
      <c r="O234" s="4" t="s">
        <v>487</v>
      </c>
      <c r="P234">
        <v>2</v>
      </c>
    </row>
    <row r="235" spans="1:16" ht="15" customHeight="1" x14ac:dyDescent="0.25">
      <c r="A235" t="s">
        <v>613</v>
      </c>
      <c r="B235" s="4" t="s">
        <v>907</v>
      </c>
      <c r="C235">
        <v>1</v>
      </c>
      <c r="N235" t="s" cm="1">
        <v>614</v>
      </c>
      <c r="O235" s="4" t="s">
        <v>460</v>
      </c>
      <c r="P235">
        <v>2</v>
      </c>
    </row>
    <row r="236" spans="1:16" ht="15" customHeight="1" x14ac:dyDescent="0.25">
      <c r="A236" t="s">
        <v>613</v>
      </c>
      <c r="B236" s="4" t="s">
        <v>563</v>
      </c>
      <c r="C236">
        <v>1</v>
      </c>
      <c r="N236" t="s" cm="1">
        <v>614</v>
      </c>
      <c r="O236" s="4" t="s">
        <v>558</v>
      </c>
      <c r="P236">
        <v>2</v>
      </c>
    </row>
    <row r="237" spans="1:16" ht="15" customHeight="1" x14ac:dyDescent="0.25">
      <c r="A237" t="s">
        <v>613</v>
      </c>
      <c r="B237" s="4" t="s">
        <v>916</v>
      </c>
      <c r="C237">
        <v>1</v>
      </c>
      <c r="N237" t="s" cm="1">
        <v>614</v>
      </c>
      <c r="O237" s="4" t="s">
        <v>577</v>
      </c>
      <c r="P237">
        <v>2</v>
      </c>
    </row>
    <row r="238" spans="1:16" ht="15" customHeight="1" x14ac:dyDescent="0.25">
      <c r="A238" t="s">
        <v>613</v>
      </c>
      <c r="B238" s="4" t="s">
        <v>571</v>
      </c>
      <c r="C238">
        <v>1</v>
      </c>
      <c r="N238" t="s" cm="1">
        <v>614</v>
      </c>
      <c r="O238" s="4" t="s">
        <v>566</v>
      </c>
      <c r="P238">
        <v>2</v>
      </c>
    </row>
    <row r="239" spans="1:16" ht="15" customHeight="1" x14ac:dyDescent="0.25">
      <c r="A239" t="s">
        <v>613</v>
      </c>
      <c r="B239" s="4" t="s">
        <v>863</v>
      </c>
      <c r="C239">
        <v>1</v>
      </c>
      <c r="N239" t="s" cm="1">
        <v>614</v>
      </c>
      <c r="O239" s="4" t="s">
        <v>553</v>
      </c>
      <c r="P239">
        <v>2</v>
      </c>
    </row>
    <row r="240" spans="1:16" ht="15" customHeight="1" x14ac:dyDescent="0.25">
      <c r="A240" t="s">
        <v>613</v>
      </c>
      <c r="B240" s="4" t="s">
        <v>314</v>
      </c>
      <c r="C240">
        <v>1</v>
      </c>
      <c r="N240" t="s" cm="1">
        <v>614</v>
      </c>
      <c r="O240" s="4" t="s">
        <v>682</v>
      </c>
      <c r="P240">
        <v>2</v>
      </c>
    </row>
    <row r="241" spans="1:16" ht="15" customHeight="1" x14ac:dyDescent="0.25">
      <c r="A241" t="s">
        <v>613</v>
      </c>
      <c r="B241" s="4" t="s">
        <v>864</v>
      </c>
      <c r="C241">
        <v>1</v>
      </c>
      <c r="N241" t="s" cm="1">
        <v>614</v>
      </c>
      <c r="O241" s="4" t="s">
        <v>624</v>
      </c>
      <c r="P241">
        <v>2</v>
      </c>
    </row>
    <row r="242" spans="1:16" ht="15" customHeight="1" x14ac:dyDescent="0.25">
      <c r="A242" t="s">
        <v>613</v>
      </c>
      <c r="B242" s="4" t="s">
        <v>336</v>
      </c>
      <c r="C242">
        <v>1</v>
      </c>
      <c r="N242" t="s" cm="1">
        <v>614</v>
      </c>
      <c r="O242" s="4" t="s">
        <v>943</v>
      </c>
      <c r="P242">
        <v>2</v>
      </c>
    </row>
    <row r="243" spans="1:16" ht="15" customHeight="1" x14ac:dyDescent="0.25">
      <c r="A243" t="s">
        <v>333</v>
      </c>
      <c r="B243" s="4" t="s">
        <v>871</v>
      </c>
      <c r="C243">
        <v>1</v>
      </c>
      <c r="N243" t="s" cm="1">
        <v>333</v>
      </c>
      <c r="O243" s="4" t="s">
        <v>515</v>
      </c>
      <c r="P243">
        <v>2</v>
      </c>
    </row>
    <row r="244" spans="1:16" ht="15" customHeight="1" x14ac:dyDescent="0.25">
      <c r="A244" t="s">
        <v>534</v>
      </c>
      <c r="B244" s="4" t="s">
        <v>335</v>
      </c>
      <c r="C244">
        <v>1</v>
      </c>
      <c r="N244" t="s" cm="1">
        <v>470</v>
      </c>
      <c r="O244" s="4" t="s">
        <v>581</v>
      </c>
      <c r="P244">
        <v>2</v>
      </c>
    </row>
    <row r="245" spans="1:16" ht="15" customHeight="1" x14ac:dyDescent="0.25">
      <c r="A245" t="s">
        <v>534</v>
      </c>
      <c r="B245" s="4" t="s">
        <v>878</v>
      </c>
      <c r="C245">
        <v>1</v>
      </c>
      <c r="N245" t="s" cm="1">
        <v>470</v>
      </c>
      <c r="O245" s="4" t="s">
        <v>324</v>
      </c>
      <c r="P245">
        <v>2</v>
      </c>
    </row>
    <row r="246" spans="1:16" ht="15" customHeight="1" x14ac:dyDescent="0.25">
      <c r="A246" t="s">
        <v>534</v>
      </c>
      <c r="B246" s="4" t="s">
        <v>354</v>
      </c>
      <c r="C246">
        <v>1</v>
      </c>
      <c r="N246" t="s" cm="1">
        <v>470</v>
      </c>
      <c r="O246" s="4" t="s">
        <v>949</v>
      </c>
      <c r="P246">
        <v>2</v>
      </c>
    </row>
    <row r="247" spans="1:16" ht="15" customHeight="1" x14ac:dyDescent="0.25">
      <c r="A247" t="s">
        <v>534</v>
      </c>
      <c r="B247" s="4" t="s">
        <v>888</v>
      </c>
      <c r="C247">
        <v>1</v>
      </c>
      <c r="N247" t="s" cm="1">
        <v>470</v>
      </c>
      <c r="O247" s="4" t="s">
        <v>576</v>
      </c>
      <c r="P247">
        <v>2</v>
      </c>
    </row>
    <row r="248" spans="1:16" ht="15" customHeight="1" x14ac:dyDescent="0.25">
      <c r="A248" t="s">
        <v>534</v>
      </c>
      <c r="B248" s="4" t="s">
        <v>372</v>
      </c>
      <c r="C248">
        <v>1</v>
      </c>
      <c r="N248" t="s" cm="1">
        <v>470</v>
      </c>
      <c r="O248" s="4" t="s">
        <v>563</v>
      </c>
      <c r="P248">
        <v>2</v>
      </c>
    </row>
    <row r="249" spans="1:16" ht="15" customHeight="1" x14ac:dyDescent="0.25">
      <c r="A249" t="s">
        <v>534</v>
      </c>
      <c r="B249" s="4" t="s">
        <v>894</v>
      </c>
      <c r="C249">
        <v>1</v>
      </c>
      <c r="N249" t="s" cm="1">
        <v>470</v>
      </c>
      <c r="O249" s="4" t="s">
        <v>595</v>
      </c>
      <c r="P249">
        <v>2</v>
      </c>
    </row>
    <row r="250" spans="1:16" ht="15" customHeight="1" x14ac:dyDescent="0.25">
      <c r="A250" t="s">
        <v>534</v>
      </c>
      <c r="B250" s="4" t="s">
        <v>369</v>
      </c>
      <c r="C250">
        <v>1</v>
      </c>
      <c r="N250" t="s" cm="1">
        <v>470</v>
      </c>
      <c r="O250" s="4" t="s">
        <v>868</v>
      </c>
      <c r="P250">
        <v>2</v>
      </c>
    </row>
    <row r="251" spans="1:16" ht="15" customHeight="1" x14ac:dyDescent="0.25">
      <c r="A251" t="s">
        <v>586</v>
      </c>
      <c r="B251" s="4" t="s">
        <v>908</v>
      </c>
      <c r="C251">
        <v>1</v>
      </c>
      <c r="N251" t="s" cm="1">
        <v>317</v>
      </c>
      <c r="O251" s="4" t="s">
        <v>642</v>
      </c>
      <c r="P251">
        <v>3</v>
      </c>
    </row>
    <row r="252" spans="1:16" ht="15" customHeight="1" x14ac:dyDescent="0.25">
      <c r="A252" t="s">
        <v>586</v>
      </c>
      <c r="B252" s="4" t="s">
        <v>380</v>
      </c>
      <c r="C252">
        <v>1</v>
      </c>
      <c r="N252" t="s" cm="1">
        <v>317</v>
      </c>
      <c r="O252" s="4" t="s">
        <v>308</v>
      </c>
      <c r="P252">
        <v>3</v>
      </c>
    </row>
    <row r="253" spans="1:16" ht="15" customHeight="1" x14ac:dyDescent="0.25">
      <c r="A253" t="s">
        <v>586</v>
      </c>
      <c r="B253" s="4" t="s">
        <v>917</v>
      </c>
      <c r="C253">
        <v>1</v>
      </c>
      <c r="N253" t="s" cm="1">
        <v>317</v>
      </c>
      <c r="O253" s="4" t="s">
        <v>644</v>
      </c>
      <c r="P253">
        <v>3</v>
      </c>
    </row>
    <row r="254" spans="1:16" ht="15" customHeight="1" x14ac:dyDescent="0.25">
      <c r="A254" t="s">
        <v>586</v>
      </c>
      <c r="B254" s="4" t="s">
        <v>393</v>
      </c>
      <c r="C254">
        <v>1</v>
      </c>
      <c r="N254" t="s" cm="1">
        <v>317</v>
      </c>
      <c r="O254" s="4" t="s">
        <v>512</v>
      </c>
      <c r="P254">
        <v>3</v>
      </c>
    </row>
    <row r="255" spans="1:16" ht="15" customHeight="1" x14ac:dyDescent="0.25">
      <c r="A255" t="s">
        <v>586</v>
      </c>
      <c r="B255" s="4" t="s">
        <v>865</v>
      </c>
      <c r="C255">
        <v>1</v>
      </c>
      <c r="N255" t="s" cm="1">
        <v>317</v>
      </c>
      <c r="O255" s="4" t="s">
        <v>911</v>
      </c>
      <c r="P255">
        <v>3</v>
      </c>
    </row>
    <row r="256" spans="1:16" ht="15" customHeight="1" x14ac:dyDescent="0.25">
      <c r="A256" t="s">
        <v>650</v>
      </c>
      <c r="B256" s="4" t="s">
        <v>422</v>
      </c>
      <c r="C256">
        <v>1</v>
      </c>
      <c r="N256" t="s" cm="1">
        <v>487</v>
      </c>
      <c r="O256" s="4" t="s">
        <v>647</v>
      </c>
      <c r="P256">
        <v>3</v>
      </c>
    </row>
    <row r="257" spans="1:16" ht="15" customHeight="1" x14ac:dyDescent="0.25">
      <c r="A257" t="s">
        <v>410</v>
      </c>
      <c r="B257" s="4" t="s">
        <v>872</v>
      </c>
      <c r="C257">
        <v>1</v>
      </c>
      <c r="N257" t="s" cm="1">
        <v>410</v>
      </c>
      <c r="O257" s="4" t="s">
        <v>638</v>
      </c>
      <c r="P257">
        <v>3</v>
      </c>
    </row>
    <row r="258" spans="1:16" ht="15" customHeight="1" x14ac:dyDescent="0.25">
      <c r="A258" t="s">
        <v>597</v>
      </c>
      <c r="B258" s="4" t="s">
        <v>437</v>
      </c>
      <c r="C258">
        <v>1</v>
      </c>
      <c r="N258" t="s" cm="1">
        <v>598</v>
      </c>
      <c r="O258" s="4" t="s">
        <v>936</v>
      </c>
      <c r="P258">
        <v>3</v>
      </c>
    </row>
    <row r="259" spans="1:16" ht="15" customHeight="1" x14ac:dyDescent="0.25">
      <c r="A259" t="s">
        <v>597</v>
      </c>
      <c r="B259" s="4" t="s">
        <v>895</v>
      </c>
      <c r="C259">
        <v>1</v>
      </c>
      <c r="N259" t="s" cm="1">
        <v>598</v>
      </c>
      <c r="O259" s="4" t="s">
        <v>330</v>
      </c>
      <c r="P259">
        <v>3</v>
      </c>
    </row>
    <row r="260" spans="1:16" ht="15" customHeight="1" x14ac:dyDescent="0.25">
      <c r="A260" t="s">
        <v>597</v>
      </c>
      <c r="B260" s="4" t="s">
        <v>454</v>
      </c>
      <c r="C260">
        <v>1</v>
      </c>
      <c r="N260" t="s" cm="1">
        <v>598</v>
      </c>
      <c r="O260" s="4" t="s">
        <v>939</v>
      </c>
      <c r="P260">
        <v>3</v>
      </c>
    </row>
    <row r="261" spans="1:16" ht="15" customHeight="1" x14ac:dyDescent="0.25">
      <c r="A261" t="s">
        <v>597</v>
      </c>
      <c r="B261" s="4" t="s">
        <v>909</v>
      </c>
      <c r="C261">
        <v>1</v>
      </c>
      <c r="N261" t="s" cm="1">
        <v>598</v>
      </c>
      <c r="O261" s="4" t="s">
        <v>646</v>
      </c>
      <c r="P261">
        <v>3</v>
      </c>
    </row>
    <row r="262" spans="1:16" ht="15" customHeight="1" x14ac:dyDescent="0.25">
      <c r="A262" t="s">
        <v>530</v>
      </c>
      <c r="B262" s="4" t="s">
        <v>472</v>
      </c>
      <c r="C262">
        <v>1</v>
      </c>
      <c r="N262" t="s" cm="1">
        <v>530</v>
      </c>
      <c r="O262" s="4" t="s">
        <v>649</v>
      </c>
      <c r="P262">
        <v>3</v>
      </c>
    </row>
    <row r="263" spans="1:16" ht="15" customHeight="1" x14ac:dyDescent="0.25">
      <c r="A263" t="s">
        <v>530</v>
      </c>
      <c r="B263" s="4" t="s">
        <v>918</v>
      </c>
      <c r="C263">
        <v>1</v>
      </c>
      <c r="N263" t="s" cm="1">
        <v>530</v>
      </c>
      <c r="O263" s="4" t="s">
        <v>680</v>
      </c>
      <c r="P263">
        <v>3</v>
      </c>
    </row>
    <row r="264" spans="1:16" ht="15" customHeight="1" x14ac:dyDescent="0.25">
      <c r="A264" t="s">
        <v>530</v>
      </c>
      <c r="B264" s="4" t="s">
        <v>316</v>
      </c>
      <c r="C264">
        <v>1</v>
      </c>
      <c r="N264" t="s" cm="1">
        <v>530</v>
      </c>
      <c r="O264" s="4" t="s">
        <v>415</v>
      </c>
      <c r="P264">
        <v>3</v>
      </c>
    </row>
    <row r="265" spans="1:16" ht="15" customHeight="1" x14ac:dyDescent="0.25">
      <c r="A265" t="s">
        <v>530</v>
      </c>
      <c r="B265" s="4" t="s">
        <v>873</v>
      </c>
      <c r="C265">
        <v>1</v>
      </c>
      <c r="N265" t="s" cm="1">
        <v>530</v>
      </c>
      <c r="O265" s="4" t="s">
        <v>611</v>
      </c>
      <c r="P265">
        <v>3</v>
      </c>
    </row>
    <row r="266" spans="1:16" ht="15" customHeight="1" x14ac:dyDescent="0.25">
      <c r="A266" t="s">
        <v>530</v>
      </c>
      <c r="B266" s="4" t="s">
        <v>303</v>
      </c>
      <c r="C266">
        <v>1</v>
      </c>
      <c r="N266" t="s" cm="1">
        <v>530</v>
      </c>
      <c r="O266" s="4" t="s">
        <v>851</v>
      </c>
      <c r="P266">
        <v>3</v>
      </c>
    </row>
    <row r="267" spans="1:16" ht="15" customHeight="1" x14ac:dyDescent="0.25">
      <c r="A267" t="s">
        <v>530</v>
      </c>
      <c r="B267" s="4" t="s">
        <v>892</v>
      </c>
      <c r="C267">
        <v>1</v>
      </c>
      <c r="N267" t="s" cm="1">
        <v>530</v>
      </c>
      <c r="O267" s="4" t="s">
        <v>641</v>
      </c>
      <c r="P267">
        <v>3</v>
      </c>
    </row>
    <row r="268" spans="1:16" ht="15" customHeight="1" x14ac:dyDescent="0.25">
      <c r="A268" t="s">
        <v>530</v>
      </c>
      <c r="B268" s="4" t="s">
        <v>360</v>
      </c>
      <c r="C268">
        <v>1</v>
      </c>
      <c r="N268" t="s" cm="1">
        <v>530</v>
      </c>
      <c r="O268" s="4" t="s">
        <v>653</v>
      </c>
      <c r="P268">
        <v>3</v>
      </c>
    </row>
    <row r="269" spans="1:16" ht="15" customHeight="1" x14ac:dyDescent="0.25">
      <c r="A269" t="s">
        <v>422</v>
      </c>
      <c r="B269" s="4" t="s">
        <v>910</v>
      </c>
      <c r="C269">
        <v>1</v>
      </c>
      <c r="N269" t="s" cm="1">
        <v>418</v>
      </c>
      <c r="O269" s="4" t="s">
        <v>654</v>
      </c>
      <c r="P269">
        <v>3</v>
      </c>
    </row>
    <row r="270" spans="1:16" ht="15" customHeight="1" x14ac:dyDescent="0.25">
      <c r="A270" t="s">
        <v>352</v>
      </c>
      <c r="B270" s="4" t="s">
        <v>596</v>
      </c>
      <c r="C270">
        <v>1</v>
      </c>
      <c r="N270" t="s" cm="1">
        <v>562</v>
      </c>
      <c r="O270" s="4" t="s">
        <v>912</v>
      </c>
      <c r="P270">
        <v>3</v>
      </c>
    </row>
    <row r="271" spans="1:16" ht="15" customHeight="1" x14ac:dyDescent="0.25">
      <c r="A271" t="s">
        <v>484</v>
      </c>
      <c r="B271" s="4" t="s">
        <v>919</v>
      </c>
      <c r="C271">
        <v>1</v>
      </c>
      <c r="N271" t="s" cm="1">
        <v>484</v>
      </c>
      <c r="O271" s="4" t="s">
        <v>505</v>
      </c>
      <c r="P271">
        <v>3</v>
      </c>
    </row>
    <row r="272" spans="1:16" ht="15" customHeight="1" x14ac:dyDescent="0.25">
      <c r="A272" t="s">
        <v>635</v>
      </c>
      <c r="B272" s="4" t="s">
        <v>645</v>
      </c>
      <c r="C272">
        <v>1</v>
      </c>
      <c r="N272" t="s" cm="1">
        <v>360</v>
      </c>
      <c r="O272" s="4" t="s">
        <v>663</v>
      </c>
      <c r="P272">
        <v>3</v>
      </c>
    </row>
    <row r="273" spans="1:16" ht="15" customHeight="1" x14ac:dyDescent="0.25">
      <c r="A273" t="s">
        <v>384</v>
      </c>
      <c r="B273" s="4" t="s">
        <v>874</v>
      </c>
      <c r="C273">
        <v>1</v>
      </c>
      <c r="N273" t="s" cm="1">
        <v>384</v>
      </c>
      <c r="O273" s="4" t="s">
        <v>659</v>
      </c>
      <c r="P273">
        <v>4</v>
      </c>
    </row>
    <row r="274" spans="1:16" ht="15" customHeight="1" x14ac:dyDescent="0.25">
      <c r="A274" t="s">
        <v>601</v>
      </c>
      <c r="B274" s="4" t="s">
        <v>679</v>
      </c>
      <c r="C274">
        <v>1</v>
      </c>
      <c r="N274" t="s" cm="1">
        <v>439</v>
      </c>
      <c r="O274" s="4" t="s">
        <v>293</v>
      </c>
      <c r="P274">
        <v>4</v>
      </c>
    </row>
    <row r="275" spans="1:16" ht="15" customHeight="1" x14ac:dyDescent="0.25">
      <c r="A275" t="s">
        <v>647</v>
      </c>
      <c r="B275" s="4" t="s">
        <v>897</v>
      </c>
      <c r="C275">
        <v>1</v>
      </c>
      <c r="N275" t="s" cm="1">
        <v>647</v>
      </c>
      <c r="O275" s="4" t="s">
        <v>570</v>
      </c>
      <c r="P275">
        <v>4</v>
      </c>
    </row>
    <row r="276" spans="1:16" ht="15" customHeight="1" x14ac:dyDescent="0.25">
      <c r="A276" t="s">
        <v>326</v>
      </c>
      <c r="B276" s="4" t="s">
        <v>339</v>
      </c>
      <c r="C276">
        <v>1</v>
      </c>
      <c r="N276" t="s" cm="1">
        <v>324</v>
      </c>
      <c r="O276" s="4" t="s">
        <v>551</v>
      </c>
      <c r="P276">
        <v>4</v>
      </c>
    </row>
    <row r="277" spans="1:16" ht="15" customHeight="1" x14ac:dyDescent="0.25">
      <c r="A277" t="s">
        <v>469</v>
      </c>
      <c r="B277" s="4" t="s">
        <v>911</v>
      </c>
      <c r="C277">
        <v>1</v>
      </c>
      <c r="N277" t="s" cm="1">
        <v>516</v>
      </c>
      <c r="O277" s="4" t="s">
        <v>675</v>
      </c>
      <c r="P277">
        <v>4</v>
      </c>
    </row>
    <row r="278" spans="1:16" ht="15" customHeight="1" x14ac:dyDescent="0.25">
      <c r="A278" t="s">
        <v>657</v>
      </c>
      <c r="B278" s="4" t="s">
        <v>427</v>
      </c>
      <c r="C278">
        <v>1</v>
      </c>
      <c r="N278" t="s" cm="1">
        <v>446</v>
      </c>
      <c r="O278" s="4" t="s">
        <v>771</v>
      </c>
      <c r="P278">
        <v>4</v>
      </c>
    </row>
    <row r="279" spans="1:16" ht="15" customHeight="1" x14ac:dyDescent="0.25">
      <c r="A279" t="s">
        <v>450</v>
      </c>
      <c r="B279" s="4" t="s">
        <v>875</v>
      </c>
      <c r="C279">
        <v>1</v>
      </c>
      <c r="N279" t="s" cm="1">
        <v>450</v>
      </c>
      <c r="O279" s="4" t="s">
        <v>462</v>
      </c>
      <c r="P279">
        <v>4</v>
      </c>
    </row>
    <row r="280" spans="1:16" ht="15" customHeight="1" x14ac:dyDescent="0.25">
      <c r="A280" t="s">
        <v>628</v>
      </c>
      <c r="B280" s="4" t="s">
        <v>618</v>
      </c>
      <c r="C280">
        <v>1</v>
      </c>
      <c r="N280" t="s" cm="1">
        <v>455</v>
      </c>
      <c r="O280" s="4" t="s">
        <v>779</v>
      </c>
      <c r="P280">
        <v>4</v>
      </c>
    </row>
    <row r="281" spans="1:16" ht="15" customHeight="1" x14ac:dyDescent="0.25">
      <c r="A281" t="s">
        <v>396</v>
      </c>
      <c r="B281" s="4" t="s">
        <v>912</v>
      </c>
      <c r="C281">
        <v>1</v>
      </c>
      <c r="N281" t="s" cm="1">
        <v>396</v>
      </c>
      <c r="O281" s="4" t="s">
        <v>656</v>
      </c>
      <c r="P281">
        <v>4</v>
      </c>
    </row>
    <row r="282" spans="1:16" ht="15" customHeight="1" x14ac:dyDescent="0.25">
      <c r="A282" t="s">
        <v>490</v>
      </c>
      <c r="B282" s="4" t="s">
        <v>466</v>
      </c>
      <c r="C282">
        <v>1</v>
      </c>
      <c r="N282" t="s" cm="1">
        <v>477</v>
      </c>
      <c r="O282" s="4" t="s">
        <v>672</v>
      </c>
      <c r="P282">
        <v>4</v>
      </c>
    </row>
    <row r="283" spans="1:16" ht="15" customHeight="1" x14ac:dyDescent="0.25">
      <c r="A283" t="s">
        <v>582</v>
      </c>
      <c r="B283" s="4" t="s">
        <v>920</v>
      </c>
      <c r="C283">
        <v>1</v>
      </c>
      <c r="N283" t="s" cm="1">
        <v>582</v>
      </c>
      <c r="O283" s="4" t="s">
        <v>884</v>
      </c>
      <c r="P283">
        <v>4</v>
      </c>
    </row>
    <row r="284" spans="1:16" ht="15" customHeight="1" x14ac:dyDescent="0.25">
      <c r="A284" t="s">
        <v>438</v>
      </c>
      <c r="B284" s="4" t="s">
        <v>404</v>
      </c>
      <c r="C284">
        <v>1</v>
      </c>
      <c r="N284" t="s" cm="1">
        <v>438</v>
      </c>
      <c r="O284" s="4" t="s">
        <v>677</v>
      </c>
      <c r="P284">
        <v>4</v>
      </c>
    </row>
    <row r="285" spans="1:16" ht="15" customHeight="1" x14ac:dyDescent="0.25">
      <c r="A285" t="s">
        <v>434</v>
      </c>
      <c r="B285" s="4" t="s">
        <v>876</v>
      </c>
      <c r="C285">
        <v>1</v>
      </c>
      <c r="N285" t="s" cm="1">
        <v>661</v>
      </c>
      <c r="O285" s="4" t="s">
        <v>885</v>
      </c>
      <c r="P285">
        <v>4</v>
      </c>
    </row>
    <row r="286" spans="1:16" ht="15" customHeight="1" x14ac:dyDescent="0.25">
      <c r="A286" t="s">
        <v>581</v>
      </c>
      <c r="B286" s="4" t="s">
        <v>508</v>
      </c>
      <c r="C286">
        <v>1</v>
      </c>
      <c r="N286" t="s" cm="1">
        <v>581</v>
      </c>
      <c r="O286" s="4" t="s">
        <v>578</v>
      </c>
      <c r="P286">
        <v>4</v>
      </c>
    </row>
    <row r="287" spans="1:16" ht="15" customHeight="1" x14ac:dyDescent="0.25">
      <c r="A287" t="s">
        <v>420</v>
      </c>
      <c r="B287" s="4" t="s">
        <v>913</v>
      </c>
      <c r="C287">
        <v>1</v>
      </c>
      <c r="N287" t="s" cm="1">
        <v>609</v>
      </c>
      <c r="O287" s="4" t="s">
        <v>667</v>
      </c>
      <c r="P287">
        <v>4</v>
      </c>
    </row>
    <row r="288" spans="1:16" ht="15" customHeight="1" x14ac:dyDescent="0.25">
      <c r="A288" t="s">
        <v>304</v>
      </c>
      <c r="B288" s="4" t="s">
        <v>628</v>
      </c>
      <c r="C288">
        <v>1</v>
      </c>
      <c r="N288" t="s" cm="1">
        <v>304</v>
      </c>
      <c r="O288" s="4" t="s">
        <v>662</v>
      </c>
      <c r="P288">
        <v>4</v>
      </c>
    </row>
    <row r="289" spans="1:16" ht="15" customHeight="1" x14ac:dyDescent="0.25">
      <c r="A289" t="s">
        <v>472</v>
      </c>
      <c r="B289" s="4" t="s">
        <v>898</v>
      </c>
      <c r="C289">
        <v>1</v>
      </c>
      <c r="N289" t="s" cm="1">
        <v>594</v>
      </c>
      <c r="O289" s="4" t="s">
        <v>883</v>
      </c>
      <c r="P289">
        <v>4</v>
      </c>
    </row>
    <row r="290" spans="1:16" ht="15" customHeight="1" x14ac:dyDescent="0.25">
      <c r="A290" t="s">
        <v>498</v>
      </c>
      <c r="B290" s="4" t="s">
        <v>164</v>
      </c>
      <c r="C290">
        <v>1</v>
      </c>
      <c r="N290" t="s" cm="1">
        <v>498</v>
      </c>
      <c r="O290" s="4" t="s">
        <v>648</v>
      </c>
      <c r="P290">
        <v>4</v>
      </c>
    </row>
    <row r="291" spans="1:16" ht="15" customHeight="1" x14ac:dyDescent="0.25">
      <c r="A291" t="s">
        <v>353</v>
      </c>
      <c r="B291" s="4" t="s">
        <v>914</v>
      </c>
      <c r="C291">
        <v>1</v>
      </c>
      <c r="N291" t="s" cm="1">
        <v>353</v>
      </c>
      <c r="O291" s="4" t="s">
        <v>598</v>
      </c>
      <c r="P291">
        <v>4</v>
      </c>
    </row>
    <row r="292" spans="1:16" ht="15" customHeight="1" x14ac:dyDescent="0.25">
      <c r="A292" t="s">
        <v>353</v>
      </c>
      <c r="B292" s="4" t="s">
        <v>451</v>
      </c>
      <c r="C292">
        <v>1</v>
      </c>
      <c r="N292" t="s" cm="1">
        <v>353</v>
      </c>
      <c r="O292" s="4" t="s">
        <v>537</v>
      </c>
      <c r="P292">
        <v>4</v>
      </c>
    </row>
    <row r="293" spans="1:16" ht="15" customHeight="1" x14ac:dyDescent="0.25">
      <c r="A293" t="s">
        <v>353</v>
      </c>
      <c r="B293" s="4" t="s">
        <v>899</v>
      </c>
      <c r="C293">
        <v>1</v>
      </c>
      <c r="N293" t="s" cm="1">
        <v>353</v>
      </c>
      <c r="O293" s="4" t="s">
        <v>886</v>
      </c>
      <c r="P293">
        <v>4</v>
      </c>
    </row>
    <row r="294" spans="1:16" ht="15" customHeight="1" x14ac:dyDescent="0.25">
      <c r="A294" t="s">
        <v>353</v>
      </c>
      <c r="B294" s="4" t="s">
        <v>575</v>
      </c>
      <c r="C294">
        <v>1</v>
      </c>
      <c r="N294" t="s" cm="1">
        <v>353</v>
      </c>
      <c r="O294" s="4" t="s">
        <v>777</v>
      </c>
      <c r="P294">
        <v>4</v>
      </c>
    </row>
    <row r="295" spans="1:16" ht="15" customHeight="1" x14ac:dyDescent="0.25">
      <c r="A295" t="s">
        <v>353</v>
      </c>
      <c r="B295" s="4" t="s">
        <v>915</v>
      </c>
      <c r="C295">
        <v>1</v>
      </c>
      <c r="N295" t="s" cm="1">
        <v>353</v>
      </c>
      <c r="O295" s="4" t="s">
        <v>686</v>
      </c>
      <c r="P295">
        <v>4</v>
      </c>
    </row>
    <row r="296" spans="1:16" ht="15" customHeight="1" x14ac:dyDescent="0.25">
      <c r="A296" t="s">
        <v>353</v>
      </c>
      <c r="B296" s="4" t="s">
        <v>326</v>
      </c>
      <c r="C296">
        <v>1</v>
      </c>
      <c r="N296" t="s" cm="1">
        <v>353</v>
      </c>
      <c r="O296" s="4" t="s">
        <v>843</v>
      </c>
      <c r="P296">
        <v>4</v>
      </c>
    </row>
    <row r="297" spans="1:16" ht="15" customHeight="1" x14ac:dyDescent="0.25">
      <c r="A297" t="s">
        <v>353</v>
      </c>
      <c r="B297" s="4" t="s">
        <v>921</v>
      </c>
      <c r="C297">
        <v>1</v>
      </c>
      <c r="N297" t="s" cm="1">
        <v>353</v>
      </c>
      <c r="O297" s="4" t="s">
        <v>548</v>
      </c>
      <c r="P297">
        <v>4</v>
      </c>
    </row>
    <row r="298" spans="1:16" ht="15" customHeight="1" x14ac:dyDescent="0.25">
      <c r="A298" t="s">
        <v>353</v>
      </c>
      <c r="B298" s="4" t="s">
        <v>365</v>
      </c>
      <c r="C298">
        <v>1</v>
      </c>
      <c r="N298" t="s" cm="1">
        <v>353</v>
      </c>
      <c r="O298" s="4" t="s">
        <v>594</v>
      </c>
      <c r="P298">
        <v>4</v>
      </c>
    </row>
    <row r="299" spans="1:16" ht="15" customHeight="1" x14ac:dyDescent="0.25">
      <c r="A299" t="s">
        <v>329</v>
      </c>
      <c r="B299" s="4" t="s">
        <v>900</v>
      </c>
      <c r="C299">
        <v>1</v>
      </c>
      <c r="N299" t="s" cm="1">
        <v>329</v>
      </c>
      <c r="O299" s="4" t="s">
        <v>564</v>
      </c>
      <c r="P299">
        <v>4</v>
      </c>
    </row>
    <row r="300" spans="1:16" ht="15" customHeight="1" x14ac:dyDescent="0.25">
      <c r="A300" t="s">
        <v>459</v>
      </c>
      <c r="B300" s="4" t="s">
        <v>395</v>
      </c>
      <c r="C300">
        <v>1</v>
      </c>
      <c r="N300" t="s" cm="1">
        <v>455</v>
      </c>
      <c r="O300" s="4" t="s">
        <v>370</v>
      </c>
      <c r="P300">
        <v>5</v>
      </c>
    </row>
    <row r="301" spans="1:16" ht="15" customHeight="1" x14ac:dyDescent="0.25">
      <c r="A301" t="s">
        <v>292</v>
      </c>
      <c r="B301" s="4" t="s">
        <v>922</v>
      </c>
      <c r="C301">
        <v>1</v>
      </c>
      <c r="N301" t="s" cm="1">
        <v>293</v>
      </c>
      <c r="O301" s="4" t="s">
        <v>670</v>
      </c>
      <c r="P301">
        <v>5</v>
      </c>
    </row>
    <row r="302" spans="1:16" ht="15" customHeight="1" x14ac:dyDescent="0.25">
      <c r="A302" t="s">
        <v>413</v>
      </c>
      <c r="B302" s="4" t="s">
        <v>583</v>
      </c>
      <c r="C302">
        <v>1</v>
      </c>
      <c r="N302" t="s" cm="1">
        <v>413</v>
      </c>
      <c r="O302" s="4" t="s">
        <v>954</v>
      </c>
      <c r="P302">
        <v>5</v>
      </c>
    </row>
    <row r="303" spans="1:16" ht="15" customHeight="1" x14ac:dyDescent="0.25">
      <c r="A303" t="s">
        <v>578</v>
      </c>
      <c r="B303" s="4" t="s">
        <v>901</v>
      </c>
      <c r="C303">
        <v>1</v>
      </c>
      <c r="N303" t="s" cm="1">
        <v>578</v>
      </c>
      <c r="O303" s="4" t="s">
        <v>687</v>
      </c>
      <c r="P303">
        <v>5</v>
      </c>
    </row>
    <row r="304" spans="1:16" ht="15" customHeight="1" x14ac:dyDescent="0.25">
      <c r="A304" t="s">
        <v>647</v>
      </c>
      <c r="B304" s="4" t="s">
        <v>445</v>
      </c>
      <c r="C304">
        <v>1</v>
      </c>
      <c r="N304" t="s" cm="1">
        <v>647</v>
      </c>
      <c r="O304" s="4" t="s">
        <v>690</v>
      </c>
      <c r="P304">
        <v>5</v>
      </c>
    </row>
    <row r="305" spans="1:16" ht="15" customHeight="1" x14ac:dyDescent="0.25">
      <c r="A305" t="s">
        <v>908</v>
      </c>
      <c r="B305" s="4" t="s">
        <v>902</v>
      </c>
      <c r="C305">
        <v>1</v>
      </c>
      <c r="N305" t="s" cm="1">
        <v>911</v>
      </c>
      <c r="O305" s="4" t="s">
        <v>684</v>
      </c>
      <c r="P305">
        <v>5</v>
      </c>
    </row>
    <row r="306" spans="1:16" ht="15" customHeight="1" x14ac:dyDescent="0.25">
      <c r="A306" t="s">
        <v>917</v>
      </c>
      <c r="B306" s="4" t="s">
        <v>478</v>
      </c>
      <c r="C306">
        <v>1</v>
      </c>
      <c r="N306" t="s" cm="1">
        <v>928</v>
      </c>
      <c r="O306" s="4" t="s">
        <v>685</v>
      </c>
      <c r="P306">
        <v>6</v>
      </c>
    </row>
    <row r="307" spans="1:16" ht="15" customHeight="1" x14ac:dyDescent="0.25">
      <c r="A307" t="s">
        <v>619</v>
      </c>
      <c r="B307" s="4" t="s">
        <v>903</v>
      </c>
      <c r="C307">
        <v>1</v>
      </c>
      <c r="N307" t="s" cm="1">
        <v>399</v>
      </c>
      <c r="O307" s="4" t="s">
        <v>678</v>
      </c>
      <c r="P307">
        <v>6</v>
      </c>
    </row>
    <row r="308" spans="1:16" ht="15" customHeight="1" x14ac:dyDescent="0.25">
      <c r="A308" t="s">
        <v>619</v>
      </c>
      <c r="B308" s="4" t="s">
        <v>562</v>
      </c>
      <c r="C308">
        <v>1</v>
      </c>
      <c r="N308" t="s" cm="1">
        <v>399</v>
      </c>
      <c r="O308" s="4" t="s">
        <v>889</v>
      </c>
      <c r="P308">
        <v>6</v>
      </c>
    </row>
    <row r="309" spans="1:16" ht="15" customHeight="1" x14ac:dyDescent="0.25">
      <c r="A309" t="s">
        <v>619</v>
      </c>
      <c r="B309" s="4" t="s">
        <v>746</v>
      </c>
      <c r="C309">
        <v>1</v>
      </c>
      <c r="N309" t="s" cm="1">
        <v>399</v>
      </c>
      <c r="O309" s="4" t="s">
        <v>446</v>
      </c>
      <c r="P309">
        <v>6</v>
      </c>
    </row>
    <row r="310" spans="1:16" ht="15" customHeight="1" x14ac:dyDescent="0.25">
      <c r="A310" t="s">
        <v>619</v>
      </c>
      <c r="B310" s="4" t="s">
        <v>295</v>
      </c>
      <c r="C310">
        <v>1</v>
      </c>
      <c r="N310" t="s" cm="1">
        <v>399</v>
      </c>
      <c r="O310" s="4" t="s">
        <v>683</v>
      </c>
      <c r="P310">
        <v>6</v>
      </c>
    </row>
    <row r="311" spans="1:16" ht="15" customHeight="1" x14ac:dyDescent="0.25">
      <c r="A311" t="s">
        <v>619</v>
      </c>
      <c r="B311" s="4" t="s">
        <v>904</v>
      </c>
      <c r="C311">
        <v>1</v>
      </c>
      <c r="N311" t="s" cm="1">
        <v>399</v>
      </c>
      <c r="O311" s="4" t="s">
        <v>362</v>
      </c>
      <c r="P311">
        <v>6</v>
      </c>
    </row>
    <row r="312" spans="1:16" ht="15" customHeight="1" x14ac:dyDescent="0.25">
      <c r="A312" t="s">
        <v>619</v>
      </c>
      <c r="B312" s="4" t="s">
        <v>631</v>
      </c>
      <c r="C312">
        <v>1</v>
      </c>
      <c r="N312" t="s" cm="1">
        <v>399</v>
      </c>
      <c r="O312" s="4" t="s">
        <v>738</v>
      </c>
      <c r="P312">
        <v>6</v>
      </c>
    </row>
    <row r="313" spans="1:16" ht="15" customHeight="1" x14ac:dyDescent="0.25">
      <c r="A313" t="s">
        <v>619</v>
      </c>
      <c r="B313" s="4" t="s">
        <v>905</v>
      </c>
      <c r="C313">
        <v>1</v>
      </c>
      <c r="N313" t="s" cm="1">
        <v>399</v>
      </c>
      <c r="O313" s="4" t="s">
        <v>698</v>
      </c>
      <c r="P313">
        <v>7</v>
      </c>
    </row>
    <row r="314" spans="1:16" ht="15" customHeight="1" x14ac:dyDescent="0.25">
      <c r="A314" t="s">
        <v>619</v>
      </c>
      <c r="B314" s="4" t="s">
        <v>438</v>
      </c>
      <c r="C314">
        <v>1</v>
      </c>
      <c r="N314" t="s" cm="1">
        <v>399</v>
      </c>
      <c r="O314" s="4" t="s">
        <v>691</v>
      </c>
      <c r="P314">
        <v>7</v>
      </c>
    </row>
    <row r="315" spans="1:16" ht="15" customHeight="1" x14ac:dyDescent="0.25">
      <c r="A315" t="s">
        <v>619</v>
      </c>
      <c r="B315" s="4" t="s">
        <v>906</v>
      </c>
      <c r="C315">
        <v>1</v>
      </c>
      <c r="N315" t="s" cm="1">
        <v>399</v>
      </c>
      <c r="O315" s="4" t="s">
        <v>692</v>
      </c>
      <c r="P315">
        <v>7</v>
      </c>
    </row>
    <row r="316" spans="1:16" ht="15" customHeight="1" x14ac:dyDescent="0.25">
      <c r="A316" t="s">
        <v>619</v>
      </c>
      <c r="B316" s="4" t="s">
        <v>471</v>
      </c>
      <c r="C316">
        <v>1</v>
      </c>
      <c r="N316" t="s" cm="1">
        <v>399</v>
      </c>
      <c r="O316" s="4" t="s">
        <v>701</v>
      </c>
      <c r="P316">
        <v>7</v>
      </c>
    </row>
    <row r="317" spans="1:16" ht="15" customHeight="1" x14ac:dyDescent="0.25">
      <c r="A317" t="s">
        <v>619</v>
      </c>
      <c r="B317" s="4" t="s">
        <v>942</v>
      </c>
      <c r="C317">
        <v>1</v>
      </c>
      <c r="N317" t="s" cm="1">
        <v>399</v>
      </c>
      <c r="O317" s="4" t="s">
        <v>530</v>
      </c>
      <c r="P317">
        <v>8</v>
      </c>
    </row>
    <row r="318" spans="1:16" ht="15" customHeight="1" x14ac:dyDescent="0.25">
      <c r="A318" t="s">
        <v>619</v>
      </c>
      <c r="B318" s="4" t="s">
        <v>590</v>
      </c>
      <c r="C318">
        <v>1</v>
      </c>
      <c r="N318" t="s" cm="1">
        <v>399</v>
      </c>
      <c r="O318" s="4" t="s">
        <v>772</v>
      </c>
      <c r="P318">
        <v>8</v>
      </c>
    </row>
    <row r="319" spans="1:16" ht="15" customHeight="1" x14ac:dyDescent="0.25">
      <c r="A319" t="s">
        <v>619</v>
      </c>
      <c r="B319" s="4" t="s">
        <v>945</v>
      </c>
      <c r="C319">
        <v>1</v>
      </c>
      <c r="N319" t="s" cm="1">
        <v>399</v>
      </c>
      <c r="O319" s="4" t="s">
        <v>775</v>
      </c>
      <c r="P319">
        <v>8</v>
      </c>
    </row>
    <row r="320" spans="1:16" ht="15" customHeight="1" x14ac:dyDescent="0.25">
      <c r="A320" t="s">
        <v>619</v>
      </c>
      <c r="B320" s="4" t="s">
        <v>299</v>
      </c>
      <c r="C320">
        <v>1</v>
      </c>
      <c r="N320" t="s" cm="1">
        <v>399</v>
      </c>
      <c r="O320" s="4" t="s">
        <v>344</v>
      </c>
      <c r="P320">
        <v>8</v>
      </c>
    </row>
    <row r="321" spans="1:16" ht="15" customHeight="1" x14ac:dyDescent="0.25">
      <c r="A321" t="s">
        <v>619</v>
      </c>
      <c r="B321" s="4" t="s">
        <v>960</v>
      </c>
      <c r="C321">
        <v>1</v>
      </c>
      <c r="N321" t="s" cm="1">
        <v>399</v>
      </c>
      <c r="O321" s="4" t="s">
        <v>778</v>
      </c>
      <c r="P321">
        <v>8</v>
      </c>
    </row>
    <row r="322" spans="1:16" ht="15" customHeight="1" x14ac:dyDescent="0.25">
      <c r="A322" t="s">
        <v>619</v>
      </c>
      <c r="B322" s="4" t="s">
        <v>322</v>
      </c>
      <c r="C322">
        <v>1</v>
      </c>
      <c r="N322" t="s" cm="1">
        <v>399</v>
      </c>
      <c r="O322" s="4" t="s">
        <v>776</v>
      </c>
      <c r="P322">
        <v>8</v>
      </c>
    </row>
    <row r="323" spans="1:16" ht="15" customHeight="1" x14ac:dyDescent="0.25">
      <c r="A323" t="s">
        <v>619</v>
      </c>
      <c r="B323" s="4" t="s">
        <v>943</v>
      </c>
      <c r="C323">
        <v>1</v>
      </c>
      <c r="N323" t="s" cm="1">
        <v>399</v>
      </c>
      <c r="O323" s="4" t="s">
        <v>696</v>
      </c>
      <c r="P323">
        <v>8</v>
      </c>
    </row>
    <row r="324" spans="1:16" ht="15" customHeight="1" x14ac:dyDescent="0.25">
      <c r="A324" t="s">
        <v>619</v>
      </c>
      <c r="B324" s="4" t="s">
        <v>378</v>
      </c>
      <c r="C324">
        <v>1</v>
      </c>
      <c r="N324" t="s" cm="1">
        <v>399</v>
      </c>
      <c r="O324" s="4" t="s">
        <v>554</v>
      </c>
      <c r="P324">
        <v>9</v>
      </c>
    </row>
    <row r="325" spans="1:16" ht="15" customHeight="1" x14ac:dyDescent="0.25">
      <c r="A325" t="s">
        <v>619</v>
      </c>
      <c r="B325" s="4" t="s">
        <v>946</v>
      </c>
      <c r="C325">
        <v>1</v>
      </c>
      <c r="N325" t="s" cm="1">
        <v>399</v>
      </c>
      <c r="O325" s="4" t="s">
        <v>304</v>
      </c>
      <c r="P325">
        <v>10</v>
      </c>
    </row>
    <row r="326" spans="1:16" ht="15" customHeight="1" x14ac:dyDescent="0.25">
      <c r="A326" t="s">
        <v>619</v>
      </c>
      <c r="B326" s="4" t="s">
        <v>866</v>
      </c>
      <c r="C326">
        <v>1</v>
      </c>
      <c r="N326" t="s" cm="1">
        <v>399</v>
      </c>
      <c r="O326" s="4" t="s">
        <v>699</v>
      </c>
      <c r="P326">
        <v>10</v>
      </c>
    </row>
    <row r="327" spans="1:16" ht="15" customHeight="1" x14ac:dyDescent="0.25">
      <c r="A327" t="s">
        <v>619</v>
      </c>
      <c r="B327" s="4" t="s">
        <v>961</v>
      </c>
      <c r="C327">
        <v>1</v>
      </c>
      <c r="N327" t="s" cm="1">
        <v>399</v>
      </c>
      <c r="O327" s="4" t="s">
        <v>294</v>
      </c>
      <c r="P327">
        <v>11</v>
      </c>
    </row>
    <row r="328" spans="1:16" ht="15" customHeight="1" x14ac:dyDescent="0.25">
      <c r="A328" t="s">
        <v>619</v>
      </c>
      <c r="B328" s="4" t="s">
        <v>572</v>
      </c>
      <c r="C328">
        <v>1</v>
      </c>
      <c r="N328" t="s" cm="1">
        <v>399</v>
      </c>
      <c r="O328" s="4" t="s">
        <v>669</v>
      </c>
      <c r="P328">
        <v>12</v>
      </c>
    </row>
    <row r="329" spans="1:16" ht="15" customHeight="1" x14ac:dyDescent="0.25">
      <c r="A329" t="s">
        <v>619</v>
      </c>
      <c r="B329" s="4" t="s">
        <v>944</v>
      </c>
      <c r="C329">
        <v>1</v>
      </c>
      <c r="N329" t="s" cm="1">
        <v>399</v>
      </c>
      <c r="O329" s="4" t="s">
        <v>704</v>
      </c>
      <c r="P329">
        <v>13</v>
      </c>
    </row>
    <row r="330" spans="1:16" ht="15" customHeight="1" x14ac:dyDescent="0.25">
      <c r="A330" t="s">
        <v>619</v>
      </c>
      <c r="B330" s="4" t="s">
        <v>601</v>
      </c>
      <c r="C330">
        <v>1</v>
      </c>
      <c r="N330" t="s" cm="1">
        <v>399</v>
      </c>
      <c r="O330" s="4" t="s">
        <v>317</v>
      </c>
      <c r="P330">
        <v>14</v>
      </c>
    </row>
    <row r="331" spans="1:16" ht="15" customHeight="1" x14ac:dyDescent="0.25">
      <c r="A331" t="s">
        <v>619</v>
      </c>
      <c r="B331" s="4" t="s">
        <v>947</v>
      </c>
      <c r="C331">
        <v>1</v>
      </c>
      <c r="N331" t="s" cm="1">
        <v>399</v>
      </c>
      <c r="O331" s="4" t="s">
        <v>636</v>
      </c>
      <c r="P331">
        <v>14</v>
      </c>
    </row>
    <row r="332" spans="1:16" ht="15" customHeight="1" x14ac:dyDescent="0.25">
      <c r="A332" t="s">
        <v>619</v>
      </c>
      <c r="B332" s="4" t="s">
        <v>386</v>
      </c>
      <c r="C332">
        <v>1</v>
      </c>
      <c r="N332" t="s" cm="1">
        <v>399</v>
      </c>
      <c r="O332" s="4" t="s">
        <v>455</v>
      </c>
      <c r="P332">
        <v>16</v>
      </c>
    </row>
    <row r="333" spans="1:16" ht="15" customHeight="1" x14ac:dyDescent="0.25">
      <c r="A333" t="s">
        <v>961</v>
      </c>
      <c r="B333" s="4" t="s">
        <v>954</v>
      </c>
      <c r="C333">
        <v>1</v>
      </c>
      <c r="N333" t="s" cm="1">
        <v>961</v>
      </c>
      <c r="O333" s="4" t="s">
        <v>706</v>
      </c>
      <c r="P333">
        <v>16</v>
      </c>
    </row>
    <row r="334" spans="1:16" ht="15" customHeight="1" x14ac:dyDescent="0.25">
      <c r="A334" t="s">
        <v>936</v>
      </c>
      <c r="B334" s="4" t="s">
        <v>948</v>
      </c>
      <c r="C334">
        <v>1</v>
      </c>
      <c r="N334" t="s" cm="1">
        <v>936</v>
      </c>
      <c r="O334" s="4" t="s">
        <v>713</v>
      </c>
      <c r="P334">
        <v>16</v>
      </c>
    </row>
    <row r="335" spans="1:16" ht="15" customHeight="1" x14ac:dyDescent="0.25">
      <c r="A335" t="s">
        <v>936</v>
      </c>
      <c r="B335" s="4" t="s">
        <v>962</v>
      </c>
      <c r="C335">
        <v>1</v>
      </c>
      <c r="N335" t="s" cm="1">
        <v>936</v>
      </c>
      <c r="O335" s="4" t="s">
        <v>828</v>
      </c>
      <c r="P335">
        <v>17</v>
      </c>
    </row>
    <row r="336" spans="1:16" ht="15" customHeight="1" x14ac:dyDescent="0.25">
      <c r="A336" t="s">
        <v>936</v>
      </c>
      <c r="B336" s="4" t="s">
        <v>346</v>
      </c>
      <c r="C336">
        <v>1</v>
      </c>
      <c r="N336" t="s" cm="1">
        <v>936</v>
      </c>
      <c r="O336" s="4" t="s">
        <v>709</v>
      </c>
      <c r="P336">
        <v>21</v>
      </c>
    </row>
    <row r="337" spans="1:16" ht="15" customHeight="1" x14ac:dyDescent="0.25">
      <c r="A337" t="s">
        <v>944</v>
      </c>
      <c r="B337" s="4" t="s">
        <v>955</v>
      </c>
      <c r="C337">
        <v>1</v>
      </c>
      <c r="N337" t="s" cm="1">
        <v>944</v>
      </c>
      <c r="O337" s="4" t="s">
        <v>68</v>
      </c>
      <c r="P337">
        <v>23</v>
      </c>
    </row>
    <row r="338" spans="1:16" ht="15" customHeight="1" x14ac:dyDescent="0.25">
      <c r="A338" t="s">
        <v>947</v>
      </c>
      <c r="B338" s="4" t="s">
        <v>464</v>
      </c>
      <c r="C338">
        <v>1</v>
      </c>
      <c r="N338" t="s" cm="1">
        <v>965</v>
      </c>
      <c r="O338" s="4" t="s">
        <v>666</v>
      </c>
      <c r="P338">
        <v>23</v>
      </c>
    </row>
    <row r="339" spans="1:16" ht="15" customHeight="1" x14ac:dyDescent="0.25">
      <c r="A339" t="s">
        <v>954</v>
      </c>
      <c r="B339" s="4" t="s">
        <v>963</v>
      </c>
      <c r="C339">
        <v>1</v>
      </c>
      <c r="N339" t="s" cm="1">
        <v>954</v>
      </c>
      <c r="O339" s="4" t="s">
        <v>313</v>
      </c>
      <c r="P339">
        <v>24</v>
      </c>
    </row>
    <row r="340" spans="1:16" ht="15" customHeight="1" x14ac:dyDescent="0.25">
      <c r="A340" t="s">
        <v>365</v>
      </c>
      <c r="B340" s="4" t="s">
        <v>420</v>
      </c>
      <c r="C340">
        <v>1</v>
      </c>
      <c r="N340" t="s" cm="1">
        <v>362</v>
      </c>
      <c r="O340" s="4" t="s">
        <v>379</v>
      </c>
      <c r="P340">
        <v>26</v>
      </c>
    </row>
    <row r="341" spans="1:16" ht="15" customHeight="1" x14ac:dyDescent="0.25">
      <c r="A341" t="s">
        <v>480</v>
      </c>
      <c r="B341" s="4" t="s">
        <v>956</v>
      </c>
      <c r="C341">
        <v>1</v>
      </c>
      <c r="N341" t="s" cm="1">
        <v>480</v>
      </c>
      <c r="O341" s="4" t="s">
        <v>714</v>
      </c>
      <c r="P341">
        <v>26</v>
      </c>
    </row>
    <row r="342" spans="1:16" ht="15" customHeight="1" x14ac:dyDescent="0.25">
      <c r="A342" t="s">
        <v>682</v>
      </c>
      <c r="B342" s="4" t="s">
        <v>868</v>
      </c>
      <c r="C342">
        <v>1</v>
      </c>
      <c r="N342" t="s" cm="1">
        <v>682</v>
      </c>
      <c r="O342" s="4" t="s">
        <v>712</v>
      </c>
      <c r="P342">
        <v>26</v>
      </c>
    </row>
    <row r="343" spans="1:16" ht="15" customHeight="1" x14ac:dyDescent="0.25">
      <c r="A343" t="s">
        <v>595</v>
      </c>
      <c r="B343" s="4" t="s">
        <v>964</v>
      </c>
      <c r="C343">
        <v>1</v>
      </c>
      <c r="N343" t="s" cm="1">
        <v>595</v>
      </c>
      <c r="O343" s="4" t="s">
        <v>710</v>
      </c>
      <c r="P343">
        <v>26</v>
      </c>
    </row>
    <row r="344" spans="1:16" ht="15" customHeight="1" x14ac:dyDescent="0.25">
      <c r="A344" t="s">
        <v>688</v>
      </c>
      <c r="B344" s="4" t="s">
        <v>334</v>
      </c>
      <c r="C344">
        <v>1</v>
      </c>
      <c r="N344" t="s" cm="1">
        <v>554</v>
      </c>
      <c r="O344" s="4" t="s">
        <v>614</v>
      </c>
      <c r="P344">
        <v>26</v>
      </c>
    </row>
    <row r="345" spans="1:16" ht="15" customHeight="1" x14ac:dyDescent="0.25">
      <c r="A345" t="s">
        <v>701</v>
      </c>
      <c r="B345" s="4" t="s">
        <v>949</v>
      </c>
      <c r="C345">
        <v>1</v>
      </c>
      <c r="N345" t="s" cm="1">
        <v>701</v>
      </c>
      <c r="O345" s="4" t="s">
        <v>470</v>
      </c>
      <c r="P345">
        <v>30</v>
      </c>
    </row>
    <row r="346" spans="1:16" ht="15" customHeight="1" x14ac:dyDescent="0.25">
      <c r="A346" t="s">
        <v>417</v>
      </c>
      <c r="B346" s="4" t="s">
        <v>158</v>
      </c>
      <c r="C346">
        <v>1</v>
      </c>
      <c r="N346" t="s" cm="1">
        <v>566</v>
      </c>
      <c r="O346" s="4" t="s">
        <v>353</v>
      </c>
      <c r="P346">
        <v>30</v>
      </c>
    </row>
    <row r="347" spans="1:16" ht="15" customHeight="1" x14ac:dyDescent="0.25">
      <c r="A347" t="s">
        <v>518</v>
      </c>
      <c r="B347" s="4" t="s">
        <v>950</v>
      </c>
      <c r="C347">
        <v>1</v>
      </c>
      <c r="N347" t="s" cm="1">
        <v>505</v>
      </c>
      <c r="O347" s="4" t="s">
        <v>582</v>
      </c>
      <c r="P347">
        <v>55</v>
      </c>
    </row>
    <row r="348" spans="1:16" ht="15" customHeight="1" x14ac:dyDescent="0.25">
      <c r="A348" t="s">
        <v>623</v>
      </c>
      <c r="B348" s="4" t="s">
        <v>523</v>
      </c>
      <c r="C348">
        <v>1</v>
      </c>
      <c r="N348" t="s" cm="1">
        <v>616</v>
      </c>
      <c r="O348" s="4" t="s">
        <v>732</v>
      </c>
      <c r="P348">
        <v>96</v>
      </c>
    </row>
    <row r="349" spans="1:16" ht="15" customHeight="1" x14ac:dyDescent="0.25">
      <c r="A349" t="s">
        <v>723</v>
      </c>
      <c r="B349" s="4" t="s">
        <v>951</v>
      </c>
      <c r="C349">
        <v>1</v>
      </c>
      <c r="N349" t="s" cm="1">
        <v>672</v>
      </c>
      <c r="O349" s="4" t="s">
        <v>399</v>
      </c>
      <c r="P349">
        <v>104</v>
      </c>
    </row>
    <row r="350" spans="1:16" ht="15" customHeight="1" x14ac:dyDescent="0.25">
      <c r="A350" t="s">
        <v>346</v>
      </c>
      <c r="B350" s="4" t="s">
        <v>594</v>
      </c>
      <c r="C350">
        <v>2</v>
      </c>
      <c r="N350" t="s" cm="1">
        <v>359</v>
      </c>
      <c r="O350" s="4" t="s">
        <v>715</v>
      </c>
      <c r="P350">
        <v>167</v>
      </c>
    </row>
    <row r="351" spans="1:16" ht="15" customHeight="1" x14ac:dyDescent="0.25">
      <c r="A351" t="s">
        <v>529</v>
      </c>
      <c r="B351" s="4" t="s">
        <v>694</v>
      </c>
      <c r="C351">
        <v>2</v>
      </c>
      <c r="N351" t="s" cm="1">
        <v>529</v>
      </c>
    </row>
    <row r="352" spans="1:16" ht="15" customHeight="1" x14ac:dyDescent="0.25">
      <c r="A352" t="s">
        <v>564</v>
      </c>
      <c r="B352" s="4" t="s">
        <v>958</v>
      </c>
      <c r="C352">
        <v>2</v>
      </c>
      <c r="N352" t="s" cm="1">
        <v>564</v>
      </c>
    </row>
    <row r="353" spans="1:14" ht="15" customHeight="1" x14ac:dyDescent="0.25">
      <c r="A353" t="s">
        <v>476</v>
      </c>
      <c r="B353" s="4" t="s">
        <v>959</v>
      </c>
      <c r="C353">
        <v>2</v>
      </c>
      <c r="N353" t="s" cm="1">
        <v>476</v>
      </c>
    </row>
    <row r="354" spans="1:14" ht="15" customHeight="1" x14ac:dyDescent="0.25">
      <c r="A354" t="s">
        <v>572</v>
      </c>
      <c r="B354" s="4" t="s">
        <v>672</v>
      </c>
      <c r="C354">
        <v>2</v>
      </c>
      <c r="N354" t="s" cm="1">
        <v>572</v>
      </c>
    </row>
    <row r="355" spans="1:14" ht="15" customHeight="1" x14ac:dyDescent="0.25">
      <c r="A355" t="s">
        <v>604</v>
      </c>
      <c r="B355" s="4" t="s">
        <v>310</v>
      </c>
      <c r="C355">
        <v>2</v>
      </c>
      <c r="N355" t="s" cm="1">
        <v>656</v>
      </c>
    </row>
    <row r="356" spans="1:14" ht="15" customHeight="1" x14ac:dyDescent="0.25">
      <c r="A356" t="s">
        <v>378</v>
      </c>
      <c r="B356" s="4" t="s">
        <v>433</v>
      </c>
      <c r="C356">
        <v>2</v>
      </c>
      <c r="N356" t="s" cm="1">
        <v>378</v>
      </c>
    </row>
    <row r="357" spans="1:14" ht="15" customHeight="1" x14ac:dyDescent="0.25">
      <c r="A357" t="s">
        <v>608</v>
      </c>
      <c r="B357" s="4" t="s">
        <v>881</v>
      </c>
      <c r="C357">
        <v>2</v>
      </c>
      <c r="N357" t="s" cm="1">
        <v>608</v>
      </c>
    </row>
    <row r="358" spans="1:14" ht="15" customHeight="1" x14ac:dyDescent="0.25">
      <c r="A358" t="s">
        <v>773</v>
      </c>
      <c r="B358" s="4" t="s">
        <v>884</v>
      </c>
      <c r="C358">
        <v>2</v>
      </c>
      <c r="N358" t="s" cm="1">
        <v>776</v>
      </c>
    </row>
    <row r="359" spans="1:14" ht="15" customHeight="1" x14ac:dyDescent="0.25">
      <c r="A359" t="s">
        <v>773</v>
      </c>
      <c r="B359" s="4" t="s">
        <v>720</v>
      </c>
      <c r="C359">
        <v>2</v>
      </c>
      <c r="N359" t="s" cm="1">
        <v>776</v>
      </c>
    </row>
    <row r="360" spans="1:14" ht="15" customHeight="1" x14ac:dyDescent="0.25">
      <c r="A360" t="s">
        <v>773</v>
      </c>
      <c r="B360" s="4" t="s">
        <v>879</v>
      </c>
      <c r="C360">
        <v>2</v>
      </c>
      <c r="N360" t="s" cm="1">
        <v>776</v>
      </c>
    </row>
    <row r="361" spans="1:14" ht="15" customHeight="1" x14ac:dyDescent="0.25">
      <c r="A361" t="s">
        <v>773</v>
      </c>
      <c r="B361" s="4" t="s">
        <v>624</v>
      </c>
      <c r="C361">
        <v>2</v>
      </c>
      <c r="N361" t="s" cm="1">
        <v>776</v>
      </c>
    </row>
    <row r="362" spans="1:14" ht="15" customHeight="1" x14ac:dyDescent="0.25">
      <c r="A362" t="s">
        <v>813</v>
      </c>
      <c r="B362" s="4" t="s">
        <v>550</v>
      </c>
      <c r="C362">
        <v>2</v>
      </c>
      <c r="N362" t="s" cm="1">
        <v>840</v>
      </c>
    </row>
    <row r="363" spans="1:14" ht="15" customHeight="1" x14ac:dyDescent="0.25">
      <c r="A363" t="s">
        <v>819</v>
      </c>
      <c r="B363" s="4" t="s">
        <v>519</v>
      </c>
      <c r="C363">
        <v>2</v>
      </c>
      <c r="N363" t="s" cm="1">
        <v>823</v>
      </c>
    </row>
    <row r="364" spans="1:14" ht="15" customHeight="1" x14ac:dyDescent="0.25">
      <c r="A364" t="s">
        <v>831</v>
      </c>
      <c r="B364" s="4" t="s">
        <v>652</v>
      </c>
      <c r="C364">
        <v>2</v>
      </c>
      <c r="N364" t="s" cm="1">
        <v>831</v>
      </c>
    </row>
    <row r="365" spans="1:14" ht="15" customHeight="1" x14ac:dyDescent="0.25">
      <c r="A365" t="s">
        <v>519</v>
      </c>
      <c r="B365" s="4" t="s">
        <v>896</v>
      </c>
      <c r="C365">
        <v>2</v>
      </c>
      <c r="N365" t="s" cm="1">
        <v>519</v>
      </c>
    </row>
    <row r="366" spans="1:14" ht="15" customHeight="1" x14ac:dyDescent="0.25">
      <c r="A366" t="s">
        <v>865</v>
      </c>
      <c r="B366" s="4" t="s">
        <v>824</v>
      </c>
      <c r="C366">
        <v>2</v>
      </c>
      <c r="N366" t="s" cm="1">
        <v>455</v>
      </c>
    </row>
    <row r="367" spans="1:14" ht="15" customHeight="1" x14ac:dyDescent="0.25">
      <c r="A367" t="s">
        <v>455</v>
      </c>
      <c r="B367" s="4" t="s">
        <v>486</v>
      </c>
      <c r="C367">
        <v>2</v>
      </c>
      <c r="N367" t="s" cm="1">
        <v>455</v>
      </c>
    </row>
    <row r="368" spans="1:14" ht="15" customHeight="1" x14ac:dyDescent="0.25">
      <c r="A368" t="s">
        <v>455</v>
      </c>
      <c r="B368" s="4" t="s">
        <v>608</v>
      </c>
      <c r="C368">
        <v>2</v>
      </c>
      <c r="N368" t="s" cm="1">
        <v>455</v>
      </c>
    </row>
    <row r="369" spans="1:14" ht="15" customHeight="1" x14ac:dyDescent="0.25">
      <c r="A369" t="s">
        <v>868</v>
      </c>
      <c r="B369" s="4" t="s">
        <v>569</v>
      </c>
      <c r="C369">
        <v>2</v>
      </c>
      <c r="N369" t="s" cm="1">
        <v>868</v>
      </c>
    </row>
    <row r="370" spans="1:14" ht="15" customHeight="1" x14ac:dyDescent="0.25">
      <c r="A370" t="s">
        <v>872</v>
      </c>
      <c r="B370" s="4" t="s">
        <v>717</v>
      </c>
      <c r="C370">
        <v>2</v>
      </c>
      <c r="N370" t="s" cm="1">
        <v>872</v>
      </c>
    </row>
    <row r="371" spans="1:14" ht="15" customHeight="1" x14ac:dyDescent="0.25">
      <c r="A371" t="s">
        <v>554</v>
      </c>
      <c r="B371" s="4" t="s">
        <v>882</v>
      </c>
      <c r="C371">
        <v>2</v>
      </c>
      <c r="N371" t="s" cm="1">
        <v>554</v>
      </c>
    </row>
    <row r="372" spans="1:14" ht="15" customHeight="1" x14ac:dyDescent="0.25">
      <c r="A372" t="s">
        <v>881</v>
      </c>
      <c r="B372" s="4" t="s">
        <v>852</v>
      </c>
      <c r="C372">
        <v>2</v>
      </c>
      <c r="N372" t="s" cm="1">
        <v>883</v>
      </c>
    </row>
    <row r="373" spans="1:14" ht="15" customHeight="1" x14ac:dyDescent="0.25">
      <c r="A373" t="s">
        <v>881</v>
      </c>
      <c r="B373" s="4" t="s">
        <v>890</v>
      </c>
      <c r="C373">
        <v>2</v>
      </c>
      <c r="N373" t="s" cm="1">
        <v>883</v>
      </c>
    </row>
    <row r="374" spans="1:14" ht="15" customHeight="1" x14ac:dyDescent="0.25">
      <c r="A374" t="s">
        <v>732</v>
      </c>
      <c r="B374" s="4" t="s">
        <v>853</v>
      </c>
      <c r="C374">
        <v>2</v>
      </c>
      <c r="N374" t="s" cm="1">
        <v>732</v>
      </c>
    </row>
    <row r="375" spans="1:14" ht="15" customHeight="1" x14ac:dyDescent="0.25">
      <c r="A375" t="s">
        <v>889</v>
      </c>
      <c r="B375" s="4" t="s">
        <v>567</v>
      </c>
      <c r="C375">
        <v>2</v>
      </c>
      <c r="N375" t="s" cm="1">
        <v>889</v>
      </c>
    </row>
    <row r="376" spans="1:14" ht="15" customHeight="1" x14ac:dyDescent="0.25">
      <c r="A376" t="s">
        <v>895</v>
      </c>
      <c r="B376" s="4" t="s">
        <v>167</v>
      </c>
      <c r="C376">
        <v>2</v>
      </c>
      <c r="N376" t="s" cm="1">
        <v>895</v>
      </c>
    </row>
    <row r="377" spans="1:14" ht="15" customHeight="1" x14ac:dyDescent="0.25">
      <c r="A377" t="s">
        <v>669</v>
      </c>
      <c r="B377" s="4" t="s">
        <v>883</v>
      </c>
      <c r="C377">
        <v>2</v>
      </c>
      <c r="N377" t="s" cm="1">
        <v>669</v>
      </c>
    </row>
    <row r="378" spans="1:14" ht="15" customHeight="1" x14ac:dyDescent="0.25">
      <c r="A378" t="s">
        <v>641</v>
      </c>
      <c r="B378" s="4" t="s">
        <v>581</v>
      </c>
      <c r="C378">
        <v>2</v>
      </c>
      <c r="N378" t="s" cm="1">
        <v>641</v>
      </c>
    </row>
    <row r="379" spans="1:14" ht="15" customHeight="1" x14ac:dyDescent="0.25">
      <c r="A379" t="s">
        <v>375</v>
      </c>
      <c r="B379" s="4" t="s">
        <v>719</v>
      </c>
      <c r="C379">
        <v>2</v>
      </c>
      <c r="N379" t="s" cm="1">
        <v>666</v>
      </c>
    </row>
    <row r="380" spans="1:14" ht="15" customHeight="1" x14ac:dyDescent="0.25">
      <c r="A380" t="s">
        <v>724</v>
      </c>
      <c r="B380" s="4" t="s">
        <v>362</v>
      </c>
      <c r="C380">
        <v>2</v>
      </c>
      <c r="N380" t="s" cm="1">
        <v>666</v>
      </c>
    </row>
    <row r="381" spans="1:14" ht="15" customHeight="1" x14ac:dyDescent="0.25">
      <c r="A381" t="s">
        <v>724</v>
      </c>
      <c r="B381" s="4" t="s">
        <v>885</v>
      </c>
      <c r="C381">
        <v>2</v>
      </c>
      <c r="N381" t="s" cm="1">
        <v>666</v>
      </c>
    </row>
    <row r="382" spans="1:14" ht="15" customHeight="1" x14ac:dyDescent="0.25">
      <c r="A382" t="s">
        <v>724</v>
      </c>
      <c r="B382" s="4" t="s">
        <v>723</v>
      </c>
      <c r="C382">
        <v>2</v>
      </c>
      <c r="N382" t="s" cm="1">
        <v>666</v>
      </c>
    </row>
    <row r="383" spans="1:14" ht="15" customHeight="1" x14ac:dyDescent="0.25">
      <c r="A383" t="s">
        <v>724</v>
      </c>
      <c r="B383" s="4" t="s">
        <v>573</v>
      </c>
      <c r="C383">
        <v>2</v>
      </c>
      <c r="N383" t="s" cm="1">
        <v>666</v>
      </c>
    </row>
    <row r="384" spans="1:14" ht="15" customHeight="1" x14ac:dyDescent="0.25">
      <c r="A384" t="s">
        <v>549</v>
      </c>
      <c r="B384" s="4" t="s">
        <v>630</v>
      </c>
      <c r="C384">
        <v>2</v>
      </c>
      <c r="N384" t="s" cm="1">
        <v>549</v>
      </c>
    </row>
    <row r="385" spans="1:14" ht="15" customHeight="1" x14ac:dyDescent="0.25">
      <c r="A385" t="s">
        <v>464</v>
      </c>
      <c r="B385" s="4" t="s">
        <v>459</v>
      </c>
      <c r="C385">
        <v>2</v>
      </c>
      <c r="N385" t="s" cm="1">
        <v>460</v>
      </c>
    </row>
    <row r="386" spans="1:14" ht="15" customHeight="1" x14ac:dyDescent="0.25">
      <c r="A386" t="s">
        <v>704</v>
      </c>
      <c r="B386" s="4" t="s">
        <v>512</v>
      </c>
      <c r="C386">
        <v>2</v>
      </c>
      <c r="N386" t="s" cm="1">
        <v>704</v>
      </c>
    </row>
    <row r="387" spans="1:14" ht="15" customHeight="1" x14ac:dyDescent="0.25">
      <c r="A387" t="s">
        <v>704</v>
      </c>
      <c r="B387" s="4" t="s">
        <v>148</v>
      </c>
      <c r="C387">
        <v>2</v>
      </c>
      <c r="N387" t="s" cm="1">
        <v>704</v>
      </c>
    </row>
    <row r="388" spans="1:14" ht="15" customHeight="1" x14ac:dyDescent="0.25">
      <c r="A388" t="s">
        <v>704</v>
      </c>
      <c r="B388" s="4" t="s">
        <v>718</v>
      </c>
      <c r="C388">
        <v>2</v>
      </c>
      <c r="N388" t="s" cm="1">
        <v>704</v>
      </c>
    </row>
    <row r="389" spans="1:14" ht="15" customHeight="1" x14ac:dyDescent="0.25">
      <c r="A389" t="s">
        <v>704</v>
      </c>
      <c r="B389" s="4" t="s">
        <v>446</v>
      </c>
      <c r="C389">
        <v>2</v>
      </c>
      <c r="N389" t="s" cm="1">
        <v>704</v>
      </c>
    </row>
    <row r="390" spans="1:14" ht="15" customHeight="1" x14ac:dyDescent="0.25">
      <c r="A390" t="s">
        <v>704</v>
      </c>
      <c r="B390" s="4" t="s">
        <v>849</v>
      </c>
      <c r="C390">
        <v>2</v>
      </c>
      <c r="N390" t="s" cm="1">
        <v>704</v>
      </c>
    </row>
    <row r="391" spans="1:14" ht="15" customHeight="1" x14ac:dyDescent="0.25">
      <c r="A391" t="s">
        <v>704</v>
      </c>
      <c r="B391" s="4" t="s">
        <v>657</v>
      </c>
      <c r="C391">
        <v>2</v>
      </c>
      <c r="N391" t="s" cm="1">
        <v>704</v>
      </c>
    </row>
    <row r="392" spans="1:14" ht="15" customHeight="1" x14ac:dyDescent="0.25">
      <c r="A392" t="s">
        <v>704</v>
      </c>
      <c r="B392" s="4" t="s">
        <v>584</v>
      </c>
      <c r="C392">
        <v>2</v>
      </c>
      <c r="N392" t="s" cm="1">
        <v>704</v>
      </c>
    </row>
    <row r="393" spans="1:14" ht="15" customHeight="1" x14ac:dyDescent="0.25">
      <c r="A393" t="s">
        <v>704</v>
      </c>
      <c r="B393" s="4" t="s">
        <v>564</v>
      </c>
      <c r="C393">
        <v>2</v>
      </c>
      <c r="N393" t="s" cm="1">
        <v>704</v>
      </c>
    </row>
    <row r="394" spans="1:14" ht="15" customHeight="1" x14ac:dyDescent="0.25">
      <c r="A394" t="s">
        <v>704</v>
      </c>
      <c r="B394" s="4" t="s">
        <v>880</v>
      </c>
      <c r="C394">
        <v>2</v>
      </c>
      <c r="N394" t="s" cm="1">
        <v>704</v>
      </c>
    </row>
    <row r="395" spans="1:14" ht="15" customHeight="1" x14ac:dyDescent="0.25">
      <c r="A395" t="s">
        <v>704</v>
      </c>
      <c r="B395" s="4" t="s">
        <v>626</v>
      </c>
      <c r="C395">
        <v>2</v>
      </c>
      <c r="N395" t="s" cm="1">
        <v>704</v>
      </c>
    </row>
    <row r="396" spans="1:14" ht="15" customHeight="1" x14ac:dyDescent="0.25">
      <c r="A396" t="s">
        <v>704</v>
      </c>
      <c r="B396" s="4" t="s">
        <v>610</v>
      </c>
      <c r="C396">
        <v>2</v>
      </c>
      <c r="N396" t="s" cm="1">
        <v>704</v>
      </c>
    </row>
    <row r="397" spans="1:14" ht="15" customHeight="1" x14ac:dyDescent="0.25">
      <c r="A397" t="s">
        <v>704</v>
      </c>
      <c r="B397" s="4" t="s">
        <v>952</v>
      </c>
      <c r="C397">
        <v>2</v>
      </c>
      <c r="N397" t="s" cm="1">
        <v>704</v>
      </c>
    </row>
    <row r="398" spans="1:14" ht="15" customHeight="1" x14ac:dyDescent="0.25">
      <c r="A398" t="s">
        <v>704</v>
      </c>
      <c r="B398" s="4" t="s">
        <v>836</v>
      </c>
      <c r="C398">
        <v>2</v>
      </c>
      <c r="N398" t="s" cm="1">
        <v>704</v>
      </c>
    </row>
    <row r="399" spans="1:14" ht="15" customHeight="1" x14ac:dyDescent="0.25">
      <c r="A399" t="s">
        <v>578</v>
      </c>
      <c r="B399" s="4" t="s">
        <v>462</v>
      </c>
      <c r="C399">
        <v>2</v>
      </c>
      <c r="N399" t="s" cm="1">
        <v>578</v>
      </c>
    </row>
    <row r="400" spans="1:14" ht="15" customHeight="1" x14ac:dyDescent="0.25">
      <c r="A400" t="s">
        <v>470</v>
      </c>
      <c r="B400" s="4" t="s">
        <v>308</v>
      </c>
      <c r="C400">
        <v>2</v>
      </c>
      <c r="N400" t="s" cm="1">
        <v>470</v>
      </c>
    </row>
    <row r="401" spans="1:14" ht="15" customHeight="1" x14ac:dyDescent="0.25">
      <c r="A401" t="s">
        <v>470</v>
      </c>
      <c r="B401" s="4" t="s">
        <v>953</v>
      </c>
      <c r="C401">
        <v>2</v>
      </c>
      <c r="N401" t="s" cm="1">
        <v>470</v>
      </c>
    </row>
    <row r="402" spans="1:14" ht="15" customHeight="1" x14ac:dyDescent="0.25">
      <c r="A402" t="s">
        <v>470</v>
      </c>
      <c r="B402" s="4" t="s">
        <v>682</v>
      </c>
      <c r="C402">
        <v>2</v>
      </c>
      <c r="N402" t="s" cm="1">
        <v>470</v>
      </c>
    </row>
    <row r="403" spans="1:14" ht="15" customHeight="1" x14ac:dyDescent="0.25">
      <c r="A403" t="s">
        <v>470</v>
      </c>
      <c r="B403" s="4" t="s">
        <v>498</v>
      </c>
      <c r="C403">
        <v>2</v>
      </c>
      <c r="N403" t="s" cm="1">
        <v>470</v>
      </c>
    </row>
    <row r="404" spans="1:14" ht="15" customHeight="1" x14ac:dyDescent="0.25">
      <c r="A404" t="s">
        <v>470</v>
      </c>
      <c r="B404" s="4" t="s">
        <v>577</v>
      </c>
      <c r="C404">
        <v>2</v>
      </c>
      <c r="N404" t="s" cm="1">
        <v>470</v>
      </c>
    </row>
    <row r="405" spans="1:14" ht="15" customHeight="1" x14ac:dyDescent="0.25">
      <c r="A405" t="s">
        <v>470</v>
      </c>
      <c r="B405" s="4" t="s">
        <v>716</v>
      </c>
      <c r="C405">
        <v>2</v>
      </c>
      <c r="N405" t="s" cm="1">
        <v>470</v>
      </c>
    </row>
    <row r="406" spans="1:14" ht="15" customHeight="1" x14ac:dyDescent="0.25">
      <c r="A406" t="s">
        <v>470</v>
      </c>
      <c r="B406" s="4" t="s">
        <v>551</v>
      </c>
      <c r="C406">
        <v>2</v>
      </c>
      <c r="N406" t="s" cm="1">
        <v>470</v>
      </c>
    </row>
    <row r="407" spans="1:14" ht="15" customHeight="1" x14ac:dyDescent="0.25">
      <c r="A407" t="s">
        <v>715</v>
      </c>
      <c r="B407" s="4" t="s">
        <v>304</v>
      </c>
      <c r="C407">
        <v>2</v>
      </c>
      <c r="N407" t="s" cm="1">
        <v>715</v>
      </c>
    </row>
    <row r="408" spans="1:14" ht="15" customHeight="1" x14ac:dyDescent="0.25">
      <c r="A408" t="s">
        <v>344</v>
      </c>
      <c r="B408" s="4" t="s">
        <v>656</v>
      </c>
      <c r="C408">
        <v>2</v>
      </c>
      <c r="N408" t="s" cm="1">
        <v>344</v>
      </c>
    </row>
    <row r="409" spans="1:14" ht="15" customHeight="1" x14ac:dyDescent="0.25">
      <c r="A409" t="s">
        <v>344</v>
      </c>
      <c r="B409" s="4" t="s">
        <v>292</v>
      </c>
      <c r="C409">
        <v>2</v>
      </c>
      <c r="N409" t="s" cm="1">
        <v>344</v>
      </c>
    </row>
    <row r="410" spans="1:14" ht="15" customHeight="1" x14ac:dyDescent="0.25">
      <c r="A410" t="s">
        <v>344</v>
      </c>
      <c r="B410" s="4" t="s">
        <v>641</v>
      </c>
      <c r="C410">
        <v>3</v>
      </c>
      <c r="N410" t="s" cm="1">
        <v>344</v>
      </c>
    </row>
    <row r="411" spans="1:14" ht="15" customHeight="1" x14ac:dyDescent="0.25">
      <c r="A411" t="s">
        <v>344</v>
      </c>
      <c r="B411" s="4" t="s">
        <v>851</v>
      </c>
      <c r="C411">
        <v>3</v>
      </c>
      <c r="N411" t="s" cm="1">
        <v>344</v>
      </c>
    </row>
    <row r="412" spans="1:14" ht="15" customHeight="1" x14ac:dyDescent="0.25">
      <c r="A412" t="s">
        <v>353</v>
      </c>
      <c r="B412" s="4" t="s">
        <v>653</v>
      </c>
      <c r="C412">
        <v>3</v>
      </c>
      <c r="N412" t="s" cm="1">
        <v>353</v>
      </c>
    </row>
    <row r="413" spans="1:14" ht="15" customHeight="1" x14ac:dyDescent="0.25">
      <c r="A413" t="s">
        <v>353</v>
      </c>
      <c r="B413" s="4" t="s">
        <v>936</v>
      </c>
      <c r="C413">
        <v>3</v>
      </c>
      <c r="N413" t="s" cm="1">
        <v>353</v>
      </c>
    </row>
    <row r="414" spans="1:14" ht="15" customHeight="1" x14ac:dyDescent="0.25">
      <c r="A414" t="s">
        <v>353</v>
      </c>
      <c r="B414" s="4" t="s">
        <v>570</v>
      </c>
      <c r="C414">
        <v>3</v>
      </c>
      <c r="N414" t="s" cm="1">
        <v>353</v>
      </c>
    </row>
    <row r="415" spans="1:14" ht="15" customHeight="1" x14ac:dyDescent="0.25">
      <c r="A415" t="s">
        <v>353</v>
      </c>
      <c r="B415" s="4" t="s">
        <v>937</v>
      </c>
      <c r="C415">
        <v>3</v>
      </c>
      <c r="N415" t="s" cm="1">
        <v>353</v>
      </c>
    </row>
    <row r="416" spans="1:14" ht="15" customHeight="1" x14ac:dyDescent="0.25">
      <c r="A416" t="s">
        <v>353</v>
      </c>
      <c r="B416" s="4" t="s">
        <v>313</v>
      </c>
      <c r="C416">
        <v>3</v>
      </c>
      <c r="N416" t="s" cm="1">
        <v>353</v>
      </c>
    </row>
    <row r="417" spans="1:14" ht="15" customHeight="1" x14ac:dyDescent="0.25">
      <c r="A417" t="s">
        <v>353</v>
      </c>
      <c r="B417" s="4" t="s">
        <v>938</v>
      </c>
      <c r="C417">
        <v>3</v>
      </c>
      <c r="N417" t="s" cm="1">
        <v>353</v>
      </c>
    </row>
    <row r="418" spans="1:14" ht="15" customHeight="1" x14ac:dyDescent="0.25">
      <c r="A418" t="s">
        <v>353</v>
      </c>
      <c r="B418" s="4" t="s">
        <v>370</v>
      </c>
      <c r="C418">
        <v>3</v>
      </c>
      <c r="N418" t="s" cm="1">
        <v>353</v>
      </c>
    </row>
    <row r="419" spans="1:14" ht="15" customHeight="1" x14ac:dyDescent="0.25">
      <c r="A419" t="s">
        <v>418</v>
      </c>
      <c r="B419" s="4" t="s">
        <v>827</v>
      </c>
      <c r="C419">
        <v>3</v>
      </c>
      <c r="N419" t="s" cm="1">
        <v>418</v>
      </c>
    </row>
    <row r="420" spans="1:14" ht="15" customHeight="1" x14ac:dyDescent="0.25">
      <c r="A420" t="s">
        <v>562</v>
      </c>
      <c r="B420" s="4" t="s">
        <v>455</v>
      </c>
      <c r="C420">
        <v>3</v>
      </c>
      <c r="N420" t="s" cm="1">
        <v>562</v>
      </c>
    </row>
    <row r="421" spans="1:14" ht="15" customHeight="1" x14ac:dyDescent="0.25">
      <c r="A421" t="s">
        <v>582</v>
      </c>
      <c r="B421" s="4" t="s">
        <v>647</v>
      </c>
      <c r="C421">
        <v>3</v>
      </c>
      <c r="N421" t="s" cm="1">
        <v>582</v>
      </c>
    </row>
    <row r="422" spans="1:14" ht="15" customHeight="1" x14ac:dyDescent="0.25">
      <c r="A422" t="s">
        <v>652</v>
      </c>
      <c r="B422" s="4" t="s">
        <v>725</v>
      </c>
      <c r="C422">
        <v>3</v>
      </c>
      <c r="N422" t="s" cm="1">
        <v>537</v>
      </c>
    </row>
    <row r="423" spans="1:14" ht="15" customHeight="1" x14ac:dyDescent="0.25">
      <c r="A423" t="s">
        <v>719</v>
      </c>
      <c r="B423" s="4" t="s">
        <v>644</v>
      </c>
      <c r="C423">
        <v>3</v>
      </c>
      <c r="N423" t="s" cm="1">
        <v>317</v>
      </c>
    </row>
    <row r="424" spans="1:14" ht="15" customHeight="1" x14ac:dyDescent="0.25">
      <c r="A424" t="s">
        <v>308</v>
      </c>
      <c r="B424" s="4" t="s">
        <v>536</v>
      </c>
      <c r="C424">
        <v>3</v>
      </c>
      <c r="N424" t="s" cm="1">
        <v>308</v>
      </c>
    </row>
    <row r="425" spans="1:14" ht="15" customHeight="1" x14ac:dyDescent="0.25">
      <c r="A425" t="s">
        <v>575</v>
      </c>
      <c r="B425" s="4" t="s">
        <v>330</v>
      </c>
      <c r="C425">
        <v>3</v>
      </c>
      <c r="N425" t="s" cm="1">
        <v>327</v>
      </c>
    </row>
    <row r="426" spans="1:14" ht="15" customHeight="1" x14ac:dyDescent="0.25">
      <c r="A426" t="s">
        <v>645</v>
      </c>
      <c r="B426" s="4" t="s">
        <v>578</v>
      </c>
      <c r="C426">
        <v>4</v>
      </c>
      <c r="N426" t="s" cm="1">
        <v>293</v>
      </c>
    </row>
    <row r="427" spans="1:14" ht="15" customHeight="1" x14ac:dyDescent="0.25">
      <c r="A427" t="s">
        <v>447</v>
      </c>
      <c r="B427" s="4" t="s">
        <v>724</v>
      </c>
      <c r="C427">
        <v>4</v>
      </c>
      <c r="N427" t="s" cm="1">
        <v>447</v>
      </c>
    </row>
    <row r="428" spans="1:14" ht="15" customHeight="1" x14ac:dyDescent="0.25">
      <c r="A428" t="s">
        <v>599</v>
      </c>
      <c r="B428" s="4" t="s">
        <v>648</v>
      </c>
      <c r="C428">
        <v>4</v>
      </c>
      <c r="N428" t="s" cm="1">
        <v>470</v>
      </c>
    </row>
    <row r="429" spans="1:14" ht="15" customHeight="1" x14ac:dyDescent="0.25">
      <c r="A429" t="s">
        <v>310</v>
      </c>
      <c r="B429" s="4" t="s">
        <v>662</v>
      </c>
      <c r="C429">
        <v>4</v>
      </c>
      <c r="N429" t="s" cm="1">
        <v>310</v>
      </c>
    </row>
    <row r="430" spans="1:14" ht="15" customHeight="1" x14ac:dyDescent="0.25">
      <c r="A430" t="s">
        <v>296</v>
      </c>
      <c r="B430" s="4" t="s">
        <v>886</v>
      </c>
      <c r="C430">
        <v>4</v>
      </c>
      <c r="N430" t="s" cm="1">
        <v>296</v>
      </c>
    </row>
    <row r="431" spans="1:14" ht="15" customHeight="1" x14ac:dyDescent="0.25">
      <c r="A431" t="s">
        <v>709</v>
      </c>
      <c r="B431" s="4" t="s">
        <v>776</v>
      </c>
      <c r="C431">
        <v>4</v>
      </c>
      <c r="N431" t="s" cm="1">
        <v>709</v>
      </c>
    </row>
    <row r="432" spans="1:14" ht="15" customHeight="1" x14ac:dyDescent="0.25">
      <c r="A432" t="s">
        <v>610</v>
      </c>
      <c r="B432" s="4" t="s">
        <v>775</v>
      </c>
      <c r="C432">
        <v>4</v>
      </c>
      <c r="N432" t="s" cm="1">
        <v>610</v>
      </c>
    </row>
    <row r="433" spans="1:14" ht="15" customHeight="1" x14ac:dyDescent="0.25">
      <c r="A433" t="s">
        <v>581</v>
      </c>
      <c r="B433" s="4" t="s">
        <v>777</v>
      </c>
      <c r="C433">
        <v>4</v>
      </c>
      <c r="N433" t="s" cm="1">
        <v>581</v>
      </c>
    </row>
    <row r="434" spans="1:14" ht="15" customHeight="1" x14ac:dyDescent="0.25">
      <c r="A434" t="s">
        <v>441</v>
      </c>
      <c r="B434" s="4" t="s">
        <v>771</v>
      </c>
      <c r="C434">
        <v>4</v>
      </c>
      <c r="N434" t="s" cm="1">
        <v>462</v>
      </c>
    </row>
    <row r="435" spans="1:14" ht="15" customHeight="1" x14ac:dyDescent="0.25">
      <c r="A435" t="s">
        <v>512</v>
      </c>
      <c r="B435" s="4" t="s">
        <v>659</v>
      </c>
      <c r="C435">
        <v>4</v>
      </c>
      <c r="N435" t="s" cm="1">
        <v>512</v>
      </c>
    </row>
    <row r="436" spans="1:14" ht="15" customHeight="1" x14ac:dyDescent="0.25">
      <c r="A436" t="s">
        <v>573</v>
      </c>
      <c r="B436" s="4" t="s">
        <v>344</v>
      </c>
      <c r="C436">
        <v>4</v>
      </c>
      <c r="N436" t="s" cm="1">
        <v>573</v>
      </c>
    </row>
    <row r="437" spans="1:14" ht="15" customHeight="1" x14ac:dyDescent="0.25">
      <c r="A437" t="s">
        <v>636</v>
      </c>
      <c r="B437" s="4" t="s">
        <v>779</v>
      </c>
      <c r="C437">
        <v>4</v>
      </c>
      <c r="N437" t="s" cm="1">
        <v>636</v>
      </c>
    </row>
    <row r="438" spans="1:14" ht="15" customHeight="1" x14ac:dyDescent="0.25">
      <c r="A438" t="s">
        <v>636</v>
      </c>
      <c r="B438" s="4" t="s">
        <v>597</v>
      </c>
      <c r="C438">
        <v>4</v>
      </c>
      <c r="N438" t="s" cm="1">
        <v>636</v>
      </c>
    </row>
    <row r="439" spans="1:14" ht="15" customHeight="1" x14ac:dyDescent="0.25">
      <c r="A439" t="s">
        <v>636</v>
      </c>
      <c r="B439" s="4" t="s">
        <v>774</v>
      </c>
      <c r="C439">
        <v>4</v>
      </c>
      <c r="N439" t="s" cm="1">
        <v>636</v>
      </c>
    </row>
    <row r="440" spans="1:14" ht="15" customHeight="1" x14ac:dyDescent="0.25">
      <c r="A440" t="s">
        <v>636</v>
      </c>
      <c r="B440" s="4" t="s">
        <v>343</v>
      </c>
      <c r="C440">
        <v>4</v>
      </c>
      <c r="N440" t="s" cm="1">
        <v>636</v>
      </c>
    </row>
    <row r="441" spans="1:14" ht="15" customHeight="1" x14ac:dyDescent="0.25">
      <c r="A441" t="s">
        <v>636</v>
      </c>
      <c r="B441" s="4" t="s">
        <v>664</v>
      </c>
      <c r="C441">
        <v>4</v>
      </c>
      <c r="N441" t="s" cm="1">
        <v>636</v>
      </c>
    </row>
    <row r="442" spans="1:14" ht="15" customHeight="1" x14ac:dyDescent="0.25">
      <c r="A442" t="s">
        <v>636</v>
      </c>
      <c r="B442" s="4" t="s">
        <v>850</v>
      </c>
      <c r="C442">
        <v>4</v>
      </c>
      <c r="N442" t="s" cm="1">
        <v>636</v>
      </c>
    </row>
    <row r="443" spans="1:14" ht="15" customHeight="1" x14ac:dyDescent="0.25">
      <c r="A443" t="s">
        <v>636</v>
      </c>
      <c r="B443" s="4" t="s">
        <v>773</v>
      </c>
      <c r="C443">
        <v>4</v>
      </c>
      <c r="N443" t="s" cm="1">
        <v>636</v>
      </c>
    </row>
    <row r="444" spans="1:14" ht="15" customHeight="1" x14ac:dyDescent="0.25">
      <c r="A444" t="s">
        <v>636</v>
      </c>
      <c r="B444" s="4" t="s">
        <v>517</v>
      </c>
      <c r="C444">
        <v>5</v>
      </c>
      <c r="N444" t="s" cm="1">
        <v>636</v>
      </c>
    </row>
    <row r="445" spans="1:14" ht="15" customHeight="1" x14ac:dyDescent="0.25">
      <c r="A445" t="s">
        <v>148</v>
      </c>
      <c r="B445" s="4" t="s">
        <v>586</v>
      </c>
      <c r="C445">
        <v>5</v>
      </c>
      <c r="N445" t="s" cm="1">
        <v>148</v>
      </c>
    </row>
    <row r="446" spans="1:14" ht="15" customHeight="1" x14ac:dyDescent="0.25">
      <c r="A446" t="s">
        <v>517</v>
      </c>
      <c r="B446" s="4" t="s">
        <v>315</v>
      </c>
      <c r="C446">
        <v>5</v>
      </c>
      <c r="N446" t="s" cm="1">
        <v>294</v>
      </c>
    </row>
    <row r="447" spans="1:14" ht="15" customHeight="1" x14ac:dyDescent="0.25">
      <c r="A447" t="s">
        <v>433</v>
      </c>
      <c r="B447" s="4" t="s">
        <v>678</v>
      </c>
      <c r="C447">
        <v>6</v>
      </c>
      <c r="N447" t="s" cm="1">
        <v>433</v>
      </c>
    </row>
    <row r="448" spans="1:14" ht="15" customHeight="1" x14ac:dyDescent="0.25">
      <c r="A448" t="s">
        <v>577</v>
      </c>
      <c r="B448" s="4" t="s">
        <v>889</v>
      </c>
      <c r="C448">
        <v>6</v>
      </c>
      <c r="N448" t="s" cm="1">
        <v>577</v>
      </c>
    </row>
    <row r="449" spans="1:14" ht="15" customHeight="1" x14ac:dyDescent="0.25">
      <c r="A449" t="s">
        <v>909</v>
      </c>
      <c r="B449" s="4" t="s">
        <v>891</v>
      </c>
      <c r="C449">
        <v>6</v>
      </c>
      <c r="N449" t="s" cm="1">
        <v>912</v>
      </c>
    </row>
    <row r="450" spans="1:14" ht="15" customHeight="1" x14ac:dyDescent="0.25">
      <c r="A450" t="s">
        <v>918</v>
      </c>
      <c r="B450" s="4" t="s">
        <v>727</v>
      </c>
      <c r="C450">
        <v>7</v>
      </c>
      <c r="N450" t="s" cm="1">
        <v>929</v>
      </c>
    </row>
    <row r="451" spans="1:14" ht="15" customHeight="1" x14ac:dyDescent="0.25">
      <c r="A451" t="s">
        <v>721</v>
      </c>
      <c r="B451" s="4" t="s">
        <v>726</v>
      </c>
      <c r="C451">
        <v>7</v>
      </c>
      <c r="N451" t="s" cm="1">
        <v>399</v>
      </c>
    </row>
    <row r="452" spans="1:14" ht="15" customHeight="1" x14ac:dyDescent="0.25">
      <c r="A452" t="s">
        <v>721</v>
      </c>
      <c r="B452" s="4" t="s">
        <v>468</v>
      </c>
      <c r="C452">
        <v>7</v>
      </c>
      <c r="N452" t="s" cm="1">
        <v>399</v>
      </c>
    </row>
    <row r="453" spans="1:14" ht="15" customHeight="1" x14ac:dyDescent="0.25">
      <c r="A453" t="s">
        <v>721</v>
      </c>
      <c r="B453" s="4" t="s">
        <v>692</v>
      </c>
      <c r="C453">
        <v>7</v>
      </c>
      <c r="N453" t="s" cm="1">
        <v>399</v>
      </c>
    </row>
    <row r="454" spans="1:14" ht="15" customHeight="1" x14ac:dyDescent="0.25">
      <c r="A454" t="s">
        <v>721</v>
      </c>
      <c r="B454" s="4" t="s">
        <v>470</v>
      </c>
      <c r="C454">
        <v>7</v>
      </c>
      <c r="N454" t="s" cm="1">
        <v>399</v>
      </c>
    </row>
    <row r="455" spans="1:14" ht="15" customHeight="1" x14ac:dyDescent="0.25">
      <c r="A455" t="s">
        <v>721</v>
      </c>
      <c r="B455" s="4" t="s">
        <v>534</v>
      </c>
      <c r="C455">
        <v>7</v>
      </c>
      <c r="N455" t="s" cm="1">
        <v>399</v>
      </c>
    </row>
    <row r="456" spans="1:14" ht="15" customHeight="1" x14ac:dyDescent="0.25">
      <c r="A456" t="s">
        <v>721</v>
      </c>
      <c r="B456" s="4" t="s">
        <v>351</v>
      </c>
      <c r="C456">
        <v>7</v>
      </c>
      <c r="N456" t="s" cm="1">
        <v>399</v>
      </c>
    </row>
    <row r="457" spans="1:14" ht="15" customHeight="1" x14ac:dyDescent="0.25">
      <c r="A457" t="s">
        <v>721</v>
      </c>
      <c r="B457" s="4" t="s">
        <v>828</v>
      </c>
      <c r="C457">
        <v>7</v>
      </c>
      <c r="N457" t="s" cm="1">
        <v>399</v>
      </c>
    </row>
    <row r="458" spans="1:14" ht="15" customHeight="1" x14ac:dyDescent="0.25">
      <c r="A458" t="s">
        <v>721</v>
      </c>
      <c r="B458" s="4" t="s">
        <v>701</v>
      </c>
      <c r="C458">
        <v>7</v>
      </c>
      <c r="N458" t="s" cm="1">
        <v>399</v>
      </c>
    </row>
    <row r="459" spans="1:14" ht="15" customHeight="1" x14ac:dyDescent="0.25">
      <c r="A459" t="s">
        <v>721</v>
      </c>
      <c r="B459" s="4" t="s">
        <v>691</v>
      </c>
      <c r="C459">
        <v>7</v>
      </c>
      <c r="N459" t="s" cm="1">
        <v>399</v>
      </c>
    </row>
    <row r="460" spans="1:14" ht="15" customHeight="1" x14ac:dyDescent="0.25">
      <c r="A460" t="s">
        <v>721</v>
      </c>
      <c r="B460" s="4" t="s">
        <v>554</v>
      </c>
      <c r="C460">
        <v>7</v>
      </c>
      <c r="N460" t="s" cm="1">
        <v>399</v>
      </c>
    </row>
    <row r="461" spans="1:14" ht="15" customHeight="1" x14ac:dyDescent="0.25">
      <c r="A461" t="s">
        <v>721</v>
      </c>
      <c r="B461" s="4" t="s">
        <v>728</v>
      </c>
      <c r="C461">
        <v>8</v>
      </c>
      <c r="N461" t="s" cm="1">
        <v>399</v>
      </c>
    </row>
    <row r="462" spans="1:14" ht="15" customHeight="1" x14ac:dyDescent="0.25">
      <c r="A462" t="s">
        <v>721</v>
      </c>
      <c r="B462" s="4" t="s">
        <v>778</v>
      </c>
      <c r="C462">
        <v>8</v>
      </c>
      <c r="N462" t="s" cm="1">
        <v>399</v>
      </c>
    </row>
    <row r="463" spans="1:14" ht="15" customHeight="1" x14ac:dyDescent="0.25">
      <c r="A463" t="s">
        <v>721</v>
      </c>
      <c r="B463" s="4" t="s">
        <v>772</v>
      </c>
      <c r="C463">
        <v>8</v>
      </c>
      <c r="N463" t="s" cm="1">
        <v>399</v>
      </c>
    </row>
    <row r="464" spans="1:14" ht="15" customHeight="1" x14ac:dyDescent="0.25">
      <c r="A464" t="s">
        <v>721</v>
      </c>
      <c r="B464" s="4" t="s">
        <v>530</v>
      </c>
      <c r="C464">
        <v>8</v>
      </c>
      <c r="N464" t="s" cm="1">
        <v>399</v>
      </c>
    </row>
    <row r="465" spans="1:14" ht="15" customHeight="1" x14ac:dyDescent="0.25">
      <c r="A465" t="s">
        <v>721</v>
      </c>
      <c r="B465" s="4" t="s">
        <v>364</v>
      </c>
      <c r="C465">
        <v>8</v>
      </c>
      <c r="N465" t="s" cm="1">
        <v>399</v>
      </c>
    </row>
    <row r="466" spans="1:14" ht="15" customHeight="1" x14ac:dyDescent="0.25">
      <c r="A466" t="s">
        <v>721</v>
      </c>
      <c r="B466" s="4" t="s">
        <v>729</v>
      </c>
      <c r="C466">
        <v>8</v>
      </c>
      <c r="N466" t="s" cm="1">
        <v>399</v>
      </c>
    </row>
    <row r="467" spans="1:14" ht="15" customHeight="1" x14ac:dyDescent="0.25">
      <c r="A467" t="s">
        <v>721</v>
      </c>
      <c r="B467" s="4" t="s">
        <v>666</v>
      </c>
      <c r="C467">
        <v>9</v>
      </c>
      <c r="N467" t="s" cm="1">
        <v>399</v>
      </c>
    </row>
    <row r="468" spans="1:14" ht="15" customHeight="1" x14ac:dyDescent="0.25">
      <c r="A468" t="s">
        <v>721</v>
      </c>
      <c r="B468" s="4" t="s">
        <v>713</v>
      </c>
      <c r="C468">
        <v>10</v>
      </c>
      <c r="N468" t="s" cm="1">
        <v>399</v>
      </c>
    </row>
    <row r="469" spans="1:14" ht="15" customHeight="1" x14ac:dyDescent="0.25">
      <c r="A469" t="s">
        <v>721</v>
      </c>
      <c r="B469" s="4" t="s">
        <v>699</v>
      </c>
      <c r="C469">
        <v>10</v>
      </c>
      <c r="N469" t="s" cm="1">
        <v>399</v>
      </c>
    </row>
    <row r="470" spans="1:14" ht="15" customHeight="1" x14ac:dyDescent="0.25">
      <c r="A470" t="s">
        <v>721</v>
      </c>
      <c r="B470" s="4" t="s">
        <v>636</v>
      </c>
      <c r="C470">
        <v>11</v>
      </c>
      <c r="N470" t="s" cm="1">
        <v>399</v>
      </c>
    </row>
    <row r="471" spans="1:14" ht="15" customHeight="1" x14ac:dyDescent="0.25">
      <c r="A471" t="s">
        <v>721</v>
      </c>
      <c r="B471" s="4" t="s">
        <v>669</v>
      </c>
      <c r="C471">
        <v>11</v>
      </c>
      <c r="N471" t="s" cm="1">
        <v>399</v>
      </c>
    </row>
    <row r="472" spans="1:14" ht="15" customHeight="1" x14ac:dyDescent="0.25">
      <c r="A472" t="s">
        <v>721</v>
      </c>
      <c r="B472" s="4" t="s">
        <v>614</v>
      </c>
      <c r="C472">
        <v>13</v>
      </c>
      <c r="N472" t="s" cm="1">
        <v>399</v>
      </c>
    </row>
    <row r="473" spans="1:14" ht="15" customHeight="1" x14ac:dyDescent="0.25">
      <c r="A473" t="s">
        <v>721</v>
      </c>
      <c r="B473" s="4" t="s">
        <v>377</v>
      </c>
      <c r="C473">
        <v>13</v>
      </c>
      <c r="N473" t="s" cm="1">
        <v>399</v>
      </c>
    </row>
    <row r="474" spans="1:14" ht="15" customHeight="1" x14ac:dyDescent="0.25">
      <c r="A474" t="s">
        <v>721</v>
      </c>
      <c r="B474" s="4" t="s">
        <v>706</v>
      </c>
      <c r="C474">
        <v>13</v>
      </c>
      <c r="N474" t="s" cm="1">
        <v>399</v>
      </c>
    </row>
    <row r="475" spans="1:14" ht="15" customHeight="1" x14ac:dyDescent="0.25">
      <c r="A475" t="s">
        <v>721</v>
      </c>
      <c r="B475" s="4" t="s">
        <v>613</v>
      </c>
      <c r="C475">
        <v>13</v>
      </c>
      <c r="N475" t="s" cm="1">
        <v>399</v>
      </c>
    </row>
    <row r="476" spans="1:14" ht="15" customHeight="1" x14ac:dyDescent="0.25">
      <c r="A476" t="s">
        <v>721</v>
      </c>
      <c r="B476" s="4" t="s">
        <v>704</v>
      </c>
      <c r="C476">
        <v>13</v>
      </c>
      <c r="N476" t="s" cm="1">
        <v>399</v>
      </c>
    </row>
    <row r="477" spans="1:14" ht="15" customHeight="1" x14ac:dyDescent="0.25">
      <c r="A477" t="s">
        <v>962</v>
      </c>
      <c r="B477" s="4" t="s">
        <v>379</v>
      </c>
      <c r="C477">
        <v>13</v>
      </c>
      <c r="N477" t="s" cm="1">
        <v>554</v>
      </c>
    </row>
    <row r="478" spans="1:14" ht="15" customHeight="1" x14ac:dyDescent="0.25">
      <c r="A478" t="s">
        <v>937</v>
      </c>
      <c r="B478" s="4" t="s">
        <v>730</v>
      </c>
      <c r="C478">
        <v>13</v>
      </c>
      <c r="N478" t="s" cm="1">
        <v>939</v>
      </c>
    </row>
    <row r="479" spans="1:14" ht="15" customHeight="1" x14ac:dyDescent="0.25">
      <c r="A479" t="s">
        <v>937</v>
      </c>
      <c r="B479" s="4" t="s">
        <v>353</v>
      </c>
      <c r="C479">
        <v>15</v>
      </c>
      <c r="N479" t="s" cm="1">
        <v>939</v>
      </c>
    </row>
    <row r="480" spans="1:14" ht="15" customHeight="1" x14ac:dyDescent="0.25">
      <c r="A480" t="s">
        <v>937</v>
      </c>
      <c r="B480" s="4" t="s">
        <v>714</v>
      </c>
      <c r="C480">
        <v>19</v>
      </c>
      <c r="N480" t="s" cm="1">
        <v>939</v>
      </c>
    </row>
    <row r="481" spans="1:14" ht="15" customHeight="1" x14ac:dyDescent="0.25">
      <c r="A481" t="s">
        <v>578</v>
      </c>
      <c r="B481" s="4" t="s">
        <v>709</v>
      </c>
      <c r="C481">
        <v>21</v>
      </c>
      <c r="N481" t="s" cm="1">
        <v>578</v>
      </c>
    </row>
    <row r="482" spans="1:14" ht="15" customHeight="1" x14ac:dyDescent="0.25">
      <c r="A482" t="s">
        <v>955</v>
      </c>
      <c r="B482" s="4" t="s">
        <v>399</v>
      </c>
      <c r="C482">
        <v>26</v>
      </c>
      <c r="N482" t="s" cm="1">
        <v>955</v>
      </c>
    </row>
    <row r="483" spans="1:14" ht="15" customHeight="1" x14ac:dyDescent="0.25">
      <c r="A483" t="s">
        <v>679</v>
      </c>
      <c r="B483" s="4" t="s">
        <v>721</v>
      </c>
      <c r="C483">
        <v>26</v>
      </c>
      <c r="N483" t="s" cm="1">
        <v>504</v>
      </c>
    </row>
    <row r="484" spans="1:14" ht="15" customHeight="1" x14ac:dyDescent="0.25">
      <c r="A484" t="s">
        <v>551</v>
      </c>
      <c r="B484" s="4" t="s">
        <v>397</v>
      </c>
      <c r="C484">
        <v>26</v>
      </c>
      <c r="N484" t="s" cm="1">
        <v>551</v>
      </c>
    </row>
    <row r="485" spans="1:14" ht="15" customHeight="1" x14ac:dyDescent="0.25">
      <c r="A485" t="s">
        <v>713</v>
      </c>
      <c r="B485" s="4" t="s">
        <v>712</v>
      </c>
      <c r="C485">
        <v>26</v>
      </c>
      <c r="N485" t="s" cm="1">
        <v>713</v>
      </c>
    </row>
    <row r="486" spans="1:14" ht="15" customHeight="1" x14ac:dyDescent="0.25">
      <c r="A486" t="s">
        <v>354</v>
      </c>
      <c r="B486" s="4" t="s">
        <v>619</v>
      </c>
      <c r="C486">
        <v>26</v>
      </c>
      <c r="N486" t="s" cm="1">
        <v>354</v>
      </c>
    </row>
    <row r="487" spans="1:14" ht="15" customHeight="1" x14ac:dyDescent="0.25">
      <c r="A487" t="s">
        <v>554</v>
      </c>
      <c r="B487" s="4" t="s">
        <v>710</v>
      </c>
      <c r="C487">
        <v>26</v>
      </c>
      <c r="N487" t="s" cm="1">
        <v>554</v>
      </c>
    </row>
    <row r="488" spans="1:14" ht="15" customHeight="1" x14ac:dyDescent="0.25">
      <c r="A488" t="s">
        <v>701</v>
      </c>
      <c r="B488" s="4" t="s">
        <v>582</v>
      </c>
      <c r="C488">
        <v>29</v>
      </c>
      <c r="N488" t="s" cm="1">
        <v>701</v>
      </c>
    </row>
    <row r="489" spans="1:14" ht="15" customHeight="1" x14ac:dyDescent="0.25">
      <c r="A489" t="s">
        <v>404</v>
      </c>
      <c r="B489" s="4" t="s">
        <v>732</v>
      </c>
      <c r="C489">
        <v>75</v>
      </c>
      <c r="N489" t="s" cm="1">
        <v>404</v>
      </c>
    </row>
    <row r="490" spans="1:14" ht="15" customHeight="1" x14ac:dyDescent="0.25">
      <c r="A490" t="s">
        <v>624</v>
      </c>
      <c r="B490" s="4" t="s">
        <v>715</v>
      </c>
      <c r="C490">
        <v>91</v>
      </c>
      <c r="N490" t="s" cm="1">
        <v>624</v>
      </c>
    </row>
    <row r="491" spans="1:14" ht="15" customHeight="1" x14ac:dyDescent="0.25">
      <c r="A491" t="s">
        <v>723</v>
      </c>
      <c r="N491" t="s" cm="1">
        <v>672</v>
      </c>
    </row>
    <row r="492" spans="1:14" ht="15" customHeight="1" x14ac:dyDescent="0.25">
      <c r="A492" t="s">
        <v>707</v>
      </c>
      <c r="N492" t="s" cm="1">
        <v>428</v>
      </c>
    </row>
    <row r="493" spans="1:14" ht="15" customHeight="1" x14ac:dyDescent="0.25">
      <c r="A493" t="s">
        <v>659</v>
      </c>
      <c r="N493" t="s" cm="1">
        <v>659</v>
      </c>
    </row>
    <row r="494" spans="1:14" ht="15" customHeight="1" x14ac:dyDescent="0.25">
      <c r="A494" t="s">
        <v>314</v>
      </c>
      <c r="N494" t="s" cm="1">
        <v>307</v>
      </c>
    </row>
    <row r="495" spans="1:14" ht="15" customHeight="1" x14ac:dyDescent="0.25">
      <c r="A495" t="s">
        <v>473</v>
      </c>
      <c r="N495" t="s" cm="1">
        <v>473</v>
      </c>
    </row>
    <row r="496" spans="1:14" ht="15" customHeight="1" x14ac:dyDescent="0.25">
      <c r="A496" t="s">
        <v>656</v>
      </c>
      <c r="N496" t="s" cm="1">
        <v>656</v>
      </c>
    </row>
    <row r="497" spans="1:14" ht="15" customHeight="1" x14ac:dyDescent="0.25">
      <c r="A497" t="s">
        <v>681</v>
      </c>
      <c r="N497" t="s" cm="1">
        <v>427</v>
      </c>
    </row>
    <row r="498" spans="1:14" ht="15" customHeight="1" x14ac:dyDescent="0.25">
      <c r="A498" t="s">
        <v>519</v>
      </c>
      <c r="N498" t="s" cm="1">
        <v>519</v>
      </c>
    </row>
    <row r="499" spans="1:14" ht="15" customHeight="1" x14ac:dyDescent="0.25">
      <c r="A499" t="s">
        <v>392</v>
      </c>
      <c r="N499" t="s" cm="1">
        <v>392</v>
      </c>
    </row>
    <row r="500" spans="1:14" ht="15" customHeight="1" x14ac:dyDescent="0.25">
      <c r="A500" t="s">
        <v>774</v>
      </c>
      <c r="N500" t="s" cm="1">
        <v>775</v>
      </c>
    </row>
    <row r="501" spans="1:14" ht="15" customHeight="1" x14ac:dyDescent="0.25">
      <c r="A501" t="s">
        <v>774</v>
      </c>
      <c r="N501" t="s" cm="1">
        <v>775</v>
      </c>
    </row>
    <row r="502" spans="1:14" ht="15" customHeight="1" x14ac:dyDescent="0.25">
      <c r="A502" t="s">
        <v>774</v>
      </c>
      <c r="N502" t="s" cm="1">
        <v>775</v>
      </c>
    </row>
    <row r="503" spans="1:14" ht="15" customHeight="1" x14ac:dyDescent="0.25">
      <c r="A503" t="s">
        <v>774</v>
      </c>
      <c r="N503" t="s" cm="1">
        <v>775</v>
      </c>
    </row>
    <row r="504" spans="1:14" ht="15" customHeight="1" x14ac:dyDescent="0.25">
      <c r="A504" t="s">
        <v>814</v>
      </c>
      <c r="N504" t="s" cm="1">
        <v>814</v>
      </c>
    </row>
    <row r="505" spans="1:14" ht="15" customHeight="1" x14ac:dyDescent="0.25">
      <c r="A505" t="s">
        <v>820</v>
      </c>
      <c r="N505" t="s" cm="1">
        <v>820</v>
      </c>
    </row>
    <row r="506" spans="1:14" ht="15" customHeight="1" x14ac:dyDescent="0.25">
      <c r="A506" t="s">
        <v>832</v>
      </c>
      <c r="N506" t="s" cm="1">
        <v>832</v>
      </c>
    </row>
    <row r="507" spans="1:14" ht="15" customHeight="1" x14ac:dyDescent="0.25">
      <c r="A507" t="s">
        <v>853</v>
      </c>
      <c r="N507" t="s" cm="1">
        <v>853</v>
      </c>
    </row>
    <row r="508" spans="1:14" ht="15" customHeight="1" x14ac:dyDescent="0.25">
      <c r="A508" t="s">
        <v>850</v>
      </c>
      <c r="N508" t="s" cm="1">
        <v>455</v>
      </c>
    </row>
    <row r="509" spans="1:14" ht="15" customHeight="1" x14ac:dyDescent="0.25">
      <c r="A509" t="s">
        <v>850</v>
      </c>
      <c r="N509" t="s" cm="1">
        <v>455</v>
      </c>
    </row>
    <row r="510" spans="1:14" ht="15" customHeight="1" x14ac:dyDescent="0.25">
      <c r="A510" t="s">
        <v>869</v>
      </c>
      <c r="N510" t="s" cm="1">
        <v>869</v>
      </c>
    </row>
    <row r="511" spans="1:14" ht="15" customHeight="1" x14ac:dyDescent="0.25">
      <c r="A511" t="s">
        <v>873</v>
      </c>
      <c r="N511" t="s" cm="1">
        <v>872</v>
      </c>
    </row>
    <row r="512" spans="1:14" ht="15" customHeight="1" x14ac:dyDescent="0.25">
      <c r="A512" t="s">
        <v>713</v>
      </c>
      <c r="N512" t="s" cm="1">
        <v>713</v>
      </c>
    </row>
    <row r="513" spans="1:14" ht="15" customHeight="1" x14ac:dyDescent="0.25">
      <c r="A513" t="s">
        <v>536</v>
      </c>
      <c r="N513" t="s" cm="1">
        <v>415</v>
      </c>
    </row>
    <row r="514" spans="1:14" ht="15" customHeight="1" x14ac:dyDescent="0.25">
      <c r="A514" t="s">
        <v>536</v>
      </c>
      <c r="N514" t="s" cm="1">
        <v>415</v>
      </c>
    </row>
    <row r="515" spans="1:14" ht="15" customHeight="1" x14ac:dyDescent="0.25">
      <c r="A515" t="s">
        <v>889</v>
      </c>
      <c r="N515" t="s" cm="1">
        <v>889</v>
      </c>
    </row>
    <row r="516" spans="1:14" ht="15" customHeight="1" x14ac:dyDescent="0.25">
      <c r="A516" t="s">
        <v>892</v>
      </c>
      <c r="N516" t="s" cm="1">
        <v>843</v>
      </c>
    </row>
    <row r="517" spans="1:14" ht="15" customHeight="1" x14ac:dyDescent="0.25">
      <c r="A517" t="s">
        <v>896</v>
      </c>
      <c r="N517" t="s" cm="1">
        <v>896</v>
      </c>
    </row>
    <row r="518" spans="1:14" ht="15" customHeight="1" x14ac:dyDescent="0.25">
      <c r="A518" t="s">
        <v>481</v>
      </c>
      <c r="N518" t="s" cm="1">
        <v>481</v>
      </c>
    </row>
    <row r="519" spans="1:14" ht="15" customHeight="1" x14ac:dyDescent="0.25">
      <c r="A519" t="s">
        <v>666</v>
      </c>
      <c r="N519" t="s" cm="1">
        <v>666</v>
      </c>
    </row>
    <row r="520" spans="1:14" ht="15" customHeight="1" x14ac:dyDescent="0.25">
      <c r="A520" t="s">
        <v>715</v>
      </c>
      <c r="N520" t="s" cm="1">
        <v>715</v>
      </c>
    </row>
    <row r="521" spans="1:14" ht="15" customHeight="1" x14ac:dyDescent="0.25">
      <c r="A521" t="s">
        <v>715</v>
      </c>
      <c r="N521" t="s" cm="1">
        <v>715</v>
      </c>
    </row>
    <row r="522" spans="1:14" ht="15" customHeight="1" x14ac:dyDescent="0.25">
      <c r="A522" t="s">
        <v>715</v>
      </c>
      <c r="N522" t="s" cm="1">
        <v>715</v>
      </c>
    </row>
    <row r="523" spans="1:14" ht="15" customHeight="1" x14ac:dyDescent="0.25">
      <c r="A523" t="s">
        <v>715</v>
      </c>
      <c r="N523" t="s" cm="1">
        <v>715</v>
      </c>
    </row>
    <row r="524" spans="1:14" ht="15" customHeight="1" x14ac:dyDescent="0.25">
      <c r="A524" t="s">
        <v>530</v>
      </c>
      <c r="N524" t="s" cm="1">
        <v>530</v>
      </c>
    </row>
    <row r="525" spans="1:14" ht="15" customHeight="1" x14ac:dyDescent="0.25">
      <c r="A525" t="s">
        <v>330</v>
      </c>
      <c r="N525" t="s" cm="1">
        <v>330</v>
      </c>
    </row>
    <row r="526" spans="1:14" ht="15" customHeight="1" x14ac:dyDescent="0.25">
      <c r="A526" t="s">
        <v>614</v>
      </c>
      <c r="N526" t="s" cm="1">
        <v>614</v>
      </c>
    </row>
    <row r="527" spans="1:14" ht="15" customHeight="1" x14ac:dyDescent="0.25">
      <c r="A527" t="s">
        <v>614</v>
      </c>
      <c r="N527" t="s" cm="1">
        <v>614</v>
      </c>
    </row>
    <row r="528" spans="1:14" ht="15" customHeight="1" x14ac:dyDescent="0.25">
      <c r="A528" t="s">
        <v>614</v>
      </c>
      <c r="N528" t="s" cm="1">
        <v>614</v>
      </c>
    </row>
    <row r="529" spans="1:14" ht="15" customHeight="1" x14ac:dyDescent="0.25">
      <c r="A529" t="s">
        <v>614</v>
      </c>
      <c r="N529" t="s" cm="1">
        <v>614</v>
      </c>
    </row>
    <row r="530" spans="1:14" ht="15" customHeight="1" x14ac:dyDescent="0.25">
      <c r="A530" t="s">
        <v>614</v>
      </c>
      <c r="N530" t="s" cm="1">
        <v>614</v>
      </c>
    </row>
    <row r="531" spans="1:14" ht="15" customHeight="1" x14ac:dyDescent="0.25">
      <c r="A531" t="s">
        <v>614</v>
      </c>
      <c r="N531" t="s" cm="1">
        <v>614</v>
      </c>
    </row>
    <row r="532" spans="1:14" ht="15" customHeight="1" x14ac:dyDescent="0.25">
      <c r="A532" t="s">
        <v>614</v>
      </c>
      <c r="N532" t="s" cm="1">
        <v>614</v>
      </c>
    </row>
    <row r="533" spans="1:14" ht="15" customHeight="1" x14ac:dyDescent="0.25">
      <c r="A533" t="s">
        <v>614</v>
      </c>
      <c r="N533" t="s" cm="1">
        <v>614</v>
      </c>
    </row>
    <row r="534" spans="1:14" ht="15" customHeight="1" x14ac:dyDescent="0.25">
      <c r="A534" t="s">
        <v>614</v>
      </c>
      <c r="N534" t="s" cm="1">
        <v>614</v>
      </c>
    </row>
    <row r="535" spans="1:14" ht="15" customHeight="1" x14ac:dyDescent="0.25">
      <c r="A535" t="s">
        <v>614</v>
      </c>
      <c r="N535" t="s" cm="1">
        <v>614</v>
      </c>
    </row>
    <row r="536" spans="1:14" ht="15" customHeight="1" x14ac:dyDescent="0.25">
      <c r="A536" t="s">
        <v>614</v>
      </c>
      <c r="N536" t="s" cm="1">
        <v>614</v>
      </c>
    </row>
    <row r="537" spans="1:14" ht="15" customHeight="1" x14ac:dyDescent="0.25">
      <c r="A537" t="s">
        <v>614</v>
      </c>
      <c r="N537" t="s" cm="1">
        <v>614</v>
      </c>
    </row>
    <row r="538" spans="1:14" ht="15" customHeight="1" x14ac:dyDescent="0.25">
      <c r="A538" t="s">
        <v>614</v>
      </c>
      <c r="N538" t="s" cm="1">
        <v>614</v>
      </c>
    </row>
    <row r="539" spans="1:14" ht="15" customHeight="1" x14ac:dyDescent="0.25">
      <c r="A539" t="s">
        <v>348</v>
      </c>
      <c r="N539" t="s" cm="1">
        <v>348</v>
      </c>
    </row>
    <row r="540" spans="1:14" ht="15" customHeight="1" x14ac:dyDescent="0.25">
      <c r="A540" t="s">
        <v>726</v>
      </c>
      <c r="N540" t="s" cm="1">
        <v>470</v>
      </c>
    </row>
    <row r="541" spans="1:14" ht="15" customHeight="1" x14ac:dyDescent="0.25">
      <c r="A541" t="s">
        <v>726</v>
      </c>
      <c r="N541" t="s" cm="1">
        <v>470</v>
      </c>
    </row>
    <row r="542" spans="1:14" ht="15" customHeight="1" x14ac:dyDescent="0.25">
      <c r="A542" t="s">
        <v>726</v>
      </c>
      <c r="N542" t="s" cm="1">
        <v>470</v>
      </c>
    </row>
    <row r="543" spans="1:14" ht="15" customHeight="1" x14ac:dyDescent="0.25">
      <c r="A543" t="s">
        <v>726</v>
      </c>
      <c r="N543" t="s" cm="1">
        <v>470</v>
      </c>
    </row>
    <row r="544" spans="1:14" ht="15" customHeight="1" x14ac:dyDescent="0.25">
      <c r="A544" t="s">
        <v>726</v>
      </c>
      <c r="N544" t="s" cm="1">
        <v>470</v>
      </c>
    </row>
    <row r="545" spans="1:14" ht="15" customHeight="1" x14ac:dyDescent="0.25">
      <c r="A545" t="s">
        <v>726</v>
      </c>
      <c r="N545" t="s" cm="1">
        <v>470</v>
      </c>
    </row>
    <row r="546" spans="1:14" ht="15" customHeight="1" x14ac:dyDescent="0.25">
      <c r="A546" t="s">
        <v>726</v>
      </c>
      <c r="N546" t="s" cm="1">
        <v>470</v>
      </c>
    </row>
    <row r="547" spans="1:14" ht="15" customHeight="1" x14ac:dyDescent="0.25">
      <c r="A547" t="s">
        <v>709</v>
      </c>
      <c r="N547" t="s" cm="1">
        <v>709</v>
      </c>
    </row>
    <row r="548" spans="1:14" ht="15" customHeight="1" x14ac:dyDescent="0.25">
      <c r="A548" t="s">
        <v>709</v>
      </c>
      <c r="N548" t="s" cm="1">
        <v>709</v>
      </c>
    </row>
    <row r="549" spans="1:14" ht="15" customHeight="1" x14ac:dyDescent="0.25">
      <c r="A549" t="s">
        <v>709</v>
      </c>
      <c r="N549" t="s" cm="1">
        <v>709</v>
      </c>
    </row>
    <row r="550" spans="1:14" ht="15" customHeight="1" x14ac:dyDescent="0.25">
      <c r="A550" t="s">
        <v>709</v>
      </c>
      <c r="N550" t="s" cm="1">
        <v>709</v>
      </c>
    </row>
    <row r="551" spans="1:14" ht="15" customHeight="1" x14ac:dyDescent="0.25">
      <c r="A551" t="s">
        <v>709</v>
      </c>
      <c r="N551" t="s" cm="1">
        <v>709</v>
      </c>
    </row>
    <row r="552" spans="1:14" ht="15" customHeight="1" x14ac:dyDescent="0.25">
      <c r="A552" t="s">
        <v>709</v>
      </c>
      <c r="N552" t="s" cm="1">
        <v>709</v>
      </c>
    </row>
    <row r="553" spans="1:14" ht="15" customHeight="1" x14ac:dyDescent="0.25">
      <c r="A553" t="s">
        <v>709</v>
      </c>
      <c r="N553" t="s" cm="1">
        <v>709</v>
      </c>
    </row>
    <row r="554" spans="1:14" ht="15" customHeight="1" x14ac:dyDescent="0.25">
      <c r="A554" t="s">
        <v>709</v>
      </c>
      <c r="N554" t="s" cm="1">
        <v>709</v>
      </c>
    </row>
    <row r="555" spans="1:14" ht="15" customHeight="1" x14ac:dyDescent="0.25">
      <c r="A555" t="s">
        <v>709</v>
      </c>
      <c r="N555" t="s" cm="1">
        <v>709</v>
      </c>
    </row>
    <row r="556" spans="1:14" ht="15" customHeight="1" x14ac:dyDescent="0.25">
      <c r="A556" t="s">
        <v>709</v>
      </c>
      <c r="N556" t="s" cm="1">
        <v>709</v>
      </c>
    </row>
    <row r="557" spans="1:14" ht="15" customHeight="1" x14ac:dyDescent="0.25">
      <c r="A557" t="s">
        <v>709</v>
      </c>
      <c r="N557" t="s" cm="1">
        <v>709</v>
      </c>
    </row>
    <row r="558" spans="1:14" ht="15" customHeight="1" x14ac:dyDescent="0.25">
      <c r="A558" t="s">
        <v>432</v>
      </c>
      <c r="N558" t="s" cm="1">
        <v>432</v>
      </c>
    </row>
    <row r="559" spans="1:14" ht="15" customHeight="1" x14ac:dyDescent="0.25">
      <c r="A559" t="s">
        <v>515</v>
      </c>
      <c r="N559" t="s" cm="1">
        <v>515</v>
      </c>
    </row>
    <row r="560" spans="1:14" ht="15" customHeight="1" x14ac:dyDescent="0.25">
      <c r="A560" t="s">
        <v>718</v>
      </c>
      <c r="N560" t="s" cm="1">
        <v>537</v>
      </c>
    </row>
    <row r="561" spans="1:14" ht="15" customHeight="1" x14ac:dyDescent="0.25">
      <c r="A561" t="s">
        <v>697</v>
      </c>
      <c r="N561" t="s" cm="1">
        <v>500</v>
      </c>
    </row>
    <row r="562" spans="1:14" ht="15" customHeight="1" x14ac:dyDescent="0.25">
      <c r="A562" t="s">
        <v>340</v>
      </c>
      <c r="N562" t="s" cm="1">
        <v>335</v>
      </c>
    </row>
    <row r="563" spans="1:14" ht="15" customHeight="1" x14ac:dyDescent="0.25">
      <c r="A563" t="s">
        <v>293</v>
      </c>
      <c r="N563" t="s" cm="1">
        <v>293</v>
      </c>
    </row>
    <row r="564" spans="1:14" ht="15" customHeight="1" x14ac:dyDescent="0.25">
      <c r="A564" t="s">
        <v>361</v>
      </c>
      <c r="N564" t="s" cm="1">
        <v>361</v>
      </c>
    </row>
    <row r="565" spans="1:14" ht="15" customHeight="1" x14ac:dyDescent="0.25">
      <c r="A565" t="s">
        <v>299</v>
      </c>
      <c r="N565" t="s" cm="1">
        <v>299</v>
      </c>
    </row>
    <row r="566" spans="1:14" ht="15" customHeight="1" x14ac:dyDescent="0.25">
      <c r="A566" t="s">
        <v>653</v>
      </c>
      <c r="N566" t="s" cm="1">
        <v>653</v>
      </c>
    </row>
    <row r="567" spans="1:14" ht="15" customHeight="1" x14ac:dyDescent="0.25">
      <c r="A567" t="s">
        <v>370</v>
      </c>
      <c r="N567" t="s" cm="1">
        <v>370</v>
      </c>
    </row>
    <row r="568" spans="1:14" ht="15" customHeight="1" x14ac:dyDescent="0.25">
      <c r="A568" t="s">
        <v>669</v>
      </c>
      <c r="N568" t="s" cm="1">
        <v>669</v>
      </c>
    </row>
    <row r="569" spans="1:14" ht="15" customHeight="1" x14ac:dyDescent="0.25">
      <c r="A569" t="s">
        <v>337</v>
      </c>
      <c r="N569" t="s" cm="1">
        <v>304</v>
      </c>
    </row>
    <row r="570" spans="1:14" ht="15" customHeight="1" x14ac:dyDescent="0.25">
      <c r="A570" t="s">
        <v>393</v>
      </c>
      <c r="N570" t="s" cm="1">
        <v>393</v>
      </c>
    </row>
    <row r="571" spans="1:14" ht="15" customHeight="1" x14ac:dyDescent="0.25">
      <c r="A571" t="s">
        <v>732</v>
      </c>
      <c r="N571" t="s" cm="1">
        <v>732</v>
      </c>
    </row>
    <row r="572" spans="1:14" ht="15" customHeight="1" x14ac:dyDescent="0.25">
      <c r="A572" t="s">
        <v>499</v>
      </c>
      <c r="N572" t="s" cm="1">
        <v>499</v>
      </c>
    </row>
    <row r="573" spans="1:14" ht="15" customHeight="1" x14ac:dyDescent="0.25">
      <c r="A573" t="s">
        <v>699</v>
      </c>
      <c r="N573" t="s" cm="1">
        <v>699</v>
      </c>
    </row>
    <row r="574" spans="1:14" ht="15" customHeight="1" x14ac:dyDescent="0.25">
      <c r="A574" t="s">
        <v>699</v>
      </c>
      <c r="N574" t="s" cm="1">
        <v>699</v>
      </c>
    </row>
    <row r="575" spans="1:14" ht="15" customHeight="1" x14ac:dyDescent="0.25">
      <c r="A575" t="s">
        <v>699</v>
      </c>
      <c r="N575" t="s" cm="1">
        <v>699</v>
      </c>
    </row>
    <row r="576" spans="1:14" ht="15" customHeight="1" x14ac:dyDescent="0.25">
      <c r="A576" t="s">
        <v>699</v>
      </c>
      <c r="N576" t="s" cm="1">
        <v>699</v>
      </c>
    </row>
    <row r="577" spans="1:14" ht="15" customHeight="1" x14ac:dyDescent="0.25">
      <c r="A577" t="s">
        <v>699</v>
      </c>
      <c r="N577" t="s" cm="1">
        <v>699</v>
      </c>
    </row>
    <row r="578" spans="1:14" ht="15" customHeight="1" x14ac:dyDescent="0.25">
      <c r="A578" t="s">
        <v>699</v>
      </c>
      <c r="N578" t="s" cm="1">
        <v>699</v>
      </c>
    </row>
    <row r="579" spans="1:14" ht="15" customHeight="1" x14ac:dyDescent="0.25">
      <c r="A579" t="s">
        <v>699</v>
      </c>
      <c r="N579" t="s" cm="1">
        <v>699</v>
      </c>
    </row>
    <row r="580" spans="1:14" ht="15" customHeight="1" x14ac:dyDescent="0.25">
      <c r="A580" t="s">
        <v>699</v>
      </c>
      <c r="N580" t="s" cm="1">
        <v>699</v>
      </c>
    </row>
    <row r="581" spans="1:14" ht="15" customHeight="1" x14ac:dyDescent="0.25">
      <c r="A581" t="s">
        <v>545</v>
      </c>
      <c r="N581" t="s" cm="1">
        <v>545</v>
      </c>
    </row>
    <row r="582" spans="1:14" ht="15" customHeight="1" x14ac:dyDescent="0.25">
      <c r="A582" t="s">
        <v>578</v>
      </c>
      <c r="N582" t="s" cm="1">
        <v>578</v>
      </c>
    </row>
    <row r="583" spans="1:14" ht="15" customHeight="1" x14ac:dyDescent="0.25">
      <c r="A583" t="s">
        <v>497</v>
      </c>
      <c r="N583" t="s" cm="1">
        <v>497</v>
      </c>
    </row>
    <row r="584" spans="1:14" ht="15" customHeight="1" x14ac:dyDescent="0.25">
      <c r="A584" t="s">
        <v>479</v>
      </c>
      <c r="N584" t="s" cm="1">
        <v>479</v>
      </c>
    </row>
    <row r="585" spans="1:14" ht="15" customHeight="1" x14ac:dyDescent="0.25">
      <c r="A585" t="s">
        <v>910</v>
      </c>
      <c r="N585" t="s" cm="1">
        <v>911</v>
      </c>
    </row>
    <row r="586" spans="1:14" ht="15" customHeight="1" x14ac:dyDescent="0.25">
      <c r="A586" t="s">
        <v>919</v>
      </c>
      <c r="N586" t="s" cm="1">
        <v>928</v>
      </c>
    </row>
    <row r="587" spans="1:14" ht="15" customHeight="1" x14ac:dyDescent="0.25">
      <c r="A587" t="s">
        <v>399</v>
      </c>
      <c r="N587" t="s" cm="1">
        <v>399</v>
      </c>
    </row>
    <row r="588" spans="1:14" ht="15" customHeight="1" x14ac:dyDescent="0.25">
      <c r="A588" t="s">
        <v>399</v>
      </c>
      <c r="N588" t="s" cm="1">
        <v>399</v>
      </c>
    </row>
    <row r="589" spans="1:14" ht="15" customHeight="1" x14ac:dyDescent="0.25">
      <c r="A589" t="s">
        <v>399</v>
      </c>
      <c r="N589" t="s" cm="1">
        <v>399</v>
      </c>
    </row>
    <row r="590" spans="1:14" ht="15" customHeight="1" x14ac:dyDescent="0.25">
      <c r="A590" t="s">
        <v>399</v>
      </c>
      <c r="N590" t="s" cm="1">
        <v>399</v>
      </c>
    </row>
    <row r="591" spans="1:14" ht="15" customHeight="1" x14ac:dyDescent="0.25">
      <c r="A591" t="s">
        <v>399</v>
      </c>
      <c r="N591" t="s" cm="1">
        <v>399</v>
      </c>
    </row>
    <row r="592" spans="1:14" ht="15" customHeight="1" x14ac:dyDescent="0.25">
      <c r="A592" t="s">
        <v>399</v>
      </c>
      <c r="N592" t="s" cm="1">
        <v>399</v>
      </c>
    </row>
    <row r="593" spans="1:14" ht="15" customHeight="1" x14ac:dyDescent="0.25">
      <c r="A593" t="s">
        <v>399</v>
      </c>
      <c r="N593" t="s" cm="1">
        <v>399</v>
      </c>
    </row>
    <row r="594" spans="1:14" ht="15" customHeight="1" x14ac:dyDescent="0.25">
      <c r="A594" t="s">
        <v>399</v>
      </c>
      <c r="N594" t="s" cm="1">
        <v>399</v>
      </c>
    </row>
    <row r="595" spans="1:14" ht="15" customHeight="1" x14ac:dyDescent="0.25">
      <c r="A595" t="s">
        <v>399</v>
      </c>
      <c r="N595" t="s" cm="1">
        <v>399</v>
      </c>
    </row>
    <row r="596" spans="1:14" ht="15" customHeight="1" x14ac:dyDescent="0.25">
      <c r="A596" t="s">
        <v>399</v>
      </c>
      <c r="N596" t="s" cm="1">
        <v>399</v>
      </c>
    </row>
    <row r="597" spans="1:14" ht="15" customHeight="1" x14ac:dyDescent="0.25">
      <c r="A597" t="s">
        <v>399</v>
      </c>
      <c r="N597" t="s" cm="1">
        <v>399</v>
      </c>
    </row>
    <row r="598" spans="1:14" ht="15" customHeight="1" x14ac:dyDescent="0.25">
      <c r="A598" t="s">
        <v>399</v>
      </c>
      <c r="N598" t="s" cm="1">
        <v>399</v>
      </c>
    </row>
    <row r="599" spans="1:14" ht="15" customHeight="1" x14ac:dyDescent="0.25">
      <c r="A599" t="s">
        <v>399</v>
      </c>
      <c r="N599" t="s" cm="1">
        <v>399</v>
      </c>
    </row>
    <row r="600" spans="1:14" ht="15" customHeight="1" x14ac:dyDescent="0.25">
      <c r="A600" t="s">
        <v>399</v>
      </c>
      <c r="N600" t="s" cm="1">
        <v>399</v>
      </c>
    </row>
    <row r="601" spans="1:14" ht="15" customHeight="1" x14ac:dyDescent="0.25">
      <c r="A601" t="s">
        <v>399</v>
      </c>
      <c r="N601" t="s" cm="1">
        <v>399</v>
      </c>
    </row>
    <row r="602" spans="1:14" ht="15" customHeight="1" x14ac:dyDescent="0.25">
      <c r="A602" t="s">
        <v>399</v>
      </c>
      <c r="N602" t="s" cm="1">
        <v>399</v>
      </c>
    </row>
    <row r="603" spans="1:14" ht="15" customHeight="1" x14ac:dyDescent="0.25">
      <c r="A603" t="s">
        <v>399</v>
      </c>
      <c r="N603" t="s" cm="1">
        <v>399</v>
      </c>
    </row>
    <row r="604" spans="1:14" ht="15" customHeight="1" x14ac:dyDescent="0.25">
      <c r="A604" t="s">
        <v>399</v>
      </c>
      <c r="N604" t="s" cm="1">
        <v>399</v>
      </c>
    </row>
    <row r="605" spans="1:14" ht="15" customHeight="1" x14ac:dyDescent="0.25">
      <c r="A605" t="s">
        <v>399</v>
      </c>
      <c r="N605" t="s" cm="1">
        <v>399</v>
      </c>
    </row>
    <row r="606" spans="1:14" ht="15" customHeight="1" x14ac:dyDescent="0.25">
      <c r="A606" t="s">
        <v>399</v>
      </c>
      <c r="N606" t="s" cm="1">
        <v>399</v>
      </c>
    </row>
    <row r="607" spans="1:14" ht="15" customHeight="1" x14ac:dyDescent="0.25">
      <c r="A607" t="s">
        <v>399</v>
      </c>
      <c r="N607" t="s" cm="1">
        <v>399</v>
      </c>
    </row>
    <row r="608" spans="1:14" ht="15" customHeight="1" x14ac:dyDescent="0.25">
      <c r="A608" t="s">
        <v>399</v>
      </c>
      <c r="N608" t="s" cm="1">
        <v>399</v>
      </c>
    </row>
    <row r="609" spans="1:14" ht="15" customHeight="1" x14ac:dyDescent="0.25">
      <c r="A609" t="s">
        <v>399</v>
      </c>
      <c r="N609" t="s" cm="1">
        <v>399</v>
      </c>
    </row>
    <row r="610" spans="1:14" ht="15" customHeight="1" x14ac:dyDescent="0.25">
      <c r="A610" t="s">
        <v>399</v>
      </c>
      <c r="N610" t="s" cm="1">
        <v>399</v>
      </c>
    </row>
    <row r="611" spans="1:14" ht="15" customHeight="1" x14ac:dyDescent="0.25">
      <c r="A611" t="s">
        <v>399</v>
      </c>
      <c r="N611" t="s" cm="1">
        <v>399</v>
      </c>
    </row>
    <row r="612" spans="1:14" ht="15" customHeight="1" x14ac:dyDescent="0.25">
      <c r="A612" t="s">
        <v>399</v>
      </c>
      <c r="N612" t="s" cm="1">
        <v>399</v>
      </c>
    </row>
    <row r="613" spans="1:14" ht="15" customHeight="1" x14ac:dyDescent="0.25">
      <c r="A613" t="s">
        <v>963</v>
      </c>
      <c r="N613" t="s" cm="1">
        <v>362</v>
      </c>
    </row>
    <row r="614" spans="1:14" ht="15" customHeight="1" x14ac:dyDescent="0.25">
      <c r="A614" t="s">
        <v>891</v>
      </c>
      <c r="N614" t="s" cm="1">
        <v>828</v>
      </c>
    </row>
    <row r="615" spans="1:14" ht="15" customHeight="1" x14ac:dyDescent="0.25">
      <c r="A615" t="s">
        <v>891</v>
      </c>
      <c r="N615" t="s" cm="1">
        <v>828</v>
      </c>
    </row>
    <row r="616" spans="1:14" ht="15" customHeight="1" x14ac:dyDescent="0.25">
      <c r="A616" t="s">
        <v>891</v>
      </c>
      <c r="N616" t="s" cm="1">
        <v>828</v>
      </c>
    </row>
    <row r="617" spans="1:14" ht="15" customHeight="1" x14ac:dyDescent="0.25">
      <c r="A617" t="s">
        <v>948</v>
      </c>
      <c r="N617" t="s" cm="1">
        <v>948</v>
      </c>
    </row>
    <row r="618" spans="1:14" ht="15" customHeight="1" x14ac:dyDescent="0.25">
      <c r="A618" t="s">
        <v>956</v>
      </c>
      <c r="N618" t="s" cm="1">
        <v>548</v>
      </c>
    </row>
    <row r="619" spans="1:14" ht="15" customHeight="1" x14ac:dyDescent="0.25">
      <c r="A619" t="s">
        <v>465</v>
      </c>
      <c r="N619" t="s" cm="1">
        <v>465</v>
      </c>
    </row>
    <row r="620" spans="1:14" ht="15" customHeight="1" x14ac:dyDescent="0.25">
      <c r="A620" t="s">
        <v>648</v>
      </c>
      <c r="N620" t="s" cm="1">
        <v>648</v>
      </c>
    </row>
    <row r="621" spans="1:14" ht="15" customHeight="1" x14ac:dyDescent="0.25">
      <c r="A621" t="s">
        <v>682</v>
      </c>
      <c r="N621" t="s" cm="1">
        <v>682</v>
      </c>
    </row>
    <row r="622" spans="1:14" ht="15" customHeight="1" x14ac:dyDescent="0.25">
      <c r="A622" t="s">
        <v>692</v>
      </c>
      <c r="N622" t="s" cm="1">
        <v>692</v>
      </c>
    </row>
    <row r="623" spans="1:14" ht="15" customHeight="1" x14ac:dyDescent="0.25">
      <c r="A623" t="s">
        <v>449</v>
      </c>
      <c r="N623" t="s" cm="1">
        <v>449</v>
      </c>
    </row>
    <row r="624" spans="1:14" ht="15" customHeight="1" x14ac:dyDescent="0.25">
      <c r="A624" t="s">
        <v>644</v>
      </c>
      <c r="N624" t="s" cm="1">
        <v>644</v>
      </c>
    </row>
    <row r="625" spans="1:14" ht="15" customHeight="1" x14ac:dyDescent="0.25">
      <c r="A625" t="s">
        <v>732</v>
      </c>
      <c r="N625" t="s" cm="1">
        <v>732</v>
      </c>
    </row>
    <row r="626" spans="1:14" ht="15" customHeight="1" x14ac:dyDescent="0.25">
      <c r="A626" t="s">
        <v>624</v>
      </c>
      <c r="N626" t="s" cm="1">
        <v>624</v>
      </c>
    </row>
    <row r="627" spans="1:14" ht="15" customHeight="1" x14ac:dyDescent="0.25">
      <c r="A627" t="s">
        <v>620</v>
      </c>
      <c r="N627" t="s" cm="1">
        <v>527</v>
      </c>
    </row>
    <row r="628" spans="1:14" ht="15" customHeight="1" x14ac:dyDescent="0.25">
      <c r="A628" t="s">
        <v>625</v>
      </c>
      <c r="N628" t="s" cm="1">
        <v>531</v>
      </c>
    </row>
    <row r="629" spans="1:14" ht="15" customHeight="1" x14ac:dyDescent="0.25">
      <c r="A629" t="s">
        <v>692</v>
      </c>
      <c r="N629" t="s" cm="1">
        <v>692</v>
      </c>
    </row>
    <row r="630" spans="1:14" ht="15" customHeight="1" x14ac:dyDescent="0.25">
      <c r="A630" t="s">
        <v>639</v>
      </c>
      <c r="N630" t="s" cm="1">
        <v>322</v>
      </c>
    </row>
    <row r="631" spans="1:14" ht="15" customHeight="1" x14ac:dyDescent="0.25">
      <c r="A631" t="s">
        <v>570</v>
      </c>
      <c r="N631" t="s" cm="1">
        <v>570</v>
      </c>
    </row>
    <row r="632" spans="1:14" ht="15" customHeight="1" x14ac:dyDescent="0.25">
      <c r="A632" t="s">
        <v>543</v>
      </c>
      <c r="N632" t="s" cm="1">
        <v>543</v>
      </c>
    </row>
    <row r="633" spans="1:14" ht="15" customHeight="1" x14ac:dyDescent="0.25">
      <c r="A633" t="s">
        <v>580</v>
      </c>
      <c r="N633" t="s" cm="1">
        <v>316</v>
      </c>
    </row>
    <row r="634" spans="1:14" ht="15" customHeight="1" x14ac:dyDescent="0.25">
      <c r="A634" t="s">
        <v>522</v>
      </c>
      <c r="N634" t="s" cm="1">
        <v>522</v>
      </c>
    </row>
    <row r="635" spans="1:14" ht="15" customHeight="1" x14ac:dyDescent="0.25">
      <c r="A635" t="s">
        <v>325</v>
      </c>
      <c r="N635" t="s" cm="1">
        <v>325</v>
      </c>
    </row>
    <row r="636" spans="1:14" ht="15" customHeight="1" x14ac:dyDescent="0.25">
      <c r="A636" t="s">
        <v>772</v>
      </c>
      <c r="N636" t="s" cm="1">
        <v>772</v>
      </c>
    </row>
    <row r="637" spans="1:14" ht="15" customHeight="1" x14ac:dyDescent="0.25">
      <c r="A637" t="s">
        <v>772</v>
      </c>
      <c r="N637" t="s" cm="1">
        <v>772</v>
      </c>
    </row>
    <row r="638" spans="1:14" ht="15" customHeight="1" x14ac:dyDescent="0.25">
      <c r="A638" t="s">
        <v>772</v>
      </c>
      <c r="N638" t="s" cm="1">
        <v>772</v>
      </c>
    </row>
    <row r="639" spans="1:14" ht="15" customHeight="1" x14ac:dyDescent="0.25">
      <c r="A639" t="s">
        <v>772</v>
      </c>
      <c r="N639" t="s" cm="1">
        <v>772</v>
      </c>
    </row>
    <row r="640" spans="1:14" ht="15" customHeight="1" x14ac:dyDescent="0.25">
      <c r="A640" t="s">
        <v>821</v>
      </c>
      <c r="N640" t="s" cm="1">
        <v>821</v>
      </c>
    </row>
    <row r="641" spans="1:14" ht="15" customHeight="1" x14ac:dyDescent="0.25">
      <c r="A641" t="s">
        <v>833</v>
      </c>
      <c r="N641" t="s" cm="1">
        <v>833</v>
      </c>
    </row>
    <row r="642" spans="1:14" ht="15" customHeight="1" x14ac:dyDescent="0.25">
      <c r="A642" t="s">
        <v>582</v>
      </c>
      <c r="N642" t="s" cm="1">
        <v>582</v>
      </c>
    </row>
    <row r="643" spans="1:14" ht="15" customHeight="1" x14ac:dyDescent="0.25">
      <c r="A643" t="s">
        <v>851</v>
      </c>
      <c r="N643" t="s" cm="1">
        <v>851</v>
      </c>
    </row>
    <row r="644" spans="1:14" ht="15" customHeight="1" x14ac:dyDescent="0.25">
      <c r="A644" t="s">
        <v>851</v>
      </c>
      <c r="N644" t="s" cm="1">
        <v>851</v>
      </c>
    </row>
    <row r="645" spans="1:14" ht="15" customHeight="1" x14ac:dyDescent="0.25">
      <c r="A645" t="s">
        <v>713</v>
      </c>
      <c r="N645" t="s" cm="1">
        <v>713</v>
      </c>
    </row>
    <row r="646" spans="1:14" ht="15" customHeight="1" x14ac:dyDescent="0.25">
      <c r="A646" t="s">
        <v>874</v>
      </c>
      <c r="N646" t="s" cm="1">
        <v>931</v>
      </c>
    </row>
    <row r="647" spans="1:14" ht="15" customHeight="1" x14ac:dyDescent="0.25">
      <c r="A647" t="s">
        <v>882</v>
      </c>
      <c r="N647" t="s" cm="1">
        <v>932</v>
      </c>
    </row>
    <row r="648" spans="1:14" ht="15" customHeight="1" x14ac:dyDescent="0.25">
      <c r="A648" t="s">
        <v>882</v>
      </c>
      <c r="N648" t="s" cm="1">
        <v>932</v>
      </c>
    </row>
    <row r="649" spans="1:14" ht="15" customHeight="1" x14ac:dyDescent="0.25">
      <c r="A649" t="s">
        <v>890</v>
      </c>
      <c r="N649" t="s" cm="1">
        <v>843</v>
      </c>
    </row>
    <row r="650" spans="1:14" ht="15" customHeight="1" x14ac:dyDescent="0.25">
      <c r="A650" t="s">
        <v>890</v>
      </c>
      <c r="N650" t="s" cm="1">
        <v>843</v>
      </c>
    </row>
    <row r="651" spans="1:14" ht="15" customHeight="1" x14ac:dyDescent="0.25">
      <c r="A651" t="s">
        <v>897</v>
      </c>
      <c r="N651" t="s" cm="1">
        <v>897</v>
      </c>
    </row>
    <row r="652" spans="1:14" ht="15" customHeight="1" x14ac:dyDescent="0.25">
      <c r="A652" t="s">
        <v>641</v>
      </c>
      <c r="N652" t="s" cm="1">
        <v>641</v>
      </c>
    </row>
    <row r="653" spans="1:14" ht="15" customHeight="1" x14ac:dyDescent="0.25">
      <c r="A653" t="s">
        <v>666</v>
      </c>
      <c r="N653" t="s" cm="1">
        <v>666</v>
      </c>
    </row>
    <row r="654" spans="1:14" ht="15" customHeight="1" x14ac:dyDescent="0.25">
      <c r="A654" t="s">
        <v>666</v>
      </c>
      <c r="N654" t="s" cm="1">
        <v>666</v>
      </c>
    </row>
    <row r="655" spans="1:14" ht="15" customHeight="1" x14ac:dyDescent="0.25">
      <c r="A655" t="s">
        <v>666</v>
      </c>
      <c r="N655" t="s" cm="1">
        <v>666</v>
      </c>
    </row>
    <row r="656" spans="1:14" ht="15" customHeight="1" x14ac:dyDescent="0.25">
      <c r="A656" t="s">
        <v>666</v>
      </c>
      <c r="N656" t="s" cm="1">
        <v>666</v>
      </c>
    </row>
    <row r="657" spans="1:14" ht="15" customHeight="1" x14ac:dyDescent="0.25">
      <c r="A657" t="s">
        <v>367</v>
      </c>
      <c r="N657" t="s" cm="1">
        <v>367</v>
      </c>
    </row>
    <row r="658" spans="1:14" ht="15" customHeight="1" x14ac:dyDescent="0.25">
      <c r="A658" t="s">
        <v>330</v>
      </c>
      <c r="N658" t="s" cm="1">
        <v>330</v>
      </c>
    </row>
    <row r="659" spans="1:14" ht="15" customHeight="1" x14ac:dyDescent="0.25">
      <c r="A659" t="s">
        <v>379</v>
      </c>
      <c r="N659" t="s" cm="1">
        <v>379</v>
      </c>
    </row>
    <row r="660" spans="1:14" ht="15" customHeight="1" x14ac:dyDescent="0.25">
      <c r="A660" t="s">
        <v>379</v>
      </c>
      <c r="N660" t="s" cm="1">
        <v>379</v>
      </c>
    </row>
    <row r="661" spans="1:14" ht="15" customHeight="1" x14ac:dyDescent="0.25">
      <c r="A661" t="s">
        <v>379</v>
      </c>
      <c r="N661" t="s" cm="1">
        <v>379</v>
      </c>
    </row>
    <row r="662" spans="1:14" ht="15" customHeight="1" x14ac:dyDescent="0.25">
      <c r="A662" t="s">
        <v>379</v>
      </c>
      <c r="N662" t="s" cm="1">
        <v>379</v>
      </c>
    </row>
    <row r="663" spans="1:14" ht="15" customHeight="1" x14ac:dyDescent="0.25">
      <c r="A663" t="s">
        <v>379</v>
      </c>
      <c r="N663" t="s" cm="1">
        <v>379</v>
      </c>
    </row>
    <row r="664" spans="1:14" ht="15" customHeight="1" x14ac:dyDescent="0.25">
      <c r="A664" t="s">
        <v>379</v>
      </c>
      <c r="N664" t="s" cm="1">
        <v>379</v>
      </c>
    </row>
    <row r="665" spans="1:14" ht="15" customHeight="1" x14ac:dyDescent="0.25">
      <c r="A665" t="s">
        <v>379</v>
      </c>
      <c r="N665" t="s" cm="1">
        <v>379</v>
      </c>
    </row>
    <row r="666" spans="1:14" ht="15" customHeight="1" x14ac:dyDescent="0.25">
      <c r="A666" t="s">
        <v>379</v>
      </c>
      <c r="N666" t="s" cm="1">
        <v>379</v>
      </c>
    </row>
    <row r="667" spans="1:14" ht="15" customHeight="1" x14ac:dyDescent="0.25">
      <c r="A667" t="s">
        <v>379</v>
      </c>
      <c r="N667" t="s" cm="1">
        <v>379</v>
      </c>
    </row>
    <row r="668" spans="1:14" ht="15" customHeight="1" x14ac:dyDescent="0.25">
      <c r="A668" t="s">
        <v>379</v>
      </c>
      <c r="N668" t="s" cm="1">
        <v>379</v>
      </c>
    </row>
    <row r="669" spans="1:14" ht="15" customHeight="1" x14ac:dyDescent="0.25">
      <c r="A669" t="s">
        <v>379</v>
      </c>
      <c r="N669" t="s" cm="1">
        <v>379</v>
      </c>
    </row>
    <row r="670" spans="1:14" ht="15" customHeight="1" x14ac:dyDescent="0.25">
      <c r="A670" t="s">
        <v>379</v>
      </c>
      <c r="N670" t="s" cm="1">
        <v>379</v>
      </c>
    </row>
    <row r="671" spans="1:14" ht="15" customHeight="1" x14ac:dyDescent="0.25">
      <c r="A671" t="s">
        <v>379</v>
      </c>
      <c r="N671" t="s" cm="1">
        <v>379</v>
      </c>
    </row>
    <row r="672" spans="1:14" ht="15" customHeight="1" x14ac:dyDescent="0.25">
      <c r="A672" t="s">
        <v>542</v>
      </c>
      <c r="N672" t="s" cm="1">
        <v>542</v>
      </c>
    </row>
    <row r="673" spans="1:14" ht="15" customHeight="1" x14ac:dyDescent="0.25">
      <c r="A673" t="s">
        <v>582</v>
      </c>
      <c r="N673" t="s" cm="1">
        <v>582</v>
      </c>
    </row>
    <row r="674" spans="1:14" ht="15" customHeight="1" x14ac:dyDescent="0.25">
      <c r="A674" t="s">
        <v>582</v>
      </c>
      <c r="N674" t="s" cm="1">
        <v>582</v>
      </c>
    </row>
    <row r="675" spans="1:14" ht="15" customHeight="1" x14ac:dyDescent="0.25">
      <c r="A675" t="s">
        <v>582</v>
      </c>
      <c r="N675" t="s" cm="1">
        <v>582</v>
      </c>
    </row>
    <row r="676" spans="1:14" ht="15" customHeight="1" x14ac:dyDescent="0.25">
      <c r="A676" t="s">
        <v>582</v>
      </c>
      <c r="N676" t="s" cm="1">
        <v>582</v>
      </c>
    </row>
    <row r="677" spans="1:14" ht="15" customHeight="1" x14ac:dyDescent="0.25">
      <c r="A677" t="s">
        <v>582</v>
      </c>
      <c r="N677" t="s" cm="1">
        <v>582</v>
      </c>
    </row>
    <row r="678" spans="1:14" ht="15" customHeight="1" x14ac:dyDescent="0.25">
      <c r="A678" t="s">
        <v>582</v>
      </c>
      <c r="N678" t="s" cm="1">
        <v>582</v>
      </c>
    </row>
    <row r="679" spans="1:14" ht="15" customHeight="1" x14ac:dyDescent="0.25">
      <c r="A679" t="s">
        <v>582</v>
      </c>
      <c r="N679" t="s" cm="1">
        <v>582</v>
      </c>
    </row>
    <row r="680" spans="1:14" ht="15" customHeight="1" x14ac:dyDescent="0.25">
      <c r="A680" t="s">
        <v>582</v>
      </c>
      <c r="N680" t="s" cm="1">
        <v>582</v>
      </c>
    </row>
    <row r="681" spans="1:14" ht="15" customHeight="1" x14ac:dyDescent="0.25">
      <c r="A681" t="s">
        <v>582</v>
      </c>
      <c r="N681" t="s" cm="1">
        <v>582</v>
      </c>
    </row>
    <row r="682" spans="1:14" ht="15" customHeight="1" x14ac:dyDescent="0.25">
      <c r="A682" t="s">
        <v>582</v>
      </c>
      <c r="N682" t="s" cm="1">
        <v>582</v>
      </c>
    </row>
    <row r="683" spans="1:14" ht="15" customHeight="1" x14ac:dyDescent="0.25">
      <c r="A683" t="s">
        <v>582</v>
      </c>
      <c r="N683" t="s" cm="1">
        <v>582</v>
      </c>
    </row>
    <row r="684" spans="1:14" ht="15" customHeight="1" x14ac:dyDescent="0.25">
      <c r="A684" t="s">
        <v>582</v>
      </c>
      <c r="N684" t="s" cm="1">
        <v>582</v>
      </c>
    </row>
    <row r="685" spans="1:14" ht="15" customHeight="1" x14ac:dyDescent="0.25">
      <c r="A685" t="s">
        <v>582</v>
      </c>
      <c r="N685" t="s" cm="1">
        <v>582</v>
      </c>
    </row>
    <row r="686" spans="1:14" ht="15" customHeight="1" x14ac:dyDescent="0.25">
      <c r="A686" t="s">
        <v>582</v>
      </c>
      <c r="N686" t="s" cm="1">
        <v>582</v>
      </c>
    </row>
    <row r="687" spans="1:14" ht="15" customHeight="1" x14ac:dyDescent="0.25">
      <c r="A687" t="s">
        <v>582</v>
      </c>
      <c r="N687" t="s" cm="1">
        <v>582</v>
      </c>
    </row>
    <row r="688" spans="1:14" ht="15" customHeight="1" x14ac:dyDescent="0.25">
      <c r="A688" t="s">
        <v>732</v>
      </c>
      <c r="N688" t="s" cm="1">
        <v>732</v>
      </c>
    </row>
    <row r="689" spans="1:14" ht="15" customHeight="1" x14ac:dyDescent="0.25">
      <c r="A689" t="s">
        <v>356</v>
      </c>
      <c r="N689" t="s" cm="1">
        <v>356</v>
      </c>
    </row>
    <row r="690" spans="1:14" ht="15" customHeight="1" x14ac:dyDescent="0.25">
      <c r="A690" t="s">
        <v>513</v>
      </c>
      <c r="N690" t="s" cm="1">
        <v>513</v>
      </c>
    </row>
    <row r="691" spans="1:14" ht="15" customHeight="1" x14ac:dyDescent="0.25">
      <c r="A691" t="s">
        <v>335</v>
      </c>
      <c r="N691" t="s" cm="1">
        <v>335</v>
      </c>
    </row>
    <row r="692" spans="1:14" ht="15" customHeight="1" x14ac:dyDescent="0.25">
      <c r="A692" t="s">
        <v>446</v>
      </c>
      <c r="N692" t="s" cm="1">
        <v>446</v>
      </c>
    </row>
    <row r="693" spans="1:14" ht="15" customHeight="1" x14ac:dyDescent="0.25">
      <c r="A693" t="s">
        <v>391</v>
      </c>
      <c r="N693" t="s" cm="1">
        <v>391</v>
      </c>
    </row>
    <row r="694" spans="1:14" ht="15" customHeight="1" x14ac:dyDescent="0.25">
      <c r="A694" t="s">
        <v>390</v>
      </c>
      <c r="N694" t="s" cm="1">
        <v>470</v>
      </c>
    </row>
    <row r="695" spans="1:14" ht="15" customHeight="1" x14ac:dyDescent="0.25">
      <c r="A695" t="s">
        <v>732</v>
      </c>
      <c r="N695" t="s" cm="1">
        <v>732</v>
      </c>
    </row>
    <row r="696" spans="1:14" ht="15" customHeight="1" x14ac:dyDescent="0.25">
      <c r="A696" t="s">
        <v>627</v>
      </c>
      <c r="N696" t="s" cm="1">
        <v>715</v>
      </c>
    </row>
    <row r="697" spans="1:14" ht="15" customHeight="1" x14ac:dyDescent="0.25">
      <c r="A697" t="s">
        <v>669</v>
      </c>
      <c r="N697" t="s" cm="1">
        <v>669</v>
      </c>
    </row>
    <row r="698" spans="1:14" ht="15" customHeight="1" x14ac:dyDescent="0.25">
      <c r="A698" t="s">
        <v>717</v>
      </c>
      <c r="N698" t="s" cm="1">
        <v>304</v>
      </c>
    </row>
    <row r="699" spans="1:14" ht="15" customHeight="1" x14ac:dyDescent="0.25">
      <c r="A699" t="s">
        <v>302</v>
      </c>
      <c r="N699" t="s" cm="1">
        <v>302</v>
      </c>
    </row>
    <row r="700" spans="1:14" ht="15" customHeight="1" x14ac:dyDescent="0.25">
      <c r="A700" t="s">
        <v>666</v>
      </c>
      <c r="N700" t="s" cm="1">
        <v>666</v>
      </c>
    </row>
    <row r="701" spans="1:14" ht="15" customHeight="1" x14ac:dyDescent="0.25">
      <c r="A701" t="s">
        <v>594</v>
      </c>
      <c r="N701" t="s" cm="1">
        <v>594</v>
      </c>
    </row>
    <row r="702" spans="1:14" ht="15" customHeight="1" x14ac:dyDescent="0.25">
      <c r="A702" t="s">
        <v>732</v>
      </c>
      <c r="N702" t="s" cm="1">
        <v>732</v>
      </c>
    </row>
    <row r="703" spans="1:14" ht="15" customHeight="1" x14ac:dyDescent="0.25">
      <c r="A703" t="s">
        <v>732</v>
      </c>
      <c r="N703" t="s" cm="1">
        <v>732</v>
      </c>
    </row>
    <row r="704" spans="1:14" ht="15" customHeight="1" x14ac:dyDescent="0.25">
      <c r="A704" t="s">
        <v>732</v>
      </c>
      <c r="N704" t="s" cm="1">
        <v>732</v>
      </c>
    </row>
    <row r="705" spans="1:14" ht="15" customHeight="1" x14ac:dyDescent="0.25">
      <c r="A705" t="s">
        <v>732</v>
      </c>
      <c r="N705" t="s" cm="1">
        <v>732</v>
      </c>
    </row>
    <row r="706" spans="1:14" ht="15" customHeight="1" x14ac:dyDescent="0.25">
      <c r="A706" t="s">
        <v>732</v>
      </c>
      <c r="N706" t="s" cm="1">
        <v>732</v>
      </c>
    </row>
    <row r="707" spans="1:14" ht="15" customHeight="1" x14ac:dyDescent="0.25">
      <c r="A707" t="s">
        <v>732</v>
      </c>
      <c r="N707" t="s" cm="1">
        <v>732</v>
      </c>
    </row>
    <row r="708" spans="1:14" ht="15" customHeight="1" x14ac:dyDescent="0.25">
      <c r="A708" t="s">
        <v>732</v>
      </c>
      <c r="N708" t="s" cm="1">
        <v>732</v>
      </c>
    </row>
    <row r="709" spans="1:14" ht="15" customHeight="1" x14ac:dyDescent="0.25">
      <c r="A709" t="s">
        <v>732</v>
      </c>
      <c r="N709" t="s" cm="1">
        <v>732</v>
      </c>
    </row>
    <row r="710" spans="1:14" ht="15" customHeight="1" x14ac:dyDescent="0.25">
      <c r="A710" t="s">
        <v>526</v>
      </c>
      <c r="N710" t="s" cm="1">
        <v>526</v>
      </c>
    </row>
    <row r="711" spans="1:14" ht="15" customHeight="1" x14ac:dyDescent="0.25">
      <c r="A711" t="s">
        <v>577</v>
      </c>
      <c r="N711" t="s" cm="1">
        <v>577</v>
      </c>
    </row>
    <row r="712" spans="1:14" ht="15" customHeight="1" x14ac:dyDescent="0.25">
      <c r="A712" t="s">
        <v>389</v>
      </c>
      <c r="N712" t="s" cm="1">
        <v>389</v>
      </c>
    </row>
    <row r="713" spans="1:14" ht="15" customHeight="1" x14ac:dyDescent="0.25">
      <c r="A713" t="s">
        <v>523</v>
      </c>
      <c r="N713" t="s" cm="1">
        <v>523</v>
      </c>
    </row>
    <row r="714" spans="1:14" ht="15" customHeight="1" x14ac:dyDescent="0.25">
      <c r="A714" t="s">
        <v>911</v>
      </c>
      <c r="N714" t="s" cm="1">
        <v>911</v>
      </c>
    </row>
    <row r="715" spans="1:14" ht="15" customHeight="1" x14ac:dyDescent="0.25">
      <c r="A715" t="s">
        <v>896</v>
      </c>
      <c r="N715" t="s" cm="1">
        <v>896</v>
      </c>
    </row>
    <row r="716" spans="1:14" ht="15" customHeight="1" x14ac:dyDescent="0.25">
      <c r="A716" t="s">
        <v>732</v>
      </c>
      <c r="N716" t="s" cm="1">
        <v>732</v>
      </c>
    </row>
    <row r="717" spans="1:14" ht="15" customHeight="1" x14ac:dyDescent="0.25">
      <c r="A717" t="s">
        <v>732</v>
      </c>
      <c r="N717" t="s" cm="1">
        <v>732</v>
      </c>
    </row>
    <row r="718" spans="1:14" ht="15" customHeight="1" x14ac:dyDescent="0.25">
      <c r="A718" t="s">
        <v>732</v>
      </c>
      <c r="N718" t="s" cm="1">
        <v>732</v>
      </c>
    </row>
    <row r="719" spans="1:14" ht="15" customHeight="1" x14ac:dyDescent="0.25">
      <c r="A719" t="s">
        <v>732</v>
      </c>
      <c r="N719" t="s" cm="1">
        <v>732</v>
      </c>
    </row>
    <row r="720" spans="1:14" ht="15" customHeight="1" x14ac:dyDescent="0.25">
      <c r="A720" t="s">
        <v>732</v>
      </c>
      <c r="N720" t="s" cm="1">
        <v>732</v>
      </c>
    </row>
    <row r="721" spans="1:14" ht="15" customHeight="1" x14ac:dyDescent="0.25">
      <c r="A721" t="s">
        <v>732</v>
      </c>
      <c r="N721" t="s" cm="1">
        <v>732</v>
      </c>
    </row>
    <row r="722" spans="1:14" ht="15" customHeight="1" x14ac:dyDescent="0.25">
      <c r="A722" t="s">
        <v>732</v>
      </c>
      <c r="N722" t="s" cm="1">
        <v>732</v>
      </c>
    </row>
    <row r="723" spans="1:14" ht="15" customHeight="1" x14ac:dyDescent="0.25">
      <c r="A723" t="s">
        <v>732</v>
      </c>
      <c r="N723" t="s" cm="1">
        <v>732</v>
      </c>
    </row>
    <row r="724" spans="1:14" ht="15" customHeight="1" x14ac:dyDescent="0.25">
      <c r="A724" t="s">
        <v>732</v>
      </c>
      <c r="N724" t="s" cm="1">
        <v>732</v>
      </c>
    </row>
    <row r="725" spans="1:14" ht="15" customHeight="1" x14ac:dyDescent="0.25">
      <c r="A725" t="s">
        <v>732</v>
      </c>
      <c r="N725" t="s" cm="1">
        <v>732</v>
      </c>
    </row>
    <row r="726" spans="1:14" ht="15" customHeight="1" x14ac:dyDescent="0.25">
      <c r="A726" t="s">
        <v>732</v>
      </c>
      <c r="N726" t="s" cm="1">
        <v>732</v>
      </c>
    </row>
    <row r="727" spans="1:14" ht="15" customHeight="1" x14ac:dyDescent="0.25">
      <c r="A727" t="s">
        <v>732</v>
      </c>
      <c r="N727" t="s" cm="1">
        <v>732</v>
      </c>
    </row>
    <row r="728" spans="1:14" ht="15" customHeight="1" x14ac:dyDescent="0.25">
      <c r="A728" t="s">
        <v>732</v>
      </c>
      <c r="N728" t="s" cm="1">
        <v>732</v>
      </c>
    </row>
    <row r="729" spans="1:14" ht="15" customHeight="1" x14ac:dyDescent="0.25">
      <c r="A729" t="s">
        <v>732</v>
      </c>
      <c r="N729" t="s" cm="1">
        <v>732</v>
      </c>
    </row>
    <row r="730" spans="1:14" ht="15" customHeight="1" x14ac:dyDescent="0.25">
      <c r="A730" t="s">
        <v>732</v>
      </c>
      <c r="N730" t="s" cm="1">
        <v>732</v>
      </c>
    </row>
    <row r="731" spans="1:14" ht="15" customHeight="1" x14ac:dyDescent="0.25">
      <c r="A731" t="s">
        <v>732</v>
      </c>
      <c r="N731" t="s" cm="1">
        <v>732</v>
      </c>
    </row>
    <row r="732" spans="1:14" ht="15" customHeight="1" x14ac:dyDescent="0.25">
      <c r="A732" t="s">
        <v>732</v>
      </c>
      <c r="N732" t="s" cm="1">
        <v>732</v>
      </c>
    </row>
    <row r="733" spans="1:14" ht="15" customHeight="1" x14ac:dyDescent="0.25">
      <c r="A733" t="s">
        <v>732</v>
      </c>
      <c r="N733" t="s" cm="1">
        <v>732</v>
      </c>
    </row>
    <row r="734" spans="1:14" ht="15" customHeight="1" x14ac:dyDescent="0.25">
      <c r="A734" t="s">
        <v>732</v>
      </c>
      <c r="N734" t="s" cm="1">
        <v>732</v>
      </c>
    </row>
    <row r="735" spans="1:14" ht="15" customHeight="1" x14ac:dyDescent="0.25">
      <c r="A735" t="s">
        <v>732</v>
      </c>
      <c r="N735" t="s" cm="1">
        <v>732</v>
      </c>
    </row>
    <row r="736" spans="1:14" ht="15" customHeight="1" x14ac:dyDescent="0.25">
      <c r="A736" t="s">
        <v>732</v>
      </c>
      <c r="N736" t="s" cm="1">
        <v>732</v>
      </c>
    </row>
    <row r="737" spans="1:14" ht="15" customHeight="1" x14ac:dyDescent="0.25">
      <c r="A737" t="s">
        <v>732</v>
      </c>
      <c r="N737" t="s" cm="1">
        <v>732</v>
      </c>
    </row>
    <row r="738" spans="1:14" ht="15" customHeight="1" x14ac:dyDescent="0.25">
      <c r="A738" t="s">
        <v>732</v>
      </c>
      <c r="N738" t="s" cm="1">
        <v>732</v>
      </c>
    </row>
    <row r="739" spans="1:14" ht="15" customHeight="1" x14ac:dyDescent="0.25">
      <c r="A739" t="s">
        <v>732</v>
      </c>
      <c r="N739" t="s" cm="1">
        <v>732</v>
      </c>
    </row>
    <row r="740" spans="1:14" ht="15" customHeight="1" x14ac:dyDescent="0.25">
      <c r="A740" t="s">
        <v>732</v>
      </c>
      <c r="N740" t="s" cm="1">
        <v>732</v>
      </c>
    </row>
    <row r="741" spans="1:14" ht="15" customHeight="1" x14ac:dyDescent="0.25">
      <c r="A741" t="s">
        <v>732</v>
      </c>
      <c r="N741" t="s" cm="1">
        <v>732</v>
      </c>
    </row>
    <row r="742" spans="1:14" ht="15" customHeight="1" x14ac:dyDescent="0.25">
      <c r="A742" t="s">
        <v>964</v>
      </c>
      <c r="N742" t="s" cm="1">
        <v>964</v>
      </c>
    </row>
    <row r="743" spans="1:14" ht="15" customHeight="1" x14ac:dyDescent="0.25">
      <c r="A743" t="s">
        <v>938</v>
      </c>
      <c r="N743" t="s" cm="1">
        <v>738</v>
      </c>
    </row>
    <row r="744" spans="1:14" ht="15" customHeight="1" x14ac:dyDescent="0.25">
      <c r="A744" t="s">
        <v>938</v>
      </c>
      <c r="N744" t="s" cm="1">
        <v>738</v>
      </c>
    </row>
    <row r="745" spans="1:14" ht="15" customHeight="1" x14ac:dyDescent="0.25">
      <c r="A745" t="s">
        <v>938</v>
      </c>
      <c r="N745" t="s" cm="1">
        <v>738</v>
      </c>
    </row>
    <row r="746" spans="1:14" ht="15" customHeight="1" x14ac:dyDescent="0.25">
      <c r="A746" t="s">
        <v>949</v>
      </c>
      <c r="N746" t="s" cm="1">
        <v>949</v>
      </c>
    </row>
    <row r="747" spans="1:14" ht="15" customHeight="1" x14ac:dyDescent="0.25">
      <c r="A747" t="s">
        <v>952</v>
      </c>
      <c r="N747" t="s" cm="1">
        <v>954</v>
      </c>
    </row>
    <row r="748" spans="1:14" ht="15" customHeight="1" x14ac:dyDescent="0.25">
      <c r="A748" t="s">
        <v>362</v>
      </c>
      <c r="N748" t="s" cm="1">
        <v>362</v>
      </c>
    </row>
    <row r="749" spans="1:14" ht="15" customHeight="1" x14ac:dyDescent="0.25">
      <c r="A749" t="s">
        <v>713</v>
      </c>
      <c r="N749" t="s" cm="1">
        <v>713</v>
      </c>
    </row>
    <row r="750" spans="1:14" ht="15" customHeight="1" x14ac:dyDescent="0.25">
      <c r="A750" t="s">
        <v>659</v>
      </c>
      <c r="N750" t="s" cm="1">
        <v>659</v>
      </c>
    </row>
    <row r="751" spans="1:14" ht="15" customHeight="1" x14ac:dyDescent="0.25">
      <c r="A751" t="s">
        <v>548</v>
      </c>
      <c r="N751" t="s" cm="1">
        <v>548</v>
      </c>
    </row>
    <row r="752" spans="1:14" ht="15" customHeight="1" x14ac:dyDescent="0.25">
      <c r="A752" t="s">
        <v>715</v>
      </c>
      <c r="N752" t="s" cm="1">
        <v>715</v>
      </c>
    </row>
    <row r="753" spans="1:14" ht="15" customHeight="1" x14ac:dyDescent="0.25">
      <c r="A753" t="s">
        <v>505</v>
      </c>
      <c r="N753" t="s" cm="1">
        <v>505</v>
      </c>
    </row>
    <row r="754" spans="1:14" ht="15" customHeight="1" x14ac:dyDescent="0.25">
      <c r="A754" t="s">
        <v>492</v>
      </c>
      <c r="N754" t="s" cm="1">
        <v>409</v>
      </c>
    </row>
    <row r="755" spans="1:14" ht="15" customHeight="1" x14ac:dyDescent="0.25">
      <c r="A755" t="s">
        <v>538</v>
      </c>
      <c r="N755" t="s" cm="1">
        <v>416</v>
      </c>
    </row>
    <row r="756" spans="1:14" ht="15" customHeight="1" x14ac:dyDescent="0.25">
      <c r="A756" t="s">
        <v>692</v>
      </c>
      <c r="N756" t="s" cm="1">
        <v>692</v>
      </c>
    </row>
    <row r="757" spans="1:14" ht="15" customHeight="1" x14ac:dyDescent="0.25">
      <c r="A757" t="s">
        <v>307</v>
      </c>
      <c r="N757" t="s" cm="1">
        <v>307</v>
      </c>
    </row>
    <row r="758" spans="1:14" ht="15" customHeight="1" x14ac:dyDescent="0.25">
      <c r="A758" t="s">
        <v>424</v>
      </c>
      <c r="N758" t="s" cm="1">
        <v>424</v>
      </c>
    </row>
    <row r="759" spans="1:14" ht="15" customHeight="1" x14ac:dyDescent="0.25">
      <c r="A759" t="s">
        <v>584</v>
      </c>
      <c r="N759" t="s" cm="1">
        <v>584</v>
      </c>
    </row>
    <row r="760" spans="1:14" ht="15" customHeight="1" x14ac:dyDescent="0.25">
      <c r="A760" t="s">
        <v>316</v>
      </c>
      <c r="N760" t="s" cm="1">
        <v>316</v>
      </c>
    </row>
    <row r="761" spans="1:14" ht="15" customHeight="1" x14ac:dyDescent="0.25">
      <c r="A761" t="s">
        <v>407</v>
      </c>
      <c r="N761" t="s" cm="1">
        <v>407</v>
      </c>
    </row>
    <row r="762" spans="1:14" ht="15" customHeight="1" x14ac:dyDescent="0.25">
      <c r="A762" t="s">
        <v>608</v>
      </c>
      <c r="N762" t="s" cm="1">
        <v>608</v>
      </c>
    </row>
    <row r="763" spans="1:14" ht="15" customHeight="1" x14ac:dyDescent="0.25">
      <c r="A763" t="s">
        <v>775</v>
      </c>
      <c r="N763" t="s" cm="1">
        <v>775</v>
      </c>
    </row>
    <row r="764" spans="1:14" ht="15" customHeight="1" x14ac:dyDescent="0.25">
      <c r="A764" t="s">
        <v>775</v>
      </c>
      <c r="N764" t="s" cm="1">
        <v>775</v>
      </c>
    </row>
    <row r="765" spans="1:14" ht="15" customHeight="1" x14ac:dyDescent="0.25">
      <c r="A765" t="s">
        <v>775</v>
      </c>
      <c r="N765" t="s" cm="1">
        <v>775</v>
      </c>
    </row>
    <row r="766" spans="1:14" ht="15" customHeight="1" x14ac:dyDescent="0.25">
      <c r="A766" t="s">
        <v>775</v>
      </c>
      <c r="N766" t="s" cm="1">
        <v>775</v>
      </c>
    </row>
    <row r="767" spans="1:14" ht="15" customHeight="1" x14ac:dyDescent="0.25">
      <c r="A767" t="s">
        <v>822</v>
      </c>
      <c r="N767" t="s" cm="1">
        <v>822</v>
      </c>
    </row>
    <row r="768" spans="1:14" ht="15" customHeight="1" x14ac:dyDescent="0.25">
      <c r="A768" t="s">
        <v>834</v>
      </c>
      <c r="N768" t="s" cm="1">
        <v>834</v>
      </c>
    </row>
    <row r="769" spans="1:14" ht="15" customHeight="1" x14ac:dyDescent="0.25">
      <c r="A769" t="s">
        <v>582</v>
      </c>
      <c r="N769" t="s" cm="1">
        <v>582</v>
      </c>
    </row>
    <row r="770" spans="1:14" ht="15" customHeight="1" x14ac:dyDescent="0.25">
      <c r="A770" t="s">
        <v>851</v>
      </c>
      <c r="N770" t="s" cm="1">
        <v>851</v>
      </c>
    </row>
    <row r="771" spans="1:14" ht="15" customHeight="1" x14ac:dyDescent="0.25">
      <c r="A771" t="s">
        <v>875</v>
      </c>
      <c r="N771" t="s" cm="1">
        <v>715</v>
      </c>
    </row>
    <row r="772" spans="1:14" ht="15" customHeight="1" x14ac:dyDescent="0.25">
      <c r="A772" t="s">
        <v>883</v>
      </c>
      <c r="N772" t="s" cm="1">
        <v>883</v>
      </c>
    </row>
    <row r="773" spans="1:14" ht="15" customHeight="1" x14ac:dyDescent="0.25">
      <c r="A773" t="s">
        <v>883</v>
      </c>
      <c r="N773" t="s" cm="1">
        <v>883</v>
      </c>
    </row>
    <row r="774" spans="1:14" ht="15" customHeight="1" x14ac:dyDescent="0.25">
      <c r="A774" t="s">
        <v>891</v>
      </c>
      <c r="N774" t="s" cm="1">
        <v>828</v>
      </c>
    </row>
    <row r="775" spans="1:14" ht="15" customHeight="1" x14ac:dyDescent="0.25">
      <c r="A775" t="s">
        <v>891</v>
      </c>
      <c r="N775" t="s" cm="1">
        <v>828</v>
      </c>
    </row>
    <row r="776" spans="1:14" ht="15" customHeight="1" x14ac:dyDescent="0.25">
      <c r="A776" t="s">
        <v>732</v>
      </c>
      <c r="N776" t="s" cm="1">
        <v>732</v>
      </c>
    </row>
    <row r="777" spans="1:14" ht="15" customHeight="1" x14ac:dyDescent="0.25">
      <c r="A777" t="s">
        <v>641</v>
      </c>
      <c r="N777" t="s" cm="1">
        <v>641</v>
      </c>
    </row>
    <row r="778" spans="1:14" ht="15" customHeight="1" x14ac:dyDescent="0.25">
      <c r="A778" t="s">
        <v>662</v>
      </c>
      <c r="N778" t="s" cm="1">
        <v>662</v>
      </c>
    </row>
    <row r="779" spans="1:14" ht="15" customHeight="1" x14ac:dyDescent="0.25">
      <c r="A779" t="s">
        <v>662</v>
      </c>
      <c r="N779" t="s" cm="1">
        <v>662</v>
      </c>
    </row>
    <row r="780" spans="1:14" ht="15" customHeight="1" x14ac:dyDescent="0.25">
      <c r="A780" t="s">
        <v>662</v>
      </c>
      <c r="N780" t="s" cm="1">
        <v>662</v>
      </c>
    </row>
    <row r="781" spans="1:14" ht="15" customHeight="1" x14ac:dyDescent="0.25">
      <c r="A781" t="s">
        <v>662</v>
      </c>
      <c r="N781" t="s" cm="1">
        <v>662</v>
      </c>
    </row>
    <row r="782" spans="1:14" ht="15" customHeight="1" x14ac:dyDescent="0.25">
      <c r="A782" t="s">
        <v>313</v>
      </c>
      <c r="N782" t="s" cm="1">
        <v>313</v>
      </c>
    </row>
    <row r="783" spans="1:14" ht="15" customHeight="1" x14ac:dyDescent="0.25">
      <c r="A783" t="s">
        <v>460</v>
      </c>
      <c r="N783" t="s" cm="1">
        <v>460</v>
      </c>
    </row>
    <row r="784" spans="1:14" ht="15" customHeight="1" x14ac:dyDescent="0.25">
      <c r="A784" t="s">
        <v>732</v>
      </c>
      <c r="N784" t="s" cm="1">
        <v>732</v>
      </c>
    </row>
    <row r="785" spans="1:14" ht="15" customHeight="1" x14ac:dyDescent="0.25">
      <c r="A785" t="s">
        <v>732</v>
      </c>
      <c r="N785" t="s" cm="1">
        <v>732</v>
      </c>
    </row>
    <row r="786" spans="1:14" ht="15" customHeight="1" x14ac:dyDescent="0.25">
      <c r="A786" t="s">
        <v>732</v>
      </c>
      <c r="N786" t="s" cm="1">
        <v>732</v>
      </c>
    </row>
    <row r="787" spans="1:14" ht="15" customHeight="1" x14ac:dyDescent="0.25">
      <c r="A787" t="s">
        <v>732</v>
      </c>
      <c r="N787" t="s" cm="1">
        <v>732</v>
      </c>
    </row>
    <row r="788" spans="1:14" ht="15" customHeight="1" x14ac:dyDescent="0.25">
      <c r="A788" t="s">
        <v>732</v>
      </c>
      <c r="N788" t="s" cm="1">
        <v>732</v>
      </c>
    </row>
    <row r="789" spans="1:14" ht="15" customHeight="1" x14ac:dyDescent="0.25">
      <c r="A789" t="s">
        <v>732</v>
      </c>
      <c r="N789" t="s" cm="1">
        <v>732</v>
      </c>
    </row>
    <row r="790" spans="1:14" ht="15" customHeight="1" x14ac:dyDescent="0.25">
      <c r="A790" t="s">
        <v>732</v>
      </c>
      <c r="N790" t="s" cm="1">
        <v>732</v>
      </c>
    </row>
    <row r="791" spans="1:14" ht="15" customHeight="1" x14ac:dyDescent="0.25">
      <c r="A791" t="s">
        <v>732</v>
      </c>
      <c r="N791" t="s" cm="1">
        <v>732</v>
      </c>
    </row>
    <row r="792" spans="1:14" ht="15" customHeight="1" x14ac:dyDescent="0.25">
      <c r="A792" t="s">
        <v>732</v>
      </c>
      <c r="N792" t="s" cm="1">
        <v>732</v>
      </c>
    </row>
    <row r="793" spans="1:14" ht="15" customHeight="1" x14ac:dyDescent="0.25">
      <c r="A793" t="s">
        <v>732</v>
      </c>
      <c r="N793" t="s" cm="1">
        <v>732</v>
      </c>
    </row>
    <row r="794" spans="1:14" ht="15" customHeight="1" x14ac:dyDescent="0.25">
      <c r="A794" t="s">
        <v>732</v>
      </c>
      <c r="N794" t="s" cm="1">
        <v>732</v>
      </c>
    </row>
    <row r="795" spans="1:14" ht="15" customHeight="1" x14ac:dyDescent="0.25">
      <c r="A795" t="s">
        <v>732</v>
      </c>
      <c r="N795" t="s" cm="1">
        <v>732</v>
      </c>
    </row>
    <row r="796" spans="1:14" ht="15" customHeight="1" x14ac:dyDescent="0.25">
      <c r="A796" t="s">
        <v>732</v>
      </c>
      <c r="N796" t="s" cm="1">
        <v>732</v>
      </c>
    </row>
    <row r="797" spans="1:14" ht="15" customHeight="1" x14ac:dyDescent="0.25">
      <c r="A797" t="s">
        <v>709</v>
      </c>
      <c r="N797" t="s" cm="1">
        <v>709</v>
      </c>
    </row>
    <row r="798" spans="1:14" ht="15" customHeight="1" x14ac:dyDescent="0.25">
      <c r="A798" t="s">
        <v>732</v>
      </c>
      <c r="N798" t="s" cm="1">
        <v>732</v>
      </c>
    </row>
    <row r="799" spans="1:14" ht="15" customHeight="1" x14ac:dyDescent="0.25">
      <c r="A799" t="s">
        <v>732</v>
      </c>
      <c r="N799" t="s" cm="1">
        <v>732</v>
      </c>
    </row>
    <row r="800" spans="1:14" ht="15" customHeight="1" x14ac:dyDescent="0.25">
      <c r="A800" t="s">
        <v>732</v>
      </c>
      <c r="N800" t="s" cm="1">
        <v>732</v>
      </c>
    </row>
    <row r="801" spans="1:14" ht="15" customHeight="1" x14ac:dyDescent="0.25">
      <c r="A801" t="s">
        <v>732</v>
      </c>
      <c r="N801" t="s" cm="1">
        <v>732</v>
      </c>
    </row>
    <row r="802" spans="1:14" ht="15" customHeight="1" x14ac:dyDescent="0.25">
      <c r="A802" t="s">
        <v>732</v>
      </c>
      <c r="N802" t="s" cm="1">
        <v>732</v>
      </c>
    </row>
    <row r="803" spans="1:14" ht="15" customHeight="1" x14ac:dyDescent="0.25">
      <c r="A803" t="s">
        <v>732</v>
      </c>
      <c r="N803" t="s" cm="1">
        <v>732</v>
      </c>
    </row>
    <row r="804" spans="1:14" ht="15" customHeight="1" x14ac:dyDescent="0.25">
      <c r="A804" t="s">
        <v>732</v>
      </c>
      <c r="N804" t="s" cm="1">
        <v>732</v>
      </c>
    </row>
    <row r="805" spans="1:14" ht="15" customHeight="1" x14ac:dyDescent="0.25">
      <c r="A805" t="s">
        <v>715</v>
      </c>
      <c r="N805" t="s" cm="1">
        <v>715</v>
      </c>
    </row>
    <row r="806" spans="1:14" ht="15" customHeight="1" x14ac:dyDescent="0.25">
      <c r="A806" t="s">
        <v>715</v>
      </c>
      <c r="N806" t="s" cm="1">
        <v>715</v>
      </c>
    </row>
    <row r="807" spans="1:14" ht="15" customHeight="1" x14ac:dyDescent="0.25">
      <c r="A807" t="s">
        <v>360</v>
      </c>
      <c r="N807" t="s" cm="1">
        <v>360</v>
      </c>
    </row>
    <row r="808" spans="1:14" ht="15" customHeight="1" x14ac:dyDescent="0.25">
      <c r="A808" t="s">
        <v>369</v>
      </c>
      <c r="N808" t="s" cm="1">
        <v>369</v>
      </c>
    </row>
    <row r="809" spans="1:14" ht="15" customHeight="1" x14ac:dyDescent="0.25">
      <c r="A809" t="s">
        <v>324</v>
      </c>
      <c r="N809" t="s" cm="1">
        <v>324</v>
      </c>
    </row>
    <row r="810" spans="1:14" ht="15" customHeight="1" x14ac:dyDescent="0.25">
      <c r="A810" t="s">
        <v>657</v>
      </c>
      <c r="N810" t="s" cm="1">
        <v>446</v>
      </c>
    </row>
    <row r="811" spans="1:14" ht="15" customHeight="1" x14ac:dyDescent="0.25">
      <c r="A811" t="s">
        <v>521</v>
      </c>
      <c r="N811" t="s" cm="1">
        <v>521</v>
      </c>
    </row>
    <row r="812" spans="1:14" ht="15" customHeight="1" x14ac:dyDescent="0.25">
      <c r="A812" t="s">
        <v>528</v>
      </c>
      <c r="N812" t="s" cm="1">
        <v>455</v>
      </c>
    </row>
    <row r="813" spans="1:14" ht="15" customHeight="1" x14ac:dyDescent="0.25">
      <c r="A813" t="s">
        <v>508</v>
      </c>
      <c r="N813" t="s" cm="1">
        <v>715</v>
      </c>
    </row>
    <row r="814" spans="1:14" ht="15" customHeight="1" x14ac:dyDescent="0.25">
      <c r="A814" t="s">
        <v>715</v>
      </c>
      <c r="N814" t="s" cm="1">
        <v>715</v>
      </c>
    </row>
    <row r="815" spans="1:14" ht="15" customHeight="1" x14ac:dyDescent="0.25">
      <c r="A815" t="s">
        <v>503</v>
      </c>
      <c r="N815" t="s" cm="1">
        <v>715</v>
      </c>
    </row>
    <row r="816" spans="1:14" ht="15" customHeight="1" x14ac:dyDescent="0.25">
      <c r="A816" t="s">
        <v>571</v>
      </c>
      <c r="N816" t="s" cm="1">
        <v>319</v>
      </c>
    </row>
    <row r="817" spans="1:14" ht="15" customHeight="1" x14ac:dyDescent="0.25">
      <c r="A817" t="s">
        <v>609</v>
      </c>
      <c r="N817" t="s" cm="1">
        <v>609</v>
      </c>
    </row>
    <row r="818" spans="1:14" ht="15" customHeight="1" x14ac:dyDescent="0.25">
      <c r="A818" t="s">
        <v>475</v>
      </c>
      <c r="N818" t="s" cm="1">
        <v>475</v>
      </c>
    </row>
    <row r="819" spans="1:14" ht="15" customHeight="1" x14ac:dyDescent="0.25">
      <c r="A819" t="s">
        <v>714</v>
      </c>
      <c r="N819" t="s" cm="1">
        <v>714</v>
      </c>
    </row>
    <row r="820" spans="1:14" ht="15" customHeight="1" x14ac:dyDescent="0.25">
      <c r="A820" t="s">
        <v>714</v>
      </c>
      <c r="N820" t="s" cm="1">
        <v>714</v>
      </c>
    </row>
    <row r="821" spans="1:14" ht="15" customHeight="1" x14ac:dyDescent="0.25">
      <c r="A821" t="s">
        <v>714</v>
      </c>
      <c r="N821" t="s" cm="1">
        <v>714</v>
      </c>
    </row>
    <row r="822" spans="1:14" ht="15" customHeight="1" x14ac:dyDescent="0.25">
      <c r="A822" t="s">
        <v>714</v>
      </c>
      <c r="N822" t="s" cm="1">
        <v>714</v>
      </c>
    </row>
    <row r="823" spans="1:14" ht="15" customHeight="1" x14ac:dyDescent="0.25">
      <c r="A823" t="s">
        <v>714</v>
      </c>
      <c r="N823" t="s" cm="1">
        <v>714</v>
      </c>
    </row>
    <row r="824" spans="1:14" ht="15" customHeight="1" x14ac:dyDescent="0.25">
      <c r="A824" t="s">
        <v>714</v>
      </c>
      <c r="N824" t="s" cm="1">
        <v>714</v>
      </c>
    </row>
    <row r="825" spans="1:14" ht="15" customHeight="1" x14ac:dyDescent="0.25">
      <c r="A825" t="s">
        <v>714</v>
      </c>
      <c r="N825" t="s" cm="1">
        <v>714</v>
      </c>
    </row>
    <row r="826" spans="1:14" ht="15" customHeight="1" x14ac:dyDescent="0.25">
      <c r="A826" t="s">
        <v>714</v>
      </c>
      <c r="N826" t="s" cm="1">
        <v>714</v>
      </c>
    </row>
    <row r="827" spans="1:14" ht="15" customHeight="1" x14ac:dyDescent="0.25">
      <c r="A827" t="s">
        <v>647</v>
      </c>
      <c r="N827" t="s" cm="1">
        <v>647</v>
      </c>
    </row>
    <row r="828" spans="1:14" ht="15" customHeight="1" x14ac:dyDescent="0.25">
      <c r="A828" t="s">
        <v>591</v>
      </c>
      <c r="N828" t="s" cm="1">
        <v>576</v>
      </c>
    </row>
    <row r="829" spans="1:14" ht="15" customHeight="1" x14ac:dyDescent="0.25">
      <c r="A829" t="s">
        <v>596</v>
      </c>
      <c r="N829" t="s" cm="1">
        <v>666</v>
      </c>
    </row>
    <row r="830" spans="1:14" ht="15" customHeight="1" x14ac:dyDescent="0.25">
      <c r="A830" t="s">
        <v>912</v>
      </c>
      <c r="N830" t="s" cm="1">
        <v>912</v>
      </c>
    </row>
    <row r="831" spans="1:14" ht="15" customHeight="1" x14ac:dyDescent="0.25">
      <c r="A831" t="s">
        <v>920</v>
      </c>
      <c r="N831" t="s" cm="1">
        <v>924</v>
      </c>
    </row>
    <row r="832" spans="1:14" ht="15" customHeight="1" x14ac:dyDescent="0.25">
      <c r="A832" t="s">
        <v>712</v>
      </c>
      <c r="N832" t="s" cm="1">
        <v>712</v>
      </c>
    </row>
    <row r="833" spans="1:14" ht="15" customHeight="1" x14ac:dyDescent="0.25">
      <c r="A833" t="s">
        <v>712</v>
      </c>
      <c r="N833" t="s" cm="1">
        <v>712</v>
      </c>
    </row>
    <row r="834" spans="1:14" ht="15" customHeight="1" x14ac:dyDescent="0.25">
      <c r="A834" t="s">
        <v>712</v>
      </c>
      <c r="N834" t="s" cm="1">
        <v>712</v>
      </c>
    </row>
    <row r="835" spans="1:14" ht="15" customHeight="1" x14ac:dyDescent="0.25">
      <c r="A835" t="s">
        <v>712</v>
      </c>
      <c r="N835" t="s" cm="1">
        <v>712</v>
      </c>
    </row>
    <row r="836" spans="1:14" ht="15" customHeight="1" x14ac:dyDescent="0.25">
      <c r="A836" t="s">
        <v>712</v>
      </c>
      <c r="N836" t="s" cm="1">
        <v>712</v>
      </c>
    </row>
    <row r="837" spans="1:14" ht="15" customHeight="1" x14ac:dyDescent="0.25">
      <c r="A837" t="s">
        <v>712</v>
      </c>
      <c r="N837" t="s" cm="1">
        <v>712</v>
      </c>
    </row>
    <row r="838" spans="1:14" ht="15" customHeight="1" x14ac:dyDescent="0.25">
      <c r="A838" t="s">
        <v>712</v>
      </c>
      <c r="N838" t="s" cm="1">
        <v>712</v>
      </c>
    </row>
    <row r="839" spans="1:14" ht="15" customHeight="1" x14ac:dyDescent="0.25">
      <c r="A839" t="s">
        <v>712</v>
      </c>
      <c r="N839" t="s" cm="1">
        <v>712</v>
      </c>
    </row>
    <row r="840" spans="1:14" ht="15" customHeight="1" x14ac:dyDescent="0.25">
      <c r="A840" t="s">
        <v>712</v>
      </c>
      <c r="N840" t="s" cm="1">
        <v>712</v>
      </c>
    </row>
    <row r="841" spans="1:14" ht="15" customHeight="1" x14ac:dyDescent="0.25">
      <c r="A841" t="s">
        <v>712</v>
      </c>
      <c r="N841" t="s" cm="1">
        <v>712</v>
      </c>
    </row>
    <row r="842" spans="1:14" ht="15" customHeight="1" x14ac:dyDescent="0.25">
      <c r="A842" t="s">
        <v>712</v>
      </c>
      <c r="N842" t="s" cm="1">
        <v>712</v>
      </c>
    </row>
    <row r="843" spans="1:14" ht="15" customHeight="1" x14ac:dyDescent="0.25">
      <c r="A843" t="s">
        <v>712</v>
      </c>
      <c r="N843" t="s" cm="1">
        <v>712</v>
      </c>
    </row>
    <row r="844" spans="1:14" ht="15" customHeight="1" x14ac:dyDescent="0.25">
      <c r="A844" t="s">
        <v>712</v>
      </c>
      <c r="N844" t="s" cm="1">
        <v>712</v>
      </c>
    </row>
    <row r="845" spans="1:14" ht="15" customHeight="1" x14ac:dyDescent="0.25">
      <c r="A845" t="s">
        <v>712</v>
      </c>
      <c r="N845" t="s" cm="1">
        <v>712</v>
      </c>
    </row>
    <row r="846" spans="1:14" ht="15" customHeight="1" x14ac:dyDescent="0.25">
      <c r="A846" t="s">
        <v>712</v>
      </c>
      <c r="N846" t="s" cm="1">
        <v>712</v>
      </c>
    </row>
    <row r="847" spans="1:14" ht="15" customHeight="1" x14ac:dyDescent="0.25">
      <c r="A847" t="s">
        <v>712</v>
      </c>
      <c r="N847" t="s" cm="1">
        <v>712</v>
      </c>
    </row>
    <row r="848" spans="1:14" ht="15" customHeight="1" x14ac:dyDescent="0.25">
      <c r="A848" t="s">
        <v>712</v>
      </c>
      <c r="N848" t="s" cm="1">
        <v>712</v>
      </c>
    </row>
    <row r="849" spans="1:14" ht="15" customHeight="1" x14ac:dyDescent="0.25">
      <c r="A849" t="s">
        <v>712</v>
      </c>
      <c r="N849" t="s" cm="1">
        <v>712</v>
      </c>
    </row>
    <row r="850" spans="1:14" ht="15" customHeight="1" x14ac:dyDescent="0.25">
      <c r="A850" t="s">
        <v>712</v>
      </c>
      <c r="N850" t="s" cm="1">
        <v>712</v>
      </c>
    </row>
    <row r="851" spans="1:14" ht="15" customHeight="1" x14ac:dyDescent="0.25">
      <c r="A851" t="s">
        <v>712</v>
      </c>
      <c r="N851" t="s" cm="1">
        <v>712</v>
      </c>
    </row>
    <row r="852" spans="1:14" ht="15" customHeight="1" x14ac:dyDescent="0.25">
      <c r="A852" t="s">
        <v>712</v>
      </c>
      <c r="N852" t="s" cm="1">
        <v>712</v>
      </c>
    </row>
    <row r="853" spans="1:14" ht="15" customHeight="1" x14ac:dyDescent="0.25">
      <c r="A853" t="s">
        <v>712</v>
      </c>
      <c r="N853" t="s" cm="1">
        <v>712</v>
      </c>
    </row>
    <row r="854" spans="1:14" ht="15" customHeight="1" x14ac:dyDescent="0.25">
      <c r="A854" t="s">
        <v>712</v>
      </c>
      <c r="N854" t="s" cm="1">
        <v>712</v>
      </c>
    </row>
    <row r="855" spans="1:14" ht="15" customHeight="1" x14ac:dyDescent="0.25">
      <c r="A855" t="s">
        <v>712</v>
      </c>
      <c r="N855" t="s" cm="1">
        <v>712</v>
      </c>
    </row>
    <row r="856" spans="1:14" ht="15" customHeight="1" x14ac:dyDescent="0.25">
      <c r="A856" t="s">
        <v>712</v>
      </c>
      <c r="N856" t="s" cm="1">
        <v>712</v>
      </c>
    </row>
    <row r="857" spans="1:14" ht="15" customHeight="1" x14ac:dyDescent="0.25">
      <c r="A857" t="s">
        <v>712</v>
      </c>
      <c r="N857" t="s" cm="1">
        <v>712</v>
      </c>
    </row>
    <row r="858" spans="1:14" ht="15" customHeight="1" x14ac:dyDescent="0.25">
      <c r="A858" t="s">
        <v>554</v>
      </c>
      <c r="N858" t="s" cm="1">
        <v>554</v>
      </c>
    </row>
    <row r="859" spans="1:14" ht="15" customHeight="1" x14ac:dyDescent="0.25">
      <c r="A859" t="s">
        <v>828</v>
      </c>
      <c r="N859" t="s" cm="1">
        <v>828</v>
      </c>
    </row>
    <row r="860" spans="1:14" ht="15" customHeight="1" x14ac:dyDescent="0.25">
      <c r="A860" t="s">
        <v>828</v>
      </c>
      <c r="N860" t="s" cm="1">
        <v>828</v>
      </c>
    </row>
    <row r="861" spans="1:14" ht="15" customHeight="1" x14ac:dyDescent="0.25">
      <c r="A861" t="s">
        <v>828</v>
      </c>
      <c r="N861" t="s" cm="1">
        <v>828</v>
      </c>
    </row>
    <row r="862" spans="1:14" ht="15" customHeight="1" x14ac:dyDescent="0.25">
      <c r="A862" t="s">
        <v>950</v>
      </c>
      <c r="N862" t="s" cm="1">
        <v>715</v>
      </c>
    </row>
    <row r="863" spans="1:14" ht="15" customHeight="1" x14ac:dyDescent="0.25">
      <c r="A863" t="s">
        <v>953</v>
      </c>
      <c r="N863" t="s" cm="1">
        <v>954</v>
      </c>
    </row>
    <row r="864" spans="1:14" ht="15" customHeight="1" x14ac:dyDescent="0.25">
      <c r="A864" t="s">
        <v>694</v>
      </c>
      <c r="N864" t="s" cm="1">
        <v>362</v>
      </c>
    </row>
    <row r="865" spans="1:14" ht="15" customHeight="1" x14ac:dyDescent="0.25">
      <c r="A865" t="s">
        <v>701</v>
      </c>
      <c r="N865" t="s" cm="1">
        <v>701</v>
      </c>
    </row>
    <row r="866" spans="1:14" ht="15" customHeight="1" x14ac:dyDescent="0.25">
      <c r="A866" t="s">
        <v>648</v>
      </c>
      <c r="N866" t="s" cm="1">
        <v>648</v>
      </c>
    </row>
    <row r="867" spans="1:14" ht="15" customHeight="1" x14ac:dyDescent="0.25">
      <c r="A867" t="s">
        <v>713</v>
      </c>
      <c r="N867" t="s" cm="1">
        <v>713</v>
      </c>
    </row>
    <row r="868" spans="1:14" ht="15" customHeight="1" x14ac:dyDescent="0.25">
      <c r="A868" t="s">
        <v>568</v>
      </c>
      <c r="N868" t="s" cm="1">
        <v>568</v>
      </c>
    </row>
    <row r="869" spans="1:14" ht="15" customHeight="1" x14ac:dyDescent="0.25">
      <c r="A869" t="s">
        <v>672</v>
      </c>
      <c r="N869" t="s" cm="1">
        <v>672</v>
      </c>
    </row>
    <row r="870" spans="1:14" ht="15" customHeight="1" x14ac:dyDescent="0.25">
      <c r="A870" t="s">
        <v>618</v>
      </c>
      <c r="N870" t="s" cm="1">
        <v>556</v>
      </c>
    </row>
    <row r="871" spans="1:14" ht="15" customHeight="1" x14ac:dyDescent="0.25">
      <c r="A871" t="s">
        <v>659</v>
      </c>
      <c r="N871" t="s" cm="1">
        <v>659</v>
      </c>
    </row>
    <row r="872" spans="1:14" ht="15" customHeight="1" x14ac:dyDescent="0.25">
      <c r="A872" t="s">
        <v>322</v>
      </c>
      <c r="N872" t="s" cm="1">
        <v>322</v>
      </c>
    </row>
    <row r="873" spans="1:14" ht="15" customHeight="1" x14ac:dyDescent="0.25">
      <c r="A873" t="s">
        <v>678</v>
      </c>
      <c r="N873" t="s" cm="1">
        <v>678</v>
      </c>
    </row>
    <row r="874" spans="1:14" ht="15" customHeight="1" x14ac:dyDescent="0.25">
      <c r="A874" t="s">
        <v>584</v>
      </c>
      <c r="N874" t="s" cm="1">
        <v>584</v>
      </c>
    </row>
    <row r="875" spans="1:14" ht="15" customHeight="1" x14ac:dyDescent="0.25">
      <c r="A875" t="s">
        <v>427</v>
      </c>
      <c r="N875" t="s" cm="1">
        <v>427</v>
      </c>
    </row>
    <row r="876" spans="1:14" ht="15" customHeight="1" x14ac:dyDescent="0.25">
      <c r="A876" t="s">
        <v>564</v>
      </c>
      <c r="N876" t="s" cm="1">
        <v>564</v>
      </c>
    </row>
    <row r="877" spans="1:14" ht="15" customHeight="1" x14ac:dyDescent="0.25">
      <c r="A877" t="s">
        <v>776</v>
      </c>
      <c r="N877" t="s" cm="1">
        <v>776</v>
      </c>
    </row>
    <row r="878" spans="1:14" ht="15" customHeight="1" x14ac:dyDescent="0.25">
      <c r="A878" t="s">
        <v>776</v>
      </c>
      <c r="N878" t="s" cm="1">
        <v>776</v>
      </c>
    </row>
    <row r="879" spans="1:14" ht="15" customHeight="1" x14ac:dyDescent="0.25">
      <c r="A879" t="s">
        <v>776</v>
      </c>
      <c r="N879" t="s" cm="1">
        <v>776</v>
      </c>
    </row>
    <row r="880" spans="1:14" ht="15" customHeight="1" x14ac:dyDescent="0.25">
      <c r="A880" t="s">
        <v>776</v>
      </c>
      <c r="N880" t="s" cm="1">
        <v>776</v>
      </c>
    </row>
    <row r="881" spans="1:14" ht="15" customHeight="1" x14ac:dyDescent="0.25">
      <c r="A881" t="s">
        <v>823</v>
      </c>
      <c r="N881" t="s" cm="1">
        <v>823</v>
      </c>
    </row>
    <row r="882" spans="1:14" ht="15" customHeight="1" x14ac:dyDescent="0.25">
      <c r="A882" t="s">
        <v>835</v>
      </c>
      <c r="N882" t="s" cm="1">
        <v>835</v>
      </c>
    </row>
    <row r="883" spans="1:14" ht="15" customHeight="1" x14ac:dyDescent="0.25">
      <c r="A883" t="s">
        <v>876</v>
      </c>
      <c r="N883" t="s" cm="1">
        <v>715</v>
      </c>
    </row>
    <row r="884" spans="1:14" ht="15" customHeight="1" x14ac:dyDescent="0.25">
      <c r="A884" t="s">
        <v>884</v>
      </c>
      <c r="N884" t="s" cm="1">
        <v>884</v>
      </c>
    </row>
    <row r="885" spans="1:14" ht="15" customHeight="1" x14ac:dyDescent="0.25">
      <c r="A885" t="s">
        <v>884</v>
      </c>
      <c r="N885" t="s" cm="1">
        <v>884</v>
      </c>
    </row>
    <row r="886" spans="1:14" ht="15" customHeight="1" x14ac:dyDescent="0.25">
      <c r="A886" t="s">
        <v>827</v>
      </c>
      <c r="N886" t="s" cm="1">
        <v>738</v>
      </c>
    </row>
    <row r="887" spans="1:14" ht="15" customHeight="1" x14ac:dyDescent="0.25">
      <c r="A887" t="s">
        <v>827</v>
      </c>
      <c r="N887" t="s" cm="1">
        <v>738</v>
      </c>
    </row>
    <row r="888" spans="1:14" ht="15" customHeight="1" x14ac:dyDescent="0.25">
      <c r="A888" t="s">
        <v>889</v>
      </c>
      <c r="N888" t="s" cm="1">
        <v>889</v>
      </c>
    </row>
    <row r="889" spans="1:14" ht="15" customHeight="1" x14ac:dyDescent="0.25">
      <c r="A889" t="s">
        <v>714</v>
      </c>
      <c r="N889" t="s" cm="1">
        <v>714</v>
      </c>
    </row>
    <row r="890" spans="1:14" ht="15" customHeight="1" x14ac:dyDescent="0.25">
      <c r="A890" t="s">
        <v>631</v>
      </c>
      <c r="N890" t="s" cm="1">
        <v>631</v>
      </c>
    </row>
    <row r="891" spans="1:14" ht="15" customHeight="1" x14ac:dyDescent="0.25">
      <c r="A891" t="s">
        <v>594</v>
      </c>
      <c r="N891" t="s" cm="1">
        <v>594</v>
      </c>
    </row>
    <row r="892" spans="1:14" ht="15" customHeight="1" x14ac:dyDescent="0.25">
      <c r="A892" t="s">
        <v>706</v>
      </c>
      <c r="N892" t="s" cm="1">
        <v>706</v>
      </c>
    </row>
    <row r="893" spans="1:14" ht="15" customHeight="1" x14ac:dyDescent="0.25">
      <c r="A893" t="s">
        <v>706</v>
      </c>
      <c r="N893" t="s" cm="1">
        <v>706</v>
      </c>
    </row>
    <row r="894" spans="1:14" ht="15" customHeight="1" x14ac:dyDescent="0.25">
      <c r="A894" t="s">
        <v>706</v>
      </c>
      <c r="N894" t="s" cm="1">
        <v>706</v>
      </c>
    </row>
    <row r="895" spans="1:14" ht="15" customHeight="1" x14ac:dyDescent="0.25">
      <c r="A895" t="s">
        <v>706</v>
      </c>
      <c r="N895" t="s" cm="1">
        <v>706</v>
      </c>
    </row>
    <row r="896" spans="1:14" ht="15" customHeight="1" x14ac:dyDescent="0.25">
      <c r="A896" t="s">
        <v>706</v>
      </c>
      <c r="N896" t="s" cm="1">
        <v>706</v>
      </c>
    </row>
    <row r="897" spans="1:14" ht="15" customHeight="1" x14ac:dyDescent="0.25">
      <c r="A897" t="s">
        <v>706</v>
      </c>
      <c r="N897" t="s" cm="1">
        <v>706</v>
      </c>
    </row>
    <row r="898" spans="1:14" ht="15" customHeight="1" x14ac:dyDescent="0.25">
      <c r="A898" t="s">
        <v>706</v>
      </c>
      <c r="N898" t="s" cm="1">
        <v>706</v>
      </c>
    </row>
    <row r="899" spans="1:14" ht="15" customHeight="1" x14ac:dyDescent="0.25">
      <c r="A899" t="s">
        <v>706</v>
      </c>
      <c r="N899" t="s" cm="1">
        <v>706</v>
      </c>
    </row>
    <row r="900" spans="1:14" ht="15" customHeight="1" x14ac:dyDescent="0.25">
      <c r="A900" t="s">
        <v>706</v>
      </c>
      <c r="N900" t="s" cm="1">
        <v>706</v>
      </c>
    </row>
    <row r="901" spans="1:14" ht="15" customHeight="1" x14ac:dyDescent="0.25">
      <c r="A901" t="s">
        <v>706</v>
      </c>
      <c r="N901" t="s" cm="1">
        <v>706</v>
      </c>
    </row>
    <row r="902" spans="1:14" ht="15" customHeight="1" x14ac:dyDescent="0.25">
      <c r="A902" t="s">
        <v>706</v>
      </c>
      <c r="N902" t="s" cm="1">
        <v>706</v>
      </c>
    </row>
    <row r="903" spans="1:14" ht="15" customHeight="1" x14ac:dyDescent="0.25">
      <c r="A903" t="s">
        <v>706</v>
      </c>
      <c r="N903" t="s" cm="1">
        <v>706</v>
      </c>
    </row>
    <row r="904" spans="1:14" ht="15" customHeight="1" x14ac:dyDescent="0.25">
      <c r="A904" t="s">
        <v>706</v>
      </c>
      <c r="N904" t="s" cm="1">
        <v>706</v>
      </c>
    </row>
    <row r="905" spans="1:14" ht="15" customHeight="1" x14ac:dyDescent="0.25">
      <c r="A905" t="s">
        <v>385</v>
      </c>
      <c r="N905" t="s" cm="1">
        <v>666</v>
      </c>
    </row>
    <row r="906" spans="1:14" ht="15" customHeight="1" x14ac:dyDescent="0.25">
      <c r="A906" t="s">
        <v>582</v>
      </c>
      <c r="N906" t="s" cm="1">
        <v>582</v>
      </c>
    </row>
    <row r="907" spans="1:14" ht="15" customHeight="1" x14ac:dyDescent="0.25">
      <c r="A907" t="s">
        <v>582</v>
      </c>
      <c r="N907" t="s" cm="1">
        <v>582</v>
      </c>
    </row>
    <row r="908" spans="1:14" ht="15" customHeight="1" x14ac:dyDescent="0.25">
      <c r="A908" t="s">
        <v>582</v>
      </c>
      <c r="N908" t="s" cm="1">
        <v>582</v>
      </c>
    </row>
    <row r="909" spans="1:14" ht="15" customHeight="1" x14ac:dyDescent="0.25">
      <c r="A909" t="s">
        <v>582</v>
      </c>
      <c r="N909" t="s" cm="1">
        <v>582</v>
      </c>
    </row>
    <row r="910" spans="1:14" ht="15" customHeight="1" x14ac:dyDescent="0.25">
      <c r="A910" t="s">
        <v>582</v>
      </c>
      <c r="N910" t="s" cm="1">
        <v>582</v>
      </c>
    </row>
    <row r="911" spans="1:14" ht="15" customHeight="1" x14ac:dyDescent="0.25">
      <c r="A911" t="s">
        <v>582</v>
      </c>
      <c r="N911" t="s" cm="1">
        <v>582</v>
      </c>
    </row>
    <row r="912" spans="1:14" ht="15" customHeight="1" x14ac:dyDescent="0.25">
      <c r="A912" t="s">
        <v>582</v>
      </c>
      <c r="N912" t="s" cm="1">
        <v>582</v>
      </c>
    </row>
    <row r="913" spans="1:14" ht="15" customHeight="1" x14ac:dyDescent="0.25">
      <c r="A913" t="s">
        <v>652</v>
      </c>
      <c r="N913" t="s" cm="1">
        <v>537</v>
      </c>
    </row>
    <row r="914" spans="1:14" ht="15" customHeight="1" x14ac:dyDescent="0.25">
      <c r="A914" t="s">
        <v>402</v>
      </c>
      <c r="N914" t="s" cm="1">
        <v>345</v>
      </c>
    </row>
    <row r="915" spans="1:14" ht="15" customHeight="1" x14ac:dyDescent="0.25">
      <c r="A915" t="s">
        <v>308</v>
      </c>
      <c r="N915" t="s" cm="1">
        <v>308</v>
      </c>
    </row>
    <row r="916" spans="1:14" ht="15" customHeight="1" x14ac:dyDescent="0.25">
      <c r="A916" t="s">
        <v>380</v>
      </c>
      <c r="N916" t="s" cm="1">
        <v>380</v>
      </c>
    </row>
    <row r="917" spans="1:14" ht="15" customHeight="1" x14ac:dyDescent="0.25">
      <c r="A917" t="s">
        <v>357</v>
      </c>
      <c r="N917" t="s" cm="1">
        <v>357</v>
      </c>
    </row>
    <row r="918" spans="1:14" ht="15" customHeight="1" x14ac:dyDescent="0.25">
      <c r="A918" t="s">
        <v>462</v>
      </c>
      <c r="N918" t="s" cm="1">
        <v>462</v>
      </c>
    </row>
    <row r="919" spans="1:14" ht="15" customHeight="1" x14ac:dyDescent="0.25">
      <c r="A919" t="s">
        <v>715</v>
      </c>
      <c r="N919" t="s" cm="1">
        <v>715</v>
      </c>
    </row>
    <row r="920" spans="1:14" ht="15" customHeight="1" x14ac:dyDescent="0.25">
      <c r="A920" t="s">
        <v>729</v>
      </c>
      <c r="N920" t="s" cm="1">
        <v>715</v>
      </c>
    </row>
    <row r="921" spans="1:14" ht="15" customHeight="1" x14ac:dyDescent="0.25">
      <c r="A921" t="s">
        <v>585</v>
      </c>
      <c r="N921" t="s" cm="1">
        <v>649</v>
      </c>
    </row>
    <row r="922" spans="1:14" ht="15" customHeight="1" x14ac:dyDescent="0.25">
      <c r="A922" t="s">
        <v>455</v>
      </c>
      <c r="N922" t="s" cm="1">
        <v>455</v>
      </c>
    </row>
    <row r="923" spans="1:14" ht="15" customHeight="1" x14ac:dyDescent="0.25">
      <c r="A923" t="s">
        <v>573</v>
      </c>
      <c r="N923" t="s" cm="1">
        <v>573</v>
      </c>
    </row>
    <row r="924" spans="1:14" ht="15" customHeight="1" x14ac:dyDescent="0.25">
      <c r="A924" t="s">
        <v>728</v>
      </c>
      <c r="N924" t="s" cm="1">
        <v>715</v>
      </c>
    </row>
    <row r="925" spans="1:14" ht="15" customHeight="1" x14ac:dyDescent="0.25">
      <c r="A925" t="s">
        <v>728</v>
      </c>
      <c r="N925" t="s" cm="1">
        <v>715</v>
      </c>
    </row>
    <row r="926" spans="1:14" ht="15" customHeight="1" x14ac:dyDescent="0.25">
      <c r="A926" t="s">
        <v>728</v>
      </c>
      <c r="N926" t="s" cm="1">
        <v>715</v>
      </c>
    </row>
    <row r="927" spans="1:14" ht="15" customHeight="1" x14ac:dyDescent="0.25">
      <c r="A927" t="s">
        <v>728</v>
      </c>
      <c r="N927" t="s" cm="1">
        <v>715</v>
      </c>
    </row>
    <row r="928" spans="1:14" ht="15" customHeight="1" x14ac:dyDescent="0.25">
      <c r="A928" t="s">
        <v>728</v>
      </c>
      <c r="N928" t="s" cm="1">
        <v>715</v>
      </c>
    </row>
    <row r="929" spans="1:14" ht="15" customHeight="1" x14ac:dyDescent="0.25">
      <c r="A929" t="s">
        <v>728</v>
      </c>
      <c r="N929" t="s" cm="1">
        <v>715</v>
      </c>
    </row>
    <row r="930" spans="1:14" ht="15" customHeight="1" x14ac:dyDescent="0.25">
      <c r="A930" t="s">
        <v>728</v>
      </c>
      <c r="N930" t="s" cm="1">
        <v>715</v>
      </c>
    </row>
    <row r="931" spans="1:14" ht="15" customHeight="1" x14ac:dyDescent="0.25">
      <c r="A931" t="s">
        <v>728</v>
      </c>
      <c r="N931" t="s" cm="1">
        <v>715</v>
      </c>
    </row>
    <row r="932" spans="1:14" ht="15" customHeight="1" x14ac:dyDescent="0.25">
      <c r="A932" t="s">
        <v>653</v>
      </c>
      <c r="N932" t="s" cm="1">
        <v>653</v>
      </c>
    </row>
    <row r="933" spans="1:14" ht="15" customHeight="1" x14ac:dyDescent="0.25">
      <c r="A933" t="s">
        <v>632</v>
      </c>
      <c r="N933" t="s" cm="1">
        <v>559</v>
      </c>
    </row>
    <row r="934" spans="1:14" ht="15" customHeight="1" x14ac:dyDescent="0.25">
      <c r="A934" t="s">
        <v>722</v>
      </c>
      <c r="N934" t="s" cm="1">
        <v>666</v>
      </c>
    </row>
    <row r="935" spans="1:14" ht="15" customHeight="1" x14ac:dyDescent="0.25">
      <c r="A935" t="s">
        <v>913</v>
      </c>
      <c r="N935" t="s" cm="1">
        <v>913</v>
      </c>
    </row>
    <row r="936" spans="1:14" ht="15" customHeight="1" x14ac:dyDescent="0.25">
      <c r="A936" t="s">
        <v>636</v>
      </c>
      <c r="N936" t="s" cm="1">
        <v>636</v>
      </c>
    </row>
    <row r="937" spans="1:14" ht="15" customHeight="1" x14ac:dyDescent="0.25">
      <c r="A937" t="s">
        <v>710</v>
      </c>
      <c r="N937" t="s" cm="1">
        <v>710</v>
      </c>
    </row>
    <row r="938" spans="1:14" ht="15" customHeight="1" x14ac:dyDescent="0.25">
      <c r="A938" t="s">
        <v>710</v>
      </c>
      <c r="N938" t="s" cm="1">
        <v>710</v>
      </c>
    </row>
    <row r="939" spans="1:14" ht="15" customHeight="1" x14ac:dyDescent="0.25">
      <c r="A939" t="s">
        <v>710</v>
      </c>
      <c r="N939" t="s" cm="1">
        <v>710</v>
      </c>
    </row>
    <row r="940" spans="1:14" ht="15" customHeight="1" x14ac:dyDescent="0.25">
      <c r="A940" t="s">
        <v>710</v>
      </c>
      <c r="N940" t="s" cm="1">
        <v>710</v>
      </c>
    </row>
    <row r="941" spans="1:14" ht="15" customHeight="1" x14ac:dyDescent="0.25">
      <c r="A941" t="s">
        <v>710</v>
      </c>
      <c r="N941" t="s" cm="1">
        <v>710</v>
      </c>
    </row>
    <row r="942" spans="1:14" ht="15" customHeight="1" x14ac:dyDescent="0.25">
      <c r="A942" t="s">
        <v>710</v>
      </c>
      <c r="N942" t="s" cm="1">
        <v>710</v>
      </c>
    </row>
    <row r="943" spans="1:14" ht="15" customHeight="1" x14ac:dyDescent="0.25">
      <c r="A943" t="s">
        <v>710</v>
      </c>
      <c r="N943" t="s" cm="1">
        <v>710</v>
      </c>
    </row>
    <row r="944" spans="1:14" ht="15" customHeight="1" x14ac:dyDescent="0.25">
      <c r="A944" t="s">
        <v>710</v>
      </c>
      <c r="N944" t="s" cm="1">
        <v>710</v>
      </c>
    </row>
    <row r="945" spans="1:14" ht="15" customHeight="1" x14ac:dyDescent="0.25">
      <c r="A945" t="s">
        <v>710</v>
      </c>
      <c r="N945" t="s" cm="1">
        <v>710</v>
      </c>
    </row>
    <row r="946" spans="1:14" ht="15" customHeight="1" x14ac:dyDescent="0.25">
      <c r="A946" t="s">
        <v>710</v>
      </c>
      <c r="N946" t="s" cm="1">
        <v>710</v>
      </c>
    </row>
    <row r="947" spans="1:14" ht="15" customHeight="1" x14ac:dyDescent="0.25">
      <c r="A947" t="s">
        <v>710</v>
      </c>
      <c r="N947" t="s" cm="1">
        <v>710</v>
      </c>
    </row>
    <row r="948" spans="1:14" ht="15" customHeight="1" x14ac:dyDescent="0.25">
      <c r="A948" t="s">
        <v>710</v>
      </c>
      <c r="N948" t="s" cm="1">
        <v>710</v>
      </c>
    </row>
    <row r="949" spans="1:14" ht="15" customHeight="1" x14ac:dyDescent="0.25">
      <c r="A949" t="s">
        <v>710</v>
      </c>
      <c r="N949" t="s" cm="1">
        <v>710</v>
      </c>
    </row>
    <row r="950" spans="1:14" ht="15" customHeight="1" x14ac:dyDescent="0.25">
      <c r="A950" t="s">
        <v>710</v>
      </c>
      <c r="N950" t="s" cm="1">
        <v>710</v>
      </c>
    </row>
    <row r="951" spans="1:14" ht="15" customHeight="1" x14ac:dyDescent="0.25">
      <c r="A951" t="s">
        <v>710</v>
      </c>
      <c r="N951" t="s" cm="1">
        <v>710</v>
      </c>
    </row>
    <row r="952" spans="1:14" ht="15" customHeight="1" x14ac:dyDescent="0.25">
      <c r="A952" t="s">
        <v>710</v>
      </c>
      <c r="N952" t="s" cm="1">
        <v>710</v>
      </c>
    </row>
    <row r="953" spans="1:14" ht="15" customHeight="1" x14ac:dyDescent="0.25">
      <c r="A953" t="s">
        <v>710</v>
      </c>
      <c r="N953" t="s" cm="1">
        <v>710</v>
      </c>
    </row>
    <row r="954" spans="1:14" ht="15" customHeight="1" x14ac:dyDescent="0.25">
      <c r="A954" t="s">
        <v>710</v>
      </c>
      <c r="N954" t="s" cm="1">
        <v>710</v>
      </c>
    </row>
    <row r="955" spans="1:14" ht="15" customHeight="1" x14ac:dyDescent="0.25">
      <c r="A955" t="s">
        <v>710</v>
      </c>
      <c r="N955" t="s" cm="1">
        <v>710</v>
      </c>
    </row>
    <row r="956" spans="1:14" ht="15" customHeight="1" x14ac:dyDescent="0.25">
      <c r="A956" t="s">
        <v>710</v>
      </c>
      <c r="N956" t="s" cm="1">
        <v>710</v>
      </c>
    </row>
    <row r="957" spans="1:14" ht="15" customHeight="1" x14ac:dyDescent="0.25">
      <c r="A957" t="s">
        <v>710</v>
      </c>
      <c r="N957" t="s" cm="1">
        <v>710</v>
      </c>
    </row>
    <row r="958" spans="1:14" ht="15" customHeight="1" x14ac:dyDescent="0.25">
      <c r="A958" t="s">
        <v>710</v>
      </c>
      <c r="N958" t="s" cm="1">
        <v>710</v>
      </c>
    </row>
    <row r="959" spans="1:14" ht="15" customHeight="1" x14ac:dyDescent="0.25">
      <c r="A959" t="s">
        <v>710</v>
      </c>
      <c r="N959" t="s" cm="1">
        <v>710</v>
      </c>
    </row>
    <row r="960" spans="1:14" ht="15" customHeight="1" x14ac:dyDescent="0.25">
      <c r="A960" t="s">
        <v>710</v>
      </c>
      <c r="N960" t="s" cm="1">
        <v>710</v>
      </c>
    </row>
    <row r="961" spans="1:14" ht="15" customHeight="1" x14ac:dyDescent="0.25">
      <c r="A961" t="s">
        <v>710</v>
      </c>
      <c r="N961" t="s" cm="1">
        <v>710</v>
      </c>
    </row>
    <row r="962" spans="1:14" ht="15" customHeight="1" x14ac:dyDescent="0.25">
      <c r="A962" t="s">
        <v>710</v>
      </c>
      <c r="N962" t="s" cm="1">
        <v>710</v>
      </c>
    </row>
    <row r="963" spans="1:14" ht="15" customHeight="1" x14ac:dyDescent="0.25">
      <c r="A963" t="s">
        <v>362</v>
      </c>
      <c r="N963" t="s" cm="1">
        <v>362</v>
      </c>
    </row>
    <row r="964" spans="1:14" ht="15" customHeight="1" x14ac:dyDescent="0.25">
      <c r="A964" t="s">
        <v>715</v>
      </c>
      <c r="N964" t="s" cm="1">
        <v>715</v>
      </c>
    </row>
    <row r="965" spans="1:14" ht="15" customHeight="1" x14ac:dyDescent="0.25">
      <c r="A965" t="s">
        <v>732</v>
      </c>
      <c r="N965" t="s" cm="1">
        <v>732</v>
      </c>
    </row>
    <row r="966" spans="1:14" ht="15" customHeight="1" x14ac:dyDescent="0.25">
      <c r="A966" t="s">
        <v>732</v>
      </c>
      <c r="N966" t="s" cm="1">
        <v>732</v>
      </c>
    </row>
    <row r="967" spans="1:14" ht="15" customHeight="1" x14ac:dyDescent="0.25">
      <c r="A967" t="s">
        <v>701</v>
      </c>
      <c r="N967" t="s" cm="1">
        <v>701</v>
      </c>
    </row>
    <row r="968" spans="1:14" ht="15" customHeight="1" x14ac:dyDescent="0.25">
      <c r="A968" t="s">
        <v>713</v>
      </c>
      <c r="N968" t="s" cm="1">
        <v>713</v>
      </c>
    </row>
    <row r="969" spans="1:14" ht="15" customHeight="1" x14ac:dyDescent="0.25">
      <c r="A969" t="s">
        <v>644</v>
      </c>
      <c r="N969" t="s" cm="1">
        <v>644</v>
      </c>
    </row>
    <row r="970" spans="1:14" ht="15" customHeight="1" x14ac:dyDescent="0.25">
      <c r="A970" t="s">
        <v>678</v>
      </c>
      <c r="N970" t="s" cm="1">
        <v>678</v>
      </c>
    </row>
    <row r="971" spans="1:14" ht="15" customHeight="1" x14ac:dyDescent="0.25">
      <c r="A971" t="s">
        <v>554</v>
      </c>
      <c r="N971" t="s" cm="1">
        <v>554</v>
      </c>
    </row>
    <row r="972" spans="1:14" ht="15" customHeight="1" x14ac:dyDescent="0.25">
      <c r="A972" t="s">
        <v>672</v>
      </c>
      <c r="N972" t="s" cm="1">
        <v>672</v>
      </c>
    </row>
    <row r="973" spans="1:14" ht="15" customHeight="1" x14ac:dyDescent="0.25">
      <c r="A973" t="s">
        <v>423</v>
      </c>
      <c r="N973" t="s" cm="1">
        <v>423</v>
      </c>
    </row>
    <row r="974" spans="1:14" ht="15" customHeight="1" x14ac:dyDescent="0.25">
      <c r="A974" t="s">
        <v>533</v>
      </c>
      <c r="N974" t="s" cm="1">
        <v>533</v>
      </c>
    </row>
    <row r="975" spans="1:14" ht="15" customHeight="1" x14ac:dyDescent="0.25">
      <c r="A975" t="s">
        <v>691</v>
      </c>
      <c r="N975" t="s" cm="1">
        <v>691</v>
      </c>
    </row>
    <row r="976" spans="1:14" ht="15" customHeight="1" x14ac:dyDescent="0.25">
      <c r="A976" t="s">
        <v>709</v>
      </c>
      <c r="N976" t="s" cm="1">
        <v>709</v>
      </c>
    </row>
    <row r="977" spans="1:14" ht="15" customHeight="1" x14ac:dyDescent="0.25">
      <c r="A977" t="s">
        <v>590</v>
      </c>
      <c r="N977" t="s" cm="1">
        <v>590</v>
      </c>
    </row>
    <row r="978" spans="1:14" ht="15" customHeight="1" x14ac:dyDescent="0.25">
      <c r="A978" t="s">
        <v>567</v>
      </c>
      <c r="N978" t="s" cm="1">
        <v>567</v>
      </c>
    </row>
    <row r="979" spans="1:14" ht="15" customHeight="1" x14ac:dyDescent="0.25">
      <c r="A979" t="s">
        <v>777</v>
      </c>
      <c r="N979" t="s" cm="1">
        <v>777</v>
      </c>
    </row>
    <row r="980" spans="1:14" ht="15" customHeight="1" x14ac:dyDescent="0.25">
      <c r="A980" t="s">
        <v>777</v>
      </c>
      <c r="N980" t="s" cm="1">
        <v>777</v>
      </c>
    </row>
    <row r="981" spans="1:14" ht="15" customHeight="1" x14ac:dyDescent="0.25">
      <c r="A981" t="s">
        <v>777</v>
      </c>
      <c r="N981" t="s" cm="1">
        <v>777</v>
      </c>
    </row>
    <row r="982" spans="1:14" ht="15" customHeight="1" x14ac:dyDescent="0.25">
      <c r="A982" t="s">
        <v>777</v>
      </c>
      <c r="N982" t="s" cm="1">
        <v>777</v>
      </c>
    </row>
    <row r="983" spans="1:14" ht="15" customHeight="1" x14ac:dyDescent="0.25">
      <c r="A983" t="s">
        <v>732</v>
      </c>
      <c r="N983" t="s" cm="1">
        <v>732</v>
      </c>
    </row>
    <row r="984" spans="1:14" ht="15" customHeight="1" x14ac:dyDescent="0.25">
      <c r="A984" t="s">
        <v>836</v>
      </c>
      <c r="N984" t="s" cm="1">
        <v>836</v>
      </c>
    </row>
    <row r="985" spans="1:14" ht="15" customHeight="1" x14ac:dyDescent="0.25">
      <c r="A985" t="s">
        <v>885</v>
      </c>
      <c r="N985" t="s" cm="1">
        <v>885</v>
      </c>
    </row>
    <row r="986" spans="1:14" ht="15" customHeight="1" x14ac:dyDescent="0.25">
      <c r="A986" t="s">
        <v>885</v>
      </c>
      <c r="N986" t="s" cm="1">
        <v>885</v>
      </c>
    </row>
    <row r="987" spans="1:14" ht="15" customHeight="1" x14ac:dyDescent="0.25">
      <c r="A987" t="s">
        <v>828</v>
      </c>
      <c r="N987" t="s" cm="1">
        <v>828</v>
      </c>
    </row>
    <row r="988" spans="1:14" ht="15" customHeight="1" x14ac:dyDescent="0.25">
      <c r="A988" t="s">
        <v>828</v>
      </c>
      <c r="N988" t="s" cm="1">
        <v>828</v>
      </c>
    </row>
    <row r="989" spans="1:14" ht="15" customHeight="1" x14ac:dyDescent="0.25">
      <c r="A989" t="s">
        <v>898</v>
      </c>
      <c r="N989" t="s" cm="1">
        <v>828</v>
      </c>
    </row>
    <row r="990" spans="1:14" ht="15" customHeight="1" x14ac:dyDescent="0.25">
      <c r="A990" t="s">
        <v>720</v>
      </c>
      <c r="N990" t="s" cm="1">
        <v>715</v>
      </c>
    </row>
    <row r="991" spans="1:14" ht="15" customHeight="1" x14ac:dyDescent="0.25">
      <c r="A991" t="s">
        <v>709</v>
      </c>
      <c r="N991" t="s" cm="1">
        <v>709</v>
      </c>
    </row>
    <row r="992" spans="1:14" ht="15" customHeight="1" x14ac:dyDescent="0.25">
      <c r="A992" t="s">
        <v>313</v>
      </c>
      <c r="N992" t="s" cm="1">
        <v>313</v>
      </c>
    </row>
    <row r="993" spans="1:14" ht="15" customHeight="1" x14ac:dyDescent="0.25">
      <c r="A993" t="s">
        <v>730</v>
      </c>
      <c r="N993" t="s" cm="1">
        <v>715</v>
      </c>
    </row>
    <row r="994" spans="1:14" ht="15" customHeight="1" x14ac:dyDescent="0.25">
      <c r="A994" t="s">
        <v>730</v>
      </c>
      <c r="N994" t="s" cm="1">
        <v>715</v>
      </c>
    </row>
    <row r="995" spans="1:14" ht="15" customHeight="1" x14ac:dyDescent="0.25">
      <c r="A995" t="s">
        <v>730</v>
      </c>
      <c r="N995" t="s" cm="1">
        <v>715</v>
      </c>
    </row>
    <row r="996" spans="1:14" ht="15" customHeight="1" x14ac:dyDescent="0.25">
      <c r="A996" t="s">
        <v>730</v>
      </c>
      <c r="N996" t="s" cm="1">
        <v>715</v>
      </c>
    </row>
    <row r="997" spans="1:14" ht="15" customHeight="1" x14ac:dyDescent="0.25">
      <c r="A997" t="s">
        <v>730</v>
      </c>
      <c r="N997" t="s" cm="1">
        <v>715</v>
      </c>
    </row>
    <row r="998" spans="1:14" ht="15" customHeight="1" x14ac:dyDescent="0.25">
      <c r="A998" t="s">
        <v>730</v>
      </c>
      <c r="N998" t="s" cm="1">
        <v>715</v>
      </c>
    </row>
    <row r="999" spans="1:14" ht="15" customHeight="1" x14ac:dyDescent="0.25">
      <c r="A999" t="s">
        <v>730</v>
      </c>
      <c r="N999" t="s" cm="1">
        <v>715</v>
      </c>
    </row>
    <row r="1000" spans="1:14" ht="15" customHeight="1" x14ac:dyDescent="0.25">
      <c r="A1000" t="s">
        <v>730</v>
      </c>
      <c r="N1000" t="s" cm="1">
        <v>715</v>
      </c>
    </row>
    <row r="1001" spans="1:14" ht="15" customHeight="1" x14ac:dyDescent="0.25">
      <c r="A1001" t="s">
        <v>730</v>
      </c>
      <c r="N1001" t="s" cm="1">
        <v>715</v>
      </c>
    </row>
    <row r="1002" spans="1:14" ht="15" customHeight="1" x14ac:dyDescent="0.25">
      <c r="A1002" t="s">
        <v>730</v>
      </c>
      <c r="N1002" t="s" cm="1">
        <v>715</v>
      </c>
    </row>
    <row r="1003" spans="1:14" ht="15" customHeight="1" x14ac:dyDescent="0.25">
      <c r="A1003" t="s">
        <v>730</v>
      </c>
      <c r="N1003" t="s" cm="1">
        <v>715</v>
      </c>
    </row>
    <row r="1004" spans="1:14" ht="15" customHeight="1" x14ac:dyDescent="0.25">
      <c r="A1004" t="s">
        <v>730</v>
      </c>
      <c r="N1004" t="s" cm="1">
        <v>715</v>
      </c>
    </row>
    <row r="1005" spans="1:14" ht="15" customHeight="1" x14ac:dyDescent="0.25">
      <c r="A1005" t="s">
        <v>730</v>
      </c>
      <c r="N1005" t="s" cm="1">
        <v>715</v>
      </c>
    </row>
    <row r="1006" spans="1:14" ht="15" customHeight="1" x14ac:dyDescent="0.25">
      <c r="A1006" t="s">
        <v>666</v>
      </c>
      <c r="N1006" t="s" cm="1">
        <v>666</v>
      </c>
    </row>
    <row r="1007" spans="1:14" ht="15" customHeight="1" x14ac:dyDescent="0.25">
      <c r="A1007" t="s">
        <v>714</v>
      </c>
      <c r="N1007" t="s" cm="1">
        <v>714</v>
      </c>
    </row>
    <row r="1008" spans="1:14" ht="15" customHeight="1" x14ac:dyDescent="0.25">
      <c r="A1008" t="s">
        <v>714</v>
      </c>
      <c r="N1008" t="s" cm="1">
        <v>714</v>
      </c>
    </row>
    <row r="1009" spans="1:14" ht="15" customHeight="1" x14ac:dyDescent="0.25">
      <c r="A1009" t="s">
        <v>714</v>
      </c>
      <c r="N1009" t="s" cm="1">
        <v>714</v>
      </c>
    </row>
    <row r="1010" spans="1:14" ht="15" customHeight="1" x14ac:dyDescent="0.25">
      <c r="A1010" t="s">
        <v>714</v>
      </c>
      <c r="N1010" t="s" cm="1">
        <v>714</v>
      </c>
    </row>
    <row r="1011" spans="1:14" ht="15" customHeight="1" x14ac:dyDescent="0.25">
      <c r="A1011" t="s">
        <v>714</v>
      </c>
      <c r="N1011" t="s" cm="1">
        <v>714</v>
      </c>
    </row>
    <row r="1012" spans="1:14" ht="15" customHeight="1" x14ac:dyDescent="0.25">
      <c r="A1012" t="s">
        <v>714</v>
      </c>
      <c r="N1012" t="s" cm="1">
        <v>714</v>
      </c>
    </row>
    <row r="1013" spans="1:14" ht="15" customHeight="1" x14ac:dyDescent="0.25">
      <c r="A1013" t="s">
        <v>714</v>
      </c>
      <c r="N1013" t="s" cm="1">
        <v>714</v>
      </c>
    </row>
    <row r="1014" spans="1:14" ht="15" customHeight="1" x14ac:dyDescent="0.25">
      <c r="A1014" t="s">
        <v>718</v>
      </c>
      <c r="N1014" t="s" cm="1">
        <v>537</v>
      </c>
    </row>
    <row r="1015" spans="1:14" ht="15" customHeight="1" x14ac:dyDescent="0.25">
      <c r="A1015" t="s">
        <v>719</v>
      </c>
      <c r="N1015" t="s" cm="1">
        <v>317</v>
      </c>
    </row>
    <row r="1016" spans="1:14" ht="15" customHeight="1" x14ac:dyDescent="0.25">
      <c r="A1016" t="s">
        <v>617</v>
      </c>
      <c r="N1016" t="s" cm="1">
        <v>501</v>
      </c>
    </row>
    <row r="1017" spans="1:14" ht="15" customHeight="1" x14ac:dyDescent="0.25">
      <c r="A1017" t="s">
        <v>426</v>
      </c>
      <c r="N1017" t="s" cm="1">
        <v>426</v>
      </c>
    </row>
    <row r="1018" spans="1:14" ht="15" customHeight="1" x14ac:dyDescent="0.25">
      <c r="A1018" t="s">
        <v>466</v>
      </c>
      <c r="N1018" t="s" cm="1">
        <v>466</v>
      </c>
    </row>
    <row r="1019" spans="1:14" ht="15" customHeight="1" x14ac:dyDescent="0.25">
      <c r="A1019" t="s">
        <v>699</v>
      </c>
      <c r="N1019" t="s" cm="1">
        <v>699</v>
      </c>
    </row>
    <row r="1020" spans="1:14" ht="15" customHeight="1" x14ac:dyDescent="0.25">
      <c r="A1020" t="s">
        <v>395</v>
      </c>
      <c r="N1020" t="s" cm="1">
        <v>317</v>
      </c>
    </row>
    <row r="1021" spans="1:14" ht="15" customHeight="1" x14ac:dyDescent="0.25">
      <c r="A1021" t="s">
        <v>715</v>
      </c>
      <c r="N1021" t="s" cm="1">
        <v>715</v>
      </c>
    </row>
    <row r="1022" spans="1:14" ht="15" customHeight="1" x14ac:dyDescent="0.25">
      <c r="A1022" t="s">
        <v>332</v>
      </c>
      <c r="N1022" t="s" cm="1">
        <v>649</v>
      </c>
    </row>
    <row r="1023" spans="1:14" ht="15" customHeight="1" x14ac:dyDescent="0.25">
      <c r="A1023" t="s">
        <v>462</v>
      </c>
      <c r="N1023" t="s" cm="1">
        <v>462</v>
      </c>
    </row>
    <row r="1024" spans="1:14" ht="15" customHeight="1" x14ac:dyDescent="0.25">
      <c r="A1024" t="s">
        <v>684</v>
      </c>
      <c r="N1024" t="s" cm="1">
        <v>684</v>
      </c>
    </row>
    <row r="1025" spans="1:14" ht="15" customHeight="1" x14ac:dyDescent="0.25">
      <c r="A1025" t="s">
        <v>715</v>
      </c>
      <c r="N1025" t="s" cm="1">
        <v>715</v>
      </c>
    </row>
    <row r="1026" spans="1:14" ht="15" customHeight="1" x14ac:dyDescent="0.25">
      <c r="A1026" t="s">
        <v>715</v>
      </c>
      <c r="N1026" t="s" cm="1">
        <v>715</v>
      </c>
    </row>
    <row r="1027" spans="1:14" ht="15" customHeight="1" x14ac:dyDescent="0.25">
      <c r="A1027" t="s">
        <v>715</v>
      </c>
      <c r="N1027" t="s" cm="1">
        <v>715</v>
      </c>
    </row>
    <row r="1028" spans="1:14" ht="15" customHeight="1" x14ac:dyDescent="0.25">
      <c r="A1028" t="s">
        <v>715</v>
      </c>
      <c r="N1028" t="s" cm="1">
        <v>715</v>
      </c>
    </row>
    <row r="1029" spans="1:14" ht="15" customHeight="1" x14ac:dyDescent="0.25">
      <c r="A1029" t="s">
        <v>715</v>
      </c>
      <c r="N1029" t="s" cm="1">
        <v>715</v>
      </c>
    </row>
    <row r="1030" spans="1:14" ht="15" customHeight="1" x14ac:dyDescent="0.25">
      <c r="A1030" t="s">
        <v>715</v>
      </c>
      <c r="N1030" t="s" cm="1">
        <v>715</v>
      </c>
    </row>
    <row r="1031" spans="1:14" ht="15" customHeight="1" x14ac:dyDescent="0.25">
      <c r="A1031" t="s">
        <v>715</v>
      </c>
      <c r="N1031" t="s" cm="1">
        <v>715</v>
      </c>
    </row>
    <row r="1032" spans="1:14" ht="15" customHeight="1" x14ac:dyDescent="0.25">
      <c r="A1032" t="s">
        <v>715</v>
      </c>
      <c r="N1032" t="s" cm="1">
        <v>715</v>
      </c>
    </row>
    <row r="1033" spans="1:14" ht="15" customHeight="1" x14ac:dyDescent="0.25">
      <c r="A1033" t="s">
        <v>703</v>
      </c>
      <c r="N1033" t="s" cm="1">
        <v>666</v>
      </c>
    </row>
    <row r="1034" spans="1:14" ht="15" customHeight="1" x14ac:dyDescent="0.25">
      <c r="A1034" t="s">
        <v>349</v>
      </c>
      <c r="N1034" t="s" cm="1">
        <v>557</v>
      </c>
    </row>
    <row r="1035" spans="1:14" ht="15" customHeight="1" x14ac:dyDescent="0.25">
      <c r="A1035" t="s">
        <v>666</v>
      </c>
      <c r="N1035" t="s" cm="1">
        <v>666</v>
      </c>
    </row>
    <row r="1036" spans="1:14" ht="15" customHeight="1" x14ac:dyDescent="0.25">
      <c r="A1036" t="s">
        <v>914</v>
      </c>
      <c r="N1036" t="s" cm="1">
        <v>914</v>
      </c>
    </row>
    <row r="1037" spans="1:14" ht="15" customHeight="1" x14ac:dyDescent="0.25">
      <c r="A1037" t="s">
        <v>732</v>
      </c>
      <c r="N1037" t="s" cm="1">
        <v>732</v>
      </c>
    </row>
    <row r="1038" spans="1:14" ht="15" customHeight="1" x14ac:dyDescent="0.25">
      <c r="A1038" t="s">
        <v>715</v>
      </c>
      <c r="N1038" t="s" cm="1">
        <v>715</v>
      </c>
    </row>
    <row r="1039" spans="1:14" ht="15" customHeight="1" x14ac:dyDescent="0.25">
      <c r="A1039" t="s">
        <v>715</v>
      </c>
      <c r="N1039" t="s" cm="1">
        <v>715</v>
      </c>
    </row>
    <row r="1040" spans="1:14" ht="15" customHeight="1" x14ac:dyDescent="0.25">
      <c r="A1040" t="s">
        <v>715</v>
      </c>
      <c r="N1040" t="s" cm="1">
        <v>715</v>
      </c>
    </row>
    <row r="1041" spans="1:14" ht="15" customHeight="1" x14ac:dyDescent="0.25">
      <c r="A1041" t="s">
        <v>715</v>
      </c>
      <c r="N1041" t="s" cm="1">
        <v>715</v>
      </c>
    </row>
    <row r="1042" spans="1:14" ht="15" customHeight="1" x14ac:dyDescent="0.25">
      <c r="A1042" t="s">
        <v>715</v>
      </c>
      <c r="N1042" t="s" cm="1">
        <v>715</v>
      </c>
    </row>
    <row r="1043" spans="1:14" ht="15" customHeight="1" x14ac:dyDescent="0.25">
      <c r="A1043" t="s">
        <v>715</v>
      </c>
      <c r="N1043" t="s" cm="1">
        <v>715</v>
      </c>
    </row>
    <row r="1044" spans="1:14" ht="15" customHeight="1" x14ac:dyDescent="0.25">
      <c r="A1044" t="s">
        <v>715</v>
      </c>
      <c r="N1044" t="s" cm="1">
        <v>715</v>
      </c>
    </row>
    <row r="1045" spans="1:14" ht="15" customHeight="1" x14ac:dyDescent="0.25">
      <c r="A1045" t="s">
        <v>715</v>
      </c>
      <c r="N1045" t="s" cm="1">
        <v>715</v>
      </c>
    </row>
    <row r="1046" spans="1:14" ht="15" customHeight="1" x14ac:dyDescent="0.25">
      <c r="A1046" t="s">
        <v>715</v>
      </c>
      <c r="N1046" t="s" cm="1">
        <v>715</v>
      </c>
    </row>
    <row r="1047" spans="1:14" ht="15" customHeight="1" x14ac:dyDescent="0.25">
      <c r="A1047" t="s">
        <v>715</v>
      </c>
      <c r="N1047" t="s" cm="1">
        <v>715</v>
      </c>
    </row>
    <row r="1048" spans="1:14" ht="15" customHeight="1" x14ac:dyDescent="0.25">
      <c r="A1048" t="s">
        <v>715</v>
      </c>
      <c r="N1048" t="s" cm="1">
        <v>715</v>
      </c>
    </row>
    <row r="1049" spans="1:14" ht="15" customHeight="1" x14ac:dyDescent="0.25">
      <c r="A1049" t="s">
        <v>715</v>
      </c>
      <c r="N1049" t="s" cm="1">
        <v>715</v>
      </c>
    </row>
    <row r="1050" spans="1:14" ht="15" customHeight="1" x14ac:dyDescent="0.25">
      <c r="A1050" t="s">
        <v>715</v>
      </c>
      <c r="N1050" t="s" cm="1">
        <v>715</v>
      </c>
    </row>
    <row r="1051" spans="1:14" ht="15" customHeight="1" x14ac:dyDescent="0.25">
      <c r="A1051" t="s">
        <v>715</v>
      </c>
      <c r="N1051" t="s" cm="1">
        <v>715</v>
      </c>
    </row>
    <row r="1052" spans="1:14" ht="15" customHeight="1" x14ac:dyDescent="0.25">
      <c r="A1052" t="s">
        <v>715</v>
      </c>
      <c r="N1052" t="s" cm="1">
        <v>715</v>
      </c>
    </row>
    <row r="1053" spans="1:14" ht="15" customHeight="1" x14ac:dyDescent="0.25">
      <c r="A1053" t="s">
        <v>715</v>
      </c>
      <c r="N1053" t="s" cm="1">
        <v>715</v>
      </c>
    </row>
    <row r="1054" spans="1:14" ht="15" customHeight="1" x14ac:dyDescent="0.25">
      <c r="A1054" t="s">
        <v>715</v>
      </c>
      <c r="N1054" t="s" cm="1">
        <v>715</v>
      </c>
    </row>
    <row r="1055" spans="1:14" ht="15" customHeight="1" x14ac:dyDescent="0.25">
      <c r="A1055" t="s">
        <v>715</v>
      </c>
      <c r="N1055" t="s" cm="1">
        <v>715</v>
      </c>
    </row>
    <row r="1056" spans="1:14" ht="15" customHeight="1" x14ac:dyDescent="0.25">
      <c r="A1056" t="s">
        <v>715</v>
      </c>
      <c r="N1056" t="s" cm="1">
        <v>715</v>
      </c>
    </row>
    <row r="1057" spans="1:14" ht="15" customHeight="1" x14ac:dyDescent="0.25">
      <c r="A1057" t="s">
        <v>715</v>
      </c>
      <c r="N1057" t="s" cm="1">
        <v>715</v>
      </c>
    </row>
    <row r="1058" spans="1:14" ht="15" customHeight="1" x14ac:dyDescent="0.25">
      <c r="A1058" t="s">
        <v>715</v>
      </c>
      <c r="N1058" t="s" cm="1">
        <v>715</v>
      </c>
    </row>
    <row r="1059" spans="1:14" ht="15" customHeight="1" x14ac:dyDescent="0.25">
      <c r="A1059" t="s">
        <v>715</v>
      </c>
      <c r="N1059" t="s" cm="1">
        <v>715</v>
      </c>
    </row>
    <row r="1060" spans="1:14" ht="15" customHeight="1" x14ac:dyDescent="0.25">
      <c r="A1060" t="s">
        <v>715</v>
      </c>
      <c r="N1060" t="s" cm="1">
        <v>715</v>
      </c>
    </row>
    <row r="1061" spans="1:14" ht="15" customHeight="1" x14ac:dyDescent="0.25">
      <c r="A1061" t="s">
        <v>715</v>
      </c>
      <c r="N1061" t="s" cm="1">
        <v>715</v>
      </c>
    </row>
    <row r="1062" spans="1:14" ht="15" customHeight="1" x14ac:dyDescent="0.25">
      <c r="A1062" t="s">
        <v>715</v>
      </c>
      <c r="N1062" t="s" cm="1">
        <v>715</v>
      </c>
    </row>
    <row r="1063" spans="1:14" ht="15" customHeight="1" x14ac:dyDescent="0.25">
      <c r="A1063" t="s">
        <v>715</v>
      </c>
      <c r="N1063" t="s" cm="1">
        <v>715</v>
      </c>
    </row>
    <row r="1064" spans="1:14" ht="15" customHeight="1" x14ac:dyDescent="0.25">
      <c r="A1064" t="s">
        <v>678</v>
      </c>
      <c r="N1064" t="s" cm="1">
        <v>678</v>
      </c>
    </row>
    <row r="1065" spans="1:14" ht="15" customHeight="1" x14ac:dyDescent="0.25">
      <c r="A1065" t="s">
        <v>951</v>
      </c>
      <c r="N1065" t="s" cm="1">
        <v>951</v>
      </c>
    </row>
    <row r="1066" spans="1:14" ht="15" customHeight="1" x14ac:dyDescent="0.25">
      <c r="A1066" t="s">
        <v>957</v>
      </c>
      <c r="N1066" t="s" cm="1">
        <v>957</v>
      </c>
    </row>
    <row r="1067" spans="1:14" ht="15" customHeight="1" x14ac:dyDescent="0.25">
      <c r="A1067" t="s">
        <v>691</v>
      </c>
      <c r="N1067" t="s" cm="1">
        <v>691</v>
      </c>
    </row>
    <row r="1068" spans="1:14" ht="15" customHeight="1" x14ac:dyDescent="0.25">
      <c r="A1068" t="s">
        <v>644</v>
      </c>
      <c r="N1068" t="s" cm="1">
        <v>644</v>
      </c>
    </row>
    <row r="1069" spans="1:14" ht="15" customHeight="1" x14ac:dyDescent="0.25">
      <c r="A1069" t="s">
        <v>692</v>
      </c>
      <c r="N1069" t="s" cm="1">
        <v>692</v>
      </c>
    </row>
    <row r="1070" spans="1:14" ht="15" customHeight="1" x14ac:dyDescent="0.25">
      <c r="A1070" t="s">
        <v>732</v>
      </c>
      <c r="N1070" t="s" cm="1">
        <v>732</v>
      </c>
    </row>
    <row r="1071" spans="1:14" ht="15" customHeight="1" x14ac:dyDescent="0.25">
      <c r="A1071" t="s">
        <v>563</v>
      </c>
      <c r="N1071" t="s" cm="1">
        <v>563</v>
      </c>
    </row>
    <row r="1072" spans="1:14" ht="15" customHeight="1" x14ac:dyDescent="0.25">
      <c r="A1072" t="s">
        <v>615</v>
      </c>
      <c r="N1072" t="s" cm="1">
        <v>615</v>
      </c>
    </row>
    <row r="1073" spans="1:14" ht="15" customHeight="1" x14ac:dyDescent="0.25">
      <c r="A1073" t="s">
        <v>419</v>
      </c>
      <c r="N1073" t="s" cm="1">
        <v>419</v>
      </c>
    </row>
    <row r="1074" spans="1:14" ht="15" customHeight="1" x14ac:dyDescent="0.25">
      <c r="A1074" t="s">
        <v>382</v>
      </c>
      <c r="N1074" t="s" cm="1">
        <v>382</v>
      </c>
    </row>
    <row r="1075" spans="1:14" ht="15" customHeight="1" x14ac:dyDescent="0.25">
      <c r="A1075" t="s">
        <v>691</v>
      </c>
      <c r="N1075" t="s" cm="1">
        <v>691</v>
      </c>
    </row>
    <row r="1076" spans="1:14" ht="15" customHeight="1" x14ac:dyDescent="0.25">
      <c r="A1076" t="s">
        <v>570</v>
      </c>
      <c r="N1076" t="s" cm="1">
        <v>570</v>
      </c>
    </row>
    <row r="1077" spans="1:14" ht="15" customHeight="1" x14ac:dyDescent="0.25">
      <c r="A1077" t="s">
        <v>541</v>
      </c>
      <c r="N1077" t="s" cm="1">
        <v>541</v>
      </c>
    </row>
    <row r="1078" spans="1:14" ht="15" customHeight="1" x14ac:dyDescent="0.25">
      <c r="A1078" t="s">
        <v>778</v>
      </c>
      <c r="N1078" t="s" cm="1">
        <v>778</v>
      </c>
    </row>
    <row r="1079" spans="1:14" ht="15" customHeight="1" x14ac:dyDescent="0.25">
      <c r="A1079" t="s">
        <v>778</v>
      </c>
      <c r="N1079" t="s" cm="1">
        <v>778</v>
      </c>
    </row>
    <row r="1080" spans="1:14" ht="15" customHeight="1" x14ac:dyDescent="0.25">
      <c r="A1080" t="s">
        <v>778</v>
      </c>
      <c r="N1080" t="s" cm="1">
        <v>778</v>
      </c>
    </row>
    <row r="1081" spans="1:14" ht="15" customHeight="1" x14ac:dyDescent="0.25">
      <c r="A1081" t="s">
        <v>778</v>
      </c>
      <c r="N1081" t="s" cm="1">
        <v>778</v>
      </c>
    </row>
    <row r="1082" spans="1:14" ht="15" customHeight="1" x14ac:dyDescent="0.25">
      <c r="A1082" t="s">
        <v>824</v>
      </c>
      <c r="N1082" t="s" cm="1">
        <v>824</v>
      </c>
    </row>
    <row r="1083" spans="1:14" ht="15" customHeight="1" x14ac:dyDescent="0.25">
      <c r="A1083" t="s">
        <v>836</v>
      </c>
      <c r="N1083" t="s" cm="1">
        <v>836</v>
      </c>
    </row>
    <row r="1084" spans="1:14" ht="15" customHeight="1" x14ac:dyDescent="0.25">
      <c r="A1084" t="s">
        <v>648</v>
      </c>
      <c r="N1084" t="s" cm="1">
        <v>648</v>
      </c>
    </row>
    <row r="1085" spans="1:14" ht="15" customHeight="1" x14ac:dyDescent="0.25">
      <c r="A1085" t="s">
        <v>648</v>
      </c>
      <c r="N1085" t="s" cm="1">
        <v>648</v>
      </c>
    </row>
    <row r="1086" spans="1:14" ht="15" customHeight="1" x14ac:dyDescent="0.25">
      <c r="A1086" t="s">
        <v>899</v>
      </c>
      <c r="N1086" t="s" cm="1">
        <v>715</v>
      </c>
    </row>
    <row r="1087" spans="1:14" ht="15" customHeight="1" x14ac:dyDescent="0.25">
      <c r="A1087" t="s">
        <v>665</v>
      </c>
      <c r="N1087" t="s" cm="1">
        <v>715</v>
      </c>
    </row>
    <row r="1088" spans="1:14" ht="15" customHeight="1" x14ac:dyDescent="0.25">
      <c r="A1088" t="s">
        <v>732</v>
      </c>
      <c r="N1088" t="s" cm="1">
        <v>732</v>
      </c>
    </row>
    <row r="1089" spans="1:14" ht="15" customHeight="1" x14ac:dyDescent="0.25">
      <c r="A1089" t="s">
        <v>709</v>
      </c>
      <c r="N1089" t="s" cm="1">
        <v>709</v>
      </c>
    </row>
    <row r="1090" spans="1:14" ht="15" customHeight="1" x14ac:dyDescent="0.25">
      <c r="A1090" t="s">
        <v>715</v>
      </c>
      <c r="N1090" t="s" cm="1">
        <v>715</v>
      </c>
    </row>
    <row r="1091" spans="1:14" ht="15" customHeight="1" x14ac:dyDescent="0.25">
      <c r="A1091" t="s">
        <v>715</v>
      </c>
      <c r="N1091" t="s" cm="1">
        <v>715</v>
      </c>
    </row>
    <row r="1092" spans="1:14" ht="15" customHeight="1" x14ac:dyDescent="0.25">
      <c r="A1092" t="s">
        <v>715</v>
      </c>
      <c r="N1092" t="s" cm="1">
        <v>715</v>
      </c>
    </row>
    <row r="1093" spans="1:14" ht="15" customHeight="1" x14ac:dyDescent="0.25">
      <c r="A1093" t="s">
        <v>715</v>
      </c>
      <c r="N1093" t="s" cm="1">
        <v>715</v>
      </c>
    </row>
    <row r="1094" spans="1:14" ht="15" customHeight="1" x14ac:dyDescent="0.25">
      <c r="A1094" t="s">
        <v>715</v>
      </c>
      <c r="N1094" t="s" cm="1">
        <v>715</v>
      </c>
    </row>
    <row r="1095" spans="1:14" ht="15" customHeight="1" x14ac:dyDescent="0.25">
      <c r="A1095" t="s">
        <v>715</v>
      </c>
      <c r="N1095" t="s" cm="1">
        <v>715</v>
      </c>
    </row>
    <row r="1096" spans="1:14" ht="15" customHeight="1" x14ac:dyDescent="0.25">
      <c r="A1096" t="s">
        <v>715</v>
      </c>
      <c r="N1096" t="s" cm="1">
        <v>715</v>
      </c>
    </row>
    <row r="1097" spans="1:14" ht="15" customHeight="1" x14ac:dyDescent="0.25">
      <c r="A1097" t="s">
        <v>715</v>
      </c>
      <c r="N1097" t="s" cm="1">
        <v>715</v>
      </c>
    </row>
    <row r="1098" spans="1:14" ht="15" customHeight="1" x14ac:dyDescent="0.25">
      <c r="A1098" t="s">
        <v>715</v>
      </c>
      <c r="N1098" t="s" cm="1">
        <v>715</v>
      </c>
    </row>
    <row r="1099" spans="1:14" ht="15" customHeight="1" x14ac:dyDescent="0.25">
      <c r="A1099" t="s">
        <v>715</v>
      </c>
      <c r="N1099" t="s" cm="1">
        <v>715</v>
      </c>
    </row>
    <row r="1100" spans="1:14" ht="15" customHeight="1" x14ac:dyDescent="0.25">
      <c r="A1100" t="s">
        <v>715</v>
      </c>
      <c r="N1100" t="s" cm="1">
        <v>715</v>
      </c>
    </row>
    <row r="1101" spans="1:14" ht="15" customHeight="1" x14ac:dyDescent="0.25">
      <c r="A1101" t="s">
        <v>715</v>
      </c>
      <c r="N1101" t="s" cm="1">
        <v>715</v>
      </c>
    </row>
    <row r="1102" spans="1:14" ht="15" customHeight="1" x14ac:dyDescent="0.25">
      <c r="A1102" t="s">
        <v>715</v>
      </c>
      <c r="N1102" t="s" cm="1">
        <v>715</v>
      </c>
    </row>
    <row r="1103" spans="1:14" ht="15" customHeight="1" x14ac:dyDescent="0.25">
      <c r="A1103" t="s">
        <v>715</v>
      </c>
      <c r="N1103" t="s" cm="1">
        <v>715</v>
      </c>
    </row>
    <row r="1104" spans="1:14" ht="15" customHeight="1" x14ac:dyDescent="0.25">
      <c r="A1104" t="s">
        <v>727</v>
      </c>
      <c r="N1104" t="s" cm="1">
        <v>715</v>
      </c>
    </row>
    <row r="1105" spans="1:14" ht="15" customHeight="1" x14ac:dyDescent="0.25">
      <c r="A1105" t="s">
        <v>727</v>
      </c>
      <c r="N1105" t="s" cm="1">
        <v>715</v>
      </c>
    </row>
    <row r="1106" spans="1:14" ht="15" customHeight="1" x14ac:dyDescent="0.25">
      <c r="A1106" t="s">
        <v>727</v>
      </c>
      <c r="N1106" t="s" cm="1">
        <v>715</v>
      </c>
    </row>
    <row r="1107" spans="1:14" ht="15" customHeight="1" x14ac:dyDescent="0.25">
      <c r="A1107" t="s">
        <v>727</v>
      </c>
      <c r="N1107" t="s" cm="1">
        <v>715</v>
      </c>
    </row>
    <row r="1108" spans="1:14" ht="15" customHeight="1" x14ac:dyDescent="0.25">
      <c r="A1108" t="s">
        <v>727</v>
      </c>
      <c r="N1108" t="s" cm="1">
        <v>715</v>
      </c>
    </row>
    <row r="1109" spans="1:14" ht="15" customHeight="1" x14ac:dyDescent="0.25">
      <c r="A1109" t="s">
        <v>727</v>
      </c>
      <c r="N1109" t="s" cm="1">
        <v>715</v>
      </c>
    </row>
    <row r="1110" spans="1:14" ht="15" customHeight="1" x14ac:dyDescent="0.25">
      <c r="A1110" t="s">
        <v>727</v>
      </c>
      <c r="N1110" t="s" cm="1">
        <v>715</v>
      </c>
    </row>
    <row r="1111" spans="1:14" ht="15" customHeight="1" x14ac:dyDescent="0.25">
      <c r="A1111" t="s">
        <v>582</v>
      </c>
      <c r="N1111" t="s" cm="1">
        <v>582</v>
      </c>
    </row>
    <row r="1112" spans="1:14" ht="15" customHeight="1" x14ac:dyDescent="0.25">
      <c r="A1112" t="s">
        <v>398</v>
      </c>
      <c r="N1112" t="s" cm="1">
        <v>338</v>
      </c>
    </row>
    <row r="1113" spans="1:14" ht="15" customHeight="1" x14ac:dyDescent="0.25">
      <c r="A1113" t="s">
        <v>506</v>
      </c>
      <c r="N1113" t="s" cm="1">
        <v>506</v>
      </c>
    </row>
    <row r="1114" spans="1:14" ht="15" customHeight="1" x14ac:dyDescent="0.25">
      <c r="A1114" t="s">
        <v>320</v>
      </c>
      <c r="N1114" t="s" cm="1">
        <v>320</v>
      </c>
    </row>
    <row r="1115" spans="1:14" ht="15" customHeight="1" x14ac:dyDescent="0.25">
      <c r="A1115" t="s">
        <v>394</v>
      </c>
      <c r="N1115" t="s" cm="1">
        <v>394</v>
      </c>
    </row>
    <row r="1116" spans="1:14" ht="15" customHeight="1" x14ac:dyDescent="0.25">
      <c r="A1116" t="s">
        <v>699</v>
      </c>
      <c r="N1116" t="s" cm="1">
        <v>699</v>
      </c>
    </row>
    <row r="1117" spans="1:14" ht="15" customHeight="1" x14ac:dyDescent="0.25">
      <c r="A1117" t="s">
        <v>304</v>
      </c>
      <c r="N1117" t="s" cm="1">
        <v>304</v>
      </c>
    </row>
    <row r="1118" spans="1:14" ht="15" customHeight="1" x14ac:dyDescent="0.25">
      <c r="A1118" t="s">
        <v>582</v>
      </c>
      <c r="N1118" t="s" cm="1">
        <v>582</v>
      </c>
    </row>
    <row r="1119" spans="1:14" ht="15" customHeight="1" x14ac:dyDescent="0.25">
      <c r="A1119" t="s">
        <v>732</v>
      </c>
      <c r="N1119" t="s" cm="1">
        <v>732</v>
      </c>
    </row>
    <row r="1120" spans="1:14" ht="15" customHeight="1" x14ac:dyDescent="0.25">
      <c r="A1120" t="s">
        <v>381</v>
      </c>
      <c r="N1120" t="s" cm="1">
        <v>666</v>
      </c>
    </row>
    <row r="1121" spans="1:14" ht="15" customHeight="1" x14ac:dyDescent="0.25">
      <c r="A1121" t="s">
        <v>589</v>
      </c>
      <c r="N1121" t="s" cm="1">
        <v>461</v>
      </c>
    </row>
    <row r="1122" spans="1:14" ht="15" customHeight="1" x14ac:dyDescent="0.25">
      <c r="A1122" t="s">
        <v>915</v>
      </c>
      <c r="N1122" t="s" cm="1">
        <v>915</v>
      </c>
    </row>
    <row r="1123" spans="1:14" ht="15" customHeight="1" x14ac:dyDescent="0.25">
      <c r="A1123" t="s">
        <v>921</v>
      </c>
      <c r="N1123" t="s" cm="1">
        <v>715</v>
      </c>
    </row>
    <row r="1124" spans="1:14" ht="15" customHeight="1" x14ac:dyDescent="0.25">
      <c r="A1124" t="s">
        <v>715</v>
      </c>
      <c r="N1124" t="s" cm="1">
        <v>715</v>
      </c>
    </row>
    <row r="1125" spans="1:14" ht="15" customHeight="1" x14ac:dyDescent="0.25">
      <c r="A1125" t="s">
        <v>958</v>
      </c>
      <c r="N1125" t="s" cm="1">
        <v>715</v>
      </c>
    </row>
    <row r="1126" spans="1:14" ht="15" customHeight="1" x14ac:dyDescent="0.25">
      <c r="A1126" t="s">
        <v>715</v>
      </c>
      <c r="N1126" t="s" cm="1">
        <v>715</v>
      </c>
    </row>
    <row r="1127" spans="1:14" ht="15" customHeight="1" x14ac:dyDescent="0.25">
      <c r="A1127" t="s">
        <v>659</v>
      </c>
      <c r="N1127" t="s" cm="1">
        <v>659</v>
      </c>
    </row>
    <row r="1128" spans="1:14" ht="15" customHeight="1" x14ac:dyDescent="0.25">
      <c r="A1128" t="s">
        <v>558</v>
      </c>
      <c r="N1128" t="s" cm="1">
        <v>558</v>
      </c>
    </row>
    <row r="1129" spans="1:14" ht="15" customHeight="1" x14ac:dyDescent="0.25">
      <c r="A1129" t="s">
        <v>616</v>
      </c>
      <c r="N1129" t="s" cm="1">
        <v>616</v>
      </c>
    </row>
    <row r="1130" spans="1:14" ht="15" customHeight="1" x14ac:dyDescent="0.25">
      <c r="A1130" t="s">
        <v>692</v>
      </c>
      <c r="N1130" t="s" cm="1">
        <v>692</v>
      </c>
    </row>
    <row r="1131" spans="1:14" ht="15" customHeight="1" x14ac:dyDescent="0.25">
      <c r="A1131" t="s">
        <v>732</v>
      </c>
      <c r="N1131" t="s" cm="1">
        <v>732</v>
      </c>
    </row>
    <row r="1132" spans="1:14" ht="15" customHeight="1" x14ac:dyDescent="0.25">
      <c r="A1132" t="s">
        <v>715</v>
      </c>
      <c r="N1132" t="s" cm="1">
        <v>715</v>
      </c>
    </row>
    <row r="1133" spans="1:14" ht="15" customHeight="1" x14ac:dyDescent="0.25">
      <c r="A1133" t="s">
        <v>656</v>
      </c>
      <c r="N1133" t="s" cm="1">
        <v>656</v>
      </c>
    </row>
    <row r="1134" spans="1:14" ht="15" customHeight="1" x14ac:dyDescent="0.25">
      <c r="A1134" t="s">
        <v>318</v>
      </c>
      <c r="N1134" t="s" cm="1">
        <v>318</v>
      </c>
    </row>
    <row r="1135" spans="1:14" ht="15" customHeight="1" x14ac:dyDescent="0.25">
      <c r="A1135" t="s">
        <v>779</v>
      </c>
      <c r="N1135" t="s" cm="1">
        <v>779</v>
      </c>
    </row>
    <row r="1136" spans="1:14" ht="15" customHeight="1" x14ac:dyDescent="0.25">
      <c r="A1136" t="s">
        <v>779</v>
      </c>
      <c r="N1136" t="s" cm="1">
        <v>779</v>
      </c>
    </row>
    <row r="1137" spans="1:14" ht="15" customHeight="1" x14ac:dyDescent="0.25">
      <c r="A1137" t="s">
        <v>779</v>
      </c>
      <c r="N1137" t="s" cm="1">
        <v>779</v>
      </c>
    </row>
    <row r="1138" spans="1:14" ht="15" customHeight="1" x14ac:dyDescent="0.25">
      <c r="A1138" t="s">
        <v>779</v>
      </c>
      <c r="N1138" t="s" cm="1">
        <v>779</v>
      </c>
    </row>
    <row r="1139" spans="1:14" ht="15" customHeight="1" x14ac:dyDescent="0.25">
      <c r="A1139" t="s">
        <v>825</v>
      </c>
      <c r="N1139" t="s" cm="1">
        <v>825</v>
      </c>
    </row>
    <row r="1140" spans="1:14" ht="15" customHeight="1" x14ac:dyDescent="0.25">
      <c r="A1140" t="s">
        <v>732</v>
      </c>
      <c r="N1140" t="s" cm="1">
        <v>732</v>
      </c>
    </row>
    <row r="1141" spans="1:14" ht="15" customHeight="1" x14ac:dyDescent="0.25">
      <c r="A1141" t="s">
        <v>554</v>
      </c>
      <c r="N1141" t="s" cm="1">
        <v>554</v>
      </c>
    </row>
    <row r="1142" spans="1:14" ht="15" customHeight="1" x14ac:dyDescent="0.25">
      <c r="A1142" t="s">
        <v>554</v>
      </c>
      <c r="N1142" t="s" cm="1">
        <v>554</v>
      </c>
    </row>
    <row r="1143" spans="1:14" ht="15" customHeight="1" x14ac:dyDescent="0.25">
      <c r="A1143" t="s">
        <v>900</v>
      </c>
      <c r="N1143" t="s" cm="1">
        <v>828</v>
      </c>
    </row>
    <row r="1144" spans="1:14" ht="15" customHeight="1" x14ac:dyDescent="0.25">
      <c r="A1144" t="s">
        <v>715</v>
      </c>
      <c r="N1144" t="s" cm="1">
        <v>715</v>
      </c>
    </row>
    <row r="1145" spans="1:14" ht="15" customHeight="1" x14ac:dyDescent="0.25">
      <c r="A1145" t="s">
        <v>709</v>
      </c>
      <c r="N1145" t="s" cm="1">
        <v>709</v>
      </c>
    </row>
    <row r="1146" spans="1:14" ht="15" customHeight="1" x14ac:dyDescent="0.25">
      <c r="A1146" t="s">
        <v>709</v>
      </c>
      <c r="N1146" t="s" cm="1">
        <v>709</v>
      </c>
    </row>
    <row r="1147" spans="1:14" ht="15" customHeight="1" x14ac:dyDescent="0.25">
      <c r="A1147" t="s">
        <v>729</v>
      </c>
      <c r="N1147" t="s" cm="1">
        <v>715</v>
      </c>
    </row>
    <row r="1148" spans="1:14" ht="15" customHeight="1" x14ac:dyDescent="0.25">
      <c r="A1148" t="s">
        <v>729</v>
      </c>
      <c r="N1148" t="s" cm="1">
        <v>715</v>
      </c>
    </row>
    <row r="1149" spans="1:14" ht="15" customHeight="1" x14ac:dyDescent="0.25">
      <c r="A1149" t="s">
        <v>729</v>
      </c>
      <c r="N1149" t="s" cm="1">
        <v>715</v>
      </c>
    </row>
    <row r="1150" spans="1:14" ht="15" customHeight="1" x14ac:dyDescent="0.25">
      <c r="A1150" t="s">
        <v>729</v>
      </c>
      <c r="N1150" t="s" cm="1">
        <v>715</v>
      </c>
    </row>
    <row r="1151" spans="1:14" ht="15" customHeight="1" x14ac:dyDescent="0.25">
      <c r="A1151" t="s">
        <v>729</v>
      </c>
      <c r="N1151" t="s" cm="1">
        <v>715</v>
      </c>
    </row>
    <row r="1152" spans="1:14" ht="15" customHeight="1" x14ac:dyDescent="0.25">
      <c r="A1152" t="s">
        <v>729</v>
      </c>
      <c r="N1152" t="s" cm="1">
        <v>715</v>
      </c>
    </row>
    <row r="1153" spans="1:14" ht="15" customHeight="1" x14ac:dyDescent="0.25">
      <c r="A1153" t="s">
        <v>729</v>
      </c>
      <c r="N1153" t="s" cm="1">
        <v>715</v>
      </c>
    </row>
    <row r="1154" spans="1:14" ht="15" customHeight="1" x14ac:dyDescent="0.25">
      <c r="A1154" t="s">
        <v>709</v>
      </c>
      <c r="N1154" t="s" cm="1">
        <v>709</v>
      </c>
    </row>
    <row r="1155" spans="1:14" ht="15" customHeight="1" x14ac:dyDescent="0.25">
      <c r="A1155" t="s">
        <v>600</v>
      </c>
      <c r="N1155" t="s" cm="1">
        <v>600</v>
      </c>
    </row>
    <row r="1156" spans="1:14" ht="15" customHeight="1" x14ac:dyDescent="0.25">
      <c r="A1156" t="s">
        <v>678</v>
      </c>
      <c r="N1156" t="s" cm="1">
        <v>678</v>
      </c>
    </row>
    <row r="1157" spans="1:14" ht="15" customHeight="1" x14ac:dyDescent="0.25">
      <c r="A1157" t="s">
        <v>717</v>
      </c>
      <c r="N1157" t="s" cm="1">
        <v>304</v>
      </c>
    </row>
    <row r="1158" spans="1:14" ht="15" customHeight="1" x14ac:dyDescent="0.25">
      <c r="A1158" t="s">
        <v>611</v>
      </c>
      <c r="N1158" t="s" cm="1">
        <v>611</v>
      </c>
    </row>
    <row r="1159" spans="1:14" ht="15" customHeight="1" x14ac:dyDescent="0.25">
      <c r="A1159" t="s">
        <v>520</v>
      </c>
      <c r="N1159" t="s" cm="1">
        <v>715</v>
      </c>
    </row>
    <row r="1160" spans="1:14" ht="15" customHeight="1" x14ac:dyDescent="0.25">
      <c r="A1160" t="s">
        <v>666</v>
      </c>
      <c r="N1160" t="s" cm="1">
        <v>666</v>
      </c>
    </row>
    <row r="1161" spans="1:14" ht="15" customHeight="1" x14ac:dyDescent="0.25">
      <c r="A1161" t="s">
        <v>374</v>
      </c>
      <c r="N1161" t="s" cm="1">
        <v>560</v>
      </c>
    </row>
    <row r="1162" spans="1:14" ht="15" customHeight="1" x14ac:dyDescent="0.25">
      <c r="A1162" t="s">
        <v>370</v>
      </c>
      <c r="N1162" t="s" cm="1">
        <v>370</v>
      </c>
    </row>
    <row r="1163" spans="1:14" ht="15" customHeight="1" x14ac:dyDescent="0.25">
      <c r="A1163" t="s">
        <v>922</v>
      </c>
      <c r="N1163" t="s" cm="1">
        <v>715</v>
      </c>
    </row>
    <row r="1164" spans="1:14" ht="15" customHeight="1" x14ac:dyDescent="0.25">
      <c r="A1164" t="s">
        <v>959</v>
      </c>
      <c r="N1164" t="s" cm="1">
        <v>715</v>
      </c>
    </row>
    <row r="1165" spans="1:14" ht="15" customHeight="1" x14ac:dyDescent="0.25">
      <c r="A1165" t="s">
        <v>731</v>
      </c>
      <c r="N1165" t="s" cm="1">
        <v>731</v>
      </c>
    </row>
    <row r="1166" spans="1:14" ht="15" customHeight="1" x14ac:dyDescent="0.25">
      <c r="A1166" t="s">
        <v>630</v>
      </c>
      <c r="N1166" t="s" cm="1">
        <v>630</v>
      </c>
    </row>
    <row r="1167" spans="1:14" ht="15" customHeight="1" x14ac:dyDescent="0.25">
      <c r="A1167" t="s">
        <v>691</v>
      </c>
      <c r="N1167" t="s" cm="1">
        <v>691</v>
      </c>
    </row>
    <row r="1168" spans="1:14" ht="15" customHeight="1" x14ac:dyDescent="0.25">
      <c r="A1168" t="s">
        <v>678</v>
      </c>
      <c r="N1168" t="s" cm="1">
        <v>678</v>
      </c>
    </row>
    <row r="1169" spans="1:14" ht="15" customHeight="1" x14ac:dyDescent="0.25">
      <c r="A1169" t="s">
        <v>336</v>
      </c>
      <c r="N1169" t="s" cm="1">
        <v>336</v>
      </c>
    </row>
    <row r="1170" spans="1:14" ht="15" customHeight="1" x14ac:dyDescent="0.25">
      <c r="A1170" t="s">
        <v>669</v>
      </c>
      <c r="N1170" t="s" cm="1">
        <v>669</v>
      </c>
    </row>
    <row r="1171" spans="1:14" ht="15" customHeight="1" x14ac:dyDescent="0.25">
      <c r="A1171" t="s">
        <v>669</v>
      </c>
      <c r="N1171" t="s" cm="1">
        <v>669</v>
      </c>
    </row>
    <row r="1172" spans="1:14" ht="15" customHeight="1" x14ac:dyDescent="0.25">
      <c r="A1172" t="s">
        <v>669</v>
      </c>
      <c r="N1172" t="s" cm="1">
        <v>669</v>
      </c>
    </row>
    <row r="1173" spans="1:14" ht="15" customHeight="1" x14ac:dyDescent="0.25">
      <c r="A1173" t="s">
        <v>669</v>
      </c>
      <c r="N1173" t="s" cm="1">
        <v>669</v>
      </c>
    </row>
    <row r="1174" spans="1:14" ht="15" customHeight="1" x14ac:dyDescent="0.25">
      <c r="A1174" t="s">
        <v>826</v>
      </c>
      <c r="N1174" t="s" cm="1">
        <v>843</v>
      </c>
    </row>
    <row r="1175" spans="1:14" ht="15" customHeight="1" x14ac:dyDescent="0.25">
      <c r="A1175" t="s">
        <v>824</v>
      </c>
      <c r="N1175" t="s" cm="1">
        <v>824</v>
      </c>
    </row>
    <row r="1176" spans="1:14" ht="15" customHeight="1" x14ac:dyDescent="0.25">
      <c r="A1176" t="s">
        <v>713</v>
      </c>
      <c r="N1176" t="s" cm="1">
        <v>713</v>
      </c>
    </row>
    <row r="1177" spans="1:14" ht="15" customHeight="1" x14ac:dyDescent="0.25">
      <c r="A1177" t="s">
        <v>713</v>
      </c>
      <c r="N1177" t="s" cm="1">
        <v>713</v>
      </c>
    </row>
    <row r="1178" spans="1:14" ht="15" customHeight="1" x14ac:dyDescent="0.25">
      <c r="A1178" t="s">
        <v>901</v>
      </c>
      <c r="N1178" t="s" cm="1">
        <v>715</v>
      </c>
    </row>
    <row r="1179" spans="1:14" ht="15" customHeight="1" x14ac:dyDescent="0.25">
      <c r="A1179" t="s">
        <v>720</v>
      </c>
      <c r="N1179" t="s" cm="1">
        <v>715</v>
      </c>
    </row>
    <row r="1180" spans="1:14" ht="15" customHeight="1" x14ac:dyDescent="0.25">
      <c r="A1180" t="s">
        <v>709</v>
      </c>
      <c r="N1180" t="s" cm="1">
        <v>709</v>
      </c>
    </row>
    <row r="1181" spans="1:14" ht="15" customHeight="1" x14ac:dyDescent="0.25">
      <c r="A1181" t="s">
        <v>709</v>
      </c>
      <c r="N1181" t="s" cm="1">
        <v>709</v>
      </c>
    </row>
    <row r="1182" spans="1:14" ht="15" customHeight="1" x14ac:dyDescent="0.25">
      <c r="A1182" t="s">
        <v>715</v>
      </c>
      <c r="N1182" t="s" cm="1">
        <v>715</v>
      </c>
    </row>
    <row r="1183" spans="1:14" ht="15" customHeight="1" x14ac:dyDescent="0.25">
      <c r="A1183" t="s">
        <v>715</v>
      </c>
      <c r="N1183" t="s" cm="1">
        <v>715</v>
      </c>
    </row>
    <row r="1184" spans="1:14" ht="15" customHeight="1" x14ac:dyDescent="0.25">
      <c r="A1184" t="s">
        <v>715</v>
      </c>
      <c r="N1184" t="s" cm="1">
        <v>715</v>
      </c>
    </row>
    <row r="1185" spans="1:14" ht="15" customHeight="1" x14ac:dyDescent="0.25">
      <c r="A1185" t="s">
        <v>715</v>
      </c>
      <c r="N1185" t="s" cm="1">
        <v>715</v>
      </c>
    </row>
    <row r="1186" spans="1:14" ht="15" customHeight="1" x14ac:dyDescent="0.25">
      <c r="A1186" t="s">
        <v>715</v>
      </c>
      <c r="N1186" t="s" cm="1">
        <v>715</v>
      </c>
    </row>
    <row r="1187" spans="1:14" ht="15" customHeight="1" x14ac:dyDescent="0.25">
      <c r="A1187" t="s">
        <v>715</v>
      </c>
      <c r="N1187" t="s" cm="1">
        <v>715</v>
      </c>
    </row>
    <row r="1188" spans="1:14" ht="15" customHeight="1" x14ac:dyDescent="0.25">
      <c r="A1188" t="s">
        <v>715</v>
      </c>
      <c r="N1188" t="s" cm="1">
        <v>715</v>
      </c>
    </row>
    <row r="1189" spans="1:14" ht="15" customHeight="1" x14ac:dyDescent="0.25">
      <c r="A1189" t="s">
        <v>725</v>
      </c>
      <c r="N1189" t="s" cm="1">
        <v>715</v>
      </c>
    </row>
    <row r="1190" spans="1:14" ht="15" customHeight="1" x14ac:dyDescent="0.25">
      <c r="A1190" t="s">
        <v>653</v>
      </c>
      <c r="N1190" t="s" cm="1">
        <v>653</v>
      </c>
    </row>
    <row r="1191" spans="1:14" ht="15" customHeight="1" x14ac:dyDescent="0.25">
      <c r="A1191" t="s">
        <v>714</v>
      </c>
      <c r="N1191" t="s" cm="1">
        <v>714</v>
      </c>
    </row>
    <row r="1192" spans="1:14" ht="15" customHeight="1" x14ac:dyDescent="0.25">
      <c r="A1192" t="s">
        <v>661</v>
      </c>
      <c r="N1192" t="s" cm="1">
        <v>661</v>
      </c>
    </row>
    <row r="1193" spans="1:14" ht="15" customHeight="1" x14ac:dyDescent="0.25">
      <c r="A1193" t="s">
        <v>715</v>
      </c>
      <c r="N1193" t="s" cm="1">
        <v>715</v>
      </c>
    </row>
    <row r="1194" spans="1:14" ht="15" customHeight="1" x14ac:dyDescent="0.25">
      <c r="A1194" t="s">
        <v>660</v>
      </c>
      <c r="N1194" t="s" cm="1">
        <v>588</v>
      </c>
    </row>
    <row r="1195" spans="1:14" ht="15" customHeight="1" x14ac:dyDescent="0.25">
      <c r="A1195" t="s">
        <v>732</v>
      </c>
      <c r="N1195" t="s" cm="1">
        <v>732</v>
      </c>
    </row>
    <row r="1196" spans="1:14" ht="15" customHeight="1" x14ac:dyDescent="0.25">
      <c r="A1196" t="s">
        <v>715</v>
      </c>
      <c r="N1196" t="s" cm="1">
        <v>715</v>
      </c>
    </row>
    <row r="1197" spans="1:14" ht="15" customHeight="1" x14ac:dyDescent="0.25">
      <c r="A1197" t="s">
        <v>715</v>
      </c>
      <c r="N1197" t="s" cm="1">
        <v>715</v>
      </c>
    </row>
    <row r="1198" spans="1:14" ht="15" customHeight="1" x14ac:dyDescent="0.25">
      <c r="A1198" t="s">
        <v>701</v>
      </c>
      <c r="N1198" t="s" cm="1">
        <v>701</v>
      </c>
    </row>
    <row r="1199" spans="1:14" ht="15" customHeight="1" x14ac:dyDescent="0.25">
      <c r="A1199" t="s">
        <v>535</v>
      </c>
      <c r="N1199" t="s" cm="1">
        <v>535</v>
      </c>
    </row>
    <row r="1200" spans="1:14" ht="15" customHeight="1" x14ac:dyDescent="0.25">
      <c r="A1200" t="s">
        <v>668</v>
      </c>
      <c r="N1200" t="s" cm="1">
        <v>667</v>
      </c>
    </row>
    <row r="1201" spans="1:14" ht="15" customHeight="1" x14ac:dyDescent="0.25">
      <c r="A1201" t="s">
        <v>670</v>
      </c>
      <c r="N1201" t="s" cm="1">
        <v>670</v>
      </c>
    </row>
    <row r="1202" spans="1:14" ht="15" customHeight="1" x14ac:dyDescent="0.25">
      <c r="A1202" t="s">
        <v>626</v>
      </c>
      <c r="N1202" t="s" cm="1">
        <v>626</v>
      </c>
    </row>
    <row r="1203" spans="1:14" ht="15" customHeight="1" x14ac:dyDescent="0.25">
      <c r="A1203" t="s">
        <v>669</v>
      </c>
      <c r="N1203" t="s" cm="1">
        <v>669</v>
      </c>
    </row>
    <row r="1204" spans="1:14" ht="15" customHeight="1" x14ac:dyDescent="0.25">
      <c r="A1204" t="s">
        <v>669</v>
      </c>
      <c r="N1204" t="s" cm="1">
        <v>669</v>
      </c>
    </row>
    <row r="1205" spans="1:14" ht="15" customHeight="1" x14ac:dyDescent="0.25">
      <c r="A1205" t="s">
        <v>669</v>
      </c>
      <c r="N1205" t="s" cm="1">
        <v>669</v>
      </c>
    </row>
    <row r="1206" spans="1:14" ht="15" customHeight="1" x14ac:dyDescent="0.25">
      <c r="A1206" t="s">
        <v>669</v>
      </c>
      <c r="N1206" t="s" cm="1">
        <v>669</v>
      </c>
    </row>
    <row r="1207" spans="1:14" ht="15" customHeight="1" x14ac:dyDescent="0.25">
      <c r="A1207" t="s">
        <v>827</v>
      </c>
      <c r="N1207" t="s" cm="1">
        <v>738</v>
      </c>
    </row>
    <row r="1208" spans="1:14" ht="15" customHeight="1" x14ac:dyDescent="0.25">
      <c r="A1208" t="s">
        <v>837</v>
      </c>
      <c r="N1208" t="s" cm="1">
        <v>715</v>
      </c>
    </row>
    <row r="1209" spans="1:14" ht="15" customHeight="1" x14ac:dyDescent="0.25">
      <c r="A1209" t="s">
        <v>886</v>
      </c>
      <c r="N1209" t="s" cm="1">
        <v>886</v>
      </c>
    </row>
    <row r="1210" spans="1:14" ht="15" customHeight="1" x14ac:dyDescent="0.25">
      <c r="A1210" t="s">
        <v>886</v>
      </c>
      <c r="N1210" t="s" cm="1">
        <v>886</v>
      </c>
    </row>
    <row r="1211" spans="1:14" ht="15" customHeight="1" x14ac:dyDescent="0.25">
      <c r="A1211" t="s">
        <v>902</v>
      </c>
      <c r="N1211" t="s" cm="1">
        <v>828</v>
      </c>
    </row>
    <row r="1212" spans="1:14" ht="15" customHeight="1" x14ac:dyDescent="0.25">
      <c r="A1212" t="s">
        <v>658</v>
      </c>
      <c r="N1212" t="s" cm="1">
        <v>715</v>
      </c>
    </row>
    <row r="1213" spans="1:14" ht="15" customHeight="1" x14ac:dyDescent="0.25">
      <c r="A1213" t="s">
        <v>714</v>
      </c>
      <c r="N1213" t="s" cm="1">
        <v>714</v>
      </c>
    </row>
    <row r="1214" spans="1:14" ht="15" customHeight="1" x14ac:dyDescent="0.25">
      <c r="A1214" t="s">
        <v>715</v>
      </c>
      <c r="N1214" t="s" cm="1">
        <v>715</v>
      </c>
    </row>
    <row r="1215" spans="1:14" ht="15" customHeight="1" x14ac:dyDescent="0.25">
      <c r="A1215" t="s">
        <v>715</v>
      </c>
      <c r="N1215" t="s" cm="1">
        <v>715</v>
      </c>
    </row>
    <row r="1216" spans="1:14" ht="15" customHeight="1" x14ac:dyDescent="0.25">
      <c r="A1216" t="s">
        <v>715</v>
      </c>
      <c r="N1216" t="s" cm="1">
        <v>715</v>
      </c>
    </row>
    <row r="1217" spans="1:14" ht="15" customHeight="1" x14ac:dyDescent="0.25">
      <c r="A1217" t="s">
        <v>610</v>
      </c>
      <c r="N1217" t="s" cm="1">
        <v>610</v>
      </c>
    </row>
    <row r="1218" spans="1:14" ht="15" customHeight="1" x14ac:dyDescent="0.25">
      <c r="A1218" t="s">
        <v>576</v>
      </c>
      <c r="N1218" t="s" cm="1">
        <v>576</v>
      </c>
    </row>
    <row r="1219" spans="1:14" ht="15" customHeight="1" x14ac:dyDescent="0.25">
      <c r="A1219" t="s">
        <v>370</v>
      </c>
      <c r="N1219" t="s" cm="1">
        <v>370</v>
      </c>
    </row>
    <row r="1220" spans="1:14" ht="15" customHeight="1" x14ac:dyDescent="0.25">
      <c r="A1220" t="s">
        <v>958</v>
      </c>
      <c r="N1220" t="s" cm="1">
        <v>715</v>
      </c>
    </row>
    <row r="1221" spans="1:14" ht="15" customHeight="1" x14ac:dyDescent="0.25">
      <c r="A1221" t="s">
        <v>713</v>
      </c>
      <c r="N1221" t="s" cm="1">
        <v>713</v>
      </c>
    </row>
    <row r="1222" spans="1:14" ht="15" customHeight="1" x14ac:dyDescent="0.25">
      <c r="A1222" t="s">
        <v>713</v>
      </c>
      <c r="N1222" t="s" cm="1">
        <v>713</v>
      </c>
    </row>
    <row r="1223" spans="1:14" ht="15" customHeight="1" x14ac:dyDescent="0.25">
      <c r="A1223" t="s">
        <v>676</v>
      </c>
      <c r="N1223" t="s" cm="1">
        <v>667</v>
      </c>
    </row>
    <row r="1224" spans="1:14" ht="15" customHeight="1" x14ac:dyDescent="0.25">
      <c r="A1224" t="s">
        <v>691</v>
      </c>
      <c r="N1224" t="s" cm="1">
        <v>691</v>
      </c>
    </row>
    <row r="1225" spans="1:14" ht="15" customHeight="1" x14ac:dyDescent="0.25">
      <c r="A1225" t="s">
        <v>321</v>
      </c>
      <c r="N1225" t="s" cm="1">
        <v>321</v>
      </c>
    </row>
    <row r="1226" spans="1:14" ht="15" customHeight="1" x14ac:dyDescent="0.25">
      <c r="A1226" t="s">
        <v>778</v>
      </c>
      <c r="N1226" t="s" cm="1">
        <v>778</v>
      </c>
    </row>
    <row r="1227" spans="1:14" ht="15" customHeight="1" x14ac:dyDescent="0.25">
      <c r="A1227" t="s">
        <v>778</v>
      </c>
      <c r="N1227" t="s" cm="1">
        <v>778</v>
      </c>
    </row>
    <row r="1228" spans="1:14" ht="15" customHeight="1" x14ac:dyDescent="0.25">
      <c r="A1228" t="s">
        <v>778</v>
      </c>
      <c r="N1228" t="s" cm="1">
        <v>778</v>
      </c>
    </row>
    <row r="1229" spans="1:14" ht="15" customHeight="1" x14ac:dyDescent="0.25">
      <c r="A1229" t="s">
        <v>778</v>
      </c>
      <c r="N1229" t="s" cm="1">
        <v>778</v>
      </c>
    </row>
    <row r="1230" spans="1:14" ht="15" customHeight="1" x14ac:dyDescent="0.25">
      <c r="A1230" t="s">
        <v>828</v>
      </c>
      <c r="N1230" t="s" cm="1">
        <v>828</v>
      </c>
    </row>
    <row r="1231" spans="1:14" ht="15" customHeight="1" x14ac:dyDescent="0.25">
      <c r="A1231" t="s">
        <v>715</v>
      </c>
      <c r="N1231" t="s" cm="1">
        <v>715</v>
      </c>
    </row>
    <row r="1232" spans="1:14" ht="15" customHeight="1" x14ac:dyDescent="0.25">
      <c r="A1232" t="s">
        <v>886</v>
      </c>
      <c r="N1232" t="s" cm="1">
        <v>886</v>
      </c>
    </row>
    <row r="1233" spans="1:14" ht="15" customHeight="1" x14ac:dyDescent="0.25">
      <c r="A1233" t="s">
        <v>886</v>
      </c>
      <c r="N1233" t="s" cm="1">
        <v>886</v>
      </c>
    </row>
    <row r="1234" spans="1:14" ht="15" customHeight="1" x14ac:dyDescent="0.25">
      <c r="A1234" t="s">
        <v>903</v>
      </c>
      <c r="N1234" t="s" cm="1">
        <v>715</v>
      </c>
    </row>
    <row r="1235" spans="1:14" ht="15" customHeight="1" x14ac:dyDescent="0.25">
      <c r="A1235" t="s">
        <v>671</v>
      </c>
      <c r="N1235" t="s" cm="1">
        <v>715</v>
      </c>
    </row>
    <row r="1236" spans="1:14" ht="15" customHeight="1" x14ac:dyDescent="0.25">
      <c r="A1236" t="s">
        <v>725</v>
      </c>
      <c r="N1236" t="s" cm="1">
        <v>715</v>
      </c>
    </row>
    <row r="1237" spans="1:14" ht="15" customHeight="1" x14ac:dyDescent="0.25">
      <c r="A1237" t="s">
        <v>715</v>
      </c>
      <c r="N1237" t="s" cm="1">
        <v>715</v>
      </c>
    </row>
    <row r="1238" spans="1:14" ht="15" customHeight="1" x14ac:dyDescent="0.25">
      <c r="A1238" t="s">
        <v>674</v>
      </c>
      <c r="N1238" t="s" cm="1">
        <v>509</v>
      </c>
    </row>
    <row r="1239" spans="1:14" ht="15" customHeight="1" x14ac:dyDescent="0.25">
      <c r="A1239" t="s">
        <v>560</v>
      </c>
      <c r="N1239" t="s" cm="1">
        <v>560</v>
      </c>
    </row>
    <row r="1240" spans="1:14" ht="15" customHeight="1" x14ac:dyDescent="0.25">
      <c r="A1240" t="s">
        <v>746</v>
      </c>
      <c r="N1240" t="s" cm="1">
        <v>746</v>
      </c>
    </row>
    <row r="1241" spans="1:14" ht="15" customHeight="1" x14ac:dyDescent="0.25">
      <c r="A1241" t="s">
        <v>959</v>
      </c>
      <c r="N1241" t="s" cm="1">
        <v>715</v>
      </c>
    </row>
    <row r="1242" spans="1:14" ht="15" customHeight="1" x14ac:dyDescent="0.25">
      <c r="A1242" t="s">
        <v>701</v>
      </c>
      <c r="N1242" t="s" cm="1">
        <v>701</v>
      </c>
    </row>
    <row r="1243" spans="1:14" ht="15" customHeight="1" x14ac:dyDescent="0.25">
      <c r="A1243" t="s">
        <v>692</v>
      </c>
      <c r="N1243" t="s" cm="1">
        <v>692</v>
      </c>
    </row>
    <row r="1244" spans="1:14" ht="15" customHeight="1" x14ac:dyDescent="0.25">
      <c r="A1244" t="s">
        <v>716</v>
      </c>
      <c r="N1244" t="s" cm="1">
        <v>715</v>
      </c>
    </row>
    <row r="1245" spans="1:14" ht="15" customHeight="1" x14ac:dyDescent="0.25">
      <c r="A1245" t="s">
        <v>715</v>
      </c>
      <c r="N1245" t="s" cm="1">
        <v>715</v>
      </c>
    </row>
    <row r="1246" spans="1:14" ht="15" customHeight="1" x14ac:dyDescent="0.25">
      <c r="A1246" t="s">
        <v>732</v>
      </c>
      <c r="N1246" t="s" cm="1">
        <v>732</v>
      </c>
    </row>
    <row r="1247" spans="1:14" ht="15" customHeight="1" x14ac:dyDescent="0.25">
      <c r="A1247" t="s">
        <v>715</v>
      </c>
      <c r="N1247" t="s" cm="1">
        <v>715</v>
      </c>
    </row>
    <row r="1248" spans="1:14" ht="15" customHeight="1" x14ac:dyDescent="0.25">
      <c r="A1248" t="s">
        <v>715</v>
      </c>
      <c r="N1248" t="s" cm="1">
        <v>715</v>
      </c>
    </row>
    <row r="1249" spans="1:14" ht="15" customHeight="1" x14ac:dyDescent="0.25">
      <c r="A1249" t="s">
        <v>715</v>
      </c>
      <c r="N1249" t="s" cm="1">
        <v>715</v>
      </c>
    </row>
    <row r="1250" spans="1:14" ht="15" customHeight="1" x14ac:dyDescent="0.25">
      <c r="A1250" t="s">
        <v>715</v>
      </c>
      <c r="N1250" t="s" cm="1">
        <v>715</v>
      </c>
    </row>
    <row r="1251" spans="1:14" ht="15" customHeight="1" x14ac:dyDescent="0.25">
      <c r="A1251" t="s">
        <v>838</v>
      </c>
      <c r="N1251" t="s" cm="1">
        <v>715</v>
      </c>
    </row>
    <row r="1252" spans="1:14" ht="15" customHeight="1" x14ac:dyDescent="0.25">
      <c r="A1252" t="s">
        <v>891</v>
      </c>
      <c r="N1252" t="s" cm="1">
        <v>828</v>
      </c>
    </row>
    <row r="1253" spans="1:14" ht="15" customHeight="1" x14ac:dyDescent="0.25">
      <c r="A1253" t="s">
        <v>725</v>
      </c>
      <c r="N1253" t="s" cm="1">
        <v>715</v>
      </c>
    </row>
    <row r="1254" spans="1:14" ht="15" customHeight="1" x14ac:dyDescent="0.25">
      <c r="A1254" t="s">
        <v>640</v>
      </c>
      <c r="N1254" t="s" cm="1">
        <v>640</v>
      </c>
    </row>
    <row r="1255" spans="1:14" ht="15" customHeight="1" x14ac:dyDescent="0.25">
      <c r="A1255" t="s">
        <v>557</v>
      </c>
      <c r="N1255" t="s" cm="1">
        <v>557</v>
      </c>
    </row>
    <row r="1256" spans="1:14" ht="15" customHeight="1" x14ac:dyDescent="0.25">
      <c r="A1256" t="s">
        <v>691</v>
      </c>
      <c r="N1256" t="s" cm="1">
        <v>691</v>
      </c>
    </row>
    <row r="1257" spans="1:14" ht="15" customHeight="1" x14ac:dyDescent="0.25">
      <c r="A1257" t="s">
        <v>583</v>
      </c>
      <c r="N1257" t="s" cm="1">
        <v>583</v>
      </c>
    </row>
    <row r="1258" spans="1:14" ht="15" customHeight="1" x14ac:dyDescent="0.25">
      <c r="A1258" t="s">
        <v>692</v>
      </c>
      <c r="N1258" t="s" cm="1">
        <v>692</v>
      </c>
    </row>
    <row r="1259" spans="1:14" ht="15" customHeight="1" x14ac:dyDescent="0.25">
      <c r="A1259" t="s">
        <v>677</v>
      </c>
      <c r="N1259" t="s" cm="1">
        <v>677</v>
      </c>
    </row>
    <row r="1260" spans="1:14" ht="15" customHeight="1" x14ac:dyDescent="0.25">
      <c r="A1260" t="s">
        <v>904</v>
      </c>
      <c r="N1260" t="s" cm="1">
        <v>715</v>
      </c>
    </row>
    <row r="1261" spans="1:14" ht="15" customHeight="1" x14ac:dyDescent="0.25">
      <c r="A1261" t="s">
        <v>715</v>
      </c>
      <c r="N1261" t="s" cm="1">
        <v>715</v>
      </c>
    </row>
    <row r="1262" spans="1:14" ht="15" customHeight="1" x14ac:dyDescent="0.25">
      <c r="A1262" t="s">
        <v>309</v>
      </c>
      <c r="N1262" t="s" cm="1">
        <v>309</v>
      </c>
    </row>
    <row r="1263" spans="1:14" ht="15" customHeight="1" x14ac:dyDescent="0.25">
      <c r="A1263" t="s">
        <v>559</v>
      </c>
      <c r="N1263" t="s" cm="1">
        <v>559</v>
      </c>
    </row>
    <row r="1264" spans="1:14" ht="15" customHeight="1" x14ac:dyDescent="0.25">
      <c r="A1264" t="s">
        <v>715</v>
      </c>
      <c r="N1264" t="s" cm="1">
        <v>715</v>
      </c>
    </row>
    <row r="1265" spans="1:14" ht="15" customHeight="1" x14ac:dyDescent="0.25">
      <c r="A1265" t="s">
        <v>630</v>
      </c>
      <c r="N1265" t="s" cm="1">
        <v>630</v>
      </c>
    </row>
    <row r="1266" spans="1:14" ht="15" customHeight="1" x14ac:dyDescent="0.25">
      <c r="A1266" t="s">
        <v>626</v>
      </c>
      <c r="N1266" t="s" cm="1">
        <v>626</v>
      </c>
    </row>
    <row r="1267" spans="1:14" ht="15" customHeight="1" x14ac:dyDescent="0.25">
      <c r="A1267" t="s">
        <v>905</v>
      </c>
      <c r="N1267" t="s" cm="1">
        <v>828</v>
      </c>
    </row>
    <row r="1268" spans="1:14" ht="15" customHeight="1" x14ac:dyDescent="0.25">
      <c r="A1268" t="s">
        <v>715</v>
      </c>
      <c r="N1268" t="s" cm="1">
        <v>715</v>
      </c>
    </row>
    <row r="1269" spans="1:14" ht="15" customHeight="1" x14ac:dyDescent="0.25">
      <c r="A1269" t="s">
        <v>512</v>
      </c>
      <c r="N1269" t="s" cm="1">
        <v>512</v>
      </c>
    </row>
    <row r="1270" spans="1:14" ht="15" customHeight="1" x14ac:dyDescent="0.25">
      <c r="A1270" t="s">
        <v>588</v>
      </c>
      <c r="N1270" t="s" cm="1">
        <v>588</v>
      </c>
    </row>
    <row r="1271" spans="1:14" ht="15" customHeight="1" x14ac:dyDescent="0.25">
      <c r="A1271" t="s">
        <v>695</v>
      </c>
      <c r="N1271" t="s" cm="1">
        <v>715</v>
      </c>
    </row>
    <row r="1272" spans="1:14" ht="15" customHeight="1" x14ac:dyDescent="0.25">
      <c r="A1272" t="s">
        <v>691</v>
      </c>
      <c r="N1272" t="s" cm="1">
        <v>691</v>
      </c>
    </row>
    <row r="1273" spans="1:14" ht="15" customHeight="1" x14ac:dyDescent="0.25">
      <c r="A1273" t="s">
        <v>906</v>
      </c>
      <c r="N1273" t="s" cm="1">
        <v>715</v>
      </c>
    </row>
    <row r="1274" spans="1:14" ht="15" customHeight="1" x14ac:dyDescent="0.25">
      <c r="A1274" t="s">
        <v>649</v>
      </c>
      <c r="N1274" t="s" cm="1">
        <v>649</v>
      </c>
    </row>
    <row r="1275" spans="1:14" ht="15" customHeight="1" x14ac:dyDescent="0.25">
      <c r="A1275" t="s">
        <v>678</v>
      </c>
      <c r="N1275" t="s" cm="1">
        <v>678</v>
      </c>
    </row>
    <row r="1276" spans="1:14" ht="15" customHeight="1" x14ac:dyDescent="0.25">
      <c r="A1276" t="s">
        <v>715</v>
      </c>
      <c r="N1276" t="s" cm="1">
        <v>715</v>
      </c>
    </row>
    <row r="1277" spans="1:14" ht="15" customHeight="1" x14ac:dyDescent="0.25">
      <c r="A1277" t="s">
        <v>546</v>
      </c>
      <c r="N1277" t="s" cm="1">
        <v>546</v>
      </c>
    </row>
    <row r="1278" spans="1:14" ht="15" customHeight="1" x14ac:dyDescent="0.25">
      <c r="A1278" t="s">
        <v>715</v>
      </c>
      <c r="N1278" t="s" cm="1">
        <v>715</v>
      </c>
    </row>
    <row r="1279" spans="1:14" ht="15" customHeight="1" x14ac:dyDescent="0.25">
      <c r="A1279" t="s">
        <v>388</v>
      </c>
      <c r="N1279" t="s" cm="1">
        <v>388</v>
      </c>
    </row>
    <row r="1280" spans="1:14" ht="15" customHeight="1" x14ac:dyDescent="0.25">
      <c r="A1280" t="s">
        <v>714</v>
      </c>
      <c r="N1280" t="s" cm="1">
        <v>714</v>
      </c>
    </row>
    <row r="1281" spans="1:14" ht="15" customHeight="1" x14ac:dyDescent="0.25">
      <c r="A1281" t="s">
        <v>702</v>
      </c>
      <c r="N1281" t="s" cm="1">
        <v>667</v>
      </c>
    </row>
    <row r="1282" spans="1:14" ht="15" customHeight="1" x14ac:dyDescent="0.25">
      <c r="A1282" t="s">
        <v>828</v>
      </c>
      <c r="N1282" t="s" cm="1">
        <v>828</v>
      </c>
    </row>
    <row r="1283" spans="1:14" ht="15" customHeight="1" x14ac:dyDescent="0.25">
      <c r="A1283" t="s">
        <v>715</v>
      </c>
      <c r="N1283" t="s" cm="1">
        <v>715</v>
      </c>
    </row>
    <row r="1284" spans="1:14" ht="15" customHeight="1" x14ac:dyDescent="0.25">
      <c r="A1284" t="s">
        <v>700</v>
      </c>
      <c r="N1284" t="s" cm="1">
        <v>489</v>
      </c>
    </row>
    <row r="1285" spans="1:14" ht="15" customHeight="1" x14ac:dyDescent="0.25">
      <c r="A1285" t="s">
        <v>708</v>
      </c>
      <c r="N1285" t="s" cm="1">
        <v>667</v>
      </c>
    </row>
    <row r="1286" spans="1:14" ht="15" customHeight="1" x14ac:dyDescent="0.25">
      <c r="A1286" t="s">
        <v>705</v>
      </c>
      <c r="N1286" t="s" cm="1">
        <v>493</v>
      </c>
    </row>
    <row r="1287" spans="1:14" ht="15" customHeight="1" x14ac:dyDescent="0.25">
      <c r="A1287" t="s">
        <v>711</v>
      </c>
      <c r="N1287" t="s" cm="1">
        <v>366</v>
      </c>
    </row>
    <row r="1288" spans="1:14" ht="15" customHeight="1" x14ac:dyDescent="0.25">
      <c r="A1288" t="s">
        <v>715</v>
      </c>
      <c r="N1288" t="s" cm="1">
        <v>715</v>
      </c>
    </row>
    <row r="1289" spans="1:14" ht="15" customHeight="1" x14ac:dyDescent="0.25">
      <c r="A1289" t="s">
        <v>716</v>
      </c>
      <c r="N1289" t="s" cm="1">
        <v>715</v>
      </c>
    </row>
    <row r="1290" spans="1:14" ht="15" customHeight="1" x14ac:dyDescent="0.25">
      <c r="A1290" t="s">
        <v>673</v>
      </c>
      <c r="N1290" t="s" cm="1">
        <v>715</v>
      </c>
    </row>
    <row r="1291" spans="1:14" ht="15" customHeight="1" x14ac:dyDescent="0.25">
      <c r="A1291" t="s">
        <v>311</v>
      </c>
      <c r="N1291" t="s" cm="1">
        <v>715</v>
      </c>
    </row>
    <row r="1292" spans="1:14" ht="15" customHeight="1" x14ac:dyDescent="0.25">
      <c r="A1292" s="1"/>
      <c r="N1292" t="s">
        <v>634</v>
      </c>
    </row>
    <row r="1293" spans="1:14" ht="15" customHeight="1" x14ac:dyDescent="0.25">
      <c r="A1293" s="1"/>
      <c r="N1293" t="s">
        <v>611</v>
      </c>
    </row>
    <row r="1294" spans="1:14" ht="15" customHeight="1" x14ac:dyDescent="0.25">
      <c r="A1294" s="1"/>
      <c r="N1294" t="s">
        <v>643</v>
      </c>
    </row>
    <row r="1295" spans="1:14" ht="15" customHeight="1" x14ac:dyDescent="0.25">
      <c r="A1295" s="1"/>
      <c r="N1295" t="s">
        <v>686</v>
      </c>
    </row>
    <row r="1296" spans="1:14" ht="15" customHeight="1" x14ac:dyDescent="0.25">
      <c r="A1296" s="1"/>
      <c r="N1296" t="s">
        <v>405</v>
      </c>
    </row>
    <row r="1297" spans="1:14" ht="15" customHeight="1" x14ac:dyDescent="0.25">
      <c r="A1297" s="1"/>
      <c r="N1297" t="s">
        <v>687</v>
      </c>
    </row>
    <row r="1298" spans="1:14" ht="15" customHeight="1" x14ac:dyDescent="0.25">
      <c r="A1298" s="1"/>
      <c r="N1298" t="s">
        <v>715</v>
      </c>
    </row>
    <row r="1299" spans="1:14" ht="15" customHeight="1" x14ac:dyDescent="0.25">
      <c r="A1299" s="1"/>
      <c r="N1299" t="s">
        <v>690</v>
      </c>
    </row>
    <row r="1300" spans="1:14" ht="15" customHeight="1" x14ac:dyDescent="0.25">
      <c r="A1300" s="1"/>
      <c r="N1300" t="s">
        <v>732</v>
      </c>
    </row>
    <row r="1301" spans="1:14" ht="15" customHeight="1" x14ac:dyDescent="0.25">
      <c r="A1301" s="1"/>
      <c r="N1301" t="s">
        <v>313</v>
      </c>
    </row>
    <row r="1302" spans="1:14" ht="15" customHeight="1" x14ac:dyDescent="0.25">
      <c r="A1302" s="1"/>
      <c r="N1302" t="s">
        <v>683</v>
      </c>
    </row>
    <row r="1303" spans="1:14" ht="15" customHeight="1" x14ac:dyDescent="0.25">
      <c r="A1303" s="1"/>
      <c r="N1303" t="s">
        <v>655</v>
      </c>
    </row>
    <row r="1304" spans="1:14" ht="15" customHeight="1" x14ac:dyDescent="0.25">
      <c r="A1304" s="1"/>
      <c r="N1304" t="s">
        <v>435</v>
      </c>
    </row>
    <row r="1305" spans="1:14" ht="15" customHeight="1" x14ac:dyDescent="0.25">
      <c r="A1305" s="1"/>
      <c r="N1305" t="s">
        <v>646</v>
      </c>
    </row>
    <row r="1306" spans="1:14" ht="15" customHeight="1" x14ac:dyDescent="0.25">
      <c r="A1306" s="1"/>
      <c r="N1306" t="s">
        <v>294</v>
      </c>
    </row>
    <row r="1307" spans="1:14" ht="15" customHeight="1" x14ac:dyDescent="0.25">
      <c r="A1307" s="1"/>
      <c r="N1307" t="s">
        <v>643</v>
      </c>
    </row>
    <row r="1308" spans="1:14" ht="15" customHeight="1" x14ac:dyDescent="0.25">
      <c r="A1308" s="1"/>
      <c r="N1308" t="s">
        <v>686</v>
      </c>
    </row>
    <row r="1309" spans="1:14" ht="15" customHeight="1" x14ac:dyDescent="0.25">
      <c r="A1309" s="1"/>
      <c r="N1309" t="s">
        <v>686</v>
      </c>
    </row>
    <row r="1310" spans="1:14" ht="15" customHeight="1" x14ac:dyDescent="0.25">
      <c r="A1310" s="1"/>
      <c r="N1310" t="s">
        <v>294</v>
      </c>
    </row>
    <row r="1311" spans="1:14" ht="15" customHeight="1" x14ac:dyDescent="0.25">
      <c r="A1311" s="1"/>
      <c r="N1311" t="s">
        <v>313</v>
      </c>
    </row>
    <row r="1312" spans="1:14" ht="15" customHeight="1" x14ac:dyDescent="0.25">
      <c r="A1312" s="1"/>
      <c r="N1312" t="s">
        <v>690</v>
      </c>
    </row>
    <row r="1313" spans="1:14" ht="15" customHeight="1" x14ac:dyDescent="0.25">
      <c r="A1313" s="1"/>
      <c r="N1313" t="s">
        <v>636</v>
      </c>
    </row>
    <row r="1314" spans="1:14" ht="15" customHeight="1" x14ac:dyDescent="0.25">
      <c r="A1314" s="1"/>
      <c r="N1314" t="s">
        <v>582</v>
      </c>
    </row>
    <row r="1315" spans="1:14" ht="15" customHeight="1" x14ac:dyDescent="0.25">
      <c r="A1315" s="1"/>
      <c r="N1315" t="s">
        <v>683</v>
      </c>
    </row>
    <row r="1316" spans="1:14" ht="15" customHeight="1" x14ac:dyDescent="0.25">
      <c r="A1316" s="1"/>
      <c r="N1316" t="s">
        <v>698</v>
      </c>
    </row>
    <row r="1317" spans="1:14" ht="15" customHeight="1" x14ac:dyDescent="0.25">
      <c r="A1317" s="1"/>
      <c r="N1317" t="s">
        <v>646</v>
      </c>
    </row>
    <row r="1318" spans="1:14" ht="15" customHeight="1" x14ac:dyDescent="0.25">
      <c r="A1318" s="1"/>
      <c r="N1318" t="s">
        <v>732</v>
      </c>
    </row>
    <row r="1319" spans="1:14" ht="15" customHeight="1" x14ac:dyDescent="0.25">
      <c r="A1319" s="1"/>
      <c r="N1319" t="s">
        <v>715</v>
      </c>
    </row>
    <row r="1320" spans="1:14" ht="15" customHeight="1" x14ac:dyDescent="0.25">
      <c r="A1320" s="1"/>
      <c r="N1320" t="s">
        <v>582</v>
      </c>
    </row>
    <row r="1321" spans="1:14" ht="15" customHeight="1" x14ac:dyDescent="0.25">
      <c r="A1321" s="1"/>
      <c r="N1321" t="s">
        <v>458</v>
      </c>
    </row>
    <row r="1322" spans="1:14" ht="15" customHeight="1" x14ac:dyDescent="0.25">
      <c r="A1322" s="1"/>
      <c r="N1322" t="s">
        <v>555</v>
      </c>
    </row>
    <row r="1323" spans="1:14" ht="15" customHeight="1" x14ac:dyDescent="0.25">
      <c r="A1323" s="1"/>
      <c r="N1323" t="s">
        <v>294</v>
      </c>
    </row>
    <row r="1324" spans="1:14" ht="15" customHeight="1" x14ac:dyDescent="0.25">
      <c r="A1324" s="1"/>
      <c r="N1324" t="s">
        <v>732</v>
      </c>
    </row>
    <row r="1325" spans="1:14" ht="15" customHeight="1" x14ac:dyDescent="0.25">
      <c r="A1325" s="1"/>
      <c r="N1325" t="s">
        <v>605</v>
      </c>
    </row>
    <row r="1326" spans="1:14" ht="15" customHeight="1" x14ac:dyDescent="0.25">
      <c r="A1326" s="1"/>
      <c r="N1326" t="s">
        <v>698</v>
      </c>
    </row>
    <row r="1327" spans="1:14" ht="15" customHeight="1" x14ac:dyDescent="0.25">
      <c r="A1327" s="1"/>
      <c r="N1327" t="s">
        <v>448</v>
      </c>
    </row>
    <row r="1328" spans="1:14" ht="15" customHeight="1" x14ac:dyDescent="0.25">
      <c r="A1328" s="1"/>
      <c r="N1328" t="s">
        <v>715</v>
      </c>
    </row>
    <row r="1329" spans="1:14" ht="15" customHeight="1" x14ac:dyDescent="0.25">
      <c r="A1329" s="1"/>
      <c r="N1329" t="s">
        <v>636</v>
      </c>
    </row>
    <row r="1330" spans="1:14" ht="15" customHeight="1" x14ac:dyDescent="0.25">
      <c r="A1330" s="1"/>
      <c r="N1330" t="s">
        <v>683</v>
      </c>
    </row>
    <row r="1331" spans="1:14" ht="15" customHeight="1" x14ac:dyDescent="0.25">
      <c r="A1331" s="1"/>
      <c r="N1331" t="s">
        <v>698</v>
      </c>
    </row>
    <row r="1332" spans="1:14" ht="15" customHeight="1" x14ac:dyDescent="0.25">
      <c r="A1332" s="1"/>
      <c r="N1332" t="s">
        <v>350</v>
      </c>
    </row>
    <row r="1333" spans="1:14" ht="15" customHeight="1" x14ac:dyDescent="0.25">
      <c r="A1333" s="1"/>
      <c r="N1333" t="s">
        <v>715</v>
      </c>
    </row>
    <row r="1334" spans="1:14" ht="15" customHeight="1" x14ac:dyDescent="0.25">
      <c r="A1334" s="1"/>
      <c r="N1334" t="s">
        <v>690</v>
      </c>
    </row>
    <row r="1335" spans="1:14" ht="15" customHeight="1" x14ac:dyDescent="0.25">
      <c r="A1335" s="1"/>
      <c r="N1335" t="s">
        <v>732</v>
      </c>
    </row>
    <row r="1336" spans="1:14" ht="15" customHeight="1" x14ac:dyDescent="0.25">
      <c r="A1336" s="1"/>
      <c r="N1336" t="s">
        <v>663</v>
      </c>
    </row>
    <row r="1337" spans="1:14" ht="15" customHeight="1" x14ac:dyDescent="0.25">
      <c r="A1337" s="1"/>
      <c r="N1337" t="s">
        <v>683</v>
      </c>
    </row>
    <row r="1338" spans="1:14" ht="15" customHeight="1" x14ac:dyDescent="0.25">
      <c r="A1338" s="1"/>
      <c r="N1338" t="s">
        <v>698</v>
      </c>
    </row>
    <row r="1339" spans="1:14" ht="15" customHeight="1" x14ac:dyDescent="0.25">
      <c r="A1339" s="1"/>
      <c r="N1339" t="s">
        <v>582</v>
      </c>
    </row>
    <row r="1340" spans="1:14" ht="15" customHeight="1" x14ac:dyDescent="0.25">
      <c r="A1340" s="1"/>
      <c r="N1340" t="s">
        <v>698</v>
      </c>
    </row>
    <row r="1341" spans="1:14" ht="15" customHeight="1" x14ac:dyDescent="0.25">
      <c r="A1341" s="1"/>
      <c r="N1341" t="s">
        <v>582</v>
      </c>
    </row>
    <row r="1342" spans="1:14" ht="15" customHeight="1" x14ac:dyDescent="0.25">
      <c r="A1342" s="1"/>
      <c r="N1342" t="s">
        <v>474</v>
      </c>
    </row>
    <row r="1343" spans="1:14" ht="15" customHeight="1" x14ac:dyDescent="0.25">
      <c r="A1343" s="1"/>
      <c r="N1343" t="s">
        <v>313</v>
      </c>
    </row>
    <row r="1344" spans="1:14" ht="15" customHeight="1" x14ac:dyDescent="0.25">
      <c r="A1344" s="1"/>
      <c r="N1344" t="s">
        <v>683</v>
      </c>
    </row>
    <row r="1345" spans="1:14" ht="15" customHeight="1" x14ac:dyDescent="0.25">
      <c r="A1345" s="1"/>
      <c r="N1345" t="s">
        <v>634</v>
      </c>
    </row>
    <row r="1346" spans="1:14" ht="15" customHeight="1" x14ac:dyDescent="0.25">
      <c r="A1346" s="1"/>
      <c r="N1346" t="s">
        <v>499</v>
      </c>
    </row>
    <row r="1347" spans="1:14" ht="15" customHeight="1" x14ac:dyDescent="0.25">
      <c r="A1347" s="1"/>
      <c r="N1347" t="s">
        <v>611</v>
      </c>
    </row>
    <row r="1348" spans="1:14" ht="15" customHeight="1" x14ac:dyDescent="0.25">
      <c r="A1348" s="1"/>
      <c r="N1348" t="s">
        <v>690</v>
      </c>
    </row>
    <row r="1349" spans="1:14" ht="15" customHeight="1" x14ac:dyDescent="0.25">
      <c r="A1349" s="1"/>
      <c r="N1349" t="s">
        <v>313</v>
      </c>
    </row>
    <row r="1350" spans="1:14" ht="15" customHeight="1" x14ac:dyDescent="0.25">
      <c r="A1350" s="1"/>
      <c r="N1350" t="s">
        <v>636</v>
      </c>
    </row>
    <row r="1351" spans="1:14" ht="15" customHeight="1" x14ac:dyDescent="0.25">
      <c r="A1351" s="1"/>
      <c r="N1351" t="s">
        <v>683</v>
      </c>
    </row>
    <row r="1352" spans="1:14" ht="15" customHeight="1" x14ac:dyDescent="0.25">
      <c r="A1352" s="1"/>
      <c r="N1352" t="s">
        <v>347</v>
      </c>
    </row>
    <row r="1353" spans="1:14" ht="15" customHeight="1" x14ac:dyDescent="0.25">
      <c r="A1353" s="1"/>
      <c r="N1353" t="s">
        <v>663</v>
      </c>
    </row>
    <row r="1354" spans="1:14" ht="15" customHeight="1" x14ac:dyDescent="0.25">
      <c r="A1354" s="1"/>
      <c r="N1354" t="s">
        <v>579</v>
      </c>
    </row>
    <row r="1355" spans="1:14" ht="15" customHeight="1" x14ac:dyDescent="0.25">
      <c r="A1355" s="1"/>
      <c r="N1355" t="s">
        <v>732</v>
      </c>
    </row>
    <row r="1356" spans="1:14" ht="15" customHeight="1" x14ac:dyDescent="0.25">
      <c r="A1356" s="1"/>
      <c r="N1356" t="s">
        <v>313</v>
      </c>
    </row>
    <row r="1357" spans="1:14" ht="15" customHeight="1" x14ac:dyDescent="0.25">
      <c r="A1357" s="1"/>
      <c r="N1357" t="s">
        <v>463</v>
      </c>
    </row>
    <row r="1358" spans="1:14" ht="15" customHeight="1" x14ac:dyDescent="0.25">
      <c r="A1358" s="1"/>
      <c r="N1358" t="s">
        <v>732</v>
      </c>
    </row>
    <row r="1359" spans="1:14" ht="15" customHeight="1" x14ac:dyDescent="0.25">
      <c r="A1359" s="1"/>
      <c r="N1359" t="s">
        <v>313</v>
      </c>
    </row>
    <row r="1360" spans="1:14" ht="15" customHeight="1" x14ac:dyDescent="0.25">
      <c r="A1360" s="1"/>
      <c r="N1360" t="s">
        <v>654</v>
      </c>
    </row>
    <row r="1361" spans="1:14" ht="15" customHeight="1" x14ac:dyDescent="0.25">
      <c r="A1361" s="1"/>
      <c r="N1361" t="s">
        <v>680</v>
      </c>
    </row>
    <row r="1362" spans="1:14" ht="15" customHeight="1" x14ac:dyDescent="0.25">
      <c r="A1362" s="1"/>
      <c r="N1362" t="s">
        <v>313</v>
      </c>
    </row>
    <row r="1363" spans="1:14" ht="15" customHeight="1" x14ac:dyDescent="0.25">
      <c r="A1363" s="1"/>
      <c r="N1363" t="s">
        <v>713</v>
      </c>
    </row>
    <row r="1364" spans="1:14" ht="15" customHeight="1" x14ac:dyDescent="0.25">
      <c r="A1364" s="1"/>
      <c r="N1364" t="s">
        <v>313</v>
      </c>
    </row>
    <row r="1365" spans="1:14" ht="15" customHeight="1" x14ac:dyDescent="0.25">
      <c r="A1365" s="1"/>
      <c r="N1365" t="s">
        <v>663</v>
      </c>
    </row>
    <row r="1366" spans="1:14" ht="15" customHeight="1" x14ac:dyDescent="0.25">
      <c r="A1366" s="1"/>
      <c r="N1366" t="s">
        <v>579</v>
      </c>
    </row>
    <row r="1367" spans="1:14" ht="15" customHeight="1" x14ac:dyDescent="0.25">
      <c r="A1367" s="1"/>
      <c r="N1367" t="s">
        <v>355</v>
      </c>
    </row>
    <row r="1368" spans="1:14" ht="15" customHeight="1" x14ac:dyDescent="0.25">
      <c r="A1368" s="1"/>
      <c r="N1368" t="s">
        <v>313</v>
      </c>
    </row>
    <row r="1369" spans="1:14" ht="15" customHeight="1" x14ac:dyDescent="0.25">
      <c r="A1369" s="1"/>
      <c r="N1369" t="s">
        <v>732</v>
      </c>
    </row>
    <row r="1370" spans="1:14" ht="15" customHeight="1" x14ac:dyDescent="0.25">
      <c r="A1370" s="1"/>
      <c r="N1370" t="s">
        <v>540</v>
      </c>
    </row>
    <row r="1371" spans="1:14" ht="15" customHeight="1" x14ac:dyDescent="0.25">
      <c r="A1371" s="1"/>
      <c r="N1371" t="s">
        <v>732</v>
      </c>
    </row>
    <row r="1372" spans="1:14" ht="15" customHeight="1" x14ac:dyDescent="0.25">
      <c r="A1372" s="1"/>
      <c r="N1372" t="s">
        <v>485</v>
      </c>
    </row>
    <row r="1373" spans="1:14" ht="15" customHeight="1" x14ac:dyDescent="0.25">
      <c r="A1373" s="1"/>
      <c r="N1373" t="s">
        <v>654</v>
      </c>
    </row>
    <row r="1374" spans="1:14" ht="15" customHeight="1" x14ac:dyDescent="0.25">
      <c r="A1374" s="1"/>
      <c r="N1374" t="s">
        <v>363</v>
      </c>
    </row>
    <row r="1375" spans="1:14" ht="15" customHeight="1" x14ac:dyDescent="0.25">
      <c r="A1375" s="1"/>
      <c r="N1375" t="s">
        <v>370</v>
      </c>
    </row>
    <row r="1376" spans="1:14" ht="15" customHeight="1" x14ac:dyDescent="0.25">
      <c r="A1376" s="1"/>
      <c r="N1376" t="s">
        <v>732</v>
      </c>
    </row>
    <row r="1377" spans="1:14" ht="15" customHeight="1" x14ac:dyDescent="0.25">
      <c r="A1377" s="1"/>
      <c r="N1377" t="s">
        <v>732</v>
      </c>
    </row>
    <row r="1378" spans="1:14" ht="15" customHeight="1" x14ac:dyDescent="0.25">
      <c r="A1378" s="1"/>
      <c r="N1378" t="s">
        <v>304</v>
      </c>
    </row>
    <row r="1379" spans="1:14" ht="15" customHeight="1" x14ac:dyDescent="0.25">
      <c r="A1379" s="1"/>
      <c r="N1379" t="s">
        <v>696</v>
      </c>
    </row>
    <row r="1380" spans="1:14" ht="15" customHeight="1" x14ac:dyDescent="0.25">
      <c r="A1380" s="1"/>
      <c r="N1380" t="s">
        <v>313</v>
      </c>
    </row>
    <row r="1381" spans="1:14" ht="15" customHeight="1" x14ac:dyDescent="0.25">
      <c r="A1381" s="1"/>
      <c r="N1381" t="s">
        <v>313</v>
      </c>
    </row>
    <row r="1382" spans="1:14" ht="15" customHeight="1" x14ac:dyDescent="0.25">
      <c r="A1382" s="1"/>
      <c r="N1382" t="s">
        <v>680</v>
      </c>
    </row>
    <row r="1383" spans="1:14" ht="15" customHeight="1" x14ac:dyDescent="0.25">
      <c r="A1383" s="1"/>
      <c r="N1383" t="s">
        <v>582</v>
      </c>
    </row>
    <row r="1384" spans="1:14" ht="15" customHeight="1" x14ac:dyDescent="0.25">
      <c r="A1384" s="1"/>
      <c r="N1384" t="s">
        <v>732</v>
      </c>
    </row>
    <row r="1385" spans="1:14" ht="15" customHeight="1" x14ac:dyDescent="0.25">
      <c r="A1385" s="1"/>
      <c r="N1385" t="s">
        <v>732</v>
      </c>
    </row>
    <row r="1386" spans="1:14" ht="15" customHeight="1" x14ac:dyDescent="0.25">
      <c r="A1386" s="1"/>
      <c r="N1386" t="s">
        <v>313</v>
      </c>
    </row>
    <row r="1387" spans="1:14" ht="15" customHeight="1" x14ac:dyDescent="0.25">
      <c r="A1387" s="1"/>
      <c r="N1387" t="s">
        <v>313</v>
      </c>
    </row>
    <row r="1388" spans="1:14" ht="15" customHeight="1" x14ac:dyDescent="0.25">
      <c r="A1388" s="1"/>
      <c r="N1388" t="s">
        <v>715</v>
      </c>
    </row>
    <row r="1389" spans="1:14" ht="15" customHeight="1" x14ac:dyDescent="0.25">
      <c r="A1389" s="1"/>
      <c r="N1389" t="s">
        <v>698</v>
      </c>
    </row>
    <row r="1390" spans="1:14" ht="15" customHeight="1" x14ac:dyDescent="0.25">
      <c r="A1390" s="1"/>
      <c r="N1390" t="s">
        <v>582</v>
      </c>
    </row>
    <row r="1391" spans="1:14" ht="15" customHeight="1" x14ac:dyDescent="0.25">
      <c r="A1391" s="1"/>
      <c r="N1391" t="s">
        <v>696</v>
      </c>
    </row>
    <row r="1392" spans="1:14" ht="15" customHeight="1" x14ac:dyDescent="0.25">
      <c r="A1392" s="1"/>
      <c r="N1392" t="s">
        <v>582</v>
      </c>
    </row>
    <row r="1393" spans="1:14" ht="15" customHeight="1" x14ac:dyDescent="0.25">
      <c r="A1393" s="1"/>
      <c r="N1393" t="s">
        <v>582</v>
      </c>
    </row>
    <row r="1394" spans="1:14" ht="15" customHeight="1" x14ac:dyDescent="0.25">
      <c r="A1394" s="1"/>
      <c r="N1394" t="s">
        <v>68</v>
      </c>
    </row>
    <row r="1395" spans="1:14" ht="15" customHeight="1" x14ac:dyDescent="0.25">
      <c r="A1395" s="1"/>
      <c r="N1395" t="s">
        <v>685</v>
      </c>
    </row>
    <row r="1396" spans="1:14" ht="15" customHeight="1" x14ac:dyDescent="0.25">
      <c r="A1396" s="1"/>
      <c r="N1396" t="s">
        <v>734</v>
      </c>
    </row>
    <row r="1397" spans="1:14" ht="15" customHeight="1" x14ac:dyDescent="0.25">
      <c r="A1397" s="1"/>
      <c r="N1397" t="s">
        <v>715</v>
      </c>
    </row>
    <row r="1398" spans="1:14" ht="15" customHeight="1" x14ac:dyDescent="0.25">
      <c r="A1398" s="1"/>
      <c r="N1398" t="s">
        <v>732</v>
      </c>
    </row>
    <row r="1399" spans="1:14" ht="15" customHeight="1" x14ac:dyDescent="0.25">
      <c r="A1399" s="1"/>
      <c r="N1399" t="s">
        <v>684</v>
      </c>
    </row>
    <row r="1400" spans="1:14" ht="15" customHeight="1" x14ac:dyDescent="0.25">
      <c r="A1400" s="1"/>
      <c r="N1400" t="s">
        <v>732</v>
      </c>
    </row>
    <row r="1401" spans="1:14" ht="15" customHeight="1" x14ac:dyDescent="0.25">
      <c r="A1401" s="1"/>
      <c r="N1401" t="s">
        <v>582</v>
      </c>
    </row>
    <row r="1402" spans="1:14" ht="15" customHeight="1" x14ac:dyDescent="0.25">
      <c r="A1402" s="1"/>
      <c r="N1402" t="s">
        <v>68</v>
      </c>
    </row>
    <row r="1403" spans="1:14" ht="15" customHeight="1" x14ac:dyDescent="0.25">
      <c r="A1403" s="1"/>
      <c r="N1403" t="s">
        <v>582</v>
      </c>
    </row>
    <row r="1404" spans="1:14" ht="15" customHeight="1" x14ac:dyDescent="0.25">
      <c r="A1404" s="1"/>
      <c r="N1404" t="s">
        <v>68</v>
      </c>
    </row>
    <row r="1405" spans="1:14" ht="15" customHeight="1" x14ac:dyDescent="0.25">
      <c r="A1405" s="1"/>
      <c r="N1405" t="s">
        <v>68</v>
      </c>
    </row>
    <row r="1406" spans="1:14" ht="15" customHeight="1" x14ac:dyDescent="0.25">
      <c r="A1406" s="1"/>
      <c r="N1406" t="s">
        <v>582</v>
      </c>
    </row>
    <row r="1407" spans="1:14" ht="15" customHeight="1" x14ac:dyDescent="0.25">
      <c r="A1407" s="1"/>
      <c r="N1407" t="s">
        <v>713</v>
      </c>
    </row>
    <row r="1408" spans="1:14" ht="15" customHeight="1" x14ac:dyDescent="0.25">
      <c r="A1408" s="1"/>
      <c r="N1408" t="s">
        <v>713</v>
      </c>
    </row>
    <row r="1409" spans="1:14" ht="15" customHeight="1" x14ac:dyDescent="0.25">
      <c r="A1409" s="1"/>
      <c r="N1409" t="s">
        <v>713</v>
      </c>
    </row>
    <row r="1410" spans="1:14" ht="15" customHeight="1" x14ac:dyDescent="0.25">
      <c r="A1410" s="1"/>
      <c r="N1410" t="s">
        <v>685</v>
      </c>
    </row>
    <row r="1411" spans="1:14" ht="15" customHeight="1" x14ac:dyDescent="0.25">
      <c r="A1411" s="1"/>
      <c r="N1411" t="s">
        <v>732</v>
      </c>
    </row>
    <row r="1412" spans="1:14" ht="15" customHeight="1" x14ac:dyDescent="0.25">
      <c r="A1412" s="1"/>
      <c r="N1412" t="s">
        <v>687</v>
      </c>
    </row>
    <row r="1413" spans="1:14" ht="15" customHeight="1" x14ac:dyDescent="0.25">
      <c r="A1413" s="1"/>
      <c r="N1413" t="s">
        <v>313</v>
      </c>
    </row>
    <row r="1414" spans="1:14" ht="15" customHeight="1" x14ac:dyDescent="0.25">
      <c r="A1414" s="1"/>
      <c r="N1414" t="s">
        <v>670</v>
      </c>
    </row>
    <row r="1415" spans="1:14" ht="15" customHeight="1" x14ac:dyDescent="0.25">
      <c r="A1415" s="1"/>
      <c r="N1415" t="s">
        <v>646</v>
      </c>
    </row>
    <row r="1416" spans="1:14" ht="15" customHeight="1" x14ac:dyDescent="0.25">
      <c r="A1416" s="1"/>
      <c r="N1416" t="s">
        <v>304</v>
      </c>
    </row>
    <row r="1417" spans="1:14" ht="15" customHeight="1" x14ac:dyDescent="0.25">
      <c r="A1417" s="1"/>
      <c r="N1417" t="s">
        <v>735</v>
      </c>
    </row>
    <row r="1418" spans="1:14" ht="15" customHeight="1" x14ac:dyDescent="0.25">
      <c r="A1418" s="1"/>
      <c r="N1418" t="s">
        <v>735</v>
      </c>
    </row>
    <row r="1419" spans="1:14" ht="15" customHeight="1" x14ac:dyDescent="0.25">
      <c r="A1419" s="1"/>
      <c r="N1419" t="s">
        <v>735</v>
      </c>
    </row>
    <row r="1420" spans="1:14" ht="15" customHeight="1" x14ac:dyDescent="0.25">
      <c r="A1420" s="1"/>
      <c r="N1420" t="s">
        <v>735</v>
      </c>
    </row>
    <row r="1421" spans="1:14" ht="15" customHeight="1" x14ac:dyDescent="0.25">
      <c r="A1421" s="1"/>
      <c r="N1421" t="s">
        <v>735</v>
      </c>
    </row>
    <row r="1422" spans="1:14" ht="15" customHeight="1" x14ac:dyDescent="0.25">
      <c r="A1422" s="1"/>
      <c r="N1422" t="s">
        <v>313</v>
      </c>
    </row>
    <row r="1423" spans="1:14" ht="15" customHeight="1" x14ac:dyDescent="0.25">
      <c r="A1423" s="1"/>
      <c r="N1423" t="s">
        <v>680</v>
      </c>
    </row>
    <row r="1424" spans="1:14" ht="15" customHeight="1" x14ac:dyDescent="0.25">
      <c r="A1424" s="1"/>
      <c r="N1424" t="s">
        <v>732</v>
      </c>
    </row>
    <row r="1425" spans="1:14" ht="15" customHeight="1" x14ac:dyDescent="0.25">
      <c r="A1425" s="1"/>
      <c r="N1425" t="s">
        <v>313</v>
      </c>
    </row>
    <row r="1426" spans="1:14" ht="15" customHeight="1" x14ac:dyDescent="0.25">
      <c r="A1426" s="1"/>
      <c r="N1426" t="s">
        <v>68</v>
      </c>
    </row>
    <row r="1427" spans="1:14" ht="15" customHeight="1" x14ac:dyDescent="0.25">
      <c r="A1427" s="1"/>
      <c r="N1427" t="s">
        <v>675</v>
      </c>
    </row>
    <row r="1428" spans="1:14" ht="15" customHeight="1" x14ac:dyDescent="0.25">
      <c r="A1428" s="1"/>
      <c r="N1428" t="s">
        <v>539</v>
      </c>
    </row>
    <row r="1429" spans="1:14" ht="15" customHeight="1" x14ac:dyDescent="0.25">
      <c r="A1429" s="1"/>
      <c r="N1429" t="s">
        <v>68</v>
      </c>
    </row>
    <row r="1430" spans="1:14" ht="15" customHeight="1" x14ac:dyDescent="0.25">
      <c r="A1430" s="1"/>
      <c r="N1430" t="s">
        <v>732</v>
      </c>
    </row>
    <row r="1431" spans="1:14" ht="15" customHeight="1" x14ac:dyDescent="0.25">
      <c r="A1431" s="1"/>
      <c r="N1431" t="s">
        <v>684</v>
      </c>
    </row>
    <row r="1432" spans="1:14" ht="15" customHeight="1" x14ac:dyDescent="0.25">
      <c r="A1432" s="1"/>
      <c r="N1432" t="s">
        <v>68</v>
      </c>
    </row>
    <row r="1433" spans="1:14" ht="15" customHeight="1" x14ac:dyDescent="0.25">
      <c r="A1433" s="1"/>
      <c r="N1433" t="s">
        <v>553</v>
      </c>
    </row>
    <row r="1434" spans="1:14" ht="15" customHeight="1" x14ac:dyDescent="0.25">
      <c r="A1434" s="1"/>
      <c r="N1434" t="s">
        <v>68</v>
      </c>
    </row>
    <row r="1435" spans="1:14" ht="15" customHeight="1" x14ac:dyDescent="0.25">
      <c r="A1435" s="1"/>
      <c r="N1435" t="s">
        <v>582</v>
      </c>
    </row>
    <row r="1436" spans="1:14" ht="15" customHeight="1" x14ac:dyDescent="0.25">
      <c r="A1436" s="1"/>
      <c r="N1436" t="s">
        <v>713</v>
      </c>
    </row>
    <row r="1437" spans="1:14" ht="15" customHeight="1" x14ac:dyDescent="0.25">
      <c r="A1437" s="1"/>
      <c r="N1437" t="s">
        <v>732</v>
      </c>
    </row>
    <row r="1438" spans="1:14" ht="15" customHeight="1" x14ac:dyDescent="0.25">
      <c r="A1438" s="1"/>
      <c r="N1438" t="s">
        <v>603</v>
      </c>
    </row>
    <row r="1439" spans="1:14" ht="15" customHeight="1" x14ac:dyDescent="0.25">
      <c r="A1439" s="1"/>
      <c r="N1439" t="s">
        <v>654</v>
      </c>
    </row>
    <row r="1440" spans="1:14" ht="15" customHeight="1" x14ac:dyDescent="0.25">
      <c r="A1440" s="1"/>
      <c r="N1440" t="s">
        <v>685</v>
      </c>
    </row>
    <row r="1441" spans="1:14" ht="15" customHeight="1" x14ac:dyDescent="0.25">
      <c r="A1441" s="1"/>
      <c r="N1441" t="s">
        <v>313</v>
      </c>
    </row>
    <row r="1442" spans="1:14" ht="15" customHeight="1" x14ac:dyDescent="0.25">
      <c r="A1442" s="1"/>
      <c r="N1442" t="s">
        <v>685</v>
      </c>
    </row>
    <row r="1443" spans="1:14" ht="15" customHeight="1" x14ac:dyDescent="0.25">
      <c r="A1443" s="1"/>
      <c r="N1443" t="s">
        <v>696</v>
      </c>
    </row>
    <row r="1444" spans="1:14" ht="15" customHeight="1" x14ac:dyDescent="0.25">
      <c r="A1444" s="1"/>
      <c r="N1444" t="s">
        <v>313</v>
      </c>
    </row>
    <row r="1445" spans="1:14" ht="15" customHeight="1" x14ac:dyDescent="0.25">
      <c r="A1445" s="1"/>
      <c r="N1445" t="s">
        <v>675</v>
      </c>
    </row>
    <row r="1446" spans="1:14" ht="15" customHeight="1" x14ac:dyDescent="0.25">
      <c r="A1446" s="1"/>
      <c r="N1446" t="s">
        <v>582</v>
      </c>
    </row>
    <row r="1447" spans="1:14" ht="15" customHeight="1" x14ac:dyDescent="0.25">
      <c r="A1447" s="1"/>
      <c r="N1447" t="s">
        <v>582</v>
      </c>
    </row>
    <row r="1448" spans="1:14" ht="15" customHeight="1" x14ac:dyDescent="0.25">
      <c r="A1448" s="1"/>
      <c r="N1448" t="s">
        <v>713</v>
      </c>
    </row>
    <row r="1449" spans="1:14" ht="15" customHeight="1" x14ac:dyDescent="0.25">
      <c r="A1449" s="1"/>
      <c r="N1449" t="s">
        <v>558</v>
      </c>
    </row>
    <row r="1450" spans="1:14" ht="15" customHeight="1" x14ac:dyDescent="0.25">
      <c r="A1450" s="1"/>
      <c r="N1450" t="s">
        <v>732</v>
      </c>
    </row>
    <row r="1451" spans="1:14" ht="15" customHeight="1" x14ac:dyDescent="0.25">
      <c r="A1451" s="1"/>
      <c r="N1451" t="s">
        <v>670</v>
      </c>
    </row>
    <row r="1452" spans="1:14" ht="15" customHeight="1" x14ac:dyDescent="0.25">
      <c r="A1452" s="1"/>
      <c r="N1452" t="s">
        <v>670</v>
      </c>
    </row>
    <row r="1453" spans="1:14" ht="15" customHeight="1" x14ac:dyDescent="0.25">
      <c r="A1453" s="1"/>
      <c r="N1453" t="s">
        <v>370</v>
      </c>
    </row>
    <row r="1454" spans="1:14" ht="15" customHeight="1" x14ac:dyDescent="0.25">
      <c r="A1454" s="1"/>
      <c r="N1454" t="s">
        <v>714</v>
      </c>
    </row>
    <row r="1455" spans="1:14" ht="15" customHeight="1" x14ac:dyDescent="0.25">
      <c r="A1455" s="1"/>
      <c r="N1455" t="s">
        <v>685</v>
      </c>
    </row>
    <row r="1456" spans="1:14" ht="15" customHeight="1" x14ac:dyDescent="0.25">
      <c r="A1456" s="1"/>
      <c r="N1456" t="s">
        <v>582</v>
      </c>
    </row>
    <row r="1457" spans="1:14" ht="15" customHeight="1" x14ac:dyDescent="0.25">
      <c r="A1457" s="1"/>
      <c r="N1457" t="s">
        <v>686</v>
      </c>
    </row>
    <row r="1458" spans="1:14" ht="15" customHeight="1" x14ac:dyDescent="0.25">
      <c r="A1458" s="1"/>
      <c r="N1458" t="s">
        <v>670</v>
      </c>
    </row>
    <row r="1459" spans="1:14" ht="15" customHeight="1" x14ac:dyDescent="0.25">
      <c r="A1459" s="1"/>
      <c r="N1459" t="s">
        <v>304</v>
      </c>
    </row>
    <row r="1460" spans="1:14" ht="15" customHeight="1" x14ac:dyDescent="0.25">
      <c r="A1460" s="1"/>
      <c r="N1460" t="s">
        <v>669</v>
      </c>
    </row>
    <row r="1461" spans="1:14" ht="15" customHeight="1" x14ac:dyDescent="0.25">
      <c r="A1461" s="1"/>
      <c r="N1461" t="s">
        <v>553</v>
      </c>
    </row>
    <row r="1462" spans="1:14" ht="15" customHeight="1" x14ac:dyDescent="0.25">
      <c r="A1462" s="1"/>
      <c r="N1462" t="s">
        <v>582</v>
      </c>
    </row>
    <row r="1463" spans="1:14" ht="15" customHeight="1" x14ac:dyDescent="0.25">
      <c r="A1463" s="1"/>
      <c r="N1463" t="s">
        <v>715</v>
      </c>
    </row>
    <row r="1464" spans="1:14" ht="15" customHeight="1" x14ac:dyDescent="0.25">
      <c r="A1464" s="1"/>
      <c r="N1464" t="s">
        <v>714</v>
      </c>
    </row>
    <row r="1465" spans="1:14" ht="15" customHeight="1" x14ac:dyDescent="0.25">
      <c r="A1465" s="1"/>
      <c r="N1465" t="s">
        <v>642</v>
      </c>
    </row>
    <row r="1466" spans="1:14" ht="15" customHeight="1" x14ac:dyDescent="0.25">
      <c r="A1466" s="1"/>
      <c r="N1466" t="s">
        <v>690</v>
      </c>
    </row>
    <row r="1467" spans="1:14" ht="15" customHeight="1" x14ac:dyDescent="0.25">
      <c r="A1467" s="1"/>
      <c r="N1467" t="s">
        <v>582</v>
      </c>
    </row>
    <row r="1468" spans="1:14" ht="15" customHeight="1" x14ac:dyDescent="0.25">
      <c r="A1468" s="1"/>
      <c r="N1468" t="s">
        <v>605</v>
      </c>
    </row>
    <row r="1469" spans="1:14" ht="15" customHeight="1" x14ac:dyDescent="0.25">
      <c r="A1469" s="1"/>
      <c r="N1469" t="s">
        <v>732</v>
      </c>
    </row>
    <row r="1470" spans="1:14" ht="15" customHeight="1" x14ac:dyDescent="0.25">
      <c r="A1470" s="1"/>
      <c r="N1470" t="s">
        <v>714</v>
      </c>
    </row>
    <row r="1471" spans="1:14" ht="15" customHeight="1" x14ac:dyDescent="0.25">
      <c r="A1471" s="1"/>
      <c r="N1471" t="s">
        <v>304</v>
      </c>
    </row>
    <row r="1472" spans="1:14" ht="15" customHeight="1" x14ac:dyDescent="0.25">
      <c r="A1472" s="1"/>
      <c r="N1472" t="s">
        <v>642</v>
      </c>
    </row>
    <row r="1473" spans="1:14" ht="15" customHeight="1" x14ac:dyDescent="0.25">
      <c r="A1473" s="1"/>
      <c r="N1473" t="s">
        <v>714</v>
      </c>
    </row>
    <row r="1474" spans="1:14" ht="15" customHeight="1" x14ac:dyDescent="0.25">
      <c r="A1474" s="1"/>
      <c r="N1474" t="s">
        <v>371</v>
      </c>
    </row>
    <row r="1475" spans="1:14" ht="15" customHeight="1" x14ac:dyDescent="0.25">
      <c r="A1475" s="1"/>
      <c r="N1475" t="s">
        <v>425</v>
      </c>
    </row>
    <row r="1476" spans="1:14" ht="15" customHeight="1" x14ac:dyDescent="0.25">
      <c r="A1476" s="1"/>
      <c r="N1476" t="s">
        <v>582</v>
      </c>
    </row>
    <row r="1477" spans="1:14" ht="15" customHeight="1" x14ac:dyDescent="0.25">
      <c r="A1477" s="1"/>
      <c r="N1477" t="s">
        <v>684</v>
      </c>
    </row>
    <row r="1478" spans="1:14" ht="15" customHeight="1" x14ac:dyDescent="0.25">
      <c r="A1478" s="1"/>
      <c r="N1478" t="s">
        <v>685</v>
      </c>
    </row>
    <row r="1479" spans="1:14" ht="15" customHeight="1" x14ac:dyDescent="0.25">
      <c r="A1479" s="1"/>
      <c r="N1479" t="s">
        <v>313</v>
      </c>
    </row>
    <row r="1480" spans="1:14" ht="15" customHeight="1" x14ac:dyDescent="0.25">
      <c r="A1480" s="1"/>
      <c r="N1480" t="s">
        <v>714</v>
      </c>
    </row>
    <row r="1481" spans="1:14" ht="15" customHeight="1" x14ac:dyDescent="0.25">
      <c r="A1481" s="1"/>
      <c r="N1481" t="s">
        <v>687</v>
      </c>
    </row>
    <row r="1482" spans="1:14" ht="15" customHeight="1" x14ac:dyDescent="0.25">
      <c r="A1482" s="1"/>
      <c r="N1482" t="s">
        <v>642</v>
      </c>
    </row>
    <row r="1483" spans="1:14" ht="15" customHeight="1" x14ac:dyDescent="0.25">
      <c r="A1483" s="1"/>
      <c r="N1483" t="s">
        <v>638</v>
      </c>
    </row>
    <row r="1484" spans="1:14" ht="15" customHeight="1" x14ac:dyDescent="0.25">
      <c r="A1484" s="1"/>
      <c r="N1484" t="s">
        <v>582</v>
      </c>
    </row>
    <row r="1485" spans="1:14" ht="15" customHeight="1" x14ac:dyDescent="0.25">
      <c r="A1485" s="1"/>
      <c r="N1485" t="s">
        <v>582</v>
      </c>
    </row>
    <row r="1486" spans="1:14" ht="15" customHeight="1" x14ac:dyDescent="0.25">
      <c r="A1486" s="1"/>
      <c r="N1486" t="s">
        <v>714</v>
      </c>
    </row>
    <row r="1487" spans="1:14" ht="15" customHeight="1" x14ac:dyDescent="0.25">
      <c r="A1487" s="1"/>
      <c r="N1487" t="s">
        <v>714</v>
      </c>
    </row>
    <row r="1488" spans="1:14" ht="15" customHeight="1" x14ac:dyDescent="0.25">
      <c r="A1488" s="1"/>
      <c r="N1488" t="s">
        <v>638</v>
      </c>
    </row>
    <row r="1489" spans="1:14" ht="15" customHeight="1" x14ac:dyDescent="0.25">
      <c r="A1489" s="1"/>
      <c r="N1489" t="s">
        <v>638</v>
      </c>
    </row>
    <row r="1490" spans="1:14" ht="15" customHeight="1" x14ac:dyDescent="0.25">
      <c r="A1490" s="1"/>
      <c r="N1490" t="s">
        <v>582</v>
      </c>
    </row>
    <row r="1491" spans="1:14" ht="15" customHeight="1" x14ac:dyDescent="0.25">
      <c r="A1491" s="1"/>
      <c r="N1491" t="s">
        <v>68</v>
      </c>
    </row>
    <row r="1492" spans="1:14" ht="15" customHeight="1" x14ac:dyDescent="0.25">
      <c r="A1492" s="1"/>
      <c r="N1492" t="s">
        <v>675</v>
      </c>
    </row>
    <row r="1493" spans="1:14" ht="15" customHeight="1" x14ac:dyDescent="0.25">
      <c r="A1493" s="1"/>
      <c r="N1493" t="s">
        <v>706</v>
      </c>
    </row>
    <row r="1494" spans="1:14" ht="15" customHeight="1" x14ac:dyDescent="0.25">
      <c r="A1494" s="1"/>
      <c r="N1494" t="s">
        <v>582</v>
      </c>
    </row>
    <row r="1495" spans="1:14" ht="15" customHeight="1" x14ac:dyDescent="0.25">
      <c r="A1495" s="1"/>
      <c r="N1495" t="s">
        <v>68</v>
      </c>
    </row>
    <row r="1496" spans="1:14" ht="15" customHeight="1" x14ac:dyDescent="0.25">
      <c r="A1496" s="1"/>
      <c r="N1496" t="s">
        <v>622</v>
      </c>
    </row>
    <row r="1497" spans="1:14" ht="15" customHeight="1" x14ac:dyDescent="0.25">
      <c r="A1497" s="1"/>
      <c r="N1497" t="s">
        <v>68</v>
      </c>
    </row>
    <row r="1498" spans="1:14" ht="15" customHeight="1" x14ac:dyDescent="0.25">
      <c r="A1498" s="1"/>
      <c r="N1498" t="s">
        <v>736</v>
      </c>
    </row>
    <row r="1499" spans="1:14" ht="15" customHeight="1" x14ac:dyDescent="0.25">
      <c r="A1499" s="1"/>
      <c r="N1499" t="s">
        <v>68</v>
      </c>
    </row>
    <row r="1500" spans="1:14" ht="15" customHeight="1" x14ac:dyDescent="0.25">
      <c r="A1500" s="1"/>
      <c r="N1500" t="s">
        <v>689</v>
      </c>
    </row>
    <row r="1501" spans="1:14" ht="15" customHeight="1" x14ac:dyDescent="0.25">
      <c r="A1501" s="1"/>
      <c r="N1501" t="s">
        <v>706</v>
      </c>
    </row>
    <row r="1502" spans="1:14" ht="15" customHeight="1" x14ac:dyDescent="0.25">
      <c r="A1502" s="1"/>
      <c r="N1502" t="s">
        <v>582</v>
      </c>
    </row>
    <row r="1503" spans="1:14" ht="15" customHeight="1" x14ac:dyDescent="0.25">
      <c r="A1503" s="1"/>
      <c r="N1503" t="s">
        <v>68</v>
      </c>
    </row>
    <row r="1504" spans="1:14" ht="15" customHeight="1" x14ac:dyDescent="0.25">
      <c r="A1504" s="1"/>
      <c r="N1504" t="s">
        <v>732</v>
      </c>
    </row>
    <row r="1505" spans="1:14" ht="15" customHeight="1" x14ac:dyDescent="0.25">
      <c r="A1505" s="1"/>
      <c r="N1505" t="s">
        <v>496</v>
      </c>
    </row>
    <row r="1506" spans="1:14" ht="15" customHeight="1" x14ac:dyDescent="0.25">
      <c r="A1506" s="1"/>
      <c r="N1506" t="s">
        <v>68</v>
      </c>
    </row>
    <row r="1507" spans="1:14" ht="15" customHeight="1" x14ac:dyDescent="0.25">
      <c r="A1507" s="1"/>
      <c r="N1507" t="s">
        <v>68</v>
      </c>
    </row>
    <row r="1508" spans="1:14" ht="15" customHeight="1" x14ac:dyDescent="0.25">
      <c r="A1508" s="1"/>
      <c r="N1508" t="s">
        <v>689</v>
      </c>
    </row>
    <row r="1509" spans="1:14" ht="15" customHeight="1" x14ac:dyDescent="0.25">
      <c r="A1509" s="1"/>
      <c r="N1509" t="s">
        <v>684</v>
      </c>
    </row>
    <row r="1510" spans="1:14" ht="15" customHeight="1" x14ac:dyDescent="0.25">
      <c r="A1510" s="1"/>
      <c r="N1510" t="s">
        <v>582</v>
      </c>
    </row>
    <row r="1511" spans="1:14" ht="15" customHeight="1" x14ac:dyDescent="0.25">
      <c r="A1511" s="1"/>
      <c r="N1511" t="s">
        <v>68</v>
      </c>
    </row>
    <row r="1512" spans="1:14" ht="15" customHeight="1" x14ac:dyDescent="0.25">
      <c r="A1512" s="1"/>
      <c r="N1512" t="s">
        <v>675</v>
      </c>
    </row>
    <row r="1513" spans="1:14" ht="15" customHeight="1" x14ac:dyDescent="0.25">
      <c r="A1513" s="1"/>
      <c r="N1513" t="s">
        <v>68</v>
      </c>
    </row>
    <row r="1514" spans="1:14" ht="15" customHeight="1" x14ac:dyDescent="0.25">
      <c r="A1514" s="1"/>
      <c r="N1514" t="s">
        <v>706</v>
      </c>
    </row>
    <row r="1515" spans="1:14" ht="15" customHeight="1" x14ac:dyDescent="0.25">
      <c r="A1515" s="1"/>
      <c r="N1515" t="s">
        <v>313</v>
      </c>
    </row>
    <row r="1516" spans="1:14" ht="15" customHeight="1" x14ac:dyDescent="0.25">
      <c r="A1516" s="1"/>
      <c r="N1516" t="s">
        <v>621</v>
      </c>
    </row>
    <row r="1517" spans="1:14" ht="15" customHeight="1" x14ac:dyDescent="0.25">
      <c r="A1517" s="1"/>
      <c r="N1517" t="s">
        <v>68</v>
      </c>
    </row>
    <row r="1518" spans="1:14" ht="15" customHeight="1" x14ac:dyDescent="0.25">
      <c r="A1518" s="1"/>
      <c r="N1518" t="s">
        <v>582</v>
      </c>
    </row>
    <row r="1519" spans="1:14" ht="15" customHeight="1" x14ac:dyDescent="0.25">
      <c r="A1519" s="1"/>
      <c r="N1519" t="s">
        <v>313</v>
      </c>
    </row>
    <row r="1520" spans="1:14" ht="15" customHeight="1" x14ac:dyDescent="0.25">
      <c r="A1520" s="1"/>
      <c r="N1520" t="s">
        <v>677</v>
      </c>
    </row>
    <row r="1521" spans="1:14" ht="15" customHeight="1" x14ac:dyDescent="0.25">
      <c r="A1521" s="1"/>
      <c r="N1521" t="s">
        <v>68</v>
      </c>
    </row>
    <row r="1522" spans="1:14" ht="15" customHeight="1" x14ac:dyDescent="0.25">
      <c r="A1522" s="1"/>
      <c r="N1522" t="s">
        <v>68</v>
      </c>
    </row>
    <row r="1523" spans="1:14" ht="15" customHeight="1" x14ac:dyDescent="0.25">
      <c r="A1523" s="1"/>
      <c r="N1523" t="s">
        <v>677</v>
      </c>
    </row>
    <row r="1524" spans="1:14" ht="15" customHeight="1" x14ac:dyDescent="0.25">
      <c r="A1524" s="1"/>
      <c r="N1524" t="s">
        <v>677</v>
      </c>
    </row>
    <row r="1525" spans="1:14" ht="15" customHeight="1" x14ac:dyDescent="0.25">
      <c r="A1525" s="1"/>
      <c r="N1525" t="s">
        <v>68</v>
      </c>
    </row>
    <row r="1526" spans="1:14" ht="15" customHeight="1" x14ac:dyDescent="0.25">
      <c r="A1526" s="1"/>
      <c r="N1526" t="s">
        <v>68</v>
      </c>
    </row>
    <row r="1527" spans="1:14" ht="15" customHeight="1" x14ac:dyDescent="0.25">
      <c r="A1527" s="1"/>
      <c r="N1527" t="s">
        <v>687</v>
      </c>
    </row>
    <row r="1528" spans="1:14" ht="15" customHeight="1" x14ac:dyDescent="0.25">
      <c r="A1528" s="1"/>
      <c r="N1528" t="s">
        <v>582</v>
      </c>
    </row>
    <row r="1529" spans="1:14" ht="15" customHeight="1" x14ac:dyDescent="0.25">
      <c r="A1529" s="1"/>
      <c r="N1529" t="s">
        <v>687</v>
      </c>
    </row>
    <row r="1530" spans="1:14" ht="15" customHeight="1" x14ac:dyDescent="0.25">
      <c r="A1530" s="1"/>
      <c r="N1530" t="s">
        <v>68</v>
      </c>
    </row>
    <row r="1531" spans="1:14" ht="15" customHeight="1" x14ac:dyDescent="0.25">
      <c r="A1531" s="1"/>
      <c r="N1531" t="s">
        <v>690</v>
      </c>
    </row>
    <row r="1532" spans="1:14" ht="15" customHeight="1" x14ac:dyDescent="0.25">
      <c r="A1532" s="1"/>
      <c r="N1532" t="s">
        <v>715</v>
      </c>
    </row>
    <row r="1533" spans="1:14" ht="15" customHeight="1" x14ac:dyDescent="0.25">
      <c r="A1533" s="1"/>
      <c r="N1533" t="s">
        <v>715</v>
      </c>
    </row>
    <row r="1534" spans="1:14" ht="15" customHeight="1" x14ac:dyDescent="0.25">
      <c r="A1534" s="1"/>
      <c r="N1534" t="s">
        <v>696</v>
      </c>
    </row>
    <row r="1535" spans="1:14" ht="15" customHeight="1" x14ac:dyDescent="0.25">
      <c r="A1535" s="1"/>
      <c r="N1535" t="s">
        <v>666</v>
      </c>
    </row>
    <row r="1536" spans="1:14" ht="15" customHeight="1" x14ac:dyDescent="0.25">
      <c r="A1536" s="1"/>
      <c r="N1536" t="s">
        <v>715</v>
      </c>
    </row>
    <row r="1537" spans="1:14" ht="15" customHeight="1" x14ac:dyDescent="0.25">
      <c r="A1537" s="1"/>
      <c r="N1537" t="s">
        <v>592</v>
      </c>
    </row>
    <row r="1538" spans="1:14" ht="15" customHeight="1" x14ac:dyDescent="0.25">
      <c r="A1538" s="1"/>
      <c r="N1538" t="s">
        <v>592</v>
      </c>
    </row>
    <row r="1539" spans="1:14" ht="15" customHeight="1" x14ac:dyDescent="0.25">
      <c r="A1539" s="1"/>
      <c r="N1539" t="s">
        <v>592</v>
      </c>
    </row>
    <row r="1540" spans="1:14" ht="15" customHeight="1" x14ac:dyDescent="0.25">
      <c r="A1540" s="1"/>
      <c r="N1540" t="s">
        <v>592</v>
      </c>
    </row>
    <row r="1541" spans="1:14" ht="15" customHeight="1" x14ac:dyDescent="0.25">
      <c r="A1541" s="1"/>
      <c r="N1541" t="s">
        <v>592</v>
      </c>
    </row>
    <row r="1542" spans="1:14" ht="15" customHeight="1" x14ac:dyDescent="0.25">
      <c r="A1542" s="1"/>
      <c r="N1542" t="s">
        <v>317</v>
      </c>
    </row>
    <row r="1543" spans="1:14" ht="15" customHeight="1" x14ac:dyDescent="0.25">
      <c r="A1543" s="1"/>
      <c r="N1543" t="s">
        <v>715</v>
      </c>
    </row>
    <row r="1544" spans="1:14" ht="15" customHeight="1" x14ac:dyDescent="0.25">
      <c r="A1544" s="1"/>
      <c r="N1544" t="s">
        <v>715</v>
      </c>
    </row>
    <row r="1545" spans="1:14" ht="15" customHeight="1" x14ac:dyDescent="0.25">
      <c r="A1545" s="1"/>
      <c r="N1545" t="s">
        <v>715</v>
      </c>
    </row>
    <row r="1546" spans="1:14" ht="15" customHeight="1" x14ac:dyDescent="0.25">
      <c r="A1546" s="1"/>
      <c r="N1546" t="s">
        <v>317</v>
      </c>
    </row>
    <row r="1547" spans="1:14" ht="15" customHeight="1" x14ac:dyDescent="0.25">
      <c r="A1547" s="1"/>
      <c r="N1547" t="s">
        <v>313</v>
      </c>
    </row>
    <row r="1548" spans="1:14" ht="15" customHeight="1" x14ac:dyDescent="0.25">
      <c r="A1548" s="1"/>
      <c r="N1548" t="s">
        <v>715</v>
      </c>
    </row>
    <row r="1549" spans="1:14" ht="15" customHeight="1" x14ac:dyDescent="0.25">
      <c r="A1549" s="1"/>
      <c r="N1549" t="s">
        <v>715</v>
      </c>
    </row>
    <row r="1550" spans="1:14" ht="15" customHeight="1" x14ac:dyDescent="0.25">
      <c r="A1550" s="1"/>
      <c r="N1550" t="s">
        <v>715</v>
      </c>
    </row>
    <row r="1551" spans="1:14" ht="15" customHeight="1" x14ac:dyDescent="0.25">
      <c r="A1551" s="1"/>
      <c r="N1551" t="s">
        <v>737</v>
      </c>
    </row>
    <row r="1552" spans="1:14" ht="15" customHeight="1" x14ac:dyDescent="0.25">
      <c r="A1552" s="1"/>
      <c r="N1552" t="s">
        <v>715</v>
      </c>
    </row>
    <row r="1553" spans="1:14" ht="15" customHeight="1" x14ac:dyDescent="0.25">
      <c r="A1553" s="1"/>
      <c r="N1553" t="s">
        <v>715</v>
      </c>
    </row>
    <row r="1554" spans="1:14" ht="15" customHeight="1" x14ac:dyDescent="0.25">
      <c r="A1554" s="1"/>
      <c r="N1554" t="s">
        <v>715</v>
      </c>
    </row>
    <row r="1555" spans="1:14" ht="15" customHeight="1" x14ac:dyDescent="0.25">
      <c r="A1555" s="1"/>
      <c r="N1555" t="s">
        <v>738</v>
      </c>
    </row>
    <row r="1556" spans="1:14" ht="15" customHeight="1" x14ac:dyDescent="0.25">
      <c r="A1556" s="1"/>
      <c r="N1556" t="s">
        <v>715</v>
      </c>
    </row>
    <row r="1557" spans="1:14" ht="15" customHeight="1" x14ac:dyDescent="0.25">
      <c r="A1557" s="1"/>
      <c r="N1557" t="s">
        <v>669</v>
      </c>
    </row>
    <row r="1558" spans="1:14" ht="15" customHeight="1" x14ac:dyDescent="0.25">
      <c r="A1558" s="1"/>
      <c r="N1558" t="s">
        <v>739</v>
      </c>
    </row>
    <row r="1559" spans="1:14" ht="15" customHeight="1" x14ac:dyDescent="0.25">
      <c r="A1559" s="1"/>
      <c r="N1559" t="s">
        <v>611</v>
      </c>
    </row>
    <row r="1560" spans="1:14" ht="15" customHeight="1" x14ac:dyDescent="0.25">
      <c r="A1560" s="1"/>
      <c r="N1560" t="s">
        <v>740</v>
      </c>
    </row>
    <row r="1561" spans="1:14" ht="15" customHeight="1" x14ac:dyDescent="0.25">
      <c r="A1561" s="1"/>
      <c r="N1561" t="s">
        <v>675</v>
      </c>
    </row>
    <row r="1562" spans="1:14" ht="15" customHeight="1" x14ac:dyDescent="0.25">
      <c r="A1562" s="1"/>
      <c r="N1562" t="s">
        <v>741</v>
      </c>
    </row>
    <row r="1563" spans="1:14" ht="15" customHeight="1" x14ac:dyDescent="0.25">
      <c r="A1563" s="1"/>
      <c r="N1563" t="s">
        <v>742</v>
      </c>
    </row>
    <row r="1564" spans="1:14" ht="15" customHeight="1" x14ac:dyDescent="0.25">
      <c r="A1564" s="1"/>
      <c r="N1564" t="s">
        <v>403</v>
      </c>
    </row>
    <row r="1565" spans="1:14" ht="15" customHeight="1" x14ac:dyDescent="0.25">
      <c r="A1565" s="1"/>
      <c r="N1565" t="s">
        <v>582</v>
      </c>
    </row>
    <row r="1566" spans="1:14" ht="15" customHeight="1" x14ac:dyDescent="0.25">
      <c r="A1566" s="1"/>
      <c r="N1566" t="s">
        <v>696</v>
      </c>
    </row>
    <row r="1567" spans="1:14" ht="15" customHeight="1" x14ac:dyDescent="0.25">
      <c r="A1567" s="1"/>
      <c r="N1567" t="s">
        <v>743</v>
      </c>
    </row>
    <row r="1568" spans="1:14" ht="15" customHeight="1" x14ac:dyDescent="0.25">
      <c r="A1568" s="1"/>
      <c r="N1568" t="s">
        <v>714</v>
      </c>
    </row>
    <row r="1569" spans="1:14" ht="15" customHeight="1" x14ac:dyDescent="0.25">
      <c r="A1569" s="1"/>
      <c r="N1569" t="s">
        <v>744</v>
      </c>
    </row>
    <row r="1570" spans="1:14" ht="15" customHeight="1" x14ac:dyDescent="0.25">
      <c r="A1570" s="1"/>
      <c r="N1570" t="s">
        <v>463</v>
      </c>
    </row>
    <row r="1571" spans="1:14" ht="15" customHeight="1" x14ac:dyDescent="0.25">
      <c r="A1571" s="1"/>
      <c r="N1571" t="s">
        <v>696</v>
      </c>
    </row>
    <row r="1572" spans="1:14" ht="15" customHeight="1" x14ac:dyDescent="0.25">
      <c r="A1572" s="1"/>
      <c r="N1572" t="s">
        <v>715</v>
      </c>
    </row>
    <row r="1573" spans="1:14" ht="15" customHeight="1" x14ac:dyDescent="0.25">
      <c r="A1573" s="1"/>
      <c r="N1573" t="s">
        <v>651</v>
      </c>
    </row>
    <row r="1574" spans="1:14" ht="15" customHeight="1" x14ac:dyDescent="0.25">
      <c r="A1574" s="1"/>
      <c r="N1574" t="s">
        <v>732</v>
      </c>
    </row>
    <row r="1575" spans="1:14" ht="15" customHeight="1" x14ac:dyDescent="0.25">
      <c r="A1575" s="1"/>
      <c r="N1575" t="s">
        <v>666</v>
      </c>
    </row>
    <row r="1576" spans="1:14" ht="15" customHeight="1" x14ac:dyDescent="0.25">
      <c r="A1576" s="1"/>
      <c r="N1576" t="s">
        <v>745</v>
      </c>
    </row>
    <row r="1577" spans="1:14" ht="15" customHeight="1" x14ac:dyDescent="0.25">
      <c r="A1577" s="1"/>
      <c r="N1577" t="s">
        <v>582</v>
      </c>
    </row>
    <row r="1578" spans="1:14" ht="15" customHeight="1" x14ac:dyDescent="0.25">
      <c r="A1578" s="1"/>
      <c r="N1578" t="s">
        <v>643</v>
      </c>
    </row>
    <row r="1579" spans="1:14" ht="15" customHeight="1" x14ac:dyDescent="0.25">
      <c r="A1579" s="1"/>
      <c r="N1579" t="s">
        <v>582</v>
      </c>
    </row>
    <row r="1580" spans="1:14" ht="15" customHeight="1" x14ac:dyDescent="0.25">
      <c r="A1580" s="1"/>
      <c r="N1580" t="s">
        <v>582</v>
      </c>
    </row>
    <row r="1581" spans="1:14" ht="15" customHeight="1" x14ac:dyDescent="0.25">
      <c r="A1581" s="1"/>
      <c r="N1581" t="s">
        <v>582</v>
      </c>
    </row>
    <row r="1582" spans="1:14" ht="15" customHeight="1" x14ac:dyDescent="0.25">
      <c r="A1582" s="1"/>
      <c r="N1582" t="s">
        <v>715</v>
      </c>
    </row>
    <row r="1583" spans="1:14" ht="15" customHeight="1" x14ac:dyDescent="0.25">
      <c r="A1583" s="1"/>
      <c r="N1583" t="s">
        <v>713</v>
      </c>
    </row>
    <row r="1584" spans="1:14" ht="15" customHeight="1" x14ac:dyDescent="0.25">
      <c r="A1584" s="1"/>
      <c r="N1584" t="s">
        <v>713</v>
      </c>
    </row>
    <row r="1585" spans="1:14" ht="15" customHeight="1" x14ac:dyDescent="0.25">
      <c r="A1585" s="1"/>
      <c r="N1585" t="s">
        <v>715</v>
      </c>
    </row>
    <row r="1586" spans="1:14" ht="15" customHeight="1" x14ac:dyDescent="0.25">
      <c r="A1586" s="1"/>
      <c r="N1586" t="s">
        <v>713</v>
      </c>
    </row>
    <row r="1587" spans="1:14" ht="15" customHeight="1" x14ac:dyDescent="0.25">
      <c r="A1587" s="1"/>
      <c r="N1587" t="s">
        <v>713</v>
      </c>
    </row>
    <row r="1588" spans="1:14" ht="15" customHeight="1" x14ac:dyDescent="0.25">
      <c r="A1588" s="1"/>
      <c r="N1588" t="s">
        <v>408</v>
      </c>
    </row>
    <row r="1589" spans="1:14" ht="15" customHeight="1" x14ac:dyDescent="0.25">
      <c r="A1589" s="1"/>
      <c r="N1589" t="s">
        <v>713</v>
      </c>
    </row>
    <row r="1590" spans="1:14" ht="15" customHeight="1" x14ac:dyDescent="0.25">
      <c r="A1590" s="1"/>
      <c r="N1590" t="s">
        <v>713</v>
      </c>
    </row>
    <row r="1591" spans="1:14" ht="15" customHeight="1" x14ac:dyDescent="0.25">
      <c r="A1591" s="1"/>
      <c r="N1591" t="s">
        <v>606</v>
      </c>
    </row>
    <row r="1592" spans="1:14" ht="15" customHeight="1" x14ac:dyDescent="0.25">
      <c r="A1592" s="1"/>
      <c r="N1592" t="s">
        <v>458</v>
      </c>
    </row>
    <row r="1593" spans="1:14" ht="15" customHeight="1" x14ac:dyDescent="0.25">
      <c r="A1593" s="1"/>
      <c r="N1593" t="s">
        <v>686</v>
      </c>
    </row>
    <row r="1594" spans="1:14" ht="15" customHeight="1" x14ac:dyDescent="0.25">
      <c r="A1594" s="1"/>
      <c r="N1594" t="s">
        <v>558</v>
      </c>
    </row>
    <row r="1595" spans="1:14" ht="15" customHeight="1" x14ac:dyDescent="0.25">
      <c r="A1595" s="1"/>
      <c r="N1595" t="s">
        <v>713</v>
      </c>
    </row>
    <row r="1596" spans="1:14" ht="15" customHeight="1" x14ac:dyDescent="0.25">
      <c r="A1596" s="1"/>
      <c r="N1596" t="s">
        <v>715</v>
      </c>
    </row>
    <row r="1597" spans="1:14" ht="15" customHeight="1" x14ac:dyDescent="0.25">
      <c r="A1597" s="1"/>
      <c r="N1597" t="s">
        <v>689</v>
      </c>
    </row>
    <row r="1598" spans="1:14" ht="15" customHeight="1" x14ac:dyDescent="0.25">
      <c r="A1598" s="1"/>
      <c r="N1598" t="s">
        <v>689</v>
      </c>
    </row>
    <row r="1599" spans="1:14" ht="15" customHeight="1" x14ac:dyDescent="0.25">
      <c r="A1599" s="1"/>
      <c r="N1599" t="s">
        <v>715</v>
      </c>
    </row>
    <row r="1600" spans="1:14" ht="15" customHeight="1" x14ac:dyDescent="0.25">
      <c r="A1600" s="1"/>
      <c r="N1600" t="s">
        <v>690</v>
      </c>
    </row>
    <row r="1601" spans="1:14" ht="15" customHeight="1" x14ac:dyDescent="0.25">
      <c r="A1601" s="1"/>
      <c r="N1601" t="s">
        <v>746</v>
      </c>
    </row>
    <row r="1602" spans="1:14" ht="15" customHeight="1" x14ac:dyDescent="0.25">
      <c r="A1602" s="1"/>
      <c r="N1602" t="s">
        <v>715</v>
      </c>
    </row>
    <row r="1603" spans="1:14" ht="15" customHeight="1" x14ac:dyDescent="0.25">
      <c r="A1603" s="1"/>
      <c r="N1603" t="s">
        <v>747</v>
      </c>
    </row>
    <row r="1604" spans="1:14" ht="15" customHeight="1" x14ac:dyDescent="0.25">
      <c r="A1604" s="1"/>
      <c r="N1604" t="s">
        <v>747</v>
      </c>
    </row>
    <row r="1605" spans="1:14" ht="15" customHeight="1" x14ac:dyDescent="0.25">
      <c r="A1605" s="1"/>
      <c r="N1605" t="s">
        <v>747</v>
      </c>
    </row>
    <row r="1606" spans="1:14" ht="15" customHeight="1" x14ac:dyDescent="0.25">
      <c r="A1606" s="1"/>
      <c r="N1606" t="s">
        <v>747</v>
      </c>
    </row>
    <row r="1607" spans="1:14" ht="15" customHeight="1" x14ac:dyDescent="0.25">
      <c r="A1607" s="1"/>
      <c r="N1607" t="s">
        <v>747</v>
      </c>
    </row>
    <row r="1608" spans="1:14" ht="15" customHeight="1" x14ac:dyDescent="0.25">
      <c r="A1608" s="1"/>
      <c r="N1608" t="s">
        <v>317</v>
      </c>
    </row>
    <row r="1609" spans="1:14" ht="15" customHeight="1" x14ac:dyDescent="0.25">
      <c r="A1609" s="1"/>
      <c r="N1609" t="s">
        <v>715</v>
      </c>
    </row>
    <row r="1610" spans="1:14" ht="15" customHeight="1" x14ac:dyDescent="0.25">
      <c r="A1610" s="1"/>
      <c r="N1610" t="s">
        <v>715</v>
      </c>
    </row>
    <row r="1611" spans="1:14" ht="15" customHeight="1" x14ac:dyDescent="0.25">
      <c r="A1611" s="1"/>
      <c r="N1611" t="s">
        <v>341</v>
      </c>
    </row>
    <row r="1612" spans="1:14" ht="15" customHeight="1" x14ac:dyDescent="0.25">
      <c r="A1612" s="1"/>
      <c r="N1612" t="s">
        <v>709</v>
      </c>
    </row>
    <row r="1613" spans="1:14" ht="15" customHeight="1" x14ac:dyDescent="0.25">
      <c r="A1613" s="1"/>
      <c r="N1613" t="s">
        <v>715</v>
      </c>
    </row>
    <row r="1614" spans="1:14" ht="15" customHeight="1" x14ac:dyDescent="0.25">
      <c r="A1614" s="1"/>
      <c r="N1614" t="s">
        <v>715</v>
      </c>
    </row>
    <row r="1615" spans="1:14" ht="15" customHeight="1" x14ac:dyDescent="0.25">
      <c r="A1615" s="1"/>
      <c r="N1615" t="s">
        <v>582</v>
      </c>
    </row>
    <row r="1616" spans="1:14" ht="15" customHeight="1" x14ac:dyDescent="0.25">
      <c r="A1616" s="1"/>
      <c r="N1616" t="s">
        <v>698</v>
      </c>
    </row>
    <row r="1617" spans="1:14" ht="15" customHeight="1" x14ac:dyDescent="0.25">
      <c r="A1617" s="1"/>
      <c r="N1617" t="s">
        <v>582</v>
      </c>
    </row>
    <row r="1618" spans="1:14" ht="15" customHeight="1" x14ac:dyDescent="0.25">
      <c r="A1618" s="1"/>
      <c r="N1618" t="s">
        <v>740</v>
      </c>
    </row>
    <row r="1619" spans="1:14" ht="15" customHeight="1" x14ac:dyDescent="0.25">
      <c r="A1619" s="1"/>
      <c r="N1619" t="s">
        <v>655</v>
      </c>
    </row>
    <row r="1620" spans="1:14" ht="15" customHeight="1" x14ac:dyDescent="0.25">
      <c r="A1620" s="1"/>
      <c r="N1620" t="s">
        <v>748</v>
      </c>
    </row>
    <row r="1621" spans="1:14" ht="15" customHeight="1" x14ac:dyDescent="0.25">
      <c r="A1621" s="1"/>
      <c r="N1621" t="s">
        <v>582</v>
      </c>
    </row>
    <row r="1622" spans="1:14" ht="15" customHeight="1" x14ac:dyDescent="0.25">
      <c r="A1622" s="1"/>
      <c r="N1622" t="s">
        <v>735</v>
      </c>
    </row>
    <row r="1623" spans="1:14" ht="15" customHeight="1" x14ac:dyDescent="0.25">
      <c r="A1623" s="1"/>
      <c r="N1623" t="s">
        <v>582</v>
      </c>
    </row>
    <row r="1624" spans="1:14" ht="15" customHeight="1" x14ac:dyDescent="0.25">
      <c r="A1624" s="1"/>
      <c r="N1624" t="s">
        <v>435</v>
      </c>
    </row>
    <row r="1625" spans="1:14" ht="15" customHeight="1" x14ac:dyDescent="0.25">
      <c r="A1625" s="1"/>
      <c r="N1625" t="s">
        <v>715</v>
      </c>
    </row>
    <row r="1626" spans="1:14" ht="15" customHeight="1" x14ac:dyDescent="0.25">
      <c r="A1626" s="1"/>
      <c r="N1626" t="s">
        <v>715</v>
      </c>
    </row>
    <row r="1627" spans="1:14" ht="15" customHeight="1" x14ac:dyDescent="0.25">
      <c r="A1627" s="1"/>
      <c r="N1627" t="s">
        <v>651</v>
      </c>
    </row>
    <row r="1628" spans="1:14" ht="15" customHeight="1" x14ac:dyDescent="0.25">
      <c r="A1628" s="1"/>
      <c r="N1628" t="s">
        <v>715</v>
      </c>
    </row>
    <row r="1629" spans="1:14" ht="15" customHeight="1" x14ac:dyDescent="0.25">
      <c r="A1629" s="1"/>
      <c r="N1629" t="s">
        <v>621</v>
      </c>
    </row>
    <row r="1630" spans="1:14" ht="15" customHeight="1" x14ac:dyDescent="0.25">
      <c r="A1630" s="1"/>
      <c r="N1630" t="s">
        <v>582</v>
      </c>
    </row>
    <row r="1631" spans="1:14" ht="15" customHeight="1" x14ac:dyDescent="0.25">
      <c r="A1631" s="1"/>
      <c r="N1631" t="s">
        <v>643</v>
      </c>
    </row>
    <row r="1632" spans="1:14" ht="15" customHeight="1" x14ac:dyDescent="0.25">
      <c r="A1632" s="1"/>
      <c r="N1632" t="s">
        <v>607</v>
      </c>
    </row>
    <row r="1633" spans="1:14" ht="15" customHeight="1" x14ac:dyDescent="0.25">
      <c r="A1633" s="1"/>
      <c r="N1633" t="s">
        <v>715</v>
      </c>
    </row>
    <row r="1634" spans="1:14" ht="15" customHeight="1" x14ac:dyDescent="0.25">
      <c r="A1634" s="1"/>
      <c r="N1634" t="s">
        <v>713</v>
      </c>
    </row>
    <row r="1635" spans="1:14" ht="15" customHeight="1" x14ac:dyDescent="0.25">
      <c r="A1635" s="1"/>
      <c r="N1635" t="s">
        <v>715</v>
      </c>
    </row>
    <row r="1636" spans="1:14" ht="15" customHeight="1" x14ac:dyDescent="0.25">
      <c r="A1636" s="1"/>
      <c r="N1636" t="s">
        <v>606</v>
      </c>
    </row>
    <row r="1637" spans="1:14" ht="15" customHeight="1" x14ac:dyDescent="0.25">
      <c r="A1637" s="1"/>
      <c r="N1637" t="s">
        <v>408</v>
      </c>
    </row>
    <row r="1638" spans="1:14" ht="15" customHeight="1" x14ac:dyDescent="0.25">
      <c r="A1638" s="1"/>
      <c r="N1638" t="s">
        <v>713</v>
      </c>
    </row>
    <row r="1639" spans="1:14" ht="15" customHeight="1" x14ac:dyDescent="0.25">
      <c r="A1639" s="1"/>
      <c r="N1639" t="s">
        <v>713</v>
      </c>
    </row>
    <row r="1640" spans="1:14" ht="15" customHeight="1" x14ac:dyDescent="0.25">
      <c r="A1640" s="1"/>
      <c r="N1640" t="s">
        <v>713</v>
      </c>
    </row>
    <row r="1641" spans="1:14" ht="15" customHeight="1" x14ac:dyDescent="0.25">
      <c r="A1641" s="1"/>
      <c r="N1641" t="s">
        <v>713</v>
      </c>
    </row>
    <row r="1642" spans="1:14" ht="15" customHeight="1" x14ac:dyDescent="0.25">
      <c r="A1642" s="1"/>
      <c r="N1642" t="s">
        <v>686</v>
      </c>
    </row>
    <row r="1643" spans="1:14" ht="15" customHeight="1" x14ac:dyDescent="0.25">
      <c r="A1643" s="1"/>
      <c r="N1643" t="s">
        <v>558</v>
      </c>
    </row>
    <row r="1644" spans="1:14" ht="15" customHeight="1" x14ac:dyDescent="0.25">
      <c r="A1644" s="1"/>
      <c r="N1644" t="s">
        <v>713</v>
      </c>
    </row>
    <row r="1645" spans="1:14" ht="15" customHeight="1" x14ac:dyDescent="0.25">
      <c r="A1645" s="1"/>
      <c r="N1645" t="s">
        <v>715</v>
      </c>
    </row>
    <row r="1646" spans="1:14" ht="15" customHeight="1" x14ac:dyDescent="0.25">
      <c r="A1646" s="1"/>
      <c r="N1646" t="s">
        <v>555</v>
      </c>
    </row>
    <row r="1647" spans="1:14" ht="15" customHeight="1" x14ac:dyDescent="0.25">
      <c r="A1647" s="1"/>
      <c r="N1647" t="s">
        <v>524</v>
      </c>
    </row>
    <row r="1648" spans="1:14" ht="15" customHeight="1" x14ac:dyDescent="0.25">
      <c r="A1648" s="1"/>
      <c r="N1648" t="s">
        <v>715</v>
      </c>
    </row>
    <row r="1649" spans="1:14" ht="15" customHeight="1" x14ac:dyDescent="0.25">
      <c r="A1649" s="1"/>
      <c r="N1649" t="s">
        <v>689</v>
      </c>
    </row>
    <row r="1650" spans="1:14" ht="15" customHeight="1" x14ac:dyDescent="0.25">
      <c r="A1650" s="1"/>
      <c r="N1650" t="s">
        <v>689</v>
      </c>
    </row>
    <row r="1651" spans="1:14" ht="15" customHeight="1" x14ac:dyDescent="0.25">
      <c r="A1651" s="1"/>
      <c r="N1651" t="s">
        <v>715</v>
      </c>
    </row>
    <row r="1652" spans="1:14" ht="15" customHeight="1" x14ac:dyDescent="0.25">
      <c r="A1652" s="1"/>
      <c r="N1652" t="s">
        <v>689</v>
      </c>
    </row>
    <row r="1653" spans="1:14" ht="15" customHeight="1" x14ac:dyDescent="0.25">
      <c r="A1653" s="1"/>
      <c r="N1653" t="s">
        <v>690</v>
      </c>
    </row>
    <row r="1654" spans="1:14" ht="15" customHeight="1" x14ac:dyDescent="0.25">
      <c r="A1654" s="1"/>
      <c r="N1654" t="s">
        <v>582</v>
      </c>
    </row>
    <row r="1655" spans="1:14" ht="15" customHeight="1" x14ac:dyDescent="0.25">
      <c r="A1655" s="1"/>
      <c r="N1655" t="s">
        <v>317</v>
      </c>
    </row>
    <row r="1656" spans="1:14" ht="15" customHeight="1" x14ac:dyDescent="0.25">
      <c r="A1656" s="1"/>
      <c r="N1656" t="s">
        <v>715</v>
      </c>
    </row>
    <row r="1657" spans="1:14" ht="15" customHeight="1" x14ac:dyDescent="0.25">
      <c r="A1657" s="1"/>
      <c r="N1657" t="s">
        <v>342</v>
      </c>
    </row>
    <row r="1658" spans="1:14" ht="15" customHeight="1" x14ac:dyDescent="0.25">
      <c r="A1658" s="1"/>
      <c r="N1658" t="s">
        <v>582</v>
      </c>
    </row>
    <row r="1659" spans="1:14" ht="15" customHeight="1" x14ac:dyDescent="0.25">
      <c r="A1659" s="1"/>
      <c r="N1659" t="s">
        <v>698</v>
      </c>
    </row>
    <row r="1660" spans="1:14" ht="15" customHeight="1" x14ac:dyDescent="0.25">
      <c r="A1660" s="1"/>
      <c r="N1660" t="s">
        <v>582</v>
      </c>
    </row>
    <row r="1661" spans="1:14" ht="15" customHeight="1" x14ac:dyDescent="0.25">
      <c r="A1661" s="1"/>
      <c r="N1661" t="s">
        <v>655</v>
      </c>
    </row>
    <row r="1662" spans="1:14" ht="15" customHeight="1" x14ac:dyDescent="0.25">
      <c r="A1662" s="1"/>
      <c r="N1662" t="s">
        <v>320</v>
      </c>
    </row>
    <row r="1663" spans="1:14" ht="15" customHeight="1" x14ac:dyDescent="0.25">
      <c r="A1663" s="1"/>
      <c r="N1663" t="s">
        <v>651</v>
      </c>
    </row>
    <row r="1664" spans="1:14" ht="15" customHeight="1" x14ac:dyDescent="0.25">
      <c r="A1664" s="1"/>
      <c r="N1664" t="s">
        <v>510</v>
      </c>
    </row>
    <row r="1665" spans="1:14" ht="15" customHeight="1" x14ac:dyDescent="0.25">
      <c r="A1665" s="1"/>
      <c r="N1665" t="s">
        <v>593</v>
      </c>
    </row>
    <row r="1666" spans="1:14" ht="15" customHeight="1" x14ac:dyDescent="0.25">
      <c r="A1666" s="1"/>
      <c r="N1666" t="s">
        <v>715</v>
      </c>
    </row>
    <row r="1667" spans="1:14" ht="15" customHeight="1" x14ac:dyDescent="0.25">
      <c r="A1667" s="1"/>
      <c r="N1667" t="s">
        <v>713</v>
      </c>
    </row>
    <row r="1668" spans="1:14" ht="15" customHeight="1" x14ac:dyDescent="0.25">
      <c r="A1668" s="1"/>
      <c r="N1668" t="s">
        <v>715</v>
      </c>
    </row>
    <row r="1669" spans="1:14" ht="15" customHeight="1" x14ac:dyDescent="0.25">
      <c r="A1669" s="1"/>
      <c r="N1669" t="s">
        <v>606</v>
      </c>
    </row>
    <row r="1670" spans="1:14" ht="15" customHeight="1" x14ac:dyDescent="0.25">
      <c r="A1670" s="1"/>
      <c r="N1670" t="s">
        <v>713</v>
      </c>
    </row>
    <row r="1671" spans="1:14" ht="15" customHeight="1" x14ac:dyDescent="0.25">
      <c r="A1671" s="1"/>
      <c r="N1671" t="s">
        <v>713</v>
      </c>
    </row>
    <row r="1672" spans="1:14" ht="15" customHeight="1" x14ac:dyDescent="0.25">
      <c r="A1672" s="1"/>
      <c r="N1672" t="s">
        <v>686</v>
      </c>
    </row>
    <row r="1673" spans="1:14" ht="15" customHeight="1" x14ac:dyDescent="0.25">
      <c r="A1673" s="1"/>
      <c r="N1673" t="s">
        <v>412</v>
      </c>
    </row>
    <row r="1674" spans="1:14" ht="15" customHeight="1" x14ac:dyDescent="0.25">
      <c r="A1674" s="1"/>
      <c r="N1674" t="s">
        <v>603</v>
      </c>
    </row>
    <row r="1675" spans="1:14" ht="15" customHeight="1" x14ac:dyDescent="0.25">
      <c r="A1675" s="1"/>
      <c r="N1675" t="s">
        <v>715</v>
      </c>
    </row>
    <row r="1676" spans="1:14" ht="15" customHeight="1" x14ac:dyDescent="0.25">
      <c r="A1676" s="1"/>
      <c r="N1676" t="s">
        <v>715</v>
      </c>
    </row>
    <row r="1677" spans="1:14" ht="15" customHeight="1" x14ac:dyDescent="0.25">
      <c r="A1677" s="1"/>
      <c r="N1677" t="s">
        <v>733</v>
      </c>
    </row>
    <row r="1678" spans="1:14" ht="15" customHeight="1" x14ac:dyDescent="0.25">
      <c r="A1678" s="1"/>
      <c r="N1678" t="s">
        <v>592</v>
      </c>
    </row>
    <row r="1679" spans="1:14" ht="15" customHeight="1" x14ac:dyDescent="0.25">
      <c r="A1679" s="1"/>
      <c r="N1679" t="s">
        <v>715</v>
      </c>
    </row>
    <row r="1680" spans="1:14" ht="15" customHeight="1" x14ac:dyDescent="0.25">
      <c r="A1680" s="1"/>
      <c r="N1680" t="s">
        <v>698</v>
      </c>
    </row>
    <row r="1681" spans="1:14" ht="15" customHeight="1" x14ac:dyDescent="0.25">
      <c r="A1681" s="1"/>
      <c r="N1681" t="s">
        <v>403</v>
      </c>
    </row>
    <row r="1682" spans="1:14" ht="15" customHeight="1" x14ac:dyDescent="0.25">
      <c r="A1682" s="1"/>
      <c r="N1682" t="s">
        <v>715</v>
      </c>
    </row>
    <row r="1683" spans="1:14" ht="15" customHeight="1" x14ac:dyDescent="0.25">
      <c r="A1683" s="1"/>
      <c r="N1683" t="s">
        <v>651</v>
      </c>
    </row>
    <row r="1684" spans="1:14" ht="15" customHeight="1" x14ac:dyDescent="0.25">
      <c r="A1684" s="1"/>
      <c r="N1684" t="s">
        <v>582</v>
      </c>
    </row>
    <row r="1685" spans="1:14" ht="15" customHeight="1" x14ac:dyDescent="0.25">
      <c r="A1685" s="1"/>
      <c r="N1685" t="s">
        <v>715</v>
      </c>
    </row>
    <row r="1686" spans="1:14" ht="15" customHeight="1" x14ac:dyDescent="0.25">
      <c r="A1686" s="1"/>
      <c r="N1686" t="s">
        <v>713</v>
      </c>
    </row>
    <row r="1687" spans="1:14" ht="15" customHeight="1" x14ac:dyDescent="0.25">
      <c r="A1687" s="1"/>
      <c r="N1687" t="s">
        <v>411</v>
      </c>
    </row>
    <row r="1688" spans="1:14" ht="15" customHeight="1" x14ac:dyDescent="0.25">
      <c r="A1688" s="1"/>
      <c r="N1688" t="s">
        <v>376</v>
      </c>
    </row>
    <row r="1689" spans="1:14" ht="15" customHeight="1" x14ac:dyDescent="0.25">
      <c r="A1689" s="1"/>
      <c r="N1689" t="s">
        <v>687</v>
      </c>
    </row>
    <row r="1690" spans="1:14" ht="15" customHeight="1" x14ac:dyDescent="0.25">
      <c r="A1690" s="1"/>
      <c r="N1690" t="s">
        <v>689</v>
      </c>
    </row>
    <row r="1691" spans="1:14" ht="15" customHeight="1" x14ac:dyDescent="0.25">
      <c r="A1691" s="1"/>
      <c r="N1691" t="s">
        <v>406</v>
      </c>
    </row>
    <row r="1692" spans="1:14" ht="15" customHeight="1" x14ac:dyDescent="0.25">
      <c r="A1692" s="1"/>
      <c r="N1692" t="s">
        <v>663</v>
      </c>
    </row>
    <row r="1693" spans="1:14" ht="15" customHeight="1" x14ac:dyDescent="0.25">
      <c r="A1693" s="1"/>
      <c r="N1693" t="s">
        <v>655</v>
      </c>
    </row>
    <row r="1694" spans="1:14" ht="15" customHeight="1" x14ac:dyDescent="0.25">
      <c r="A1694" s="1"/>
      <c r="N1694" t="s">
        <v>634</v>
      </c>
    </row>
    <row r="1695" spans="1:14" ht="15" customHeight="1" x14ac:dyDescent="0.25">
      <c r="A1695" s="1"/>
      <c r="N1695" t="s">
        <v>611</v>
      </c>
    </row>
    <row r="1696" spans="1:14" ht="15" customHeight="1" x14ac:dyDescent="0.25">
      <c r="A1696" s="1"/>
      <c r="N1696" t="s">
        <v>643</v>
      </c>
    </row>
    <row r="1697" spans="1:14" ht="15" customHeight="1" x14ac:dyDescent="0.25">
      <c r="A1697" s="1"/>
      <c r="N1697" t="s">
        <v>686</v>
      </c>
    </row>
    <row r="1698" spans="1:14" ht="15" customHeight="1" x14ac:dyDescent="0.25">
      <c r="A1698" s="1"/>
      <c r="N1698" t="s">
        <v>405</v>
      </c>
    </row>
    <row r="1699" spans="1:14" ht="15" customHeight="1" x14ac:dyDescent="0.25">
      <c r="A1699" s="1"/>
      <c r="N1699" t="s">
        <v>687</v>
      </c>
    </row>
    <row r="1700" spans="1:14" ht="15" customHeight="1" x14ac:dyDescent="0.25">
      <c r="A1700" s="1"/>
      <c r="N1700" t="s">
        <v>715</v>
      </c>
    </row>
    <row r="1701" spans="1:14" ht="15" customHeight="1" x14ac:dyDescent="0.25">
      <c r="A1701" s="1"/>
      <c r="N1701" t="s">
        <v>690</v>
      </c>
    </row>
    <row r="1702" spans="1:14" ht="15" customHeight="1" x14ac:dyDescent="0.25">
      <c r="A1702" s="1"/>
      <c r="N1702" t="s">
        <v>732</v>
      </c>
    </row>
    <row r="1703" spans="1:14" ht="15" customHeight="1" x14ac:dyDescent="0.25">
      <c r="A1703" s="1"/>
      <c r="N1703" t="s">
        <v>313</v>
      </c>
    </row>
    <row r="1704" spans="1:14" ht="15" customHeight="1" x14ac:dyDescent="0.25">
      <c r="A1704" s="1"/>
      <c r="N1704" t="s">
        <v>683</v>
      </c>
    </row>
    <row r="1705" spans="1:14" ht="15" customHeight="1" x14ac:dyDescent="0.25">
      <c r="A1705" s="1"/>
      <c r="N1705" t="s">
        <v>655</v>
      </c>
    </row>
    <row r="1706" spans="1:14" ht="15" customHeight="1" x14ac:dyDescent="0.25">
      <c r="A1706" s="1"/>
      <c r="N1706" t="s">
        <v>435</v>
      </c>
    </row>
    <row r="1707" spans="1:14" ht="15" customHeight="1" x14ac:dyDescent="0.25">
      <c r="A1707" s="1"/>
      <c r="N1707" t="s">
        <v>646</v>
      </c>
    </row>
    <row r="1708" spans="1:14" ht="15" customHeight="1" x14ac:dyDescent="0.25">
      <c r="A1708" s="1"/>
      <c r="N1708" t="s">
        <v>294</v>
      </c>
    </row>
    <row r="1709" spans="1:14" ht="15" customHeight="1" x14ac:dyDescent="0.25">
      <c r="A1709" s="1"/>
      <c r="N1709" t="s">
        <v>643</v>
      </c>
    </row>
    <row r="1710" spans="1:14" ht="15" customHeight="1" x14ac:dyDescent="0.25">
      <c r="A1710" s="1"/>
      <c r="N1710" t="s">
        <v>686</v>
      </c>
    </row>
    <row r="1711" spans="1:14" ht="15" customHeight="1" x14ac:dyDescent="0.25">
      <c r="A1711" s="1"/>
      <c r="N1711" t="s">
        <v>686</v>
      </c>
    </row>
    <row r="1712" spans="1:14" ht="15" customHeight="1" x14ac:dyDescent="0.25">
      <c r="A1712" s="1"/>
      <c r="N1712" t="s">
        <v>294</v>
      </c>
    </row>
    <row r="1713" spans="1:14" ht="15" customHeight="1" x14ac:dyDescent="0.25">
      <c r="A1713" s="1"/>
      <c r="N1713" t="s">
        <v>313</v>
      </c>
    </row>
    <row r="1714" spans="1:14" ht="15" customHeight="1" x14ac:dyDescent="0.25">
      <c r="A1714" s="1"/>
      <c r="N1714" t="s">
        <v>690</v>
      </c>
    </row>
    <row r="1715" spans="1:14" ht="15" customHeight="1" x14ac:dyDescent="0.25">
      <c r="A1715" s="1"/>
      <c r="N1715" t="s">
        <v>636</v>
      </c>
    </row>
    <row r="1716" spans="1:14" ht="15" customHeight="1" x14ac:dyDescent="0.25">
      <c r="A1716" s="1"/>
      <c r="N1716" t="s">
        <v>582</v>
      </c>
    </row>
    <row r="1717" spans="1:14" ht="15" customHeight="1" x14ac:dyDescent="0.25">
      <c r="A1717" s="1"/>
      <c r="N1717" t="s">
        <v>683</v>
      </c>
    </row>
    <row r="1718" spans="1:14" ht="15" customHeight="1" x14ac:dyDescent="0.25">
      <c r="A1718" s="1"/>
      <c r="N1718" t="s">
        <v>698</v>
      </c>
    </row>
    <row r="1719" spans="1:14" ht="15" customHeight="1" x14ac:dyDescent="0.25">
      <c r="A1719" s="1"/>
      <c r="N1719" t="s">
        <v>646</v>
      </c>
    </row>
    <row r="1720" spans="1:14" ht="15" customHeight="1" x14ac:dyDescent="0.25">
      <c r="A1720" s="1"/>
      <c r="N1720" t="s">
        <v>732</v>
      </c>
    </row>
    <row r="1721" spans="1:14" ht="15" customHeight="1" x14ac:dyDescent="0.25">
      <c r="A1721" s="1"/>
      <c r="N1721" t="s">
        <v>715</v>
      </c>
    </row>
    <row r="1722" spans="1:14" ht="15" customHeight="1" x14ac:dyDescent="0.25">
      <c r="A1722" s="1"/>
      <c r="N1722" t="s">
        <v>582</v>
      </c>
    </row>
    <row r="1723" spans="1:14" ht="15" customHeight="1" x14ac:dyDescent="0.25">
      <c r="A1723" s="1"/>
      <c r="N1723" t="s">
        <v>458</v>
      </c>
    </row>
    <row r="1724" spans="1:14" ht="15" customHeight="1" x14ac:dyDescent="0.25">
      <c r="A1724" s="1"/>
      <c r="N1724" t="s">
        <v>555</v>
      </c>
    </row>
    <row r="1725" spans="1:14" ht="15" customHeight="1" x14ac:dyDescent="0.25">
      <c r="A1725" s="1"/>
      <c r="N1725" t="s">
        <v>294</v>
      </c>
    </row>
    <row r="1726" spans="1:14" ht="15" customHeight="1" x14ac:dyDescent="0.25">
      <c r="A1726" s="1"/>
      <c r="N1726" t="s">
        <v>732</v>
      </c>
    </row>
    <row r="1727" spans="1:14" ht="15" customHeight="1" x14ac:dyDescent="0.25">
      <c r="A1727" s="1"/>
      <c r="N1727" t="s">
        <v>605</v>
      </c>
    </row>
    <row r="1728" spans="1:14" ht="15" customHeight="1" x14ac:dyDescent="0.25">
      <c r="A1728" s="1"/>
      <c r="N1728" t="s">
        <v>698</v>
      </c>
    </row>
    <row r="1729" spans="1:14" ht="15" customHeight="1" x14ac:dyDescent="0.25">
      <c r="A1729" s="1"/>
      <c r="N1729" t="s">
        <v>448</v>
      </c>
    </row>
    <row r="1730" spans="1:14" ht="15" customHeight="1" x14ac:dyDescent="0.25">
      <c r="A1730" s="1"/>
      <c r="N1730" t="s">
        <v>715</v>
      </c>
    </row>
    <row r="1731" spans="1:14" ht="15" customHeight="1" x14ac:dyDescent="0.25">
      <c r="A1731" s="1"/>
      <c r="N1731" t="s">
        <v>636</v>
      </c>
    </row>
    <row r="1732" spans="1:14" ht="15" customHeight="1" x14ac:dyDescent="0.25">
      <c r="A1732" s="1"/>
      <c r="N1732" t="s">
        <v>683</v>
      </c>
    </row>
    <row r="1733" spans="1:14" ht="15" customHeight="1" x14ac:dyDescent="0.25">
      <c r="A1733" s="1"/>
      <c r="N1733" t="s">
        <v>698</v>
      </c>
    </row>
    <row r="1734" spans="1:14" ht="15" customHeight="1" x14ac:dyDescent="0.25">
      <c r="A1734" s="1"/>
      <c r="N1734" t="s">
        <v>350</v>
      </c>
    </row>
    <row r="1735" spans="1:14" ht="15" customHeight="1" x14ac:dyDescent="0.25">
      <c r="A1735" s="1"/>
      <c r="N1735" t="s">
        <v>715</v>
      </c>
    </row>
    <row r="1736" spans="1:14" ht="15" customHeight="1" x14ac:dyDescent="0.25">
      <c r="A1736" s="1"/>
      <c r="N1736" t="s">
        <v>690</v>
      </c>
    </row>
    <row r="1737" spans="1:14" ht="15" customHeight="1" x14ac:dyDescent="0.25">
      <c r="A1737" s="1"/>
      <c r="N1737" t="s">
        <v>732</v>
      </c>
    </row>
    <row r="1738" spans="1:14" ht="15" customHeight="1" x14ac:dyDescent="0.25">
      <c r="A1738" s="1"/>
      <c r="N1738" t="s">
        <v>663</v>
      </c>
    </row>
    <row r="1739" spans="1:14" ht="15" customHeight="1" x14ac:dyDescent="0.25">
      <c r="A1739" s="1"/>
      <c r="N1739" t="s">
        <v>683</v>
      </c>
    </row>
    <row r="1740" spans="1:14" ht="15" customHeight="1" x14ac:dyDescent="0.25">
      <c r="A1740" s="1"/>
      <c r="N1740" t="s">
        <v>698</v>
      </c>
    </row>
    <row r="1741" spans="1:14" ht="15" customHeight="1" x14ac:dyDescent="0.25">
      <c r="A1741" s="1"/>
      <c r="N1741" t="s">
        <v>582</v>
      </c>
    </row>
    <row r="1742" spans="1:14" ht="15" customHeight="1" x14ac:dyDescent="0.25">
      <c r="A1742" s="1"/>
      <c r="N1742" t="s">
        <v>698</v>
      </c>
    </row>
    <row r="1743" spans="1:14" ht="15" customHeight="1" x14ac:dyDescent="0.25">
      <c r="A1743" s="1"/>
      <c r="N1743" t="s">
        <v>582</v>
      </c>
    </row>
    <row r="1744" spans="1:14" ht="15" customHeight="1" x14ac:dyDescent="0.25">
      <c r="A1744" s="1"/>
      <c r="N1744" t="s">
        <v>474</v>
      </c>
    </row>
    <row r="1745" spans="1:14" ht="15" customHeight="1" x14ac:dyDescent="0.25">
      <c r="A1745" s="1"/>
      <c r="N1745" t="s">
        <v>313</v>
      </c>
    </row>
    <row r="1746" spans="1:14" ht="15" customHeight="1" x14ac:dyDescent="0.25">
      <c r="A1746" s="1"/>
      <c r="N1746" t="s">
        <v>683</v>
      </c>
    </row>
    <row r="1747" spans="1:14" ht="15" customHeight="1" x14ac:dyDescent="0.25">
      <c r="A1747" s="1"/>
      <c r="N1747" t="s">
        <v>634</v>
      </c>
    </row>
    <row r="1748" spans="1:14" ht="15" customHeight="1" x14ac:dyDescent="0.25">
      <c r="A1748" s="1"/>
      <c r="N1748" t="s">
        <v>499</v>
      </c>
    </row>
    <row r="1749" spans="1:14" ht="15" customHeight="1" x14ac:dyDescent="0.25">
      <c r="A1749" s="1"/>
      <c r="N1749" t="s">
        <v>611</v>
      </c>
    </row>
    <row r="1750" spans="1:14" ht="15" customHeight="1" x14ac:dyDescent="0.25">
      <c r="A1750" s="1"/>
      <c r="N1750" t="s">
        <v>690</v>
      </c>
    </row>
    <row r="1751" spans="1:14" ht="15" customHeight="1" x14ac:dyDescent="0.25">
      <c r="A1751" s="1"/>
      <c r="N1751" t="s">
        <v>313</v>
      </c>
    </row>
    <row r="1752" spans="1:14" ht="15" customHeight="1" x14ac:dyDescent="0.25">
      <c r="A1752" s="1"/>
      <c r="N1752" t="s">
        <v>636</v>
      </c>
    </row>
    <row r="1753" spans="1:14" ht="15" customHeight="1" x14ac:dyDescent="0.25">
      <c r="A1753" s="1"/>
      <c r="N1753" t="s">
        <v>683</v>
      </c>
    </row>
    <row r="1754" spans="1:14" ht="15" customHeight="1" x14ac:dyDescent="0.25">
      <c r="A1754" s="1"/>
      <c r="N1754" t="s">
        <v>347</v>
      </c>
    </row>
    <row r="1755" spans="1:14" ht="15" customHeight="1" x14ac:dyDescent="0.25">
      <c r="A1755" s="1"/>
      <c r="N1755" t="s">
        <v>663</v>
      </c>
    </row>
    <row r="1756" spans="1:14" ht="15" customHeight="1" x14ac:dyDescent="0.25">
      <c r="A1756" s="1"/>
      <c r="N1756" t="s">
        <v>579</v>
      </c>
    </row>
    <row r="1757" spans="1:14" ht="15" customHeight="1" x14ac:dyDescent="0.25">
      <c r="A1757" s="1"/>
      <c r="N1757" t="s">
        <v>732</v>
      </c>
    </row>
    <row r="1758" spans="1:14" ht="15" customHeight="1" x14ac:dyDescent="0.25">
      <c r="A1758" s="1"/>
      <c r="N1758" t="s">
        <v>313</v>
      </c>
    </row>
    <row r="1759" spans="1:14" ht="15" customHeight="1" x14ac:dyDescent="0.25">
      <c r="A1759" s="1"/>
      <c r="N1759" t="s">
        <v>463</v>
      </c>
    </row>
    <row r="1760" spans="1:14" ht="15" customHeight="1" x14ac:dyDescent="0.25">
      <c r="A1760" s="1"/>
      <c r="N1760" t="s">
        <v>732</v>
      </c>
    </row>
    <row r="1761" spans="1:14" ht="15" customHeight="1" x14ac:dyDescent="0.25">
      <c r="A1761" s="1"/>
      <c r="N1761" t="s">
        <v>313</v>
      </c>
    </row>
    <row r="1762" spans="1:14" ht="15" customHeight="1" x14ac:dyDescent="0.25">
      <c r="A1762" s="1"/>
      <c r="N1762" t="s">
        <v>654</v>
      </c>
    </row>
    <row r="1763" spans="1:14" ht="15" customHeight="1" x14ac:dyDescent="0.25">
      <c r="A1763" s="1"/>
      <c r="N1763" t="s">
        <v>680</v>
      </c>
    </row>
    <row r="1764" spans="1:14" ht="15" customHeight="1" x14ac:dyDescent="0.25">
      <c r="A1764" s="1"/>
      <c r="N1764" t="s">
        <v>313</v>
      </c>
    </row>
    <row r="1765" spans="1:14" ht="15" customHeight="1" x14ac:dyDescent="0.25">
      <c r="A1765" s="1"/>
      <c r="N1765" t="s">
        <v>713</v>
      </c>
    </row>
    <row r="1766" spans="1:14" ht="15" customHeight="1" x14ac:dyDescent="0.25">
      <c r="A1766" s="1"/>
      <c r="N1766" t="s">
        <v>313</v>
      </c>
    </row>
    <row r="1767" spans="1:14" ht="15" customHeight="1" x14ac:dyDescent="0.25">
      <c r="A1767" s="1"/>
      <c r="N1767" t="s">
        <v>663</v>
      </c>
    </row>
    <row r="1768" spans="1:14" ht="15" customHeight="1" x14ac:dyDescent="0.25">
      <c r="A1768" s="1"/>
      <c r="N1768" t="s">
        <v>579</v>
      </c>
    </row>
    <row r="1769" spans="1:14" ht="15" customHeight="1" x14ac:dyDescent="0.25">
      <c r="A1769" s="1"/>
      <c r="N1769" t="s">
        <v>355</v>
      </c>
    </row>
    <row r="1770" spans="1:14" ht="15" customHeight="1" x14ac:dyDescent="0.25">
      <c r="A1770" s="1"/>
      <c r="N1770" t="s">
        <v>313</v>
      </c>
    </row>
    <row r="1771" spans="1:14" ht="15" customHeight="1" x14ac:dyDescent="0.25">
      <c r="A1771" s="1"/>
      <c r="N1771" t="s">
        <v>732</v>
      </c>
    </row>
    <row r="1772" spans="1:14" ht="15" customHeight="1" x14ac:dyDescent="0.25">
      <c r="A1772" s="1"/>
      <c r="N1772" t="s">
        <v>540</v>
      </c>
    </row>
    <row r="1773" spans="1:14" ht="15" customHeight="1" x14ac:dyDescent="0.25">
      <c r="A1773" s="1"/>
      <c r="N1773" t="s">
        <v>732</v>
      </c>
    </row>
    <row r="1774" spans="1:14" ht="15" customHeight="1" x14ac:dyDescent="0.25">
      <c r="A1774" s="1"/>
      <c r="N1774" t="s">
        <v>485</v>
      </c>
    </row>
    <row r="1775" spans="1:14" ht="15" customHeight="1" x14ac:dyDescent="0.25">
      <c r="A1775" s="1"/>
      <c r="N1775" t="s">
        <v>654</v>
      </c>
    </row>
    <row r="1776" spans="1:14" ht="15" customHeight="1" x14ac:dyDescent="0.25">
      <c r="A1776" s="1"/>
      <c r="N1776" t="s">
        <v>363</v>
      </c>
    </row>
    <row r="1777" spans="1:14" ht="15" customHeight="1" x14ac:dyDescent="0.25">
      <c r="A1777" s="1"/>
      <c r="N1777" t="s">
        <v>370</v>
      </c>
    </row>
    <row r="1778" spans="1:14" ht="15" customHeight="1" x14ac:dyDescent="0.25">
      <c r="A1778" s="1"/>
      <c r="N1778" t="s">
        <v>732</v>
      </c>
    </row>
    <row r="1779" spans="1:14" ht="15" customHeight="1" x14ac:dyDescent="0.25">
      <c r="A1779" s="1"/>
      <c r="N1779" t="s">
        <v>732</v>
      </c>
    </row>
    <row r="1780" spans="1:14" ht="15" customHeight="1" x14ac:dyDescent="0.25">
      <c r="A1780" s="1"/>
      <c r="N1780" t="s">
        <v>304</v>
      </c>
    </row>
    <row r="1781" spans="1:14" ht="15" customHeight="1" x14ac:dyDescent="0.25">
      <c r="A1781" s="1"/>
      <c r="N1781" t="s">
        <v>696</v>
      </c>
    </row>
    <row r="1782" spans="1:14" ht="15" customHeight="1" x14ac:dyDescent="0.25">
      <c r="A1782" s="1"/>
      <c r="N1782" t="s">
        <v>313</v>
      </c>
    </row>
    <row r="1783" spans="1:14" ht="15" customHeight="1" x14ac:dyDescent="0.25">
      <c r="A1783" s="1"/>
      <c r="N1783" t="s">
        <v>313</v>
      </c>
    </row>
    <row r="1784" spans="1:14" ht="15" customHeight="1" x14ac:dyDescent="0.25">
      <c r="A1784" s="1"/>
      <c r="N1784" t="s">
        <v>680</v>
      </c>
    </row>
    <row r="1785" spans="1:14" ht="15" customHeight="1" x14ac:dyDescent="0.25">
      <c r="A1785" s="1"/>
      <c r="N1785" t="s">
        <v>582</v>
      </c>
    </row>
    <row r="1786" spans="1:14" ht="15" customHeight="1" x14ac:dyDescent="0.25">
      <c r="A1786" s="1"/>
      <c r="N1786" t="s">
        <v>732</v>
      </c>
    </row>
    <row r="1787" spans="1:14" ht="15" customHeight="1" x14ac:dyDescent="0.25">
      <c r="A1787" s="1"/>
      <c r="N1787" t="s">
        <v>732</v>
      </c>
    </row>
    <row r="1788" spans="1:14" ht="15" customHeight="1" x14ac:dyDescent="0.25">
      <c r="A1788" s="1"/>
      <c r="N1788" t="s">
        <v>313</v>
      </c>
    </row>
    <row r="1789" spans="1:14" ht="15" customHeight="1" x14ac:dyDescent="0.25">
      <c r="A1789" s="1"/>
      <c r="N1789" t="s">
        <v>313</v>
      </c>
    </row>
    <row r="1790" spans="1:14" ht="15" customHeight="1" x14ac:dyDescent="0.25">
      <c r="A1790" s="1"/>
      <c r="N1790" t="s">
        <v>715</v>
      </c>
    </row>
    <row r="1791" spans="1:14" ht="15" customHeight="1" x14ac:dyDescent="0.25">
      <c r="A1791" s="1"/>
      <c r="N1791" t="s">
        <v>698</v>
      </c>
    </row>
    <row r="1792" spans="1:14" ht="15" customHeight="1" x14ac:dyDescent="0.25">
      <c r="A1792" s="1"/>
      <c r="N1792" t="s">
        <v>582</v>
      </c>
    </row>
    <row r="1793" spans="1:14" ht="15" customHeight="1" x14ac:dyDescent="0.25">
      <c r="A1793" s="1"/>
      <c r="N1793" t="s">
        <v>696</v>
      </c>
    </row>
    <row r="1794" spans="1:14" ht="15" customHeight="1" x14ac:dyDescent="0.25">
      <c r="A1794" s="1"/>
      <c r="N1794" t="s">
        <v>582</v>
      </c>
    </row>
    <row r="1795" spans="1:14" ht="15" customHeight="1" x14ac:dyDescent="0.25">
      <c r="A1795" s="1"/>
      <c r="N1795" t="s">
        <v>582</v>
      </c>
    </row>
    <row r="1796" spans="1:14" ht="15" customHeight="1" x14ac:dyDescent="0.25">
      <c r="A1796" s="1"/>
      <c r="N1796" t="s">
        <v>68</v>
      </c>
    </row>
    <row r="1797" spans="1:14" ht="15" customHeight="1" x14ac:dyDescent="0.25">
      <c r="A1797" s="1"/>
      <c r="N1797" t="s">
        <v>685</v>
      </c>
    </row>
    <row r="1798" spans="1:14" ht="15" customHeight="1" x14ac:dyDescent="0.25">
      <c r="A1798" s="1"/>
      <c r="N1798" t="s">
        <v>734</v>
      </c>
    </row>
    <row r="1799" spans="1:14" ht="15" customHeight="1" x14ac:dyDescent="0.25">
      <c r="A1799" s="1"/>
      <c r="N1799" t="s">
        <v>715</v>
      </c>
    </row>
    <row r="1800" spans="1:14" ht="15" customHeight="1" x14ac:dyDescent="0.25">
      <c r="A1800" s="1"/>
      <c r="N1800" t="s">
        <v>732</v>
      </c>
    </row>
    <row r="1801" spans="1:14" ht="15" customHeight="1" x14ac:dyDescent="0.25">
      <c r="A1801" s="1"/>
      <c r="N1801" t="s">
        <v>684</v>
      </c>
    </row>
    <row r="1802" spans="1:14" ht="15" customHeight="1" x14ac:dyDescent="0.25">
      <c r="A1802" s="1"/>
      <c r="N1802" t="s">
        <v>732</v>
      </c>
    </row>
    <row r="1803" spans="1:14" ht="15" customHeight="1" x14ac:dyDescent="0.25">
      <c r="A1803" s="1"/>
      <c r="N1803" t="s">
        <v>582</v>
      </c>
    </row>
    <row r="1804" spans="1:14" ht="15" customHeight="1" x14ac:dyDescent="0.25">
      <c r="A1804" s="1"/>
      <c r="N1804" t="s">
        <v>68</v>
      </c>
    </row>
    <row r="1805" spans="1:14" ht="15" customHeight="1" x14ac:dyDescent="0.25">
      <c r="A1805" s="1"/>
      <c r="N1805" t="s">
        <v>582</v>
      </c>
    </row>
    <row r="1806" spans="1:14" ht="15" customHeight="1" x14ac:dyDescent="0.25">
      <c r="A1806" s="1"/>
      <c r="N1806" t="s">
        <v>68</v>
      </c>
    </row>
    <row r="1807" spans="1:14" ht="15" customHeight="1" x14ac:dyDescent="0.25">
      <c r="A1807" s="1"/>
      <c r="N1807" t="s">
        <v>68</v>
      </c>
    </row>
    <row r="1808" spans="1:14" ht="15" customHeight="1" x14ac:dyDescent="0.25">
      <c r="A1808" s="1"/>
      <c r="N1808" t="s">
        <v>582</v>
      </c>
    </row>
    <row r="1809" spans="1:14" ht="15" customHeight="1" x14ac:dyDescent="0.25">
      <c r="A1809" s="1"/>
      <c r="N1809" t="s">
        <v>713</v>
      </c>
    </row>
    <row r="1810" spans="1:14" ht="15" customHeight="1" x14ac:dyDescent="0.25">
      <c r="A1810" s="1"/>
      <c r="N1810" t="s">
        <v>713</v>
      </c>
    </row>
    <row r="1811" spans="1:14" ht="15" customHeight="1" x14ac:dyDescent="0.25">
      <c r="A1811" s="1"/>
      <c r="N1811" t="s">
        <v>713</v>
      </c>
    </row>
    <row r="1812" spans="1:14" ht="15" customHeight="1" x14ac:dyDescent="0.25">
      <c r="A1812" s="1"/>
      <c r="N1812" t="s">
        <v>685</v>
      </c>
    </row>
    <row r="1813" spans="1:14" ht="15" customHeight="1" x14ac:dyDescent="0.25">
      <c r="A1813" s="1"/>
      <c r="N1813" t="s">
        <v>732</v>
      </c>
    </row>
    <row r="1814" spans="1:14" ht="15" customHeight="1" x14ac:dyDescent="0.25">
      <c r="A1814" s="1"/>
      <c r="N1814" t="s">
        <v>687</v>
      </c>
    </row>
    <row r="1815" spans="1:14" ht="15" customHeight="1" x14ac:dyDescent="0.25">
      <c r="A1815" s="1"/>
      <c r="N1815" t="s">
        <v>313</v>
      </c>
    </row>
    <row r="1816" spans="1:14" ht="15" customHeight="1" x14ac:dyDescent="0.25">
      <c r="A1816" s="1"/>
      <c r="N1816" t="s">
        <v>670</v>
      </c>
    </row>
    <row r="1817" spans="1:14" ht="15" customHeight="1" x14ac:dyDescent="0.25">
      <c r="A1817" s="1"/>
      <c r="N1817" t="s">
        <v>646</v>
      </c>
    </row>
    <row r="1818" spans="1:14" ht="15" customHeight="1" x14ac:dyDescent="0.25">
      <c r="A1818" s="1"/>
      <c r="N1818" t="s">
        <v>304</v>
      </c>
    </row>
    <row r="1819" spans="1:14" ht="15" customHeight="1" x14ac:dyDescent="0.25">
      <c r="A1819" s="1"/>
      <c r="N1819" t="s">
        <v>735</v>
      </c>
    </row>
    <row r="1820" spans="1:14" ht="15" customHeight="1" x14ac:dyDescent="0.25">
      <c r="A1820" s="1"/>
      <c r="N1820" t="s">
        <v>735</v>
      </c>
    </row>
    <row r="1821" spans="1:14" ht="15" customHeight="1" x14ac:dyDescent="0.25">
      <c r="A1821" s="1"/>
      <c r="N1821" t="s">
        <v>735</v>
      </c>
    </row>
    <row r="1822" spans="1:14" ht="15" customHeight="1" x14ac:dyDescent="0.25">
      <c r="A1822" s="1"/>
      <c r="N1822" t="s">
        <v>735</v>
      </c>
    </row>
    <row r="1823" spans="1:14" ht="15" customHeight="1" x14ac:dyDescent="0.25">
      <c r="A1823" s="1"/>
      <c r="N1823" t="s">
        <v>735</v>
      </c>
    </row>
    <row r="1824" spans="1:14" ht="15" customHeight="1" x14ac:dyDescent="0.25">
      <c r="A1824" s="1"/>
      <c r="N1824" t="s">
        <v>313</v>
      </c>
    </row>
    <row r="1825" spans="1:14" ht="15" customHeight="1" x14ac:dyDescent="0.25">
      <c r="A1825" s="1"/>
      <c r="N1825" t="s">
        <v>680</v>
      </c>
    </row>
    <row r="1826" spans="1:14" ht="15" customHeight="1" x14ac:dyDescent="0.25">
      <c r="A1826" s="1"/>
      <c r="N1826" t="s">
        <v>732</v>
      </c>
    </row>
    <row r="1827" spans="1:14" ht="15" customHeight="1" x14ac:dyDescent="0.25">
      <c r="A1827" s="1"/>
      <c r="N1827" t="s">
        <v>313</v>
      </c>
    </row>
    <row r="1828" spans="1:14" ht="15" customHeight="1" x14ac:dyDescent="0.25">
      <c r="A1828" s="1"/>
      <c r="N1828" t="s">
        <v>68</v>
      </c>
    </row>
    <row r="1829" spans="1:14" ht="15" customHeight="1" x14ac:dyDescent="0.25">
      <c r="A1829" s="1"/>
      <c r="N1829" t="s">
        <v>675</v>
      </c>
    </row>
    <row r="1830" spans="1:14" ht="15" customHeight="1" x14ac:dyDescent="0.25">
      <c r="A1830" s="1"/>
      <c r="N1830" t="s">
        <v>539</v>
      </c>
    </row>
    <row r="1831" spans="1:14" ht="15" customHeight="1" x14ac:dyDescent="0.25">
      <c r="A1831" s="1"/>
      <c r="N1831" t="s">
        <v>68</v>
      </c>
    </row>
    <row r="1832" spans="1:14" ht="15" customHeight="1" x14ac:dyDescent="0.25">
      <c r="A1832" s="1"/>
      <c r="N1832" t="s">
        <v>732</v>
      </c>
    </row>
    <row r="1833" spans="1:14" ht="15" customHeight="1" x14ac:dyDescent="0.25">
      <c r="A1833" s="1"/>
      <c r="N1833" t="s">
        <v>684</v>
      </c>
    </row>
    <row r="1834" spans="1:14" ht="15" customHeight="1" x14ac:dyDescent="0.25">
      <c r="A1834" s="1"/>
      <c r="N1834" t="s">
        <v>68</v>
      </c>
    </row>
    <row r="1835" spans="1:14" ht="15" customHeight="1" x14ac:dyDescent="0.25">
      <c r="A1835" s="1"/>
      <c r="N1835" t="s">
        <v>553</v>
      </c>
    </row>
    <row r="1836" spans="1:14" ht="15" customHeight="1" x14ac:dyDescent="0.25">
      <c r="A1836" s="1"/>
      <c r="N1836" t="s">
        <v>68</v>
      </c>
    </row>
    <row r="1837" spans="1:14" ht="15" customHeight="1" x14ac:dyDescent="0.25">
      <c r="A1837" s="1"/>
      <c r="N1837" t="s">
        <v>582</v>
      </c>
    </row>
    <row r="1838" spans="1:14" ht="15" customHeight="1" x14ac:dyDescent="0.25">
      <c r="A1838" s="1"/>
      <c r="N1838" t="s">
        <v>713</v>
      </c>
    </row>
    <row r="1839" spans="1:14" ht="15" customHeight="1" x14ac:dyDescent="0.25">
      <c r="A1839" s="1"/>
      <c r="N1839" t="s">
        <v>732</v>
      </c>
    </row>
    <row r="1840" spans="1:14" ht="15" customHeight="1" x14ac:dyDescent="0.25">
      <c r="A1840" s="1"/>
      <c r="N1840" t="s">
        <v>603</v>
      </c>
    </row>
    <row r="1841" spans="1:14" ht="15" customHeight="1" x14ac:dyDescent="0.25">
      <c r="A1841" s="1"/>
      <c r="N1841" t="s">
        <v>654</v>
      </c>
    </row>
    <row r="1842" spans="1:14" ht="15" customHeight="1" x14ac:dyDescent="0.25">
      <c r="A1842" s="1"/>
      <c r="N1842" t="s">
        <v>685</v>
      </c>
    </row>
    <row r="1843" spans="1:14" ht="15" customHeight="1" x14ac:dyDescent="0.25">
      <c r="A1843" s="1"/>
      <c r="N1843" t="s">
        <v>313</v>
      </c>
    </row>
    <row r="1844" spans="1:14" ht="15" customHeight="1" x14ac:dyDescent="0.25">
      <c r="A1844" s="1"/>
      <c r="N1844" t="s">
        <v>685</v>
      </c>
    </row>
    <row r="1845" spans="1:14" ht="15" customHeight="1" x14ac:dyDescent="0.25">
      <c r="A1845" s="1"/>
      <c r="N1845" t="s">
        <v>696</v>
      </c>
    </row>
    <row r="1846" spans="1:14" ht="15" customHeight="1" x14ac:dyDescent="0.25">
      <c r="A1846" s="1"/>
      <c r="N1846" t="s">
        <v>313</v>
      </c>
    </row>
    <row r="1847" spans="1:14" ht="15" customHeight="1" x14ac:dyDescent="0.25">
      <c r="A1847" s="1"/>
      <c r="N1847" t="s">
        <v>675</v>
      </c>
    </row>
    <row r="1848" spans="1:14" ht="15" customHeight="1" x14ac:dyDescent="0.25">
      <c r="A1848" s="1"/>
      <c r="N1848" t="s">
        <v>582</v>
      </c>
    </row>
    <row r="1849" spans="1:14" ht="15" customHeight="1" x14ac:dyDescent="0.25">
      <c r="A1849" s="1"/>
      <c r="N1849" t="s">
        <v>582</v>
      </c>
    </row>
    <row r="1850" spans="1:14" ht="15" customHeight="1" x14ac:dyDescent="0.25">
      <c r="A1850" s="1"/>
      <c r="N1850" t="s">
        <v>713</v>
      </c>
    </row>
    <row r="1851" spans="1:14" ht="15" customHeight="1" x14ac:dyDescent="0.25">
      <c r="A1851" s="1"/>
      <c r="N1851" t="s">
        <v>558</v>
      </c>
    </row>
    <row r="1852" spans="1:14" ht="15" customHeight="1" x14ac:dyDescent="0.25">
      <c r="A1852" s="1"/>
      <c r="N1852" t="s">
        <v>732</v>
      </c>
    </row>
    <row r="1853" spans="1:14" ht="15" customHeight="1" x14ac:dyDescent="0.25">
      <c r="A1853" s="1"/>
      <c r="N1853" t="s">
        <v>670</v>
      </c>
    </row>
    <row r="1854" spans="1:14" ht="15" customHeight="1" x14ac:dyDescent="0.25">
      <c r="A1854" s="1"/>
      <c r="N1854" t="s">
        <v>670</v>
      </c>
    </row>
    <row r="1855" spans="1:14" ht="15" customHeight="1" x14ac:dyDescent="0.25">
      <c r="A1855" s="1"/>
      <c r="N1855" t="s">
        <v>370</v>
      </c>
    </row>
    <row r="1856" spans="1:14" ht="15" customHeight="1" x14ac:dyDescent="0.25">
      <c r="A1856" s="1"/>
      <c r="N1856" t="s">
        <v>714</v>
      </c>
    </row>
    <row r="1857" spans="1:14" ht="15" customHeight="1" x14ac:dyDescent="0.25">
      <c r="A1857" s="1"/>
      <c r="N1857" t="s">
        <v>685</v>
      </c>
    </row>
    <row r="1858" spans="1:14" ht="15" customHeight="1" x14ac:dyDescent="0.25">
      <c r="A1858" s="1"/>
      <c r="N1858" t="s">
        <v>582</v>
      </c>
    </row>
    <row r="1859" spans="1:14" ht="15" customHeight="1" x14ac:dyDescent="0.25">
      <c r="A1859" s="1"/>
      <c r="N1859" t="s">
        <v>686</v>
      </c>
    </row>
    <row r="1860" spans="1:14" ht="15" customHeight="1" x14ac:dyDescent="0.25">
      <c r="A1860" s="1"/>
      <c r="N1860" t="s">
        <v>670</v>
      </c>
    </row>
    <row r="1861" spans="1:14" ht="15" customHeight="1" x14ac:dyDescent="0.25">
      <c r="A1861" s="1"/>
      <c r="N1861" t="s">
        <v>304</v>
      </c>
    </row>
    <row r="1862" spans="1:14" ht="15" customHeight="1" x14ac:dyDescent="0.25">
      <c r="A1862" s="1"/>
      <c r="N1862" t="s">
        <v>669</v>
      </c>
    </row>
    <row r="1863" spans="1:14" ht="15" customHeight="1" x14ac:dyDescent="0.25">
      <c r="A1863" s="1"/>
      <c r="N1863" t="s">
        <v>553</v>
      </c>
    </row>
    <row r="1864" spans="1:14" ht="15" customHeight="1" x14ac:dyDescent="0.25">
      <c r="A1864" s="1"/>
      <c r="N1864" t="s">
        <v>582</v>
      </c>
    </row>
    <row r="1865" spans="1:14" ht="15" customHeight="1" x14ac:dyDescent="0.25">
      <c r="A1865" s="1"/>
      <c r="N1865" t="s">
        <v>715</v>
      </c>
    </row>
    <row r="1866" spans="1:14" ht="15" customHeight="1" x14ac:dyDescent="0.25">
      <c r="A1866" s="1"/>
      <c r="N1866" t="s">
        <v>714</v>
      </c>
    </row>
    <row r="1867" spans="1:14" ht="15" customHeight="1" x14ac:dyDescent="0.25">
      <c r="A1867" s="1"/>
      <c r="N1867" t="s">
        <v>642</v>
      </c>
    </row>
    <row r="1868" spans="1:14" ht="15" customHeight="1" x14ac:dyDescent="0.25">
      <c r="A1868" s="1"/>
      <c r="N1868" t="s">
        <v>690</v>
      </c>
    </row>
    <row r="1869" spans="1:14" ht="15" customHeight="1" x14ac:dyDescent="0.25">
      <c r="A1869" s="1"/>
      <c r="N1869" t="s">
        <v>582</v>
      </c>
    </row>
    <row r="1870" spans="1:14" ht="15" customHeight="1" x14ac:dyDescent="0.25">
      <c r="A1870" s="1"/>
      <c r="N1870" t="s">
        <v>605</v>
      </c>
    </row>
    <row r="1871" spans="1:14" ht="15" customHeight="1" x14ac:dyDescent="0.25">
      <c r="A1871" s="1"/>
      <c r="N1871" t="s">
        <v>732</v>
      </c>
    </row>
    <row r="1872" spans="1:14" ht="15" customHeight="1" x14ac:dyDescent="0.25">
      <c r="A1872" s="1"/>
      <c r="N1872" t="s">
        <v>714</v>
      </c>
    </row>
    <row r="1873" spans="1:14" ht="15" customHeight="1" x14ac:dyDescent="0.25">
      <c r="A1873" s="1"/>
      <c r="N1873" t="s">
        <v>304</v>
      </c>
    </row>
    <row r="1874" spans="1:14" ht="15" customHeight="1" x14ac:dyDescent="0.25">
      <c r="A1874" s="1"/>
      <c r="N1874" t="s">
        <v>642</v>
      </c>
    </row>
    <row r="1875" spans="1:14" ht="15" customHeight="1" x14ac:dyDescent="0.25">
      <c r="A1875" s="1"/>
      <c r="N1875" t="s">
        <v>714</v>
      </c>
    </row>
    <row r="1876" spans="1:14" ht="15" customHeight="1" x14ac:dyDescent="0.25">
      <c r="A1876" s="1"/>
      <c r="N1876" t="s">
        <v>371</v>
      </c>
    </row>
    <row r="1877" spans="1:14" ht="15" customHeight="1" x14ac:dyDescent="0.25">
      <c r="A1877" s="1"/>
      <c r="N1877" t="s">
        <v>425</v>
      </c>
    </row>
    <row r="1878" spans="1:14" ht="15" customHeight="1" x14ac:dyDescent="0.25">
      <c r="A1878" s="1"/>
      <c r="N1878" t="s">
        <v>582</v>
      </c>
    </row>
    <row r="1879" spans="1:14" ht="15" customHeight="1" x14ac:dyDescent="0.25">
      <c r="A1879" s="1"/>
      <c r="N1879" t="s">
        <v>684</v>
      </c>
    </row>
    <row r="1880" spans="1:14" ht="15" customHeight="1" x14ac:dyDescent="0.25">
      <c r="A1880" s="1"/>
      <c r="N1880" t="s">
        <v>685</v>
      </c>
    </row>
    <row r="1881" spans="1:14" ht="15" customHeight="1" x14ac:dyDescent="0.25">
      <c r="A1881" s="1"/>
      <c r="N1881" t="s">
        <v>313</v>
      </c>
    </row>
    <row r="1882" spans="1:14" ht="15" customHeight="1" x14ac:dyDescent="0.25">
      <c r="A1882" s="1"/>
      <c r="N1882" t="s">
        <v>714</v>
      </c>
    </row>
    <row r="1883" spans="1:14" ht="15" customHeight="1" x14ac:dyDescent="0.25">
      <c r="A1883" s="1"/>
      <c r="N1883" t="s">
        <v>687</v>
      </c>
    </row>
    <row r="1884" spans="1:14" ht="15" customHeight="1" x14ac:dyDescent="0.25">
      <c r="A1884" s="1"/>
      <c r="N1884" t="s">
        <v>642</v>
      </c>
    </row>
    <row r="1885" spans="1:14" ht="15" customHeight="1" x14ac:dyDescent="0.25">
      <c r="A1885" s="1"/>
      <c r="N1885" t="s">
        <v>638</v>
      </c>
    </row>
    <row r="1886" spans="1:14" ht="15" customHeight="1" x14ac:dyDescent="0.25">
      <c r="A1886" s="1"/>
      <c r="N1886" t="s">
        <v>582</v>
      </c>
    </row>
    <row r="1887" spans="1:14" ht="15" customHeight="1" x14ac:dyDescent="0.25">
      <c r="A1887" s="1"/>
      <c r="N1887" t="s">
        <v>582</v>
      </c>
    </row>
    <row r="1888" spans="1:14" ht="15" customHeight="1" x14ac:dyDescent="0.25">
      <c r="A1888" s="1"/>
      <c r="N1888" t="s">
        <v>714</v>
      </c>
    </row>
    <row r="1889" spans="1:14" ht="15" customHeight="1" x14ac:dyDescent="0.25">
      <c r="A1889" s="1"/>
      <c r="N1889" t="s">
        <v>714</v>
      </c>
    </row>
    <row r="1890" spans="1:14" ht="15" customHeight="1" x14ac:dyDescent="0.25">
      <c r="A1890" s="1"/>
      <c r="N1890" t="s">
        <v>638</v>
      </c>
    </row>
    <row r="1891" spans="1:14" ht="15" customHeight="1" x14ac:dyDescent="0.25">
      <c r="A1891" s="1"/>
      <c r="N1891" t="s">
        <v>638</v>
      </c>
    </row>
    <row r="1892" spans="1:14" ht="15" customHeight="1" x14ac:dyDescent="0.25">
      <c r="A1892" s="1"/>
      <c r="N1892" t="s">
        <v>582</v>
      </c>
    </row>
    <row r="1893" spans="1:14" ht="15" customHeight="1" x14ac:dyDescent="0.25">
      <c r="A1893" s="1"/>
      <c r="N1893" t="s">
        <v>68</v>
      </c>
    </row>
    <row r="1894" spans="1:14" ht="15" customHeight="1" x14ac:dyDescent="0.25">
      <c r="A1894" s="1"/>
      <c r="N1894" t="s">
        <v>675</v>
      </c>
    </row>
    <row r="1895" spans="1:14" ht="15" customHeight="1" x14ac:dyDescent="0.25">
      <c r="A1895" s="1"/>
      <c r="N1895" t="s">
        <v>706</v>
      </c>
    </row>
    <row r="1896" spans="1:14" ht="15" customHeight="1" x14ac:dyDescent="0.25">
      <c r="A1896" s="1"/>
      <c r="N1896" t="s">
        <v>582</v>
      </c>
    </row>
    <row r="1897" spans="1:14" ht="15" customHeight="1" x14ac:dyDescent="0.25">
      <c r="A1897" s="1"/>
      <c r="N1897" t="s">
        <v>68</v>
      </c>
    </row>
    <row r="1898" spans="1:14" ht="15" customHeight="1" x14ac:dyDescent="0.25">
      <c r="A1898" s="1"/>
      <c r="N1898" t="s">
        <v>622</v>
      </c>
    </row>
    <row r="1899" spans="1:14" ht="15" customHeight="1" x14ac:dyDescent="0.25">
      <c r="A1899" s="1"/>
      <c r="N1899" t="s">
        <v>68</v>
      </c>
    </row>
    <row r="1900" spans="1:14" ht="15" customHeight="1" x14ac:dyDescent="0.25">
      <c r="A1900" s="1"/>
      <c r="N1900" t="s">
        <v>736</v>
      </c>
    </row>
    <row r="1901" spans="1:14" ht="15" customHeight="1" x14ac:dyDescent="0.25">
      <c r="A1901" s="1"/>
      <c r="N1901" t="s">
        <v>68</v>
      </c>
    </row>
    <row r="1902" spans="1:14" ht="15" customHeight="1" x14ac:dyDescent="0.25">
      <c r="A1902" s="1"/>
      <c r="N1902" t="s">
        <v>689</v>
      </c>
    </row>
    <row r="1903" spans="1:14" ht="15" customHeight="1" x14ac:dyDescent="0.25">
      <c r="A1903" s="1"/>
      <c r="N1903" t="s">
        <v>706</v>
      </c>
    </row>
    <row r="1904" spans="1:14" ht="15" customHeight="1" x14ac:dyDescent="0.25">
      <c r="A1904" s="1"/>
      <c r="N1904" t="s">
        <v>582</v>
      </c>
    </row>
    <row r="1905" spans="1:14" ht="15" customHeight="1" x14ac:dyDescent="0.25">
      <c r="A1905" s="1"/>
      <c r="N1905" t="s">
        <v>68</v>
      </c>
    </row>
    <row r="1906" spans="1:14" ht="15" customHeight="1" x14ac:dyDescent="0.25">
      <c r="A1906" s="1"/>
      <c r="N1906" t="s">
        <v>732</v>
      </c>
    </row>
    <row r="1907" spans="1:14" ht="15" customHeight="1" x14ac:dyDescent="0.25">
      <c r="A1907" s="1"/>
      <c r="N1907" t="s">
        <v>496</v>
      </c>
    </row>
    <row r="1908" spans="1:14" ht="15" customHeight="1" x14ac:dyDescent="0.25">
      <c r="A1908" s="1"/>
      <c r="N1908" t="s">
        <v>68</v>
      </c>
    </row>
    <row r="1909" spans="1:14" ht="15" customHeight="1" x14ac:dyDescent="0.25">
      <c r="A1909" s="1"/>
      <c r="N1909" t="s">
        <v>68</v>
      </c>
    </row>
    <row r="1910" spans="1:14" ht="15" customHeight="1" x14ac:dyDescent="0.25">
      <c r="A1910" s="1"/>
      <c r="N1910" t="s">
        <v>689</v>
      </c>
    </row>
    <row r="1911" spans="1:14" ht="15" customHeight="1" x14ac:dyDescent="0.25">
      <c r="A1911" s="1"/>
      <c r="N1911" t="s">
        <v>684</v>
      </c>
    </row>
    <row r="1912" spans="1:14" ht="15" customHeight="1" x14ac:dyDescent="0.25">
      <c r="A1912" s="1"/>
      <c r="N1912" t="s">
        <v>582</v>
      </c>
    </row>
    <row r="1913" spans="1:14" ht="15" customHeight="1" x14ac:dyDescent="0.25">
      <c r="A1913" s="1"/>
      <c r="N1913" t="s">
        <v>68</v>
      </c>
    </row>
    <row r="1914" spans="1:14" ht="15" customHeight="1" x14ac:dyDescent="0.25">
      <c r="A1914" s="1"/>
      <c r="N1914" t="s">
        <v>675</v>
      </c>
    </row>
    <row r="1915" spans="1:14" ht="15" customHeight="1" x14ac:dyDescent="0.25">
      <c r="A1915" s="1"/>
      <c r="N1915" t="s">
        <v>68</v>
      </c>
    </row>
    <row r="1916" spans="1:14" ht="15" customHeight="1" x14ac:dyDescent="0.25">
      <c r="A1916" s="1"/>
      <c r="N1916" t="s">
        <v>706</v>
      </c>
    </row>
    <row r="1917" spans="1:14" ht="15" customHeight="1" x14ac:dyDescent="0.25">
      <c r="A1917" s="1"/>
      <c r="N1917" t="s">
        <v>313</v>
      </c>
    </row>
    <row r="1918" spans="1:14" ht="15" customHeight="1" x14ac:dyDescent="0.25">
      <c r="A1918" s="1"/>
      <c r="N1918" t="s">
        <v>621</v>
      </c>
    </row>
    <row r="1919" spans="1:14" ht="15" customHeight="1" x14ac:dyDescent="0.25">
      <c r="A1919" s="1"/>
      <c r="N1919" t="s">
        <v>68</v>
      </c>
    </row>
    <row r="1920" spans="1:14" ht="15" customHeight="1" x14ac:dyDescent="0.25">
      <c r="A1920" s="1"/>
      <c r="N1920" t="s">
        <v>582</v>
      </c>
    </row>
    <row r="1921" spans="1:14" ht="15" customHeight="1" x14ac:dyDescent="0.25">
      <c r="A1921" s="1"/>
      <c r="N1921" t="s">
        <v>313</v>
      </c>
    </row>
    <row r="1922" spans="1:14" ht="15" customHeight="1" x14ac:dyDescent="0.25">
      <c r="A1922" s="1"/>
      <c r="N1922" t="s">
        <v>677</v>
      </c>
    </row>
    <row r="1923" spans="1:14" ht="15" customHeight="1" x14ac:dyDescent="0.25">
      <c r="A1923" s="1"/>
      <c r="N1923" t="s">
        <v>68</v>
      </c>
    </row>
    <row r="1924" spans="1:14" ht="15" customHeight="1" x14ac:dyDescent="0.25">
      <c r="A1924" s="1"/>
      <c r="N1924" t="s">
        <v>68</v>
      </c>
    </row>
    <row r="1925" spans="1:14" ht="15" customHeight="1" x14ac:dyDescent="0.25">
      <c r="A1925" s="1"/>
      <c r="N1925" t="s">
        <v>677</v>
      </c>
    </row>
    <row r="1926" spans="1:14" ht="15" customHeight="1" x14ac:dyDescent="0.25">
      <c r="A1926" s="1"/>
      <c r="N1926" t="s">
        <v>677</v>
      </c>
    </row>
    <row r="1927" spans="1:14" ht="15" customHeight="1" x14ac:dyDescent="0.25">
      <c r="A1927" s="1"/>
      <c r="N1927" t="s">
        <v>68</v>
      </c>
    </row>
    <row r="1928" spans="1:14" ht="15" customHeight="1" x14ac:dyDescent="0.25">
      <c r="A1928" s="1"/>
      <c r="N1928" t="s">
        <v>68</v>
      </c>
    </row>
    <row r="1929" spans="1:14" ht="15" customHeight="1" x14ac:dyDescent="0.25">
      <c r="A1929" s="1"/>
      <c r="N1929" t="s">
        <v>687</v>
      </c>
    </row>
    <row r="1930" spans="1:14" ht="15" customHeight="1" x14ac:dyDescent="0.25">
      <c r="A1930" s="1"/>
      <c r="N1930" t="s">
        <v>582</v>
      </c>
    </row>
    <row r="1931" spans="1:14" ht="15" customHeight="1" x14ac:dyDescent="0.25">
      <c r="A1931" s="1"/>
      <c r="N1931" t="s">
        <v>687</v>
      </c>
    </row>
    <row r="1932" spans="1:14" ht="15" customHeight="1" x14ac:dyDescent="0.25">
      <c r="A1932" s="1"/>
      <c r="N1932" t="s">
        <v>68</v>
      </c>
    </row>
    <row r="1933" spans="1:14" ht="15" customHeight="1" x14ac:dyDescent="0.25">
      <c r="A1933" s="1"/>
      <c r="N1933" t="s">
        <v>690</v>
      </c>
    </row>
    <row r="1934" spans="1:14" ht="15" customHeight="1" x14ac:dyDescent="0.25">
      <c r="A1934" s="1"/>
      <c r="N1934" t="s">
        <v>715</v>
      </c>
    </row>
    <row r="1935" spans="1:14" ht="15" customHeight="1" x14ac:dyDescent="0.25">
      <c r="A1935" s="1"/>
      <c r="N1935" t="s">
        <v>715</v>
      </c>
    </row>
    <row r="1936" spans="1:14" ht="15" customHeight="1" x14ac:dyDescent="0.25">
      <c r="A1936" s="1"/>
      <c r="N1936" t="s">
        <v>696</v>
      </c>
    </row>
    <row r="1937" spans="1:14" ht="15" customHeight="1" x14ac:dyDescent="0.25">
      <c r="A1937" s="1"/>
      <c r="N1937" t="s">
        <v>666</v>
      </c>
    </row>
    <row r="1938" spans="1:14" ht="15" customHeight="1" x14ac:dyDescent="0.25">
      <c r="A1938" s="1"/>
      <c r="N1938" t="s">
        <v>715</v>
      </c>
    </row>
    <row r="1939" spans="1:14" ht="15" customHeight="1" x14ac:dyDescent="0.25">
      <c r="A1939" s="1"/>
      <c r="N1939" t="s">
        <v>592</v>
      </c>
    </row>
    <row r="1940" spans="1:14" ht="15" customHeight="1" x14ac:dyDescent="0.25">
      <c r="A1940" s="1"/>
      <c r="N1940" t="s">
        <v>592</v>
      </c>
    </row>
    <row r="1941" spans="1:14" ht="15" customHeight="1" x14ac:dyDescent="0.25">
      <c r="A1941" s="1"/>
      <c r="N1941" t="s">
        <v>592</v>
      </c>
    </row>
    <row r="1942" spans="1:14" ht="15" customHeight="1" x14ac:dyDescent="0.25">
      <c r="A1942" s="1"/>
      <c r="N1942" t="s">
        <v>592</v>
      </c>
    </row>
    <row r="1943" spans="1:14" ht="15" customHeight="1" x14ac:dyDescent="0.25">
      <c r="A1943" s="1"/>
      <c r="N1943" t="s">
        <v>592</v>
      </c>
    </row>
    <row r="1944" spans="1:14" ht="15" customHeight="1" x14ac:dyDescent="0.25">
      <c r="A1944" s="1"/>
      <c r="N1944" t="s">
        <v>317</v>
      </c>
    </row>
    <row r="1945" spans="1:14" ht="15" customHeight="1" x14ac:dyDescent="0.25">
      <c r="A1945" s="1"/>
      <c r="N1945" t="s">
        <v>715</v>
      </c>
    </row>
    <row r="1946" spans="1:14" ht="15" customHeight="1" x14ac:dyDescent="0.25">
      <c r="A1946" s="1"/>
      <c r="N1946" t="s">
        <v>715</v>
      </c>
    </row>
    <row r="1947" spans="1:14" ht="15" customHeight="1" x14ac:dyDescent="0.25">
      <c r="A1947" s="1"/>
      <c r="N1947" t="s">
        <v>715</v>
      </c>
    </row>
    <row r="1948" spans="1:14" ht="15" customHeight="1" x14ac:dyDescent="0.25">
      <c r="A1948" s="1"/>
      <c r="N1948" t="s">
        <v>317</v>
      </c>
    </row>
    <row r="1949" spans="1:14" ht="15" customHeight="1" x14ac:dyDescent="0.25">
      <c r="A1949" s="1"/>
      <c r="N1949" t="s">
        <v>313</v>
      </c>
    </row>
    <row r="1950" spans="1:14" ht="15" customHeight="1" x14ac:dyDescent="0.25">
      <c r="A1950" s="1"/>
      <c r="N1950" t="s">
        <v>715</v>
      </c>
    </row>
    <row r="1951" spans="1:14" ht="15" customHeight="1" x14ac:dyDescent="0.25">
      <c r="A1951" s="1"/>
      <c r="N1951" t="s">
        <v>715</v>
      </c>
    </row>
    <row r="1952" spans="1:14" ht="15" customHeight="1" x14ac:dyDescent="0.25">
      <c r="A1952" s="1"/>
      <c r="N1952" t="s">
        <v>715</v>
      </c>
    </row>
    <row r="1953" spans="1:14" ht="15" customHeight="1" x14ac:dyDescent="0.25">
      <c r="A1953" s="1"/>
      <c r="N1953" t="s">
        <v>737</v>
      </c>
    </row>
    <row r="1954" spans="1:14" ht="15" customHeight="1" x14ac:dyDescent="0.25">
      <c r="A1954" s="1"/>
      <c r="N1954" t="s">
        <v>715</v>
      </c>
    </row>
    <row r="1955" spans="1:14" ht="15" customHeight="1" x14ac:dyDescent="0.25">
      <c r="A1955" s="1"/>
      <c r="N1955" t="s">
        <v>715</v>
      </c>
    </row>
    <row r="1956" spans="1:14" ht="15" customHeight="1" x14ac:dyDescent="0.25">
      <c r="A1956" s="1"/>
      <c r="N1956" t="s">
        <v>715</v>
      </c>
    </row>
    <row r="1957" spans="1:14" ht="15" customHeight="1" x14ac:dyDescent="0.25">
      <c r="A1957" s="1"/>
      <c r="N1957" t="s">
        <v>738</v>
      </c>
    </row>
    <row r="1958" spans="1:14" ht="15" customHeight="1" x14ac:dyDescent="0.25">
      <c r="A1958" s="1"/>
      <c r="N1958" t="s">
        <v>715</v>
      </c>
    </row>
    <row r="1959" spans="1:14" ht="15" customHeight="1" x14ac:dyDescent="0.25">
      <c r="A1959" s="1"/>
      <c r="N1959" t="s">
        <v>669</v>
      </c>
    </row>
    <row r="1960" spans="1:14" ht="15" customHeight="1" x14ac:dyDescent="0.25">
      <c r="A1960" s="1"/>
      <c r="N1960" t="s">
        <v>739</v>
      </c>
    </row>
    <row r="1961" spans="1:14" ht="15" customHeight="1" x14ac:dyDescent="0.25">
      <c r="A1961" s="1"/>
      <c r="N1961" t="s">
        <v>611</v>
      </c>
    </row>
    <row r="1962" spans="1:14" ht="15" customHeight="1" x14ac:dyDescent="0.25">
      <c r="A1962" s="1"/>
      <c r="N1962" t="s">
        <v>740</v>
      </c>
    </row>
    <row r="1963" spans="1:14" ht="15" customHeight="1" x14ac:dyDescent="0.25">
      <c r="A1963" s="1"/>
      <c r="N1963" t="s">
        <v>675</v>
      </c>
    </row>
    <row r="1964" spans="1:14" ht="15" customHeight="1" x14ac:dyDescent="0.25">
      <c r="A1964" s="1"/>
      <c r="N1964" t="s">
        <v>741</v>
      </c>
    </row>
    <row r="1965" spans="1:14" ht="15" customHeight="1" x14ac:dyDescent="0.25">
      <c r="A1965" s="1"/>
      <c r="N1965" t="s">
        <v>742</v>
      </c>
    </row>
    <row r="1966" spans="1:14" ht="15" customHeight="1" x14ac:dyDescent="0.25">
      <c r="A1966" s="1"/>
      <c r="N1966" t="s">
        <v>403</v>
      </c>
    </row>
    <row r="1967" spans="1:14" ht="15" customHeight="1" x14ac:dyDescent="0.25">
      <c r="A1967" s="1"/>
      <c r="N1967" t="s">
        <v>582</v>
      </c>
    </row>
    <row r="1968" spans="1:14" ht="15" customHeight="1" x14ac:dyDescent="0.25">
      <c r="A1968" s="1"/>
      <c r="N1968" t="s">
        <v>696</v>
      </c>
    </row>
    <row r="1969" spans="1:14" ht="15" customHeight="1" x14ac:dyDescent="0.25">
      <c r="A1969" s="1"/>
      <c r="N1969" t="s">
        <v>743</v>
      </c>
    </row>
    <row r="1970" spans="1:14" ht="15" customHeight="1" x14ac:dyDescent="0.25">
      <c r="A1970" s="1"/>
      <c r="N1970" t="s">
        <v>714</v>
      </c>
    </row>
    <row r="1971" spans="1:14" ht="15" customHeight="1" x14ac:dyDescent="0.25">
      <c r="A1971" s="1"/>
      <c r="N1971" t="s">
        <v>744</v>
      </c>
    </row>
    <row r="1972" spans="1:14" ht="15" customHeight="1" x14ac:dyDescent="0.25">
      <c r="A1972" s="1"/>
      <c r="N1972" t="s">
        <v>463</v>
      </c>
    </row>
    <row r="1973" spans="1:14" ht="15" customHeight="1" x14ac:dyDescent="0.25">
      <c r="A1973" s="1"/>
      <c r="N1973" t="s">
        <v>696</v>
      </c>
    </row>
    <row r="1974" spans="1:14" ht="15" customHeight="1" x14ac:dyDescent="0.25">
      <c r="A1974" s="1"/>
      <c r="N1974" t="s">
        <v>715</v>
      </c>
    </row>
    <row r="1975" spans="1:14" ht="15" customHeight="1" x14ac:dyDescent="0.25">
      <c r="A1975" s="1"/>
      <c r="N1975" t="s">
        <v>651</v>
      </c>
    </row>
    <row r="1976" spans="1:14" ht="15" customHeight="1" x14ac:dyDescent="0.25">
      <c r="A1976" s="1"/>
      <c r="N1976" t="s">
        <v>732</v>
      </c>
    </row>
    <row r="1977" spans="1:14" ht="15" customHeight="1" x14ac:dyDescent="0.25">
      <c r="A1977" s="1"/>
      <c r="N1977" t="s">
        <v>666</v>
      </c>
    </row>
    <row r="1978" spans="1:14" ht="15" customHeight="1" x14ac:dyDescent="0.25">
      <c r="A1978" s="1"/>
      <c r="N1978" t="s">
        <v>745</v>
      </c>
    </row>
    <row r="1979" spans="1:14" ht="15" customHeight="1" x14ac:dyDescent="0.25">
      <c r="A1979" s="1"/>
      <c r="N1979" t="s">
        <v>582</v>
      </c>
    </row>
    <row r="1980" spans="1:14" ht="15" customHeight="1" x14ac:dyDescent="0.25">
      <c r="A1980" s="1"/>
      <c r="N1980" t="s">
        <v>643</v>
      </c>
    </row>
    <row r="1981" spans="1:14" ht="15" customHeight="1" x14ac:dyDescent="0.25">
      <c r="A1981" s="1"/>
      <c r="N1981" t="s">
        <v>582</v>
      </c>
    </row>
    <row r="1982" spans="1:14" ht="15" customHeight="1" x14ac:dyDescent="0.25">
      <c r="A1982" s="1"/>
      <c r="N1982" t="s">
        <v>582</v>
      </c>
    </row>
    <row r="1983" spans="1:14" ht="15" customHeight="1" x14ac:dyDescent="0.25">
      <c r="A1983" s="1"/>
      <c r="N1983" t="s">
        <v>582</v>
      </c>
    </row>
    <row r="1984" spans="1:14" ht="15" customHeight="1" x14ac:dyDescent="0.25">
      <c r="A1984" s="1"/>
      <c r="N1984" t="s">
        <v>715</v>
      </c>
    </row>
    <row r="1985" spans="1:14" ht="15" customHeight="1" x14ac:dyDescent="0.25">
      <c r="A1985" s="1"/>
      <c r="N1985" t="s">
        <v>713</v>
      </c>
    </row>
    <row r="1986" spans="1:14" ht="15" customHeight="1" x14ac:dyDescent="0.25">
      <c r="A1986" s="1"/>
      <c r="N1986" t="s">
        <v>713</v>
      </c>
    </row>
    <row r="1987" spans="1:14" ht="15" customHeight="1" x14ac:dyDescent="0.25">
      <c r="A1987" s="1"/>
      <c r="N1987" t="s">
        <v>715</v>
      </c>
    </row>
    <row r="1988" spans="1:14" ht="15" customHeight="1" x14ac:dyDescent="0.25">
      <c r="A1988" s="1"/>
      <c r="N1988" t="s">
        <v>713</v>
      </c>
    </row>
    <row r="1989" spans="1:14" ht="15" customHeight="1" x14ac:dyDescent="0.25">
      <c r="A1989" s="1"/>
      <c r="N1989" t="s">
        <v>713</v>
      </c>
    </row>
    <row r="1990" spans="1:14" ht="15" customHeight="1" x14ac:dyDescent="0.25">
      <c r="A1990" s="1"/>
      <c r="N1990" t="s">
        <v>408</v>
      </c>
    </row>
    <row r="1991" spans="1:14" ht="15" customHeight="1" x14ac:dyDescent="0.25">
      <c r="A1991" s="1"/>
      <c r="N1991" t="s">
        <v>713</v>
      </c>
    </row>
    <row r="1992" spans="1:14" ht="15" customHeight="1" x14ac:dyDescent="0.25">
      <c r="A1992" s="1"/>
      <c r="N1992" t="s">
        <v>713</v>
      </c>
    </row>
    <row r="1993" spans="1:14" ht="15" customHeight="1" x14ac:dyDescent="0.25">
      <c r="A1993" s="1"/>
      <c r="N1993" t="s">
        <v>606</v>
      </c>
    </row>
    <row r="1994" spans="1:14" ht="15" customHeight="1" x14ac:dyDescent="0.25">
      <c r="A1994" s="1"/>
      <c r="N1994" t="s">
        <v>458</v>
      </c>
    </row>
    <row r="1995" spans="1:14" ht="15" customHeight="1" x14ac:dyDescent="0.25">
      <c r="A1995" s="1"/>
      <c r="N1995" t="s">
        <v>686</v>
      </c>
    </row>
    <row r="1996" spans="1:14" ht="15" customHeight="1" x14ac:dyDescent="0.25">
      <c r="A1996" s="1"/>
      <c r="N1996" t="s">
        <v>558</v>
      </c>
    </row>
    <row r="1997" spans="1:14" ht="15" customHeight="1" x14ac:dyDescent="0.25">
      <c r="A1997" s="1"/>
      <c r="N1997" t="s">
        <v>713</v>
      </c>
    </row>
    <row r="1998" spans="1:14" ht="15" customHeight="1" x14ac:dyDescent="0.25">
      <c r="A1998" s="1"/>
      <c r="N1998" t="s">
        <v>715</v>
      </c>
    </row>
    <row r="1999" spans="1:14" ht="15" customHeight="1" x14ac:dyDescent="0.25">
      <c r="A1999" s="1"/>
      <c r="N1999" t="s">
        <v>689</v>
      </c>
    </row>
    <row r="2000" spans="1:14" ht="15" customHeight="1" x14ac:dyDescent="0.25">
      <c r="A2000" s="1"/>
      <c r="N2000" t="s">
        <v>689</v>
      </c>
    </row>
    <row r="2001" spans="14:14" ht="15" customHeight="1" x14ac:dyDescent="0.25">
      <c r="N2001" t="s">
        <v>715</v>
      </c>
    </row>
    <row r="2002" spans="14:14" ht="15" customHeight="1" x14ac:dyDescent="0.25">
      <c r="N2002" t="s">
        <v>690</v>
      </c>
    </row>
    <row r="2003" spans="14:14" ht="15" customHeight="1" x14ac:dyDescent="0.25">
      <c r="N2003" t="s">
        <v>746</v>
      </c>
    </row>
    <row r="2004" spans="14:14" ht="15" customHeight="1" x14ac:dyDescent="0.25">
      <c r="N2004" t="s">
        <v>715</v>
      </c>
    </row>
    <row r="2005" spans="14:14" ht="15" customHeight="1" x14ac:dyDescent="0.25">
      <c r="N2005" t="s">
        <v>747</v>
      </c>
    </row>
    <row r="2006" spans="14:14" ht="15" customHeight="1" x14ac:dyDescent="0.25">
      <c r="N2006" t="s">
        <v>747</v>
      </c>
    </row>
    <row r="2007" spans="14:14" ht="15" customHeight="1" x14ac:dyDescent="0.25">
      <c r="N2007" t="s">
        <v>747</v>
      </c>
    </row>
    <row r="2008" spans="14:14" ht="15" customHeight="1" x14ac:dyDescent="0.25">
      <c r="N2008" t="s">
        <v>747</v>
      </c>
    </row>
    <row r="2009" spans="14:14" ht="15" customHeight="1" x14ac:dyDescent="0.25">
      <c r="N2009" t="s">
        <v>747</v>
      </c>
    </row>
    <row r="2010" spans="14:14" ht="15" customHeight="1" x14ac:dyDescent="0.25">
      <c r="N2010" t="s">
        <v>317</v>
      </c>
    </row>
    <row r="2011" spans="14:14" ht="15" customHeight="1" x14ac:dyDescent="0.25">
      <c r="N2011" t="s">
        <v>715</v>
      </c>
    </row>
    <row r="2012" spans="14:14" ht="15" customHeight="1" x14ac:dyDescent="0.25">
      <c r="N2012" t="s">
        <v>715</v>
      </c>
    </row>
    <row r="2013" spans="14:14" ht="15" customHeight="1" x14ac:dyDescent="0.25">
      <c r="N2013" t="s">
        <v>341</v>
      </c>
    </row>
    <row r="2014" spans="14:14" ht="15" customHeight="1" x14ac:dyDescent="0.25">
      <c r="N2014" t="s">
        <v>709</v>
      </c>
    </row>
    <row r="2015" spans="14:14" ht="15" customHeight="1" x14ac:dyDescent="0.25">
      <c r="N2015" t="s">
        <v>715</v>
      </c>
    </row>
    <row r="2016" spans="14:14" ht="15" customHeight="1" x14ac:dyDescent="0.25">
      <c r="N2016" t="s">
        <v>715</v>
      </c>
    </row>
    <row r="2017" spans="14:14" ht="15" customHeight="1" x14ac:dyDescent="0.25">
      <c r="N2017" t="s">
        <v>582</v>
      </c>
    </row>
    <row r="2018" spans="14:14" ht="15" customHeight="1" x14ac:dyDescent="0.25">
      <c r="N2018" t="s">
        <v>698</v>
      </c>
    </row>
    <row r="2019" spans="14:14" ht="15" customHeight="1" x14ac:dyDescent="0.25">
      <c r="N2019" t="s">
        <v>582</v>
      </c>
    </row>
    <row r="2020" spans="14:14" ht="15" customHeight="1" x14ac:dyDescent="0.25">
      <c r="N2020" t="s">
        <v>740</v>
      </c>
    </row>
    <row r="2021" spans="14:14" ht="15" customHeight="1" x14ac:dyDescent="0.25">
      <c r="N2021" t="s">
        <v>655</v>
      </c>
    </row>
    <row r="2022" spans="14:14" ht="15" customHeight="1" x14ac:dyDescent="0.25">
      <c r="N2022" t="s">
        <v>748</v>
      </c>
    </row>
    <row r="2023" spans="14:14" ht="15" customHeight="1" x14ac:dyDescent="0.25">
      <c r="N2023" t="s">
        <v>582</v>
      </c>
    </row>
    <row r="2024" spans="14:14" ht="15" customHeight="1" x14ac:dyDescent="0.25">
      <c r="N2024" t="s">
        <v>735</v>
      </c>
    </row>
    <row r="2025" spans="14:14" ht="15" customHeight="1" x14ac:dyDescent="0.25">
      <c r="N2025" t="s">
        <v>582</v>
      </c>
    </row>
    <row r="2026" spans="14:14" ht="15" customHeight="1" x14ac:dyDescent="0.25">
      <c r="N2026" t="s">
        <v>435</v>
      </c>
    </row>
    <row r="2027" spans="14:14" ht="15" customHeight="1" x14ac:dyDescent="0.25">
      <c r="N2027" t="s">
        <v>715</v>
      </c>
    </row>
    <row r="2028" spans="14:14" ht="15" customHeight="1" x14ac:dyDescent="0.25">
      <c r="N2028" t="s">
        <v>715</v>
      </c>
    </row>
    <row r="2029" spans="14:14" ht="15" customHeight="1" x14ac:dyDescent="0.25">
      <c r="N2029" t="s">
        <v>651</v>
      </c>
    </row>
    <row r="2030" spans="14:14" ht="15" customHeight="1" x14ac:dyDescent="0.25">
      <c r="N2030" t="s">
        <v>715</v>
      </c>
    </row>
    <row r="2031" spans="14:14" ht="15" customHeight="1" x14ac:dyDescent="0.25">
      <c r="N2031" t="s">
        <v>621</v>
      </c>
    </row>
    <row r="2032" spans="14:14" ht="15" customHeight="1" x14ac:dyDescent="0.25">
      <c r="N2032" t="s">
        <v>582</v>
      </c>
    </row>
    <row r="2033" spans="14:14" ht="15" customHeight="1" x14ac:dyDescent="0.25">
      <c r="N2033" t="s">
        <v>643</v>
      </c>
    </row>
    <row r="2034" spans="14:14" ht="15" customHeight="1" x14ac:dyDescent="0.25">
      <c r="N2034" t="s">
        <v>607</v>
      </c>
    </row>
    <row r="2035" spans="14:14" ht="15" customHeight="1" x14ac:dyDescent="0.25">
      <c r="N2035" t="s">
        <v>715</v>
      </c>
    </row>
    <row r="2036" spans="14:14" ht="15" customHeight="1" x14ac:dyDescent="0.25">
      <c r="N2036" t="s">
        <v>713</v>
      </c>
    </row>
    <row r="2037" spans="14:14" ht="15" customHeight="1" x14ac:dyDescent="0.25">
      <c r="N2037" t="s">
        <v>715</v>
      </c>
    </row>
    <row r="2038" spans="14:14" ht="15" customHeight="1" x14ac:dyDescent="0.25">
      <c r="N2038" t="s">
        <v>606</v>
      </c>
    </row>
    <row r="2039" spans="14:14" ht="15" customHeight="1" x14ac:dyDescent="0.25">
      <c r="N2039" t="s">
        <v>408</v>
      </c>
    </row>
    <row r="2040" spans="14:14" ht="15" customHeight="1" x14ac:dyDescent="0.25">
      <c r="N2040" t="s">
        <v>713</v>
      </c>
    </row>
    <row r="2041" spans="14:14" ht="15" customHeight="1" x14ac:dyDescent="0.25">
      <c r="N2041" t="s">
        <v>713</v>
      </c>
    </row>
    <row r="2042" spans="14:14" ht="15" customHeight="1" x14ac:dyDescent="0.25">
      <c r="N2042" t="s">
        <v>713</v>
      </c>
    </row>
    <row r="2043" spans="14:14" ht="15" customHeight="1" x14ac:dyDescent="0.25">
      <c r="N2043" t="s">
        <v>713</v>
      </c>
    </row>
    <row r="2044" spans="14:14" ht="15" customHeight="1" x14ac:dyDescent="0.25">
      <c r="N2044" t="s">
        <v>686</v>
      </c>
    </row>
    <row r="2045" spans="14:14" ht="15" customHeight="1" x14ac:dyDescent="0.25">
      <c r="N2045" t="s">
        <v>558</v>
      </c>
    </row>
    <row r="2046" spans="14:14" ht="15" customHeight="1" x14ac:dyDescent="0.25">
      <c r="N2046" t="s">
        <v>713</v>
      </c>
    </row>
    <row r="2047" spans="14:14" ht="15" customHeight="1" x14ac:dyDescent="0.25">
      <c r="N2047" t="s">
        <v>715</v>
      </c>
    </row>
    <row r="2048" spans="14:14" ht="15" customHeight="1" x14ac:dyDescent="0.25">
      <c r="N2048" t="s">
        <v>555</v>
      </c>
    </row>
    <row r="2049" spans="14:14" ht="15" customHeight="1" x14ac:dyDescent="0.25">
      <c r="N2049" t="s">
        <v>524</v>
      </c>
    </row>
    <row r="2050" spans="14:14" ht="15" customHeight="1" x14ac:dyDescent="0.25">
      <c r="N2050" t="s">
        <v>715</v>
      </c>
    </row>
    <row r="2051" spans="14:14" ht="15" customHeight="1" x14ac:dyDescent="0.25">
      <c r="N2051" t="s">
        <v>689</v>
      </c>
    </row>
    <row r="2052" spans="14:14" ht="15" customHeight="1" x14ac:dyDescent="0.25">
      <c r="N2052" t="s">
        <v>689</v>
      </c>
    </row>
    <row r="2053" spans="14:14" ht="15" customHeight="1" x14ac:dyDescent="0.25">
      <c r="N2053" t="s">
        <v>715</v>
      </c>
    </row>
    <row r="2054" spans="14:14" ht="15" customHeight="1" x14ac:dyDescent="0.25">
      <c r="N2054" t="s">
        <v>689</v>
      </c>
    </row>
    <row r="2055" spans="14:14" ht="15" customHeight="1" x14ac:dyDescent="0.25">
      <c r="N2055" t="s">
        <v>690</v>
      </c>
    </row>
    <row r="2056" spans="14:14" ht="15" customHeight="1" x14ac:dyDescent="0.25">
      <c r="N2056" t="s">
        <v>582</v>
      </c>
    </row>
    <row r="2057" spans="14:14" ht="15" customHeight="1" x14ac:dyDescent="0.25">
      <c r="N2057" t="s">
        <v>317</v>
      </c>
    </row>
    <row r="2058" spans="14:14" ht="15" customHeight="1" x14ac:dyDescent="0.25">
      <c r="N2058" t="s">
        <v>715</v>
      </c>
    </row>
    <row r="2059" spans="14:14" ht="15" customHeight="1" x14ac:dyDescent="0.25">
      <c r="N2059" t="s">
        <v>342</v>
      </c>
    </row>
    <row r="2060" spans="14:14" ht="15" customHeight="1" x14ac:dyDescent="0.25">
      <c r="N2060" t="s">
        <v>582</v>
      </c>
    </row>
    <row r="2061" spans="14:14" ht="15" customHeight="1" x14ac:dyDescent="0.25">
      <c r="N2061" t="s">
        <v>698</v>
      </c>
    </row>
    <row r="2062" spans="14:14" ht="15" customHeight="1" x14ac:dyDescent="0.25">
      <c r="N2062" t="s">
        <v>582</v>
      </c>
    </row>
    <row r="2063" spans="14:14" ht="15" customHeight="1" x14ac:dyDescent="0.25">
      <c r="N2063" t="s">
        <v>655</v>
      </c>
    </row>
    <row r="2064" spans="14:14" ht="15" customHeight="1" x14ac:dyDescent="0.25">
      <c r="N2064" t="s">
        <v>320</v>
      </c>
    </row>
    <row r="2065" spans="14:14" ht="15" customHeight="1" x14ac:dyDescent="0.25">
      <c r="N2065" t="s">
        <v>651</v>
      </c>
    </row>
    <row r="2066" spans="14:14" ht="15" customHeight="1" x14ac:dyDescent="0.25">
      <c r="N2066" t="s">
        <v>510</v>
      </c>
    </row>
    <row r="2067" spans="14:14" ht="15" customHeight="1" x14ac:dyDescent="0.25">
      <c r="N2067" t="s">
        <v>593</v>
      </c>
    </row>
    <row r="2068" spans="14:14" ht="15" customHeight="1" x14ac:dyDescent="0.25">
      <c r="N2068" t="s">
        <v>715</v>
      </c>
    </row>
    <row r="2069" spans="14:14" ht="15" customHeight="1" x14ac:dyDescent="0.25">
      <c r="N2069" t="s">
        <v>713</v>
      </c>
    </row>
    <row r="2070" spans="14:14" ht="15" customHeight="1" x14ac:dyDescent="0.25">
      <c r="N2070" t="s">
        <v>715</v>
      </c>
    </row>
    <row r="2071" spans="14:14" ht="15" customHeight="1" x14ac:dyDescent="0.25">
      <c r="N2071" t="s">
        <v>606</v>
      </c>
    </row>
    <row r="2072" spans="14:14" ht="15" customHeight="1" x14ac:dyDescent="0.25">
      <c r="N2072" t="s">
        <v>713</v>
      </c>
    </row>
    <row r="2073" spans="14:14" ht="15" customHeight="1" x14ac:dyDescent="0.25">
      <c r="N2073" t="s">
        <v>713</v>
      </c>
    </row>
    <row r="2074" spans="14:14" ht="15" customHeight="1" x14ac:dyDescent="0.25">
      <c r="N2074" t="s">
        <v>686</v>
      </c>
    </row>
    <row r="2075" spans="14:14" ht="15" customHeight="1" x14ac:dyDescent="0.25">
      <c r="N2075" t="s">
        <v>412</v>
      </c>
    </row>
    <row r="2076" spans="14:14" ht="15" customHeight="1" x14ac:dyDescent="0.25">
      <c r="N2076" t="s">
        <v>603</v>
      </c>
    </row>
    <row r="2077" spans="14:14" ht="15" customHeight="1" x14ac:dyDescent="0.25">
      <c r="N2077" t="s">
        <v>715</v>
      </c>
    </row>
    <row r="2078" spans="14:14" ht="15" customHeight="1" x14ac:dyDescent="0.25">
      <c r="N2078" t="s">
        <v>715</v>
      </c>
    </row>
    <row r="2079" spans="14:14" ht="15" customHeight="1" x14ac:dyDescent="0.25">
      <c r="N2079" t="s">
        <v>733</v>
      </c>
    </row>
    <row r="2080" spans="14:14" ht="15" customHeight="1" x14ac:dyDescent="0.25">
      <c r="N2080" t="s">
        <v>592</v>
      </c>
    </row>
    <row r="2081" spans="14:14" ht="15" customHeight="1" x14ac:dyDescent="0.25">
      <c r="N2081" t="s">
        <v>715</v>
      </c>
    </row>
    <row r="2082" spans="14:14" ht="15" customHeight="1" x14ac:dyDescent="0.25">
      <c r="N2082" t="s">
        <v>698</v>
      </c>
    </row>
    <row r="2083" spans="14:14" ht="15" customHeight="1" x14ac:dyDescent="0.25">
      <c r="N2083" t="s">
        <v>403</v>
      </c>
    </row>
    <row r="2084" spans="14:14" ht="15" customHeight="1" x14ac:dyDescent="0.25">
      <c r="N2084" t="s">
        <v>715</v>
      </c>
    </row>
    <row r="2085" spans="14:14" ht="15" customHeight="1" x14ac:dyDescent="0.25">
      <c r="N2085" t="s">
        <v>651</v>
      </c>
    </row>
    <row r="2086" spans="14:14" ht="15" customHeight="1" x14ac:dyDescent="0.25">
      <c r="N2086" t="s">
        <v>582</v>
      </c>
    </row>
    <row r="2087" spans="14:14" ht="15" customHeight="1" x14ac:dyDescent="0.25">
      <c r="N2087" t="s">
        <v>715</v>
      </c>
    </row>
    <row r="2088" spans="14:14" ht="15" customHeight="1" x14ac:dyDescent="0.25">
      <c r="N2088" t="s">
        <v>713</v>
      </c>
    </row>
    <row r="2089" spans="14:14" ht="15" customHeight="1" x14ac:dyDescent="0.25">
      <c r="N2089" t="s">
        <v>411</v>
      </c>
    </row>
    <row r="2090" spans="14:14" ht="15" customHeight="1" x14ac:dyDescent="0.25">
      <c r="N2090" t="s">
        <v>376</v>
      </c>
    </row>
    <row r="2091" spans="14:14" ht="15" customHeight="1" x14ac:dyDescent="0.25">
      <c r="N2091" t="s">
        <v>687</v>
      </c>
    </row>
    <row r="2092" spans="14:14" ht="15" customHeight="1" x14ac:dyDescent="0.25">
      <c r="N2092" t="s">
        <v>689</v>
      </c>
    </row>
    <row r="2093" spans="14:14" ht="15" customHeight="1" x14ac:dyDescent="0.25">
      <c r="N2093" t="s">
        <v>406</v>
      </c>
    </row>
    <row r="2094" spans="14:14" ht="15" customHeight="1" x14ac:dyDescent="0.25">
      <c r="N2094" t="s">
        <v>663</v>
      </c>
    </row>
    <row r="2095" spans="14:14" ht="15" customHeight="1" x14ac:dyDescent="0.25">
      <c r="N2095" t="s">
        <v>655</v>
      </c>
    </row>
    <row r="2096" spans="14:14" ht="15" customHeight="1" x14ac:dyDescent="0.25">
      <c r="N2096" t="s">
        <v>634</v>
      </c>
    </row>
    <row r="2097" spans="14:14" ht="15" customHeight="1" x14ac:dyDescent="0.25">
      <c r="N2097" t="s">
        <v>611</v>
      </c>
    </row>
    <row r="2098" spans="14:14" ht="15" customHeight="1" x14ac:dyDescent="0.25">
      <c r="N2098" t="s">
        <v>643</v>
      </c>
    </row>
    <row r="2099" spans="14:14" ht="15" customHeight="1" x14ac:dyDescent="0.25">
      <c r="N2099" t="s">
        <v>686</v>
      </c>
    </row>
    <row r="2100" spans="14:14" ht="15" customHeight="1" x14ac:dyDescent="0.25">
      <c r="N2100" t="s">
        <v>405</v>
      </c>
    </row>
    <row r="2101" spans="14:14" ht="15" customHeight="1" x14ac:dyDescent="0.25">
      <c r="N2101" t="s">
        <v>687</v>
      </c>
    </row>
    <row r="2102" spans="14:14" ht="15" customHeight="1" x14ac:dyDescent="0.25">
      <c r="N2102" t="s">
        <v>715</v>
      </c>
    </row>
    <row r="2103" spans="14:14" ht="15" customHeight="1" x14ac:dyDescent="0.25">
      <c r="N2103" t="s">
        <v>690</v>
      </c>
    </row>
    <row r="2104" spans="14:14" ht="15" customHeight="1" x14ac:dyDescent="0.25">
      <c r="N2104" t="s">
        <v>732</v>
      </c>
    </row>
    <row r="2105" spans="14:14" ht="15" customHeight="1" x14ac:dyDescent="0.25">
      <c r="N2105" t="s">
        <v>313</v>
      </c>
    </row>
    <row r="2106" spans="14:14" ht="15" customHeight="1" x14ac:dyDescent="0.25">
      <c r="N2106" t="s">
        <v>683</v>
      </c>
    </row>
    <row r="2107" spans="14:14" ht="15" customHeight="1" x14ac:dyDescent="0.25">
      <c r="N2107" t="s">
        <v>655</v>
      </c>
    </row>
    <row r="2108" spans="14:14" ht="15" customHeight="1" x14ac:dyDescent="0.25">
      <c r="N2108" t="s">
        <v>435</v>
      </c>
    </row>
    <row r="2109" spans="14:14" ht="15" customHeight="1" x14ac:dyDescent="0.25">
      <c r="N2109" t="s">
        <v>646</v>
      </c>
    </row>
    <row r="2110" spans="14:14" ht="15" customHeight="1" x14ac:dyDescent="0.25">
      <c r="N2110" t="s">
        <v>294</v>
      </c>
    </row>
    <row r="2111" spans="14:14" ht="15" customHeight="1" x14ac:dyDescent="0.25">
      <c r="N2111" t="s">
        <v>643</v>
      </c>
    </row>
    <row r="2112" spans="14:14" ht="15" customHeight="1" x14ac:dyDescent="0.25">
      <c r="N2112" t="s">
        <v>686</v>
      </c>
    </row>
    <row r="2113" spans="14:14" ht="15" customHeight="1" x14ac:dyDescent="0.25">
      <c r="N2113" t="s">
        <v>686</v>
      </c>
    </row>
    <row r="2114" spans="14:14" ht="15" customHeight="1" x14ac:dyDescent="0.25">
      <c r="N2114" t="s">
        <v>294</v>
      </c>
    </row>
    <row r="2115" spans="14:14" ht="15" customHeight="1" x14ac:dyDescent="0.25">
      <c r="N2115" t="s">
        <v>313</v>
      </c>
    </row>
    <row r="2116" spans="14:14" ht="15" customHeight="1" x14ac:dyDescent="0.25">
      <c r="N2116" t="s">
        <v>690</v>
      </c>
    </row>
    <row r="2117" spans="14:14" ht="15" customHeight="1" x14ac:dyDescent="0.25">
      <c r="N2117" t="s">
        <v>636</v>
      </c>
    </row>
    <row r="2118" spans="14:14" ht="15" customHeight="1" x14ac:dyDescent="0.25">
      <c r="N2118" t="s">
        <v>582</v>
      </c>
    </row>
    <row r="2119" spans="14:14" ht="15" customHeight="1" x14ac:dyDescent="0.25">
      <c r="N2119" t="s">
        <v>683</v>
      </c>
    </row>
    <row r="2120" spans="14:14" ht="15" customHeight="1" x14ac:dyDescent="0.25">
      <c r="N2120" t="s">
        <v>698</v>
      </c>
    </row>
    <row r="2121" spans="14:14" ht="15" customHeight="1" x14ac:dyDescent="0.25">
      <c r="N2121" t="s">
        <v>646</v>
      </c>
    </row>
    <row r="2122" spans="14:14" ht="15" customHeight="1" x14ac:dyDescent="0.25">
      <c r="N2122" t="s">
        <v>732</v>
      </c>
    </row>
    <row r="2123" spans="14:14" ht="15" customHeight="1" x14ac:dyDescent="0.25">
      <c r="N2123" t="s">
        <v>715</v>
      </c>
    </row>
    <row r="2124" spans="14:14" ht="15" customHeight="1" x14ac:dyDescent="0.25">
      <c r="N2124" t="s">
        <v>582</v>
      </c>
    </row>
    <row r="2125" spans="14:14" ht="15" customHeight="1" x14ac:dyDescent="0.25">
      <c r="N2125" t="s">
        <v>458</v>
      </c>
    </row>
    <row r="2126" spans="14:14" ht="15" customHeight="1" x14ac:dyDescent="0.25">
      <c r="N2126" t="s">
        <v>555</v>
      </c>
    </row>
    <row r="2127" spans="14:14" ht="15" customHeight="1" x14ac:dyDescent="0.25">
      <c r="N2127" t="s">
        <v>294</v>
      </c>
    </row>
    <row r="2128" spans="14:14" ht="15" customHeight="1" x14ac:dyDescent="0.25">
      <c r="N2128" t="s">
        <v>732</v>
      </c>
    </row>
    <row r="2129" spans="14:14" ht="15" customHeight="1" x14ac:dyDescent="0.25">
      <c r="N2129" t="s">
        <v>605</v>
      </c>
    </row>
    <row r="2130" spans="14:14" ht="15" customHeight="1" x14ac:dyDescent="0.25">
      <c r="N2130" t="s">
        <v>698</v>
      </c>
    </row>
    <row r="2131" spans="14:14" ht="15" customHeight="1" x14ac:dyDescent="0.25">
      <c r="N2131" t="s">
        <v>448</v>
      </c>
    </row>
    <row r="2132" spans="14:14" ht="15" customHeight="1" x14ac:dyDescent="0.25">
      <c r="N2132" t="s">
        <v>715</v>
      </c>
    </row>
    <row r="2133" spans="14:14" ht="15" customHeight="1" x14ac:dyDescent="0.25">
      <c r="N2133" t="s">
        <v>636</v>
      </c>
    </row>
    <row r="2134" spans="14:14" ht="15" customHeight="1" x14ac:dyDescent="0.25">
      <c r="N2134" t="s">
        <v>683</v>
      </c>
    </row>
    <row r="2135" spans="14:14" ht="15" customHeight="1" x14ac:dyDescent="0.25">
      <c r="N2135" t="s">
        <v>698</v>
      </c>
    </row>
    <row r="2136" spans="14:14" ht="15" customHeight="1" x14ac:dyDescent="0.25">
      <c r="N2136" t="s">
        <v>350</v>
      </c>
    </row>
    <row r="2137" spans="14:14" ht="15" customHeight="1" x14ac:dyDescent="0.25">
      <c r="N2137" t="s">
        <v>715</v>
      </c>
    </row>
    <row r="2138" spans="14:14" ht="15" customHeight="1" x14ac:dyDescent="0.25">
      <c r="N2138" t="s">
        <v>690</v>
      </c>
    </row>
    <row r="2139" spans="14:14" ht="15" customHeight="1" x14ac:dyDescent="0.25">
      <c r="N2139" t="s">
        <v>732</v>
      </c>
    </row>
    <row r="2140" spans="14:14" ht="15" customHeight="1" x14ac:dyDescent="0.25">
      <c r="N2140" t="s">
        <v>663</v>
      </c>
    </row>
    <row r="2141" spans="14:14" ht="15" customHeight="1" x14ac:dyDescent="0.25">
      <c r="N2141" t="s">
        <v>683</v>
      </c>
    </row>
    <row r="2142" spans="14:14" ht="15" customHeight="1" x14ac:dyDescent="0.25">
      <c r="N2142" t="s">
        <v>698</v>
      </c>
    </row>
    <row r="2143" spans="14:14" ht="15" customHeight="1" x14ac:dyDescent="0.25">
      <c r="N2143" t="s">
        <v>582</v>
      </c>
    </row>
    <row r="2144" spans="14:14" ht="15" customHeight="1" x14ac:dyDescent="0.25">
      <c r="N2144" t="s">
        <v>698</v>
      </c>
    </row>
    <row r="2145" spans="14:14" ht="15" customHeight="1" x14ac:dyDescent="0.25">
      <c r="N2145" t="s">
        <v>582</v>
      </c>
    </row>
    <row r="2146" spans="14:14" ht="15" customHeight="1" x14ac:dyDescent="0.25">
      <c r="N2146" t="s">
        <v>474</v>
      </c>
    </row>
    <row r="2147" spans="14:14" ht="15" customHeight="1" x14ac:dyDescent="0.25">
      <c r="N2147" t="s">
        <v>313</v>
      </c>
    </row>
    <row r="2148" spans="14:14" ht="15" customHeight="1" x14ac:dyDescent="0.25">
      <c r="N2148" t="s">
        <v>683</v>
      </c>
    </row>
    <row r="2149" spans="14:14" ht="15" customHeight="1" x14ac:dyDescent="0.25">
      <c r="N2149" t="s">
        <v>634</v>
      </c>
    </row>
    <row r="2150" spans="14:14" ht="15" customHeight="1" x14ac:dyDescent="0.25">
      <c r="N2150" t="s">
        <v>499</v>
      </c>
    </row>
    <row r="2151" spans="14:14" ht="15" customHeight="1" x14ac:dyDescent="0.25">
      <c r="N2151" t="s">
        <v>611</v>
      </c>
    </row>
    <row r="2152" spans="14:14" ht="15" customHeight="1" x14ac:dyDescent="0.25">
      <c r="N2152" t="s">
        <v>690</v>
      </c>
    </row>
    <row r="2153" spans="14:14" ht="15" customHeight="1" x14ac:dyDescent="0.25">
      <c r="N2153" t="s">
        <v>313</v>
      </c>
    </row>
    <row r="2154" spans="14:14" ht="15" customHeight="1" x14ac:dyDescent="0.25">
      <c r="N2154" t="s">
        <v>636</v>
      </c>
    </row>
    <row r="2155" spans="14:14" ht="15" customHeight="1" x14ac:dyDescent="0.25">
      <c r="N2155" t="s">
        <v>683</v>
      </c>
    </row>
    <row r="2156" spans="14:14" ht="15" customHeight="1" x14ac:dyDescent="0.25">
      <c r="N2156" t="s">
        <v>347</v>
      </c>
    </row>
    <row r="2157" spans="14:14" ht="15" customHeight="1" x14ac:dyDescent="0.25">
      <c r="N2157" t="s">
        <v>663</v>
      </c>
    </row>
    <row r="2158" spans="14:14" ht="15" customHeight="1" x14ac:dyDescent="0.25">
      <c r="N2158" t="s">
        <v>579</v>
      </c>
    </row>
    <row r="2159" spans="14:14" ht="15" customHeight="1" x14ac:dyDescent="0.25">
      <c r="N2159" t="s">
        <v>732</v>
      </c>
    </row>
    <row r="2160" spans="14:14" ht="15" customHeight="1" x14ac:dyDescent="0.25">
      <c r="N2160" t="s">
        <v>313</v>
      </c>
    </row>
    <row r="2161" spans="14:14" ht="15" customHeight="1" x14ac:dyDescent="0.25">
      <c r="N2161" t="s">
        <v>463</v>
      </c>
    </row>
    <row r="2162" spans="14:14" ht="15" customHeight="1" x14ac:dyDescent="0.25">
      <c r="N2162" t="s">
        <v>732</v>
      </c>
    </row>
    <row r="2163" spans="14:14" ht="15" customHeight="1" x14ac:dyDescent="0.25">
      <c r="N2163" t="s">
        <v>313</v>
      </c>
    </row>
    <row r="2164" spans="14:14" ht="15" customHeight="1" x14ac:dyDescent="0.25">
      <c r="N2164" t="s">
        <v>654</v>
      </c>
    </row>
    <row r="2165" spans="14:14" ht="15" customHeight="1" x14ac:dyDescent="0.25">
      <c r="N2165" t="s">
        <v>680</v>
      </c>
    </row>
    <row r="2166" spans="14:14" ht="15" customHeight="1" x14ac:dyDescent="0.25">
      <c r="N2166" t="s">
        <v>313</v>
      </c>
    </row>
    <row r="2167" spans="14:14" ht="15" customHeight="1" x14ac:dyDescent="0.25">
      <c r="N2167" t="s">
        <v>713</v>
      </c>
    </row>
    <row r="2168" spans="14:14" ht="15" customHeight="1" x14ac:dyDescent="0.25">
      <c r="N2168" t="s">
        <v>313</v>
      </c>
    </row>
    <row r="2169" spans="14:14" ht="15" customHeight="1" x14ac:dyDescent="0.25">
      <c r="N2169" t="s">
        <v>663</v>
      </c>
    </row>
    <row r="2170" spans="14:14" ht="15" customHeight="1" x14ac:dyDescent="0.25">
      <c r="N2170" t="s">
        <v>579</v>
      </c>
    </row>
    <row r="2171" spans="14:14" ht="15" customHeight="1" x14ac:dyDescent="0.25">
      <c r="N2171" t="s">
        <v>355</v>
      </c>
    </row>
    <row r="2172" spans="14:14" ht="15" customHeight="1" x14ac:dyDescent="0.25">
      <c r="N2172" t="s">
        <v>313</v>
      </c>
    </row>
    <row r="2173" spans="14:14" ht="15" customHeight="1" x14ac:dyDescent="0.25">
      <c r="N2173" t="s">
        <v>732</v>
      </c>
    </row>
    <row r="2174" spans="14:14" ht="15" customHeight="1" x14ac:dyDescent="0.25">
      <c r="N2174" t="s">
        <v>540</v>
      </c>
    </row>
    <row r="2175" spans="14:14" ht="15" customHeight="1" x14ac:dyDescent="0.25">
      <c r="N2175" t="s">
        <v>732</v>
      </c>
    </row>
    <row r="2176" spans="14:14" ht="15" customHeight="1" x14ac:dyDescent="0.25">
      <c r="N2176" t="s">
        <v>485</v>
      </c>
    </row>
    <row r="2177" spans="14:14" ht="15" customHeight="1" x14ac:dyDescent="0.25">
      <c r="N2177" t="s">
        <v>654</v>
      </c>
    </row>
    <row r="2178" spans="14:14" ht="15" customHeight="1" x14ac:dyDescent="0.25">
      <c r="N2178" t="s">
        <v>363</v>
      </c>
    </row>
    <row r="2179" spans="14:14" ht="15" customHeight="1" x14ac:dyDescent="0.25">
      <c r="N2179" t="s">
        <v>370</v>
      </c>
    </row>
    <row r="2180" spans="14:14" ht="15" customHeight="1" x14ac:dyDescent="0.25">
      <c r="N2180" t="s">
        <v>732</v>
      </c>
    </row>
    <row r="2181" spans="14:14" ht="15" customHeight="1" x14ac:dyDescent="0.25">
      <c r="N2181" t="s">
        <v>732</v>
      </c>
    </row>
    <row r="2182" spans="14:14" ht="15" customHeight="1" x14ac:dyDescent="0.25">
      <c r="N2182" t="s">
        <v>304</v>
      </c>
    </row>
    <row r="2183" spans="14:14" ht="15" customHeight="1" x14ac:dyDescent="0.25">
      <c r="N2183" t="s">
        <v>696</v>
      </c>
    </row>
    <row r="2184" spans="14:14" ht="15" customHeight="1" x14ac:dyDescent="0.25">
      <c r="N2184" t="s">
        <v>313</v>
      </c>
    </row>
    <row r="2185" spans="14:14" ht="15" customHeight="1" x14ac:dyDescent="0.25">
      <c r="N2185" t="s">
        <v>313</v>
      </c>
    </row>
    <row r="2186" spans="14:14" ht="15" customHeight="1" x14ac:dyDescent="0.25">
      <c r="N2186" t="s">
        <v>680</v>
      </c>
    </row>
    <row r="2187" spans="14:14" ht="15" customHeight="1" x14ac:dyDescent="0.25">
      <c r="N2187" t="s">
        <v>582</v>
      </c>
    </row>
    <row r="2188" spans="14:14" ht="15" customHeight="1" x14ac:dyDescent="0.25">
      <c r="N2188" t="s">
        <v>732</v>
      </c>
    </row>
    <row r="2189" spans="14:14" ht="15" customHeight="1" x14ac:dyDescent="0.25">
      <c r="N2189" t="s">
        <v>732</v>
      </c>
    </row>
    <row r="2190" spans="14:14" ht="15" customHeight="1" x14ac:dyDescent="0.25">
      <c r="N2190" t="s">
        <v>313</v>
      </c>
    </row>
    <row r="2191" spans="14:14" ht="15" customHeight="1" x14ac:dyDescent="0.25">
      <c r="N2191" t="s">
        <v>313</v>
      </c>
    </row>
    <row r="2192" spans="14:14" ht="15" customHeight="1" x14ac:dyDescent="0.25">
      <c r="N2192" t="s">
        <v>715</v>
      </c>
    </row>
    <row r="2193" spans="14:14" ht="15" customHeight="1" x14ac:dyDescent="0.25">
      <c r="N2193" t="s">
        <v>698</v>
      </c>
    </row>
    <row r="2194" spans="14:14" ht="15" customHeight="1" x14ac:dyDescent="0.25">
      <c r="N2194" t="s">
        <v>582</v>
      </c>
    </row>
    <row r="2195" spans="14:14" ht="15" customHeight="1" x14ac:dyDescent="0.25">
      <c r="N2195" t="s">
        <v>696</v>
      </c>
    </row>
    <row r="2196" spans="14:14" ht="15" customHeight="1" x14ac:dyDescent="0.25">
      <c r="N2196" t="s">
        <v>582</v>
      </c>
    </row>
    <row r="2197" spans="14:14" ht="15" customHeight="1" x14ac:dyDescent="0.25">
      <c r="N2197" t="s">
        <v>582</v>
      </c>
    </row>
    <row r="2198" spans="14:14" ht="15" customHeight="1" x14ac:dyDescent="0.25">
      <c r="N2198" t="s">
        <v>68</v>
      </c>
    </row>
    <row r="2199" spans="14:14" ht="15" customHeight="1" x14ac:dyDescent="0.25">
      <c r="N2199" t="s">
        <v>685</v>
      </c>
    </row>
    <row r="2200" spans="14:14" ht="15" customHeight="1" x14ac:dyDescent="0.25">
      <c r="N2200" t="s">
        <v>734</v>
      </c>
    </row>
    <row r="2201" spans="14:14" ht="15" customHeight="1" x14ac:dyDescent="0.25">
      <c r="N2201" t="s">
        <v>715</v>
      </c>
    </row>
    <row r="2202" spans="14:14" ht="15" customHeight="1" x14ac:dyDescent="0.25">
      <c r="N2202" t="s">
        <v>732</v>
      </c>
    </row>
    <row r="2203" spans="14:14" ht="15" customHeight="1" x14ac:dyDescent="0.25">
      <c r="N2203" t="s">
        <v>684</v>
      </c>
    </row>
    <row r="2204" spans="14:14" ht="15" customHeight="1" x14ac:dyDescent="0.25">
      <c r="N2204" t="s">
        <v>732</v>
      </c>
    </row>
    <row r="2205" spans="14:14" ht="15" customHeight="1" x14ac:dyDescent="0.25">
      <c r="N2205" t="s">
        <v>582</v>
      </c>
    </row>
    <row r="2206" spans="14:14" ht="15" customHeight="1" x14ac:dyDescent="0.25">
      <c r="N2206" t="s">
        <v>68</v>
      </c>
    </row>
    <row r="2207" spans="14:14" ht="15" customHeight="1" x14ac:dyDescent="0.25">
      <c r="N2207" t="s">
        <v>582</v>
      </c>
    </row>
    <row r="2208" spans="14:14" ht="15" customHeight="1" x14ac:dyDescent="0.25">
      <c r="N2208" t="s">
        <v>68</v>
      </c>
    </row>
    <row r="2209" spans="14:14" ht="15" customHeight="1" x14ac:dyDescent="0.25">
      <c r="N2209" t="s">
        <v>68</v>
      </c>
    </row>
    <row r="2210" spans="14:14" ht="15" customHeight="1" x14ac:dyDescent="0.25">
      <c r="N2210" t="s">
        <v>582</v>
      </c>
    </row>
    <row r="2211" spans="14:14" ht="15" customHeight="1" x14ac:dyDescent="0.25">
      <c r="N2211" t="s">
        <v>713</v>
      </c>
    </row>
    <row r="2212" spans="14:14" ht="15" customHeight="1" x14ac:dyDescent="0.25">
      <c r="N2212" t="s">
        <v>713</v>
      </c>
    </row>
    <row r="2213" spans="14:14" ht="15" customHeight="1" x14ac:dyDescent="0.25">
      <c r="N2213" t="s">
        <v>713</v>
      </c>
    </row>
    <row r="2214" spans="14:14" ht="15" customHeight="1" x14ac:dyDescent="0.25">
      <c r="N2214" t="s">
        <v>685</v>
      </c>
    </row>
    <row r="2215" spans="14:14" ht="15" customHeight="1" x14ac:dyDescent="0.25">
      <c r="N2215" t="s">
        <v>732</v>
      </c>
    </row>
    <row r="2216" spans="14:14" ht="15" customHeight="1" x14ac:dyDescent="0.25">
      <c r="N2216" t="s">
        <v>687</v>
      </c>
    </row>
    <row r="2217" spans="14:14" ht="15" customHeight="1" x14ac:dyDescent="0.25">
      <c r="N2217" t="s">
        <v>313</v>
      </c>
    </row>
    <row r="2218" spans="14:14" ht="15" customHeight="1" x14ac:dyDescent="0.25">
      <c r="N2218" t="s">
        <v>670</v>
      </c>
    </row>
    <row r="2219" spans="14:14" ht="15" customHeight="1" x14ac:dyDescent="0.25">
      <c r="N2219" t="s">
        <v>646</v>
      </c>
    </row>
    <row r="2220" spans="14:14" ht="15" customHeight="1" x14ac:dyDescent="0.25">
      <c r="N2220" t="s">
        <v>304</v>
      </c>
    </row>
    <row r="2221" spans="14:14" ht="15" customHeight="1" x14ac:dyDescent="0.25">
      <c r="N2221" t="s">
        <v>735</v>
      </c>
    </row>
    <row r="2222" spans="14:14" ht="15" customHeight="1" x14ac:dyDescent="0.25">
      <c r="N2222" t="s">
        <v>735</v>
      </c>
    </row>
    <row r="2223" spans="14:14" ht="15" customHeight="1" x14ac:dyDescent="0.25">
      <c r="N2223" t="s">
        <v>735</v>
      </c>
    </row>
    <row r="2224" spans="14:14" ht="15" customHeight="1" x14ac:dyDescent="0.25">
      <c r="N2224" t="s">
        <v>735</v>
      </c>
    </row>
    <row r="2225" spans="14:14" ht="15" customHeight="1" x14ac:dyDescent="0.25">
      <c r="N2225" t="s">
        <v>735</v>
      </c>
    </row>
    <row r="2226" spans="14:14" ht="15" customHeight="1" x14ac:dyDescent="0.25">
      <c r="N2226" t="s">
        <v>313</v>
      </c>
    </row>
    <row r="2227" spans="14:14" ht="15" customHeight="1" x14ac:dyDescent="0.25">
      <c r="N2227" t="s">
        <v>680</v>
      </c>
    </row>
    <row r="2228" spans="14:14" ht="15" customHeight="1" x14ac:dyDescent="0.25">
      <c r="N2228" t="s">
        <v>732</v>
      </c>
    </row>
    <row r="2229" spans="14:14" ht="15" customHeight="1" x14ac:dyDescent="0.25">
      <c r="N2229" t="s">
        <v>313</v>
      </c>
    </row>
    <row r="2230" spans="14:14" ht="15" customHeight="1" x14ac:dyDescent="0.25">
      <c r="N2230" t="s">
        <v>68</v>
      </c>
    </row>
    <row r="2231" spans="14:14" ht="15" customHeight="1" x14ac:dyDescent="0.25">
      <c r="N2231" t="s">
        <v>675</v>
      </c>
    </row>
    <row r="2232" spans="14:14" ht="15" customHeight="1" x14ac:dyDescent="0.25">
      <c r="N2232" t="s">
        <v>539</v>
      </c>
    </row>
    <row r="2233" spans="14:14" ht="15" customHeight="1" x14ac:dyDescent="0.25">
      <c r="N2233" t="s">
        <v>68</v>
      </c>
    </row>
    <row r="2234" spans="14:14" ht="15" customHeight="1" x14ac:dyDescent="0.25">
      <c r="N2234" t="s">
        <v>732</v>
      </c>
    </row>
    <row r="2235" spans="14:14" ht="15" customHeight="1" x14ac:dyDescent="0.25">
      <c r="N2235" t="s">
        <v>684</v>
      </c>
    </row>
    <row r="2236" spans="14:14" ht="15" customHeight="1" x14ac:dyDescent="0.25">
      <c r="N2236" t="s">
        <v>68</v>
      </c>
    </row>
    <row r="2237" spans="14:14" ht="15" customHeight="1" x14ac:dyDescent="0.25">
      <c r="N2237" t="s">
        <v>553</v>
      </c>
    </row>
    <row r="2238" spans="14:14" ht="15" customHeight="1" x14ac:dyDescent="0.25">
      <c r="N2238" t="s">
        <v>68</v>
      </c>
    </row>
    <row r="2239" spans="14:14" ht="15" customHeight="1" x14ac:dyDescent="0.25">
      <c r="N2239" t="s">
        <v>582</v>
      </c>
    </row>
    <row r="2240" spans="14:14" ht="15" customHeight="1" x14ac:dyDescent="0.25">
      <c r="N2240" t="s">
        <v>713</v>
      </c>
    </row>
    <row r="2241" spans="14:14" ht="15" customHeight="1" x14ac:dyDescent="0.25">
      <c r="N2241" t="s">
        <v>732</v>
      </c>
    </row>
    <row r="2242" spans="14:14" ht="15" customHeight="1" x14ac:dyDescent="0.25">
      <c r="N2242" t="s">
        <v>603</v>
      </c>
    </row>
    <row r="2243" spans="14:14" ht="15" customHeight="1" x14ac:dyDescent="0.25">
      <c r="N2243" t="s">
        <v>654</v>
      </c>
    </row>
    <row r="2244" spans="14:14" ht="15" customHeight="1" x14ac:dyDescent="0.25">
      <c r="N2244" t="s">
        <v>685</v>
      </c>
    </row>
    <row r="2245" spans="14:14" ht="15" customHeight="1" x14ac:dyDescent="0.25">
      <c r="N2245" t="s">
        <v>313</v>
      </c>
    </row>
    <row r="2246" spans="14:14" ht="15" customHeight="1" x14ac:dyDescent="0.25">
      <c r="N2246" t="s">
        <v>685</v>
      </c>
    </row>
    <row r="2247" spans="14:14" ht="15" customHeight="1" x14ac:dyDescent="0.25">
      <c r="N2247" t="s">
        <v>696</v>
      </c>
    </row>
    <row r="2248" spans="14:14" ht="15" customHeight="1" x14ac:dyDescent="0.25">
      <c r="N2248" t="s">
        <v>313</v>
      </c>
    </row>
    <row r="2249" spans="14:14" ht="15" customHeight="1" x14ac:dyDescent="0.25">
      <c r="N2249" t="s">
        <v>675</v>
      </c>
    </row>
    <row r="2250" spans="14:14" ht="15" customHeight="1" x14ac:dyDescent="0.25">
      <c r="N2250" t="s">
        <v>582</v>
      </c>
    </row>
    <row r="2251" spans="14:14" ht="15" customHeight="1" x14ac:dyDescent="0.25">
      <c r="N2251" t="s">
        <v>582</v>
      </c>
    </row>
    <row r="2252" spans="14:14" ht="15" customHeight="1" x14ac:dyDescent="0.25">
      <c r="N2252" t="s">
        <v>713</v>
      </c>
    </row>
    <row r="2253" spans="14:14" ht="15" customHeight="1" x14ac:dyDescent="0.25">
      <c r="N2253" t="s">
        <v>558</v>
      </c>
    </row>
    <row r="2254" spans="14:14" ht="15" customHeight="1" x14ac:dyDescent="0.25">
      <c r="N2254" t="s">
        <v>732</v>
      </c>
    </row>
    <row r="2255" spans="14:14" ht="15" customHeight="1" x14ac:dyDescent="0.25">
      <c r="N2255" t="s">
        <v>670</v>
      </c>
    </row>
    <row r="2256" spans="14:14" ht="15" customHeight="1" x14ac:dyDescent="0.25">
      <c r="N2256" t="s">
        <v>670</v>
      </c>
    </row>
    <row r="2257" spans="14:14" ht="15" customHeight="1" x14ac:dyDescent="0.25">
      <c r="N2257" t="s">
        <v>370</v>
      </c>
    </row>
    <row r="2258" spans="14:14" ht="15" customHeight="1" x14ac:dyDescent="0.25">
      <c r="N2258" t="s">
        <v>714</v>
      </c>
    </row>
    <row r="2259" spans="14:14" ht="15" customHeight="1" x14ac:dyDescent="0.25">
      <c r="N2259" t="s">
        <v>685</v>
      </c>
    </row>
    <row r="2260" spans="14:14" ht="15" customHeight="1" x14ac:dyDescent="0.25">
      <c r="N2260" t="s">
        <v>582</v>
      </c>
    </row>
    <row r="2261" spans="14:14" ht="15" customHeight="1" x14ac:dyDescent="0.25">
      <c r="N2261" t="s">
        <v>686</v>
      </c>
    </row>
    <row r="2262" spans="14:14" ht="15" customHeight="1" x14ac:dyDescent="0.25">
      <c r="N2262" t="s">
        <v>670</v>
      </c>
    </row>
    <row r="2263" spans="14:14" ht="15" customHeight="1" x14ac:dyDescent="0.25">
      <c r="N2263" t="s">
        <v>304</v>
      </c>
    </row>
    <row r="2264" spans="14:14" ht="15" customHeight="1" x14ac:dyDescent="0.25">
      <c r="N2264" t="s">
        <v>669</v>
      </c>
    </row>
    <row r="2265" spans="14:14" ht="15" customHeight="1" x14ac:dyDescent="0.25">
      <c r="N2265" t="s">
        <v>553</v>
      </c>
    </row>
    <row r="2266" spans="14:14" ht="15" customHeight="1" x14ac:dyDescent="0.25">
      <c r="N2266" t="s">
        <v>582</v>
      </c>
    </row>
    <row r="2267" spans="14:14" ht="15" customHeight="1" x14ac:dyDescent="0.25">
      <c r="N2267" t="s">
        <v>715</v>
      </c>
    </row>
    <row r="2268" spans="14:14" ht="15" customHeight="1" x14ac:dyDescent="0.25">
      <c r="N2268" t="s">
        <v>714</v>
      </c>
    </row>
    <row r="2269" spans="14:14" ht="15" customHeight="1" x14ac:dyDescent="0.25">
      <c r="N2269" t="s">
        <v>642</v>
      </c>
    </row>
    <row r="2270" spans="14:14" ht="15" customHeight="1" x14ac:dyDescent="0.25">
      <c r="N2270" t="s">
        <v>690</v>
      </c>
    </row>
    <row r="2271" spans="14:14" ht="15" customHeight="1" x14ac:dyDescent="0.25">
      <c r="N2271" t="s">
        <v>582</v>
      </c>
    </row>
    <row r="2272" spans="14:14" ht="15" customHeight="1" x14ac:dyDescent="0.25">
      <c r="N2272" t="s">
        <v>605</v>
      </c>
    </row>
    <row r="2273" spans="14:14" ht="15" customHeight="1" x14ac:dyDescent="0.25">
      <c r="N2273" t="s">
        <v>732</v>
      </c>
    </row>
    <row r="2274" spans="14:14" ht="15" customHeight="1" x14ac:dyDescent="0.25">
      <c r="N2274" t="s">
        <v>714</v>
      </c>
    </row>
    <row r="2275" spans="14:14" ht="15" customHeight="1" x14ac:dyDescent="0.25">
      <c r="N2275" t="s">
        <v>304</v>
      </c>
    </row>
    <row r="2276" spans="14:14" ht="15" customHeight="1" x14ac:dyDescent="0.25">
      <c r="N2276" t="s">
        <v>642</v>
      </c>
    </row>
    <row r="2277" spans="14:14" ht="15" customHeight="1" x14ac:dyDescent="0.25">
      <c r="N2277" t="s">
        <v>714</v>
      </c>
    </row>
    <row r="2278" spans="14:14" ht="15" customHeight="1" x14ac:dyDescent="0.25">
      <c r="N2278" t="s">
        <v>371</v>
      </c>
    </row>
    <row r="2279" spans="14:14" ht="15" customHeight="1" x14ac:dyDescent="0.25">
      <c r="N2279" t="s">
        <v>425</v>
      </c>
    </row>
    <row r="2280" spans="14:14" ht="15" customHeight="1" x14ac:dyDescent="0.25">
      <c r="N2280" t="s">
        <v>582</v>
      </c>
    </row>
    <row r="2281" spans="14:14" ht="15" customHeight="1" x14ac:dyDescent="0.25">
      <c r="N2281" t="s">
        <v>684</v>
      </c>
    </row>
    <row r="2282" spans="14:14" ht="15" customHeight="1" x14ac:dyDescent="0.25">
      <c r="N2282" t="s">
        <v>685</v>
      </c>
    </row>
    <row r="2283" spans="14:14" ht="15" customHeight="1" x14ac:dyDescent="0.25">
      <c r="N2283" t="s">
        <v>313</v>
      </c>
    </row>
    <row r="2284" spans="14:14" ht="15" customHeight="1" x14ac:dyDescent="0.25">
      <c r="N2284" t="s">
        <v>714</v>
      </c>
    </row>
    <row r="2285" spans="14:14" ht="15" customHeight="1" x14ac:dyDescent="0.25">
      <c r="N2285" t="s">
        <v>687</v>
      </c>
    </row>
    <row r="2286" spans="14:14" ht="15" customHeight="1" x14ac:dyDescent="0.25">
      <c r="N2286" t="s">
        <v>642</v>
      </c>
    </row>
    <row r="2287" spans="14:14" ht="15" customHeight="1" x14ac:dyDescent="0.25">
      <c r="N2287" t="s">
        <v>638</v>
      </c>
    </row>
    <row r="2288" spans="14:14" ht="15" customHeight="1" x14ac:dyDescent="0.25">
      <c r="N2288" t="s">
        <v>582</v>
      </c>
    </row>
    <row r="2289" spans="14:14" ht="15" customHeight="1" x14ac:dyDescent="0.25">
      <c r="N2289" t="s">
        <v>582</v>
      </c>
    </row>
    <row r="2290" spans="14:14" ht="15" customHeight="1" x14ac:dyDescent="0.25">
      <c r="N2290" t="s">
        <v>714</v>
      </c>
    </row>
    <row r="2291" spans="14:14" ht="15" customHeight="1" x14ac:dyDescent="0.25">
      <c r="N2291" t="s">
        <v>714</v>
      </c>
    </row>
    <row r="2292" spans="14:14" ht="15" customHeight="1" x14ac:dyDescent="0.25">
      <c r="N2292" t="s">
        <v>638</v>
      </c>
    </row>
    <row r="2293" spans="14:14" ht="15" customHeight="1" x14ac:dyDescent="0.25">
      <c r="N2293" t="s">
        <v>638</v>
      </c>
    </row>
    <row r="2294" spans="14:14" ht="15" customHeight="1" x14ac:dyDescent="0.25">
      <c r="N2294" t="s">
        <v>582</v>
      </c>
    </row>
    <row r="2295" spans="14:14" ht="15" customHeight="1" x14ac:dyDescent="0.25">
      <c r="N2295" t="s">
        <v>68</v>
      </c>
    </row>
    <row r="2296" spans="14:14" ht="15" customHeight="1" x14ac:dyDescent="0.25">
      <c r="N2296" t="s">
        <v>675</v>
      </c>
    </row>
    <row r="2297" spans="14:14" ht="15" customHeight="1" x14ac:dyDescent="0.25">
      <c r="N2297" t="s">
        <v>706</v>
      </c>
    </row>
    <row r="2298" spans="14:14" ht="15" customHeight="1" x14ac:dyDescent="0.25">
      <c r="N2298" t="s">
        <v>582</v>
      </c>
    </row>
    <row r="2299" spans="14:14" ht="15" customHeight="1" x14ac:dyDescent="0.25">
      <c r="N2299" t="s">
        <v>68</v>
      </c>
    </row>
    <row r="2300" spans="14:14" ht="15" customHeight="1" x14ac:dyDescent="0.25">
      <c r="N2300" t="s">
        <v>622</v>
      </c>
    </row>
    <row r="2301" spans="14:14" ht="15" customHeight="1" x14ac:dyDescent="0.25">
      <c r="N2301" t="s">
        <v>68</v>
      </c>
    </row>
    <row r="2302" spans="14:14" ht="15" customHeight="1" x14ac:dyDescent="0.25">
      <c r="N2302" t="s">
        <v>736</v>
      </c>
    </row>
    <row r="2303" spans="14:14" ht="15" customHeight="1" x14ac:dyDescent="0.25">
      <c r="N2303" t="s">
        <v>68</v>
      </c>
    </row>
    <row r="2304" spans="14:14" ht="15" customHeight="1" x14ac:dyDescent="0.25">
      <c r="N2304" t="s">
        <v>689</v>
      </c>
    </row>
    <row r="2305" spans="14:14" ht="15" customHeight="1" x14ac:dyDescent="0.25">
      <c r="N2305" t="s">
        <v>706</v>
      </c>
    </row>
    <row r="2306" spans="14:14" ht="15" customHeight="1" x14ac:dyDescent="0.25">
      <c r="N2306" t="s">
        <v>582</v>
      </c>
    </row>
    <row r="2307" spans="14:14" ht="15" customHeight="1" x14ac:dyDescent="0.25">
      <c r="N2307" t="s">
        <v>68</v>
      </c>
    </row>
    <row r="2308" spans="14:14" ht="15" customHeight="1" x14ac:dyDescent="0.25">
      <c r="N2308" t="s">
        <v>732</v>
      </c>
    </row>
    <row r="2309" spans="14:14" ht="15" customHeight="1" x14ac:dyDescent="0.25">
      <c r="N2309" t="s">
        <v>496</v>
      </c>
    </row>
    <row r="2310" spans="14:14" ht="15" customHeight="1" x14ac:dyDescent="0.25">
      <c r="N2310" t="s">
        <v>68</v>
      </c>
    </row>
    <row r="2311" spans="14:14" ht="15" customHeight="1" x14ac:dyDescent="0.25">
      <c r="N2311" t="s">
        <v>68</v>
      </c>
    </row>
    <row r="2312" spans="14:14" ht="15" customHeight="1" x14ac:dyDescent="0.25">
      <c r="N2312" t="s">
        <v>689</v>
      </c>
    </row>
    <row r="2313" spans="14:14" ht="15" customHeight="1" x14ac:dyDescent="0.25">
      <c r="N2313" t="s">
        <v>684</v>
      </c>
    </row>
    <row r="2314" spans="14:14" ht="15" customHeight="1" x14ac:dyDescent="0.25">
      <c r="N2314" t="s">
        <v>582</v>
      </c>
    </row>
    <row r="2315" spans="14:14" ht="15" customHeight="1" x14ac:dyDescent="0.25">
      <c r="N2315" t="s">
        <v>68</v>
      </c>
    </row>
    <row r="2316" spans="14:14" ht="15" customHeight="1" x14ac:dyDescent="0.25">
      <c r="N2316" t="s">
        <v>675</v>
      </c>
    </row>
    <row r="2317" spans="14:14" ht="15" customHeight="1" x14ac:dyDescent="0.25">
      <c r="N2317" t="s">
        <v>68</v>
      </c>
    </row>
    <row r="2318" spans="14:14" ht="15" customHeight="1" x14ac:dyDescent="0.25">
      <c r="N2318" t="s">
        <v>706</v>
      </c>
    </row>
    <row r="2319" spans="14:14" ht="15" customHeight="1" x14ac:dyDescent="0.25">
      <c r="N2319" t="s">
        <v>313</v>
      </c>
    </row>
    <row r="2320" spans="14:14" ht="15" customHeight="1" x14ac:dyDescent="0.25">
      <c r="N2320" t="s">
        <v>621</v>
      </c>
    </row>
    <row r="2321" spans="14:14" ht="15" customHeight="1" x14ac:dyDescent="0.25">
      <c r="N2321" t="s">
        <v>68</v>
      </c>
    </row>
    <row r="2322" spans="14:14" ht="15" customHeight="1" x14ac:dyDescent="0.25">
      <c r="N2322" t="s">
        <v>582</v>
      </c>
    </row>
    <row r="2323" spans="14:14" ht="15" customHeight="1" x14ac:dyDescent="0.25">
      <c r="N2323" t="s">
        <v>313</v>
      </c>
    </row>
    <row r="2324" spans="14:14" ht="15" customHeight="1" x14ac:dyDescent="0.25">
      <c r="N2324" t="s">
        <v>677</v>
      </c>
    </row>
    <row r="2325" spans="14:14" ht="15" customHeight="1" x14ac:dyDescent="0.25">
      <c r="N2325" t="s">
        <v>68</v>
      </c>
    </row>
    <row r="2326" spans="14:14" ht="15" customHeight="1" x14ac:dyDescent="0.25">
      <c r="N2326" t="s">
        <v>68</v>
      </c>
    </row>
    <row r="2327" spans="14:14" ht="15" customHeight="1" x14ac:dyDescent="0.25">
      <c r="N2327" t="s">
        <v>677</v>
      </c>
    </row>
    <row r="2328" spans="14:14" ht="15" customHeight="1" x14ac:dyDescent="0.25">
      <c r="N2328" t="s">
        <v>677</v>
      </c>
    </row>
    <row r="2329" spans="14:14" ht="15" customHeight="1" x14ac:dyDescent="0.25">
      <c r="N2329" t="s">
        <v>68</v>
      </c>
    </row>
    <row r="2330" spans="14:14" ht="15" customHeight="1" x14ac:dyDescent="0.25">
      <c r="N2330" t="s">
        <v>68</v>
      </c>
    </row>
    <row r="2331" spans="14:14" ht="15" customHeight="1" x14ac:dyDescent="0.25">
      <c r="N2331" t="s">
        <v>687</v>
      </c>
    </row>
    <row r="2332" spans="14:14" ht="15" customHeight="1" x14ac:dyDescent="0.25">
      <c r="N2332" t="s">
        <v>582</v>
      </c>
    </row>
    <row r="2333" spans="14:14" ht="15" customHeight="1" x14ac:dyDescent="0.25">
      <c r="N2333" t="s">
        <v>687</v>
      </c>
    </row>
    <row r="2334" spans="14:14" ht="15" customHeight="1" x14ac:dyDescent="0.25">
      <c r="N2334" t="s">
        <v>68</v>
      </c>
    </row>
    <row r="2335" spans="14:14" ht="15" customHeight="1" x14ac:dyDescent="0.25">
      <c r="N2335" t="s">
        <v>690</v>
      </c>
    </row>
    <row r="2336" spans="14:14" ht="15" customHeight="1" x14ac:dyDescent="0.25">
      <c r="N2336" t="s">
        <v>715</v>
      </c>
    </row>
    <row r="2337" spans="14:14" ht="15" customHeight="1" x14ac:dyDescent="0.25">
      <c r="N2337" t="s">
        <v>715</v>
      </c>
    </row>
    <row r="2338" spans="14:14" ht="15" customHeight="1" x14ac:dyDescent="0.25">
      <c r="N2338" t="s">
        <v>696</v>
      </c>
    </row>
    <row r="2339" spans="14:14" ht="15" customHeight="1" x14ac:dyDescent="0.25">
      <c r="N2339" t="s">
        <v>666</v>
      </c>
    </row>
    <row r="2340" spans="14:14" ht="15" customHeight="1" x14ac:dyDescent="0.25">
      <c r="N2340" t="s">
        <v>715</v>
      </c>
    </row>
    <row r="2341" spans="14:14" ht="15" customHeight="1" x14ac:dyDescent="0.25">
      <c r="N2341" t="s">
        <v>592</v>
      </c>
    </row>
    <row r="2342" spans="14:14" ht="15" customHeight="1" x14ac:dyDescent="0.25">
      <c r="N2342" t="s">
        <v>592</v>
      </c>
    </row>
    <row r="2343" spans="14:14" ht="15" customHeight="1" x14ac:dyDescent="0.25">
      <c r="N2343" t="s">
        <v>592</v>
      </c>
    </row>
    <row r="2344" spans="14:14" ht="15" customHeight="1" x14ac:dyDescent="0.25">
      <c r="N2344" t="s">
        <v>592</v>
      </c>
    </row>
    <row r="2345" spans="14:14" ht="15" customHeight="1" x14ac:dyDescent="0.25">
      <c r="N2345" t="s">
        <v>592</v>
      </c>
    </row>
    <row r="2346" spans="14:14" ht="15" customHeight="1" x14ac:dyDescent="0.25">
      <c r="N2346" t="s">
        <v>317</v>
      </c>
    </row>
    <row r="2347" spans="14:14" ht="15" customHeight="1" x14ac:dyDescent="0.25">
      <c r="N2347" t="s">
        <v>715</v>
      </c>
    </row>
    <row r="2348" spans="14:14" ht="15" customHeight="1" x14ac:dyDescent="0.25">
      <c r="N2348" t="s">
        <v>715</v>
      </c>
    </row>
    <row r="2349" spans="14:14" ht="15" customHeight="1" x14ac:dyDescent="0.25">
      <c r="N2349" t="s">
        <v>715</v>
      </c>
    </row>
    <row r="2350" spans="14:14" ht="15" customHeight="1" x14ac:dyDescent="0.25">
      <c r="N2350" t="s">
        <v>317</v>
      </c>
    </row>
    <row r="2351" spans="14:14" ht="15" customHeight="1" x14ac:dyDescent="0.25">
      <c r="N2351" t="s">
        <v>313</v>
      </c>
    </row>
    <row r="2352" spans="14:14" ht="15" customHeight="1" x14ac:dyDescent="0.25">
      <c r="N2352" t="s">
        <v>715</v>
      </c>
    </row>
    <row r="2353" spans="14:14" ht="15" customHeight="1" x14ac:dyDescent="0.25">
      <c r="N2353" t="s">
        <v>715</v>
      </c>
    </row>
    <row r="2354" spans="14:14" ht="15" customHeight="1" x14ac:dyDescent="0.25">
      <c r="N2354" t="s">
        <v>715</v>
      </c>
    </row>
    <row r="2355" spans="14:14" ht="15" customHeight="1" x14ac:dyDescent="0.25">
      <c r="N2355" t="s">
        <v>737</v>
      </c>
    </row>
    <row r="2356" spans="14:14" ht="15" customHeight="1" x14ac:dyDescent="0.25">
      <c r="N2356" t="s">
        <v>715</v>
      </c>
    </row>
    <row r="2357" spans="14:14" ht="15" customHeight="1" x14ac:dyDescent="0.25">
      <c r="N2357" t="s">
        <v>715</v>
      </c>
    </row>
    <row r="2358" spans="14:14" ht="15" customHeight="1" x14ac:dyDescent="0.25">
      <c r="N2358" t="s">
        <v>715</v>
      </c>
    </row>
    <row r="2359" spans="14:14" ht="15" customHeight="1" x14ac:dyDescent="0.25">
      <c r="N2359" t="s">
        <v>738</v>
      </c>
    </row>
    <row r="2360" spans="14:14" ht="15" customHeight="1" x14ac:dyDescent="0.25">
      <c r="N2360" t="s">
        <v>715</v>
      </c>
    </row>
    <row r="2361" spans="14:14" ht="15" customHeight="1" x14ac:dyDescent="0.25">
      <c r="N2361" t="s">
        <v>669</v>
      </c>
    </row>
    <row r="2362" spans="14:14" ht="15" customHeight="1" x14ac:dyDescent="0.25">
      <c r="N2362" t="s">
        <v>739</v>
      </c>
    </row>
    <row r="2363" spans="14:14" ht="15" customHeight="1" x14ac:dyDescent="0.25">
      <c r="N2363" t="s">
        <v>611</v>
      </c>
    </row>
    <row r="2364" spans="14:14" ht="15" customHeight="1" x14ac:dyDescent="0.25">
      <c r="N2364" t="s">
        <v>740</v>
      </c>
    </row>
    <row r="2365" spans="14:14" ht="15" customHeight="1" x14ac:dyDescent="0.25">
      <c r="N2365" t="s">
        <v>675</v>
      </c>
    </row>
    <row r="2366" spans="14:14" ht="15" customHeight="1" x14ac:dyDescent="0.25">
      <c r="N2366" t="s">
        <v>741</v>
      </c>
    </row>
    <row r="2367" spans="14:14" ht="15" customHeight="1" x14ac:dyDescent="0.25">
      <c r="N2367" t="s">
        <v>742</v>
      </c>
    </row>
    <row r="2368" spans="14:14" ht="15" customHeight="1" x14ac:dyDescent="0.25">
      <c r="N2368" t="s">
        <v>403</v>
      </c>
    </row>
    <row r="2369" spans="14:14" ht="15" customHeight="1" x14ac:dyDescent="0.25">
      <c r="N2369" t="s">
        <v>582</v>
      </c>
    </row>
    <row r="2370" spans="14:14" ht="15" customHeight="1" x14ac:dyDescent="0.25">
      <c r="N2370" t="s">
        <v>696</v>
      </c>
    </row>
    <row r="2371" spans="14:14" ht="15" customHeight="1" x14ac:dyDescent="0.25">
      <c r="N2371" t="s">
        <v>743</v>
      </c>
    </row>
    <row r="2372" spans="14:14" ht="15" customHeight="1" x14ac:dyDescent="0.25">
      <c r="N2372" t="s">
        <v>714</v>
      </c>
    </row>
    <row r="2373" spans="14:14" ht="15" customHeight="1" x14ac:dyDescent="0.25">
      <c r="N2373" t="s">
        <v>744</v>
      </c>
    </row>
    <row r="2374" spans="14:14" ht="15" customHeight="1" x14ac:dyDescent="0.25">
      <c r="N2374" t="s">
        <v>463</v>
      </c>
    </row>
    <row r="2375" spans="14:14" ht="15" customHeight="1" x14ac:dyDescent="0.25">
      <c r="N2375" t="s">
        <v>696</v>
      </c>
    </row>
    <row r="2376" spans="14:14" ht="15" customHeight="1" x14ac:dyDescent="0.25">
      <c r="N2376" t="s">
        <v>715</v>
      </c>
    </row>
    <row r="2377" spans="14:14" ht="15" customHeight="1" x14ac:dyDescent="0.25">
      <c r="N2377" t="s">
        <v>651</v>
      </c>
    </row>
    <row r="2378" spans="14:14" ht="15" customHeight="1" x14ac:dyDescent="0.25">
      <c r="N2378" t="s">
        <v>732</v>
      </c>
    </row>
    <row r="2379" spans="14:14" ht="15" customHeight="1" x14ac:dyDescent="0.25">
      <c r="N2379" t="s">
        <v>666</v>
      </c>
    </row>
    <row r="2380" spans="14:14" ht="15" customHeight="1" x14ac:dyDescent="0.25">
      <c r="N2380" t="s">
        <v>745</v>
      </c>
    </row>
    <row r="2381" spans="14:14" ht="15" customHeight="1" x14ac:dyDescent="0.25">
      <c r="N2381" t="s">
        <v>582</v>
      </c>
    </row>
    <row r="2382" spans="14:14" ht="15" customHeight="1" x14ac:dyDescent="0.25">
      <c r="N2382" t="s">
        <v>643</v>
      </c>
    </row>
    <row r="2383" spans="14:14" ht="15" customHeight="1" x14ac:dyDescent="0.25">
      <c r="N2383" t="s">
        <v>582</v>
      </c>
    </row>
    <row r="2384" spans="14:14" ht="15" customHeight="1" x14ac:dyDescent="0.25">
      <c r="N2384" t="s">
        <v>582</v>
      </c>
    </row>
    <row r="2385" spans="14:14" ht="15" customHeight="1" x14ac:dyDescent="0.25">
      <c r="N2385" t="s">
        <v>582</v>
      </c>
    </row>
    <row r="2386" spans="14:14" ht="15" customHeight="1" x14ac:dyDescent="0.25">
      <c r="N2386" t="s">
        <v>715</v>
      </c>
    </row>
    <row r="2387" spans="14:14" ht="15" customHeight="1" x14ac:dyDescent="0.25">
      <c r="N2387" t="s">
        <v>713</v>
      </c>
    </row>
    <row r="2388" spans="14:14" ht="15" customHeight="1" x14ac:dyDescent="0.25">
      <c r="N2388" t="s">
        <v>713</v>
      </c>
    </row>
    <row r="2389" spans="14:14" ht="15" customHeight="1" x14ac:dyDescent="0.25">
      <c r="N2389" t="s">
        <v>715</v>
      </c>
    </row>
    <row r="2390" spans="14:14" ht="15" customHeight="1" x14ac:dyDescent="0.25">
      <c r="N2390" t="s">
        <v>713</v>
      </c>
    </row>
    <row r="2391" spans="14:14" ht="15" customHeight="1" x14ac:dyDescent="0.25">
      <c r="N2391" t="s">
        <v>713</v>
      </c>
    </row>
    <row r="2392" spans="14:14" ht="15" customHeight="1" x14ac:dyDescent="0.25">
      <c r="N2392" t="s">
        <v>408</v>
      </c>
    </row>
    <row r="2393" spans="14:14" ht="15" customHeight="1" x14ac:dyDescent="0.25">
      <c r="N2393" t="s">
        <v>713</v>
      </c>
    </row>
    <row r="2394" spans="14:14" ht="15" customHeight="1" x14ac:dyDescent="0.25">
      <c r="N2394" t="s">
        <v>713</v>
      </c>
    </row>
    <row r="2395" spans="14:14" ht="15" customHeight="1" x14ac:dyDescent="0.25">
      <c r="N2395" t="s">
        <v>606</v>
      </c>
    </row>
    <row r="2396" spans="14:14" ht="15" customHeight="1" x14ac:dyDescent="0.25">
      <c r="N2396" t="s">
        <v>458</v>
      </c>
    </row>
    <row r="2397" spans="14:14" ht="15" customHeight="1" x14ac:dyDescent="0.25">
      <c r="N2397" t="s">
        <v>686</v>
      </c>
    </row>
    <row r="2398" spans="14:14" ht="15" customHeight="1" x14ac:dyDescent="0.25">
      <c r="N2398" t="s">
        <v>558</v>
      </c>
    </row>
    <row r="2399" spans="14:14" ht="15" customHeight="1" x14ac:dyDescent="0.25">
      <c r="N2399" t="s">
        <v>713</v>
      </c>
    </row>
    <row r="2400" spans="14:14" ht="15" customHeight="1" x14ac:dyDescent="0.25">
      <c r="N2400" t="s">
        <v>715</v>
      </c>
    </row>
    <row r="2401" spans="14:14" ht="15" customHeight="1" x14ac:dyDescent="0.25">
      <c r="N2401" t="s">
        <v>689</v>
      </c>
    </row>
    <row r="2402" spans="14:14" ht="15" customHeight="1" x14ac:dyDescent="0.25">
      <c r="N2402" t="s">
        <v>689</v>
      </c>
    </row>
    <row r="2403" spans="14:14" ht="15" customHeight="1" x14ac:dyDescent="0.25">
      <c r="N2403" t="s">
        <v>715</v>
      </c>
    </row>
    <row r="2404" spans="14:14" ht="15" customHeight="1" x14ac:dyDescent="0.25">
      <c r="N2404" t="s">
        <v>690</v>
      </c>
    </row>
    <row r="2405" spans="14:14" ht="15" customHeight="1" x14ac:dyDescent="0.25">
      <c r="N2405" t="s">
        <v>746</v>
      </c>
    </row>
    <row r="2406" spans="14:14" ht="15" customHeight="1" x14ac:dyDescent="0.25">
      <c r="N2406" t="s">
        <v>715</v>
      </c>
    </row>
    <row r="2407" spans="14:14" ht="15" customHeight="1" x14ac:dyDescent="0.25">
      <c r="N2407" t="s">
        <v>747</v>
      </c>
    </row>
    <row r="2408" spans="14:14" ht="15" customHeight="1" x14ac:dyDescent="0.25">
      <c r="N2408" t="s">
        <v>747</v>
      </c>
    </row>
    <row r="2409" spans="14:14" ht="15" customHeight="1" x14ac:dyDescent="0.25">
      <c r="N2409" t="s">
        <v>747</v>
      </c>
    </row>
    <row r="2410" spans="14:14" ht="15" customHeight="1" x14ac:dyDescent="0.25">
      <c r="N2410" t="s">
        <v>747</v>
      </c>
    </row>
    <row r="2411" spans="14:14" ht="15" customHeight="1" x14ac:dyDescent="0.25">
      <c r="N2411" t="s">
        <v>747</v>
      </c>
    </row>
    <row r="2412" spans="14:14" ht="15" customHeight="1" x14ac:dyDescent="0.25">
      <c r="N2412" t="s">
        <v>317</v>
      </c>
    </row>
    <row r="2413" spans="14:14" ht="15" customHeight="1" x14ac:dyDescent="0.25">
      <c r="N2413" t="s">
        <v>715</v>
      </c>
    </row>
    <row r="2414" spans="14:14" ht="15" customHeight="1" x14ac:dyDescent="0.25">
      <c r="N2414" t="s">
        <v>715</v>
      </c>
    </row>
    <row r="2415" spans="14:14" ht="15" customHeight="1" x14ac:dyDescent="0.25">
      <c r="N2415" t="s">
        <v>341</v>
      </c>
    </row>
    <row r="2416" spans="14:14" ht="15" customHeight="1" x14ac:dyDescent="0.25">
      <c r="N2416" t="s">
        <v>709</v>
      </c>
    </row>
    <row r="2417" spans="14:14" ht="15" customHeight="1" x14ac:dyDescent="0.25">
      <c r="N2417" t="s">
        <v>715</v>
      </c>
    </row>
    <row r="2418" spans="14:14" ht="15" customHeight="1" x14ac:dyDescent="0.25">
      <c r="N2418" t="s">
        <v>715</v>
      </c>
    </row>
    <row r="2419" spans="14:14" ht="15" customHeight="1" x14ac:dyDescent="0.25">
      <c r="N2419" t="s">
        <v>582</v>
      </c>
    </row>
    <row r="2420" spans="14:14" ht="15" customHeight="1" x14ac:dyDescent="0.25">
      <c r="N2420" t="s">
        <v>698</v>
      </c>
    </row>
    <row r="2421" spans="14:14" ht="15" customHeight="1" x14ac:dyDescent="0.25">
      <c r="N2421" t="s">
        <v>582</v>
      </c>
    </row>
    <row r="2422" spans="14:14" ht="15" customHeight="1" x14ac:dyDescent="0.25">
      <c r="N2422" t="s">
        <v>740</v>
      </c>
    </row>
    <row r="2423" spans="14:14" ht="15" customHeight="1" x14ac:dyDescent="0.25">
      <c r="N2423" t="s">
        <v>655</v>
      </c>
    </row>
    <row r="2424" spans="14:14" ht="15" customHeight="1" x14ac:dyDescent="0.25">
      <c r="N2424" t="s">
        <v>748</v>
      </c>
    </row>
    <row r="2425" spans="14:14" ht="15" customHeight="1" x14ac:dyDescent="0.25">
      <c r="N2425" t="s">
        <v>582</v>
      </c>
    </row>
    <row r="2426" spans="14:14" ht="15" customHeight="1" x14ac:dyDescent="0.25">
      <c r="N2426" t="s">
        <v>735</v>
      </c>
    </row>
    <row r="2427" spans="14:14" ht="15" customHeight="1" x14ac:dyDescent="0.25">
      <c r="N2427" t="s">
        <v>582</v>
      </c>
    </row>
    <row r="2428" spans="14:14" ht="15" customHeight="1" x14ac:dyDescent="0.25">
      <c r="N2428" t="s">
        <v>435</v>
      </c>
    </row>
    <row r="2429" spans="14:14" ht="15" customHeight="1" x14ac:dyDescent="0.25">
      <c r="N2429" t="s">
        <v>715</v>
      </c>
    </row>
    <row r="2430" spans="14:14" ht="15" customHeight="1" x14ac:dyDescent="0.25">
      <c r="N2430" t="s">
        <v>715</v>
      </c>
    </row>
    <row r="2431" spans="14:14" ht="15" customHeight="1" x14ac:dyDescent="0.25">
      <c r="N2431" t="s">
        <v>651</v>
      </c>
    </row>
    <row r="2432" spans="14:14" ht="15" customHeight="1" x14ac:dyDescent="0.25">
      <c r="N2432" t="s">
        <v>715</v>
      </c>
    </row>
    <row r="2433" spans="14:14" ht="15" customHeight="1" x14ac:dyDescent="0.25">
      <c r="N2433" t="s">
        <v>621</v>
      </c>
    </row>
    <row r="2434" spans="14:14" ht="15" customHeight="1" x14ac:dyDescent="0.25">
      <c r="N2434" t="s">
        <v>582</v>
      </c>
    </row>
    <row r="2435" spans="14:14" ht="15" customHeight="1" x14ac:dyDescent="0.25">
      <c r="N2435" t="s">
        <v>643</v>
      </c>
    </row>
    <row r="2436" spans="14:14" ht="15" customHeight="1" x14ac:dyDescent="0.25">
      <c r="N2436" t="s">
        <v>607</v>
      </c>
    </row>
    <row r="2437" spans="14:14" ht="15" customHeight="1" x14ac:dyDescent="0.25">
      <c r="N2437" t="s">
        <v>715</v>
      </c>
    </row>
    <row r="2438" spans="14:14" ht="15" customHeight="1" x14ac:dyDescent="0.25">
      <c r="N2438" t="s">
        <v>713</v>
      </c>
    </row>
    <row r="2439" spans="14:14" ht="15" customHeight="1" x14ac:dyDescent="0.25">
      <c r="N2439" t="s">
        <v>715</v>
      </c>
    </row>
    <row r="2440" spans="14:14" ht="15" customHeight="1" x14ac:dyDescent="0.25">
      <c r="N2440" t="s">
        <v>606</v>
      </c>
    </row>
    <row r="2441" spans="14:14" ht="15" customHeight="1" x14ac:dyDescent="0.25">
      <c r="N2441" t="s">
        <v>408</v>
      </c>
    </row>
    <row r="2442" spans="14:14" ht="15" customHeight="1" x14ac:dyDescent="0.25">
      <c r="N2442" t="s">
        <v>713</v>
      </c>
    </row>
    <row r="2443" spans="14:14" ht="15" customHeight="1" x14ac:dyDescent="0.25">
      <c r="N2443" t="s">
        <v>713</v>
      </c>
    </row>
    <row r="2444" spans="14:14" ht="15" customHeight="1" x14ac:dyDescent="0.25">
      <c r="N2444" t="s">
        <v>713</v>
      </c>
    </row>
    <row r="2445" spans="14:14" ht="15" customHeight="1" x14ac:dyDescent="0.25">
      <c r="N2445" t="s">
        <v>713</v>
      </c>
    </row>
    <row r="2446" spans="14:14" ht="15" customHeight="1" x14ac:dyDescent="0.25">
      <c r="N2446" t="s">
        <v>686</v>
      </c>
    </row>
    <row r="2447" spans="14:14" ht="15" customHeight="1" x14ac:dyDescent="0.25">
      <c r="N2447" t="s">
        <v>558</v>
      </c>
    </row>
    <row r="2448" spans="14:14" ht="15" customHeight="1" x14ac:dyDescent="0.25">
      <c r="N2448" t="s">
        <v>713</v>
      </c>
    </row>
    <row r="2449" spans="14:14" ht="15" customHeight="1" x14ac:dyDescent="0.25">
      <c r="N2449" t="s">
        <v>715</v>
      </c>
    </row>
    <row r="2450" spans="14:14" ht="15" customHeight="1" x14ac:dyDescent="0.25">
      <c r="N2450" t="s">
        <v>555</v>
      </c>
    </row>
    <row r="2451" spans="14:14" ht="15" customHeight="1" x14ac:dyDescent="0.25">
      <c r="N2451" t="s">
        <v>524</v>
      </c>
    </row>
    <row r="2452" spans="14:14" ht="15" customHeight="1" x14ac:dyDescent="0.25">
      <c r="N2452" t="s">
        <v>715</v>
      </c>
    </row>
    <row r="2453" spans="14:14" ht="15" customHeight="1" x14ac:dyDescent="0.25">
      <c r="N2453" t="s">
        <v>689</v>
      </c>
    </row>
    <row r="2454" spans="14:14" ht="15" customHeight="1" x14ac:dyDescent="0.25">
      <c r="N2454" t="s">
        <v>689</v>
      </c>
    </row>
    <row r="2455" spans="14:14" ht="15" customHeight="1" x14ac:dyDescent="0.25">
      <c r="N2455" t="s">
        <v>715</v>
      </c>
    </row>
    <row r="2456" spans="14:14" ht="15" customHeight="1" x14ac:dyDescent="0.25">
      <c r="N2456" t="s">
        <v>689</v>
      </c>
    </row>
    <row r="2457" spans="14:14" ht="15" customHeight="1" x14ac:dyDescent="0.25">
      <c r="N2457" t="s">
        <v>690</v>
      </c>
    </row>
    <row r="2458" spans="14:14" ht="15" customHeight="1" x14ac:dyDescent="0.25">
      <c r="N2458" t="s">
        <v>582</v>
      </c>
    </row>
    <row r="2459" spans="14:14" ht="15" customHeight="1" x14ac:dyDescent="0.25">
      <c r="N2459" t="s">
        <v>317</v>
      </c>
    </row>
    <row r="2460" spans="14:14" ht="15" customHeight="1" x14ac:dyDescent="0.25">
      <c r="N2460" t="s">
        <v>715</v>
      </c>
    </row>
    <row r="2461" spans="14:14" ht="15" customHeight="1" x14ac:dyDescent="0.25">
      <c r="N2461" t="s">
        <v>342</v>
      </c>
    </row>
    <row r="2462" spans="14:14" ht="15" customHeight="1" x14ac:dyDescent="0.25">
      <c r="N2462" t="s">
        <v>582</v>
      </c>
    </row>
    <row r="2463" spans="14:14" ht="15" customHeight="1" x14ac:dyDescent="0.25">
      <c r="N2463" t="s">
        <v>698</v>
      </c>
    </row>
    <row r="2464" spans="14:14" ht="15" customHeight="1" x14ac:dyDescent="0.25">
      <c r="N2464" t="s">
        <v>582</v>
      </c>
    </row>
    <row r="2465" spans="14:14" ht="15" customHeight="1" x14ac:dyDescent="0.25">
      <c r="N2465" t="s">
        <v>655</v>
      </c>
    </row>
    <row r="2466" spans="14:14" ht="15" customHeight="1" x14ac:dyDescent="0.25">
      <c r="N2466" t="s">
        <v>320</v>
      </c>
    </row>
    <row r="2467" spans="14:14" ht="15" customHeight="1" x14ac:dyDescent="0.25">
      <c r="N2467" t="s">
        <v>651</v>
      </c>
    </row>
    <row r="2468" spans="14:14" ht="15" customHeight="1" x14ac:dyDescent="0.25">
      <c r="N2468" t="s">
        <v>510</v>
      </c>
    </row>
    <row r="2469" spans="14:14" ht="15" customHeight="1" x14ac:dyDescent="0.25">
      <c r="N2469" t="s">
        <v>593</v>
      </c>
    </row>
    <row r="2470" spans="14:14" ht="15" customHeight="1" x14ac:dyDescent="0.25">
      <c r="N2470" t="s">
        <v>715</v>
      </c>
    </row>
    <row r="2471" spans="14:14" ht="15" customHeight="1" x14ac:dyDescent="0.25">
      <c r="N2471" t="s">
        <v>713</v>
      </c>
    </row>
    <row r="2472" spans="14:14" ht="15" customHeight="1" x14ac:dyDescent="0.25">
      <c r="N2472" t="s">
        <v>715</v>
      </c>
    </row>
    <row r="2473" spans="14:14" ht="15" customHeight="1" x14ac:dyDescent="0.25">
      <c r="N2473" t="s">
        <v>606</v>
      </c>
    </row>
    <row r="2474" spans="14:14" ht="15" customHeight="1" x14ac:dyDescent="0.25">
      <c r="N2474" t="s">
        <v>713</v>
      </c>
    </row>
    <row r="2475" spans="14:14" ht="15" customHeight="1" x14ac:dyDescent="0.25">
      <c r="N2475" t="s">
        <v>713</v>
      </c>
    </row>
    <row r="2476" spans="14:14" ht="15" customHeight="1" x14ac:dyDescent="0.25">
      <c r="N2476" t="s">
        <v>686</v>
      </c>
    </row>
    <row r="2477" spans="14:14" ht="15" customHeight="1" x14ac:dyDescent="0.25">
      <c r="N2477" t="s">
        <v>412</v>
      </c>
    </row>
    <row r="2478" spans="14:14" ht="15" customHeight="1" x14ac:dyDescent="0.25">
      <c r="N2478" t="s">
        <v>603</v>
      </c>
    </row>
    <row r="2479" spans="14:14" ht="15" customHeight="1" x14ac:dyDescent="0.25">
      <c r="N2479" t="s">
        <v>715</v>
      </c>
    </row>
    <row r="2480" spans="14:14" ht="15" customHeight="1" x14ac:dyDescent="0.25">
      <c r="N2480" t="s">
        <v>715</v>
      </c>
    </row>
    <row r="2481" spans="14:14" ht="15" customHeight="1" x14ac:dyDescent="0.25">
      <c r="N2481" t="s">
        <v>733</v>
      </c>
    </row>
    <row r="2482" spans="14:14" ht="15" customHeight="1" x14ac:dyDescent="0.25">
      <c r="N2482" t="s">
        <v>592</v>
      </c>
    </row>
    <row r="2483" spans="14:14" ht="15" customHeight="1" x14ac:dyDescent="0.25">
      <c r="N2483" t="s">
        <v>715</v>
      </c>
    </row>
    <row r="2484" spans="14:14" ht="15" customHeight="1" x14ac:dyDescent="0.25">
      <c r="N2484" t="s">
        <v>698</v>
      </c>
    </row>
    <row r="2485" spans="14:14" ht="15" customHeight="1" x14ac:dyDescent="0.25">
      <c r="N2485" t="s">
        <v>403</v>
      </c>
    </row>
    <row r="2486" spans="14:14" ht="15" customHeight="1" x14ac:dyDescent="0.25">
      <c r="N2486" t="s">
        <v>715</v>
      </c>
    </row>
    <row r="2487" spans="14:14" ht="15" customHeight="1" x14ac:dyDescent="0.25">
      <c r="N2487" t="s">
        <v>651</v>
      </c>
    </row>
    <row r="2488" spans="14:14" ht="15" customHeight="1" x14ac:dyDescent="0.25">
      <c r="N2488" t="s">
        <v>582</v>
      </c>
    </row>
    <row r="2489" spans="14:14" ht="15" customHeight="1" x14ac:dyDescent="0.25">
      <c r="N2489" t="s">
        <v>715</v>
      </c>
    </row>
    <row r="2490" spans="14:14" ht="15" customHeight="1" x14ac:dyDescent="0.25">
      <c r="N2490" t="s">
        <v>713</v>
      </c>
    </row>
    <row r="2491" spans="14:14" ht="15" customHeight="1" x14ac:dyDescent="0.25">
      <c r="N2491" t="s">
        <v>411</v>
      </c>
    </row>
    <row r="2492" spans="14:14" ht="15" customHeight="1" x14ac:dyDescent="0.25">
      <c r="N2492" t="s">
        <v>376</v>
      </c>
    </row>
    <row r="2493" spans="14:14" ht="15" customHeight="1" x14ac:dyDescent="0.25">
      <c r="N2493" t="s">
        <v>687</v>
      </c>
    </row>
    <row r="2494" spans="14:14" ht="15" customHeight="1" x14ac:dyDescent="0.25">
      <c r="N2494" t="s">
        <v>689</v>
      </c>
    </row>
    <row r="2495" spans="14:14" ht="15" customHeight="1" x14ac:dyDescent="0.25">
      <c r="N2495" t="s">
        <v>406</v>
      </c>
    </row>
    <row r="2496" spans="14:14" ht="15" customHeight="1" x14ac:dyDescent="0.25">
      <c r="N2496" t="s">
        <v>663</v>
      </c>
    </row>
    <row r="2497" spans="14:14" ht="15" customHeight="1" x14ac:dyDescent="0.25">
      <c r="N2497" t="s">
        <v>655</v>
      </c>
    </row>
    <row r="2498" spans="14:14" ht="15" customHeight="1" x14ac:dyDescent="0.25">
      <c r="N2498" t="s">
        <v>634</v>
      </c>
    </row>
    <row r="2499" spans="14:14" ht="15" customHeight="1" x14ac:dyDescent="0.25">
      <c r="N2499" t="s">
        <v>611</v>
      </c>
    </row>
    <row r="2500" spans="14:14" ht="15" customHeight="1" x14ac:dyDescent="0.25">
      <c r="N2500" t="s">
        <v>643</v>
      </c>
    </row>
    <row r="2501" spans="14:14" ht="15" customHeight="1" x14ac:dyDescent="0.25">
      <c r="N2501" t="s">
        <v>686</v>
      </c>
    </row>
    <row r="2502" spans="14:14" ht="15" customHeight="1" x14ac:dyDescent="0.25">
      <c r="N2502" t="s">
        <v>405</v>
      </c>
    </row>
    <row r="2503" spans="14:14" ht="15" customHeight="1" x14ac:dyDescent="0.25">
      <c r="N2503" t="s">
        <v>687</v>
      </c>
    </row>
    <row r="2504" spans="14:14" ht="15" customHeight="1" x14ac:dyDescent="0.25">
      <c r="N2504" t="s">
        <v>715</v>
      </c>
    </row>
    <row r="2505" spans="14:14" ht="15" customHeight="1" x14ac:dyDescent="0.25">
      <c r="N2505" t="s">
        <v>690</v>
      </c>
    </row>
    <row r="2506" spans="14:14" ht="15" customHeight="1" x14ac:dyDescent="0.25">
      <c r="N2506" t="s">
        <v>732</v>
      </c>
    </row>
    <row r="2507" spans="14:14" ht="15" customHeight="1" x14ac:dyDescent="0.25">
      <c r="N2507" t="s">
        <v>313</v>
      </c>
    </row>
    <row r="2508" spans="14:14" ht="15" customHeight="1" x14ac:dyDescent="0.25">
      <c r="N2508" t="s">
        <v>683</v>
      </c>
    </row>
    <row r="2509" spans="14:14" ht="15" customHeight="1" x14ac:dyDescent="0.25">
      <c r="N2509" t="s">
        <v>655</v>
      </c>
    </row>
    <row r="2510" spans="14:14" ht="15" customHeight="1" x14ac:dyDescent="0.25">
      <c r="N2510" t="s">
        <v>435</v>
      </c>
    </row>
    <row r="2511" spans="14:14" ht="15" customHeight="1" x14ac:dyDescent="0.25">
      <c r="N2511" t="s">
        <v>646</v>
      </c>
    </row>
    <row r="2512" spans="14:14" ht="15" customHeight="1" x14ac:dyDescent="0.25">
      <c r="N2512" t="s">
        <v>294</v>
      </c>
    </row>
    <row r="2513" spans="14:14" ht="15" customHeight="1" x14ac:dyDescent="0.25">
      <c r="N2513" t="s">
        <v>643</v>
      </c>
    </row>
    <row r="2514" spans="14:14" ht="15" customHeight="1" x14ac:dyDescent="0.25">
      <c r="N2514" t="s">
        <v>686</v>
      </c>
    </row>
    <row r="2515" spans="14:14" ht="15" customHeight="1" x14ac:dyDescent="0.25">
      <c r="N2515" t="s">
        <v>686</v>
      </c>
    </row>
    <row r="2516" spans="14:14" ht="15" customHeight="1" x14ac:dyDescent="0.25">
      <c r="N2516" t="s">
        <v>294</v>
      </c>
    </row>
    <row r="2517" spans="14:14" ht="15" customHeight="1" x14ac:dyDescent="0.25">
      <c r="N2517" t="s">
        <v>313</v>
      </c>
    </row>
    <row r="2518" spans="14:14" ht="15" customHeight="1" x14ac:dyDescent="0.25">
      <c r="N2518" t="s">
        <v>690</v>
      </c>
    </row>
    <row r="2519" spans="14:14" ht="15" customHeight="1" x14ac:dyDescent="0.25">
      <c r="N2519" t="s">
        <v>636</v>
      </c>
    </row>
    <row r="2520" spans="14:14" ht="15" customHeight="1" x14ac:dyDescent="0.25">
      <c r="N2520" t="s">
        <v>582</v>
      </c>
    </row>
    <row r="2521" spans="14:14" ht="15" customHeight="1" x14ac:dyDescent="0.25">
      <c r="N2521" t="s">
        <v>683</v>
      </c>
    </row>
    <row r="2522" spans="14:14" ht="15" customHeight="1" x14ac:dyDescent="0.25">
      <c r="N2522" t="s">
        <v>698</v>
      </c>
    </row>
    <row r="2523" spans="14:14" ht="15" customHeight="1" x14ac:dyDescent="0.25">
      <c r="N2523" t="s">
        <v>646</v>
      </c>
    </row>
    <row r="2524" spans="14:14" ht="15" customHeight="1" x14ac:dyDescent="0.25">
      <c r="N2524" t="s">
        <v>732</v>
      </c>
    </row>
    <row r="2525" spans="14:14" ht="15" customHeight="1" x14ac:dyDescent="0.25">
      <c r="N2525" t="s">
        <v>715</v>
      </c>
    </row>
    <row r="2526" spans="14:14" ht="15" customHeight="1" x14ac:dyDescent="0.25">
      <c r="N2526" t="s">
        <v>582</v>
      </c>
    </row>
    <row r="2527" spans="14:14" ht="15" customHeight="1" x14ac:dyDescent="0.25">
      <c r="N2527" t="s">
        <v>458</v>
      </c>
    </row>
    <row r="2528" spans="14:14" ht="15" customHeight="1" x14ac:dyDescent="0.25">
      <c r="N2528" t="s">
        <v>555</v>
      </c>
    </row>
    <row r="2529" spans="14:14" ht="15" customHeight="1" x14ac:dyDescent="0.25">
      <c r="N2529" t="s">
        <v>294</v>
      </c>
    </row>
    <row r="2530" spans="14:14" ht="15" customHeight="1" x14ac:dyDescent="0.25">
      <c r="N2530" t="s">
        <v>732</v>
      </c>
    </row>
    <row r="2531" spans="14:14" ht="15" customHeight="1" x14ac:dyDescent="0.25">
      <c r="N2531" t="s">
        <v>605</v>
      </c>
    </row>
    <row r="2532" spans="14:14" ht="15" customHeight="1" x14ac:dyDescent="0.25">
      <c r="N2532" t="s">
        <v>698</v>
      </c>
    </row>
    <row r="2533" spans="14:14" ht="15" customHeight="1" x14ac:dyDescent="0.25">
      <c r="N2533" t="s">
        <v>448</v>
      </c>
    </row>
    <row r="2534" spans="14:14" ht="15" customHeight="1" x14ac:dyDescent="0.25">
      <c r="N2534" t="s">
        <v>715</v>
      </c>
    </row>
    <row r="2535" spans="14:14" ht="15" customHeight="1" x14ac:dyDescent="0.25">
      <c r="N2535" t="s">
        <v>636</v>
      </c>
    </row>
    <row r="2536" spans="14:14" ht="15" customHeight="1" x14ac:dyDescent="0.25">
      <c r="N2536" t="s">
        <v>683</v>
      </c>
    </row>
    <row r="2537" spans="14:14" ht="15" customHeight="1" x14ac:dyDescent="0.25">
      <c r="N2537" t="s">
        <v>698</v>
      </c>
    </row>
    <row r="2538" spans="14:14" ht="15" customHeight="1" x14ac:dyDescent="0.25">
      <c r="N2538" t="s">
        <v>350</v>
      </c>
    </row>
    <row r="2539" spans="14:14" ht="15" customHeight="1" x14ac:dyDescent="0.25">
      <c r="N2539" t="s">
        <v>715</v>
      </c>
    </row>
    <row r="2540" spans="14:14" ht="15" customHeight="1" x14ac:dyDescent="0.25">
      <c r="N2540" t="s">
        <v>690</v>
      </c>
    </row>
    <row r="2541" spans="14:14" ht="15" customHeight="1" x14ac:dyDescent="0.25">
      <c r="N2541" t="s">
        <v>732</v>
      </c>
    </row>
    <row r="2542" spans="14:14" ht="15" customHeight="1" x14ac:dyDescent="0.25">
      <c r="N2542" t="s">
        <v>663</v>
      </c>
    </row>
    <row r="2543" spans="14:14" ht="15" customHeight="1" x14ac:dyDescent="0.25">
      <c r="N2543" t="s">
        <v>683</v>
      </c>
    </row>
    <row r="2544" spans="14:14" ht="15" customHeight="1" x14ac:dyDescent="0.25">
      <c r="N2544" t="s">
        <v>698</v>
      </c>
    </row>
    <row r="2545" spans="14:14" ht="15" customHeight="1" x14ac:dyDescent="0.25">
      <c r="N2545" t="s">
        <v>582</v>
      </c>
    </row>
    <row r="2546" spans="14:14" ht="15" customHeight="1" x14ac:dyDescent="0.25">
      <c r="N2546" t="s">
        <v>698</v>
      </c>
    </row>
    <row r="2547" spans="14:14" ht="15" customHeight="1" x14ac:dyDescent="0.25">
      <c r="N2547" t="s">
        <v>582</v>
      </c>
    </row>
    <row r="2548" spans="14:14" ht="15" customHeight="1" x14ac:dyDescent="0.25">
      <c r="N2548" t="s">
        <v>474</v>
      </c>
    </row>
    <row r="2549" spans="14:14" ht="15" customHeight="1" x14ac:dyDescent="0.25">
      <c r="N2549" t="s">
        <v>313</v>
      </c>
    </row>
    <row r="2550" spans="14:14" ht="15" customHeight="1" x14ac:dyDescent="0.25">
      <c r="N2550" t="s">
        <v>683</v>
      </c>
    </row>
    <row r="2551" spans="14:14" ht="15" customHeight="1" x14ac:dyDescent="0.25">
      <c r="N2551" t="s">
        <v>634</v>
      </c>
    </row>
    <row r="2552" spans="14:14" ht="15" customHeight="1" x14ac:dyDescent="0.25">
      <c r="N2552" t="s">
        <v>499</v>
      </c>
    </row>
    <row r="2553" spans="14:14" ht="15" customHeight="1" x14ac:dyDescent="0.25">
      <c r="N2553" t="s">
        <v>611</v>
      </c>
    </row>
    <row r="2554" spans="14:14" ht="15" customHeight="1" x14ac:dyDescent="0.25">
      <c r="N2554" t="s">
        <v>690</v>
      </c>
    </row>
    <row r="2555" spans="14:14" ht="15" customHeight="1" x14ac:dyDescent="0.25">
      <c r="N2555" t="s">
        <v>313</v>
      </c>
    </row>
    <row r="2556" spans="14:14" ht="15" customHeight="1" x14ac:dyDescent="0.25">
      <c r="N2556" t="s">
        <v>636</v>
      </c>
    </row>
    <row r="2557" spans="14:14" ht="15" customHeight="1" x14ac:dyDescent="0.25">
      <c r="N2557" t="s">
        <v>683</v>
      </c>
    </row>
    <row r="2558" spans="14:14" ht="15" customHeight="1" x14ac:dyDescent="0.25">
      <c r="N2558" t="s">
        <v>347</v>
      </c>
    </row>
    <row r="2559" spans="14:14" ht="15" customHeight="1" x14ac:dyDescent="0.25">
      <c r="N2559" t="s">
        <v>663</v>
      </c>
    </row>
    <row r="2560" spans="14:14" ht="15" customHeight="1" x14ac:dyDescent="0.25">
      <c r="N2560" t="s">
        <v>579</v>
      </c>
    </row>
    <row r="2561" spans="14:14" ht="15" customHeight="1" x14ac:dyDescent="0.25">
      <c r="N2561" t="s">
        <v>732</v>
      </c>
    </row>
    <row r="2562" spans="14:14" ht="15" customHeight="1" x14ac:dyDescent="0.25">
      <c r="N2562" t="s">
        <v>313</v>
      </c>
    </row>
    <row r="2563" spans="14:14" ht="15" customHeight="1" x14ac:dyDescent="0.25">
      <c r="N2563" t="s">
        <v>463</v>
      </c>
    </row>
    <row r="2564" spans="14:14" ht="15" customHeight="1" x14ac:dyDescent="0.25">
      <c r="N2564" t="s">
        <v>732</v>
      </c>
    </row>
    <row r="2565" spans="14:14" ht="15" customHeight="1" x14ac:dyDescent="0.25">
      <c r="N2565" t="s">
        <v>313</v>
      </c>
    </row>
    <row r="2566" spans="14:14" ht="15" customHeight="1" x14ac:dyDescent="0.25">
      <c r="N2566" t="s">
        <v>654</v>
      </c>
    </row>
    <row r="2567" spans="14:14" ht="15" customHeight="1" x14ac:dyDescent="0.25">
      <c r="N2567" t="s">
        <v>680</v>
      </c>
    </row>
    <row r="2568" spans="14:14" ht="15" customHeight="1" x14ac:dyDescent="0.25">
      <c r="N2568" t="s">
        <v>313</v>
      </c>
    </row>
    <row r="2569" spans="14:14" ht="15" customHeight="1" x14ac:dyDescent="0.25">
      <c r="N2569" t="s">
        <v>713</v>
      </c>
    </row>
    <row r="2570" spans="14:14" ht="15" customHeight="1" x14ac:dyDescent="0.25">
      <c r="N2570" t="s">
        <v>313</v>
      </c>
    </row>
    <row r="2571" spans="14:14" ht="15" customHeight="1" x14ac:dyDescent="0.25">
      <c r="N2571" t="s">
        <v>663</v>
      </c>
    </row>
    <row r="2572" spans="14:14" ht="15" customHeight="1" x14ac:dyDescent="0.25">
      <c r="N2572" t="s">
        <v>579</v>
      </c>
    </row>
    <row r="2573" spans="14:14" ht="15" customHeight="1" x14ac:dyDescent="0.25">
      <c r="N2573" t="s">
        <v>355</v>
      </c>
    </row>
    <row r="2574" spans="14:14" ht="15" customHeight="1" x14ac:dyDescent="0.25">
      <c r="N2574" t="s">
        <v>313</v>
      </c>
    </row>
    <row r="2575" spans="14:14" ht="15" customHeight="1" x14ac:dyDescent="0.25">
      <c r="N2575" t="s">
        <v>732</v>
      </c>
    </row>
    <row r="2576" spans="14:14" ht="15" customHeight="1" x14ac:dyDescent="0.25">
      <c r="N2576" t="s">
        <v>540</v>
      </c>
    </row>
    <row r="2577" spans="14:14" ht="15" customHeight="1" x14ac:dyDescent="0.25">
      <c r="N2577" t="s">
        <v>732</v>
      </c>
    </row>
    <row r="2578" spans="14:14" ht="15" customHeight="1" x14ac:dyDescent="0.25">
      <c r="N2578" t="s">
        <v>485</v>
      </c>
    </row>
    <row r="2579" spans="14:14" ht="15" customHeight="1" x14ac:dyDescent="0.25">
      <c r="N2579" t="s">
        <v>654</v>
      </c>
    </row>
    <row r="2580" spans="14:14" ht="15" customHeight="1" x14ac:dyDescent="0.25">
      <c r="N2580" t="s">
        <v>363</v>
      </c>
    </row>
    <row r="2581" spans="14:14" ht="15" customHeight="1" x14ac:dyDescent="0.25">
      <c r="N2581" t="s">
        <v>370</v>
      </c>
    </row>
    <row r="2582" spans="14:14" ht="15" customHeight="1" x14ac:dyDescent="0.25">
      <c r="N2582" t="s">
        <v>732</v>
      </c>
    </row>
    <row r="2583" spans="14:14" ht="15" customHeight="1" x14ac:dyDescent="0.25">
      <c r="N2583" t="s">
        <v>732</v>
      </c>
    </row>
    <row r="2584" spans="14:14" ht="15" customHeight="1" x14ac:dyDescent="0.25">
      <c r="N2584" t="s">
        <v>304</v>
      </c>
    </row>
    <row r="2585" spans="14:14" ht="15" customHeight="1" x14ac:dyDescent="0.25">
      <c r="N2585" t="s">
        <v>696</v>
      </c>
    </row>
    <row r="2586" spans="14:14" ht="15" customHeight="1" x14ac:dyDescent="0.25">
      <c r="N2586" t="s">
        <v>313</v>
      </c>
    </row>
    <row r="2587" spans="14:14" ht="15" customHeight="1" x14ac:dyDescent="0.25">
      <c r="N2587" t="s">
        <v>313</v>
      </c>
    </row>
    <row r="2588" spans="14:14" ht="15" customHeight="1" x14ac:dyDescent="0.25">
      <c r="N2588" t="s">
        <v>680</v>
      </c>
    </row>
    <row r="2589" spans="14:14" ht="15" customHeight="1" x14ac:dyDescent="0.25">
      <c r="N2589" t="s">
        <v>582</v>
      </c>
    </row>
    <row r="2590" spans="14:14" ht="15" customHeight="1" x14ac:dyDescent="0.25">
      <c r="N2590" t="s">
        <v>732</v>
      </c>
    </row>
    <row r="2591" spans="14:14" ht="15" customHeight="1" x14ac:dyDescent="0.25">
      <c r="N2591" t="s">
        <v>732</v>
      </c>
    </row>
    <row r="2592" spans="14:14" ht="15" customHeight="1" x14ac:dyDescent="0.25">
      <c r="N2592" t="s">
        <v>313</v>
      </c>
    </row>
    <row r="2593" spans="14:14" ht="15" customHeight="1" x14ac:dyDescent="0.25">
      <c r="N2593" t="s">
        <v>313</v>
      </c>
    </row>
    <row r="2594" spans="14:14" ht="15" customHeight="1" x14ac:dyDescent="0.25">
      <c r="N2594" t="s">
        <v>715</v>
      </c>
    </row>
    <row r="2595" spans="14:14" ht="15" customHeight="1" x14ac:dyDescent="0.25">
      <c r="N2595" t="s">
        <v>698</v>
      </c>
    </row>
    <row r="2596" spans="14:14" ht="15" customHeight="1" x14ac:dyDescent="0.25">
      <c r="N2596" t="s">
        <v>582</v>
      </c>
    </row>
    <row r="2597" spans="14:14" ht="15" customHeight="1" x14ac:dyDescent="0.25">
      <c r="N2597" t="s">
        <v>696</v>
      </c>
    </row>
    <row r="2598" spans="14:14" ht="15" customHeight="1" x14ac:dyDescent="0.25">
      <c r="N2598" t="s">
        <v>582</v>
      </c>
    </row>
    <row r="2599" spans="14:14" ht="15" customHeight="1" x14ac:dyDescent="0.25">
      <c r="N2599" t="s">
        <v>582</v>
      </c>
    </row>
    <row r="2600" spans="14:14" ht="15" customHeight="1" x14ac:dyDescent="0.25">
      <c r="N2600" t="s">
        <v>68</v>
      </c>
    </row>
    <row r="2601" spans="14:14" ht="15" customHeight="1" x14ac:dyDescent="0.25">
      <c r="N2601" t="s">
        <v>685</v>
      </c>
    </row>
    <row r="2602" spans="14:14" ht="15" customHeight="1" x14ac:dyDescent="0.25">
      <c r="N2602" t="s">
        <v>734</v>
      </c>
    </row>
    <row r="2603" spans="14:14" ht="15" customHeight="1" x14ac:dyDescent="0.25">
      <c r="N2603" t="s">
        <v>715</v>
      </c>
    </row>
    <row r="2604" spans="14:14" ht="15" customHeight="1" x14ac:dyDescent="0.25">
      <c r="N2604" t="s">
        <v>732</v>
      </c>
    </row>
    <row r="2605" spans="14:14" ht="15" customHeight="1" x14ac:dyDescent="0.25">
      <c r="N2605" t="s">
        <v>684</v>
      </c>
    </row>
    <row r="2606" spans="14:14" ht="15" customHeight="1" x14ac:dyDescent="0.25">
      <c r="N2606" t="s">
        <v>732</v>
      </c>
    </row>
    <row r="2607" spans="14:14" ht="15" customHeight="1" x14ac:dyDescent="0.25">
      <c r="N2607" t="s">
        <v>582</v>
      </c>
    </row>
    <row r="2608" spans="14:14" ht="15" customHeight="1" x14ac:dyDescent="0.25">
      <c r="N2608" t="s">
        <v>68</v>
      </c>
    </row>
    <row r="2609" spans="14:14" ht="15" customHeight="1" x14ac:dyDescent="0.25">
      <c r="N2609" t="s">
        <v>582</v>
      </c>
    </row>
    <row r="2610" spans="14:14" ht="15" customHeight="1" x14ac:dyDescent="0.25">
      <c r="N2610" t="s">
        <v>68</v>
      </c>
    </row>
    <row r="2611" spans="14:14" ht="15" customHeight="1" x14ac:dyDescent="0.25">
      <c r="N2611" t="s">
        <v>68</v>
      </c>
    </row>
    <row r="2612" spans="14:14" ht="15" customHeight="1" x14ac:dyDescent="0.25">
      <c r="N2612" t="s">
        <v>582</v>
      </c>
    </row>
    <row r="2613" spans="14:14" ht="15" customHeight="1" x14ac:dyDescent="0.25">
      <c r="N2613" t="s">
        <v>713</v>
      </c>
    </row>
    <row r="2614" spans="14:14" ht="15" customHeight="1" x14ac:dyDescent="0.25">
      <c r="N2614" t="s">
        <v>713</v>
      </c>
    </row>
    <row r="2615" spans="14:14" ht="15" customHeight="1" x14ac:dyDescent="0.25">
      <c r="N2615" t="s">
        <v>713</v>
      </c>
    </row>
    <row r="2616" spans="14:14" ht="15" customHeight="1" x14ac:dyDescent="0.25">
      <c r="N2616" t="s">
        <v>685</v>
      </c>
    </row>
    <row r="2617" spans="14:14" ht="15" customHeight="1" x14ac:dyDescent="0.25">
      <c r="N2617" t="s">
        <v>732</v>
      </c>
    </row>
    <row r="2618" spans="14:14" ht="15" customHeight="1" x14ac:dyDescent="0.25">
      <c r="N2618" t="s">
        <v>687</v>
      </c>
    </row>
    <row r="2619" spans="14:14" ht="15" customHeight="1" x14ac:dyDescent="0.25">
      <c r="N2619" t="s">
        <v>313</v>
      </c>
    </row>
    <row r="2620" spans="14:14" ht="15" customHeight="1" x14ac:dyDescent="0.25">
      <c r="N2620" t="s">
        <v>670</v>
      </c>
    </row>
    <row r="2621" spans="14:14" ht="15" customHeight="1" x14ac:dyDescent="0.25">
      <c r="N2621" t="s">
        <v>646</v>
      </c>
    </row>
    <row r="2622" spans="14:14" ht="15" customHeight="1" x14ac:dyDescent="0.25">
      <c r="N2622" t="s">
        <v>304</v>
      </c>
    </row>
    <row r="2623" spans="14:14" ht="15" customHeight="1" x14ac:dyDescent="0.25">
      <c r="N2623" t="s">
        <v>735</v>
      </c>
    </row>
    <row r="2624" spans="14:14" ht="15" customHeight="1" x14ac:dyDescent="0.25">
      <c r="N2624" t="s">
        <v>735</v>
      </c>
    </row>
    <row r="2625" spans="14:14" ht="15" customHeight="1" x14ac:dyDescent="0.25">
      <c r="N2625" t="s">
        <v>735</v>
      </c>
    </row>
    <row r="2626" spans="14:14" ht="15" customHeight="1" x14ac:dyDescent="0.25">
      <c r="N2626" t="s">
        <v>735</v>
      </c>
    </row>
    <row r="2627" spans="14:14" ht="15" customHeight="1" x14ac:dyDescent="0.25">
      <c r="N2627" t="s">
        <v>735</v>
      </c>
    </row>
    <row r="2628" spans="14:14" ht="15" customHeight="1" x14ac:dyDescent="0.25">
      <c r="N2628" t="s">
        <v>313</v>
      </c>
    </row>
    <row r="2629" spans="14:14" ht="15" customHeight="1" x14ac:dyDescent="0.25">
      <c r="N2629" t="s">
        <v>680</v>
      </c>
    </row>
    <row r="2630" spans="14:14" ht="15" customHeight="1" x14ac:dyDescent="0.25">
      <c r="N2630" t="s">
        <v>732</v>
      </c>
    </row>
    <row r="2631" spans="14:14" ht="15" customHeight="1" x14ac:dyDescent="0.25">
      <c r="N2631" t="s">
        <v>313</v>
      </c>
    </row>
    <row r="2632" spans="14:14" ht="15" customHeight="1" x14ac:dyDescent="0.25">
      <c r="N2632" t="s">
        <v>68</v>
      </c>
    </row>
    <row r="2633" spans="14:14" ht="15" customHeight="1" x14ac:dyDescent="0.25">
      <c r="N2633" t="s">
        <v>675</v>
      </c>
    </row>
    <row r="2634" spans="14:14" ht="15" customHeight="1" x14ac:dyDescent="0.25">
      <c r="N2634" t="s">
        <v>539</v>
      </c>
    </row>
    <row r="2635" spans="14:14" ht="15" customHeight="1" x14ac:dyDescent="0.25">
      <c r="N2635" t="s">
        <v>68</v>
      </c>
    </row>
    <row r="2636" spans="14:14" ht="15" customHeight="1" x14ac:dyDescent="0.25">
      <c r="N2636" t="s">
        <v>732</v>
      </c>
    </row>
    <row r="2637" spans="14:14" ht="15" customHeight="1" x14ac:dyDescent="0.25">
      <c r="N2637" t="s">
        <v>684</v>
      </c>
    </row>
    <row r="2638" spans="14:14" ht="15" customHeight="1" x14ac:dyDescent="0.25">
      <c r="N2638" t="s">
        <v>68</v>
      </c>
    </row>
    <row r="2639" spans="14:14" ht="15" customHeight="1" x14ac:dyDescent="0.25">
      <c r="N2639" t="s">
        <v>553</v>
      </c>
    </row>
    <row r="2640" spans="14:14" ht="15" customHeight="1" x14ac:dyDescent="0.25">
      <c r="N2640" t="s">
        <v>68</v>
      </c>
    </row>
    <row r="2641" spans="14:14" ht="15" customHeight="1" x14ac:dyDescent="0.25">
      <c r="N2641" t="s">
        <v>582</v>
      </c>
    </row>
    <row r="2642" spans="14:14" ht="15" customHeight="1" x14ac:dyDescent="0.25">
      <c r="N2642" t="s">
        <v>713</v>
      </c>
    </row>
    <row r="2643" spans="14:14" ht="15" customHeight="1" x14ac:dyDescent="0.25">
      <c r="N2643" t="s">
        <v>732</v>
      </c>
    </row>
    <row r="2644" spans="14:14" ht="15" customHeight="1" x14ac:dyDescent="0.25">
      <c r="N2644" t="s">
        <v>603</v>
      </c>
    </row>
    <row r="2645" spans="14:14" ht="15" customHeight="1" x14ac:dyDescent="0.25">
      <c r="N2645" t="s">
        <v>654</v>
      </c>
    </row>
    <row r="2646" spans="14:14" ht="15" customHeight="1" x14ac:dyDescent="0.25">
      <c r="N2646" t="s">
        <v>685</v>
      </c>
    </row>
    <row r="2647" spans="14:14" ht="15" customHeight="1" x14ac:dyDescent="0.25">
      <c r="N2647" t="s">
        <v>313</v>
      </c>
    </row>
    <row r="2648" spans="14:14" ht="15" customHeight="1" x14ac:dyDescent="0.25">
      <c r="N2648" t="s">
        <v>685</v>
      </c>
    </row>
    <row r="2649" spans="14:14" ht="15" customHeight="1" x14ac:dyDescent="0.25">
      <c r="N2649" t="s">
        <v>696</v>
      </c>
    </row>
    <row r="2650" spans="14:14" ht="15" customHeight="1" x14ac:dyDescent="0.25">
      <c r="N2650" t="s">
        <v>313</v>
      </c>
    </row>
    <row r="2651" spans="14:14" ht="15" customHeight="1" x14ac:dyDescent="0.25">
      <c r="N2651" t="s">
        <v>675</v>
      </c>
    </row>
    <row r="2652" spans="14:14" ht="15" customHeight="1" x14ac:dyDescent="0.25">
      <c r="N2652" t="s">
        <v>582</v>
      </c>
    </row>
    <row r="2653" spans="14:14" ht="15" customHeight="1" x14ac:dyDescent="0.25">
      <c r="N2653" t="s">
        <v>582</v>
      </c>
    </row>
    <row r="2654" spans="14:14" ht="15" customHeight="1" x14ac:dyDescent="0.25">
      <c r="N2654" t="s">
        <v>713</v>
      </c>
    </row>
    <row r="2655" spans="14:14" ht="15" customHeight="1" x14ac:dyDescent="0.25">
      <c r="N2655" t="s">
        <v>558</v>
      </c>
    </row>
    <row r="2656" spans="14:14" ht="15" customHeight="1" x14ac:dyDescent="0.25">
      <c r="N2656" t="s">
        <v>732</v>
      </c>
    </row>
    <row r="2657" spans="14:14" ht="15" customHeight="1" x14ac:dyDescent="0.25">
      <c r="N2657" t="s">
        <v>670</v>
      </c>
    </row>
    <row r="2658" spans="14:14" ht="15" customHeight="1" x14ac:dyDescent="0.25">
      <c r="N2658" t="s">
        <v>670</v>
      </c>
    </row>
    <row r="2659" spans="14:14" ht="15" customHeight="1" x14ac:dyDescent="0.25">
      <c r="N2659" t="s">
        <v>370</v>
      </c>
    </row>
    <row r="2660" spans="14:14" ht="15" customHeight="1" x14ac:dyDescent="0.25">
      <c r="N2660" t="s">
        <v>714</v>
      </c>
    </row>
    <row r="2661" spans="14:14" ht="15" customHeight="1" x14ac:dyDescent="0.25">
      <c r="N2661" t="s">
        <v>685</v>
      </c>
    </row>
    <row r="2662" spans="14:14" ht="15" customHeight="1" x14ac:dyDescent="0.25">
      <c r="N2662" t="s">
        <v>582</v>
      </c>
    </row>
    <row r="2663" spans="14:14" ht="15" customHeight="1" x14ac:dyDescent="0.25">
      <c r="N2663" t="s">
        <v>686</v>
      </c>
    </row>
    <row r="2664" spans="14:14" ht="15" customHeight="1" x14ac:dyDescent="0.25">
      <c r="N2664" t="s">
        <v>670</v>
      </c>
    </row>
    <row r="2665" spans="14:14" ht="15" customHeight="1" x14ac:dyDescent="0.25">
      <c r="N2665" t="s">
        <v>304</v>
      </c>
    </row>
    <row r="2666" spans="14:14" ht="15" customHeight="1" x14ac:dyDescent="0.25">
      <c r="N2666" t="s">
        <v>669</v>
      </c>
    </row>
    <row r="2667" spans="14:14" ht="15" customHeight="1" x14ac:dyDescent="0.25">
      <c r="N2667" t="s">
        <v>553</v>
      </c>
    </row>
    <row r="2668" spans="14:14" ht="15" customHeight="1" x14ac:dyDescent="0.25">
      <c r="N2668" t="s">
        <v>582</v>
      </c>
    </row>
    <row r="2669" spans="14:14" ht="15" customHeight="1" x14ac:dyDescent="0.25">
      <c r="N2669" t="s">
        <v>715</v>
      </c>
    </row>
    <row r="2670" spans="14:14" ht="15" customHeight="1" x14ac:dyDescent="0.25">
      <c r="N2670" t="s">
        <v>714</v>
      </c>
    </row>
    <row r="2671" spans="14:14" ht="15" customHeight="1" x14ac:dyDescent="0.25">
      <c r="N2671" t="s">
        <v>642</v>
      </c>
    </row>
    <row r="2672" spans="14:14" ht="15" customHeight="1" x14ac:dyDescent="0.25">
      <c r="N2672" t="s">
        <v>690</v>
      </c>
    </row>
    <row r="2673" spans="14:14" ht="15" customHeight="1" x14ac:dyDescent="0.25">
      <c r="N2673" t="s">
        <v>582</v>
      </c>
    </row>
    <row r="2674" spans="14:14" ht="15" customHeight="1" x14ac:dyDescent="0.25">
      <c r="N2674" t="s">
        <v>605</v>
      </c>
    </row>
    <row r="2675" spans="14:14" ht="15" customHeight="1" x14ac:dyDescent="0.25">
      <c r="N2675" t="s">
        <v>732</v>
      </c>
    </row>
    <row r="2676" spans="14:14" ht="15" customHeight="1" x14ac:dyDescent="0.25">
      <c r="N2676" t="s">
        <v>714</v>
      </c>
    </row>
    <row r="2677" spans="14:14" ht="15" customHeight="1" x14ac:dyDescent="0.25">
      <c r="N2677" t="s">
        <v>304</v>
      </c>
    </row>
    <row r="2678" spans="14:14" ht="15" customHeight="1" x14ac:dyDescent="0.25">
      <c r="N2678" t="s">
        <v>642</v>
      </c>
    </row>
    <row r="2679" spans="14:14" ht="15" customHeight="1" x14ac:dyDescent="0.25">
      <c r="N2679" t="s">
        <v>714</v>
      </c>
    </row>
    <row r="2680" spans="14:14" ht="15" customHeight="1" x14ac:dyDescent="0.25">
      <c r="N2680" t="s">
        <v>371</v>
      </c>
    </row>
    <row r="2681" spans="14:14" ht="15" customHeight="1" x14ac:dyDescent="0.25">
      <c r="N2681" t="s">
        <v>425</v>
      </c>
    </row>
    <row r="2682" spans="14:14" ht="15" customHeight="1" x14ac:dyDescent="0.25">
      <c r="N2682" t="s">
        <v>582</v>
      </c>
    </row>
    <row r="2683" spans="14:14" ht="15" customHeight="1" x14ac:dyDescent="0.25">
      <c r="N2683" t="s">
        <v>684</v>
      </c>
    </row>
    <row r="2684" spans="14:14" ht="15" customHeight="1" x14ac:dyDescent="0.25">
      <c r="N2684" t="s">
        <v>685</v>
      </c>
    </row>
    <row r="2685" spans="14:14" ht="15" customHeight="1" x14ac:dyDescent="0.25">
      <c r="N2685" t="s">
        <v>313</v>
      </c>
    </row>
    <row r="2686" spans="14:14" ht="15" customHeight="1" x14ac:dyDescent="0.25">
      <c r="N2686" t="s">
        <v>714</v>
      </c>
    </row>
    <row r="2687" spans="14:14" ht="15" customHeight="1" x14ac:dyDescent="0.25">
      <c r="N2687" t="s">
        <v>687</v>
      </c>
    </row>
    <row r="2688" spans="14:14" ht="15" customHeight="1" x14ac:dyDescent="0.25">
      <c r="N2688" t="s">
        <v>642</v>
      </c>
    </row>
    <row r="2689" spans="14:14" ht="15" customHeight="1" x14ac:dyDescent="0.25">
      <c r="N2689" t="s">
        <v>638</v>
      </c>
    </row>
    <row r="2690" spans="14:14" ht="15" customHeight="1" x14ac:dyDescent="0.25">
      <c r="N2690" t="s">
        <v>582</v>
      </c>
    </row>
    <row r="2691" spans="14:14" ht="15" customHeight="1" x14ac:dyDescent="0.25">
      <c r="N2691" t="s">
        <v>582</v>
      </c>
    </row>
    <row r="2692" spans="14:14" ht="15" customHeight="1" x14ac:dyDescent="0.25">
      <c r="N2692" t="s">
        <v>714</v>
      </c>
    </row>
    <row r="2693" spans="14:14" ht="15" customHeight="1" x14ac:dyDescent="0.25">
      <c r="N2693" t="s">
        <v>714</v>
      </c>
    </row>
    <row r="2694" spans="14:14" ht="15" customHeight="1" x14ac:dyDescent="0.25">
      <c r="N2694" t="s">
        <v>638</v>
      </c>
    </row>
    <row r="2695" spans="14:14" ht="15" customHeight="1" x14ac:dyDescent="0.25">
      <c r="N2695" t="s">
        <v>638</v>
      </c>
    </row>
    <row r="2696" spans="14:14" ht="15" customHeight="1" x14ac:dyDescent="0.25">
      <c r="N2696" t="s">
        <v>582</v>
      </c>
    </row>
    <row r="2697" spans="14:14" ht="15" customHeight="1" x14ac:dyDescent="0.25">
      <c r="N2697" t="s">
        <v>68</v>
      </c>
    </row>
    <row r="2698" spans="14:14" ht="15" customHeight="1" x14ac:dyDescent="0.25">
      <c r="N2698" t="s">
        <v>675</v>
      </c>
    </row>
    <row r="2699" spans="14:14" ht="15" customHeight="1" x14ac:dyDescent="0.25">
      <c r="N2699" t="s">
        <v>706</v>
      </c>
    </row>
    <row r="2700" spans="14:14" ht="15" customHeight="1" x14ac:dyDescent="0.25">
      <c r="N2700" t="s">
        <v>582</v>
      </c>
    </row>
    <row r="2701" spans="14:14" ht="15" customHeight="1" x14ac:dyDescent="0.25">
      <c r="N2701" t="s">
        <v>68</v>
      </c>
    </row>
    <row r="2702" spans="14:14" ht="15" customHeight="1" x14ac:dyDescent="0.25">
      <c r="N2702" t="s">
        <v>622</v>
      </c>
    </row>
    <row r="2703" spans="14:14" ht="15" customHeight="1" x14ac:dyDescent="0.25">
      <c r="N2703" t="s">
        <v>68</v>
      </c>
    </row>
    <row r="2704" spans="14:14" ht="15" customHeight="1" x14ac:dyDescent="0.25">
      <c r="N2704" t="s">
        <v>736</v>
      </c>
    </row>
    <row r="2705" spans="14:14" ht="15" customHeight="1" x14ac:dyDescent="0.25">
      <c r="N2705" t="s">
        <v>68</v>
      </c>
    </row>
    <row r="2706" spans="14:14" ht="15" customHeight="1" x14ac:dyDescent="0.25">
      <c r="N2706" t="s">
        <v>689</v>
      </c>
    </row>
    <row r="2707" spans="14:14" ht="15" customHeight="1" x14ac:dyDescent="0.25">
      <c r="N2707" t="s">
        <v>706</v>
      </c>
    </row>
    <row r="2708" spans="14:14" ht="15" customHeight="1" x14ac:dyDescent="0.25">
      <c r="N2708" t="s">
        <v>582</v>
      </c>
    </row>
    <row r="2709" spans="14:14" ht="15" customHeight="1" x14ac:dyDescent="0.25">
      <c r="N2709" t="s">
        <v>68</v>
      </c>
    </row>
    <row r="2710" spans="14:14" ht="15" customHeight="1" x14ac:dyDescent="0.25">
      <c r="N2710" t="s">
        <v>732</v>
      </c>
    </row>
    <row r="2711" spans="14:14" ht="15" customHeight="1" x14ac:dyDescent="0.25">
      <c r="N2711" t="s">
        <v>496</v>
      </c>
    </row>
    <row r="2712" spans="14:14" ht="15" customHeight="1" x14ac:dyDescent="0.25">
      <c r="N2712" t="s">
        <v>68</v>
      </c>
    </row>
    <row r="2713" spans="14:14" ht="15" customHeight="1" x14ac:dyDescent="0.25">
      <c r="N2713" t="s">
        <v>68</v>
      </c>
    </row>
    <row r="2714" spans="14:14" ht="15" customHeight="1" x14ac:dyDescent="0.25">
      <c r="N2714" t="s">
        <v>689</v>
      </c>
    </row>
    <row r="2715" spans="14:14" ht="15" customHeight="1" x14ac:dyDescent="0.25">
      <c r="N2715" t="s">
        <v>684</v>
      </c>
    </row>
    <row r="2716" spans="14:14" ht="15" customHeight="1" x14ac:dyDescent="0.25">
      <c r="N2716" t="s">
        <v>582</v>
      </c>
    </row>
    <row r="2717" spans="14:14" ht="15" customHeight="1" x14ac:dyDescent="0.25">
      <c r="N2717" t="s">
        <v>68</v>
      </c>
    </row>
    <row r="2718" spans="14:14" ht="15" customHeight="1" x14ac:dyDescent="0.25">
      <c r="N2718" t="s">
        <v>675</v>
      </c>
    </row>
    <row r="2719" spans="14:14" ht="15" customHeight="1" x14ac:dyDescent="0.25">
      <c r="N2719" t="s">
        <v>68</v>
      </c>
    </row>
    <row r="2720" spans="14:14" ht="15" customHeight="1" x14ac:dyDescent="0.25">
      <c r="N2720" t="s">
        <v>706</v>
      </c>
    </row>
    <row r="2721" spans="14:14" ht="15" customHeight="1" x14ac:dyDescent="0.25">
      <c r="N2721" t="s">
        <v>313</v>
      </c>
    </row>
    <row r="2722" spans="14:14" ht="15" customHeight="1" x14ac:dyDescent="0.25">
      <c r="N2722" t="s">
        <v>621</v>
      </c>
    </row>
    <row r="2723" spans="14:14" ht="15" customHeight="1" x14ac:dyDescent="0.25">
      <c r="N2723" t="s">
        <v>68</v>
      </c>
    </row>
    <row r="2724" spans="14:14" ht="15" customHeight="1" x14ac:dyDescent="0.25">
      <c r="N2724" t="s">
        <v>582</v>
      </c>
    </row>
    <row r="2725" spans="14:14" ht="15" customHeight="1" x14ac:dyDescent="0.25">
      <c r="N2725" t="s">
        <v>313</v>
      </c>
    </row>
    <row r="2726" spans="14:14" ht="15" customHeight="1" x14ac:dyDescent="0.25">
      <c r="N2726" t="s">
        <v>677</v>
      </c>
    </row>
    <row r="2727" spans="14:14" ht="15" customHeight="1" x14ac:dyDescent="0.25">
      <c r="N2727" t="s">
        <v>68</v>
      </c>
    </row>
    <row r="2728" spans="14:14" ht="15" customHeight="1" x14ac:dyDescent="0.25">
      <c r="N2728" t="s">
        <v>68</v>
      </c>
    </row>
    <row r="2729" spans="14:14" ht="15" customHeight="1" x14ac:dyDescent="0.25">
      <c r="N2729" t="s">
        <v>677</v>
      </c>
    </row>
    <row r="2730" spans="14:14" ht="15" customHeight="1" x14ac:dyDescent="0.25">
      <c r="N2730" t="s">
        <v>677</v>
      </c>
    </row>
    <row r="2731" spans="14:14" ht="15" customHeight="1" x14ac:dyDescent="0.25">
      <c r="N2731" t="s">
        <v>68</v>
      </c>
    </row>
    <row r="2732" spans="14:14" ht="15" customHeight="1" x14ac:dyDescent="0.25">
      <c r="N2732" t="s">
        <v>68</v>
      </c>
    </row>
    <row r="2733" spans="14:14" ht="15" customHeight="1" x14ac:dyDescent="0.25">
      <c r="N2733" t="s">
        <v>687</v>
      </c>
    </row>
    <row r="2734" spans="14:14" ht="15" customHeight="1" x14ac:dyDescent="0.25">
      <c r="N2734" t="s">
        <v>582</v>
      </c>
    </row>
    <row r="2735" spans="14:14" ht="15" customHeight="1" x14ac:dyDescent="0.25">
      <c r="N2735" t="s">
        <v>687</v>
      </c>
    </row>
    <row r="2736" spans="14:14" ht="15" customHeight="1" x14ac:dyDescent="0.25">
      <c r="N2736" t="s">
        <v>68</v>
      </c>
    </row>
    <row r="2737" spans="14:14" ht="15" customHeight="1" x14ac:dyDescent="0.25">
      <c r="N2737" t="s">
        <v>690</v>
      </c>
    </row>
    <row r="2738" spans="14:14" ht="15" customHeight="1" x14ac:dyDescent="0.25">
      <c r="N2738" t="s">
        <v>715</v>
      </c>
    </row>
    <row r="2739" spans="14:14" ht="15" customHeight="1" x14ac:dyDescent="0.25">
      <c r="N2739" t="s">
        <v>715</v>
      </c>
    </row>
    <row r="2740" spans="14:14" ht="15" customHeight="1" x14ac:dyDescent="0.25">
      <c r="N2740" t="s">
        <v>696</v>
      </c>
    </row>
    <row r="2741" spans="14:14" ht="15" customHeight="1" x14ac:dyDescent="0.25">
      <c r="N2741" t="s">
        <v>666</v>
      </c>
    </row>
    <row r="2742" spans="14:14" ht="15" customHeight="1" x14ac:dyDescent="0.25">
      <c r="N2742" t="s">
        <v>715</v>
      </c>
    </row>
    <row r="2743" spans="14:14" ht="15" customHeight="1" x14ac:dyDescent="0.25">
      <c r="N2743" t="s">
        <v>592</v>
      </c>
    </row>
    <row r="2744" spans="14:14" ht="15" customHeight="1" x14ac:dyDescent="0.25">
      <c r="N2744" t="s">
        <v>592</v>
      </c>
    </row>
    <row r="2745" spans="14:14" ht="15" customHeight="1" x14ac:dyDescent="0.25">
      <c r="N2745" t="s">
        <v>592</v>
      </c>
    </row>
    <row r="2746" spans="14:14" ht="15" customHeight="1" x14ac:dyDescent="0.25">
      <c r="N2746" t="s">
        <v>592</v>
      </c>
    </row>
    <row r="2747" spans="14:14" ht="15" customHeight="1" x14ac:dyDescent="0.25">
      <c r="N2747" t="s">
        <v>592</v>
      </c>
    </row>
    <row r="2748" spans="14:14" ht="15" customHeight="1" x14ac:dyDescent="0.25">
      <c r="N2748" t="s">
        <v>317</v>
      </c>
    </row>
    <row r="2749" spans="14:14" ht="15" customHeight="1" x14ac:dyDescent="0.25">
      <c r="N2749" t="s">
        <v>715</v>
      </c>
    </row>
    <row r="2750" spans="14:14" ht="15" customHeight="1" x14ac:dyDescent="0.25">
      <c r="N2750" t="s">
        <v>715</v>
      </c>
    </row>
    <row r="2751" spans="14:14" ht="15" customHeight="1" x14ac:dyDescent="0.25">
      <c r="N2751" t="s">
        <v>715</v>
      </c>
    </row>
    <row r="2752" spans="14:14" ht="15" customHeight="1" x14ac:dyDescent="0.25">
      <c r="N2752" t="s">
        <v>317</v>
      </c>
    </row>
    <row r="2753" spans="14:14" ht="15" customHeight="1" x14ac:dyDescent="0.25">
      <c r="N2753" t="s">
        <v>313</v>
      </c>
    </row>
    <row r="2754" spans="14:14" ht="15" customHeight="1" x14ac:dyDescent="0.25">
      <c r="N2754" t="s">
        <v>715</v>
      </c>
    </row>
    <row r="2755" spans="14:14" ht="15" customHeight="1" x14ac:dyDescent="0.25">
      <c r="N2755" t="s">
        <v>715</v>
      </c>
    </row>
    <row r="2756" spans="14:14" ht="15" customHeight="1" x14ac:dyDescent="0.25">
      <c r="N2756" t="s">
        <v>715</v>
      </c>
    </row>
    <row r="2757" spans="14:14" ht="15" customHeight="1" x14ac:dyDescent="0.25">
      <c r="N2757" t="s">
        <v>737</v>
      </c>
    </row>
    <row r="2758" spans="14:14" ht="15" customHeight="1" x14ac:dyDescent="0.25">
      <c r="N2758" t="s">
        <v>715</v>
      </c>
    </row>
    <row r="2759" spans="14:14" ht="15" customHeight="1" x14ac:dyDescent="0.25">
      <c r="N2759" t="s">
        <v>715</v>
      </c>
    </row>
    <row r="2760" spans="14:14" ht="15" customHeight="1" x14ac:dyDescent="0.25">
      <c r="N2760" t="s">
        <v>715</v>
      </c>
    </row>
    <row r="2761" spans="14:14" ht="15" customHeight="1" x14ac:dyDescent="0.25">
      <c r="N2761" t="s">
        <v>738</v>
      </c>
    </row>
    <row r="2762" spans="14:14" ht="15" customHeight="1" x14ac:dyDescent="0.25">
      <c r="N2762" t="s">
        <v>715</v>
      </c>
    </row>
    <row r="2763" spans="14:14" ht="15" customHeight="1" x14ac:dyDescent="0.25">
      <c r="N2763" t="s">
        <v>669</v>
      </c>
    </row>
    <row r="2764" spans="14:14" ht="15" customHeight="1" x14ac:dyDescent="0.25">
      <c r="N2764" t="s">
        <v>739</v>
      </c>
    </row>
    <row r="2765" spans="14:14" ht="15" customHeight="1" x14ac:dyDescent="0.25">
      <c r="N2765" t="s">
        <v>611</v>
      </c>
    </row>
    <row r="2766" spans="14:14" ht="15" customHeight="1" x14ac:dyDescent="0.25">
      <c r="N2766" t="s">
        <v>740</v>
      </c>
    </row>
    <row r="2767" spans="14:14" ht="15" customHeight="1" x14ac:dyDescent="0.25">
      <c r="N2767" t="s">
        <v>675</v>
      </c>
    </row>
    <row r="2768" spans="14:14" ht="15" customHeight="1" x14ac:dyDescent="0.25">
      <c r="N2768" t="s">
        <v>741</v>
      </c>
    </row>
    <row r="2769" spans="14:14" ht="15" customHeight="1" x14ac:dyDescent="0.25">
      <c r="N2769" t="s">
        <v>742</v>
      </c>
    </row>
    <row r="2770" spans="14:14" ht="15" customHeight="1" x14ac:dyDescent="0.25">
      <c r="N2770" t="s">
        <v>403</v>
      </c>
    </row>
    <row r="2771" spans="14:14" ht="15" customHeight="1" x14ac:dyDescent="0.25">
      <c r="N2771" t="s">
        <v>582</v>
      </c>
    </row>
    <row r="2772" spans="14:14" ht="15" customHeight="1" x14ac:dyDescent="0.25">
      <c r="N2772" t="s">
        <v>696</v>
      </c>
    </row>
    <row r="2773" spans="14:14" ht="15" customHeight="1" x14ac:dyDescent="0.25">
      <c r="N2773" t="s">
        <v>743</v>
      </c>
    </row>
    <row r="2774" spans="14:14" ht="15" customHeight="1" x14ac:dyDescent="0.25">
      <c r="N2774" t="s">
        <v>714</v>
      </c>
    </row>
    <row r="2775" spans="14:14" ht="15" customHeight="1" x14ac:dyDescent="0.25">
      <c r="N2775" t="s">
        <v>744</v>
      </c>
    </row>
    <row r="2776" spans="14:14" ht="15" customHeight="1" x14ac:dyDescent="0.25">
      <c r="N2776" t="s">
        <v>463</v>
      </c>
    </row>
    <row r="2777" spans="14:14" ht="15" customHeight="1" x14ac:dyDescent="0.25">
      <c r="N2777" t="s">
        <v>696</v>
      </c>
    </row>
    <row r="2778" spans="14:14" ht="15" customHeight="1" x14ac:dyDescent="0.25">
      <c r="N2778" t="s">
        <v>715</v>
      </c>
    </row>
    <row r="2779" spans="14:14" ht="15" customHeight="1" x14ac:dyDescent="0.25">
      <c r="N2779" t="s">
        <v>651</v>
      </c>
    </row>
    <row r="2780" spans="14:14" ht="15" customHeight="1" x14ac:dyDescent="0.25">
      <c r="N2780" t="s">
        <v>732</v>
      </c>
    </row>
    <row r="2781" spans="14:14" ht="15" customHeight="1" x14ac:dyDescent="0.25">
      <c r="N2781" t="s">
        <v>666</v>
      </c>
    </row>
    <row r="2782" spans="14:14" ht="15" customHeight="1" x14ac:dyDescent="0.25">
      <c r="N2782" t="s">
        <v>745</v>
      </c>
    </row>
    <row r="2783" spans="14:14" ht="15" customHeight="1" x14ac:dyDescent="0.25">
      <c r="N2783" t="s">
        <v>582</v>
      </c>
    </row>
    <row r="2784" spans="14:14" ht="15" customHeight="1" x14ac:dyDescent="0.25">
      <c r="N2784" t="s">
        <v>643</v>
      </c>
    </row>
    <row r="2785" spans="14:14" ht="15" customHeight="1" x14ac:dyDescent="0.25">
      <c r="N2785" t="s">
        <v>582</v>
      </c>
    </row>
    <row r="2786" spans="14:14" ht="15" customHeight="1" x14ac:dyDescent="0.25">
      <c r="N2786" t="s">
        <v>582</v>
      </c>
    </row>
    <row r="2787" spans="14:14" ht="15" customHeight="1" x14ac:dyDescent="0.25">
      <c r="N2787" t="s">
        <v>582</v>
      </c>
    </row>
    <row r="2788" spans="14:14" ht="15" customHeight="1" x14ac:dyDescent="0.25">
      <c r="N2788" t="s">
        <v>715</v>
      </c>
    </row>
    <row r="2789" spans="14:14" ht="15" customHeight="1" x14ac:dyDescent="0.25">
      <c r="N2789" t="s">
        <v>713</v>
      </c>
    </row>
    <row r="2790" spans="14:14" ht="15" customHeight="1" x14ac:dyDescent="0.25">
      <c r="N2790" t="s">
        <v>713</v>
      </c>
    </row>
    <row r="2791" spans="14:14" ht="15" customHeight="1" x14ac:dyDescent="0.25">
      <c r="N2791" t="s">
        <v>715</v>
      </c>
    </row>
    <row r="2792" spans="14:14" ht="15" customHeight="1" x14ac:dyDescent="0.25">
      <c r="N2792" t="s">
        <v>713</v>
      </c>
    </row>
    <row r="2793" spans="14:14" ht="15" customHeight="1" x14ac:dyDescent="0.25">
      <c r="N2793" t="s">
        <v>713</v>
      </c>
    </row>
    <row r="2794" spans="14:14" ht="15" customHeight="1" x14ac:dyDescent="0.25">
      <c r="N2794" t="s">
        <v>408</v>
      </c>
    </row>
    <row r="2795" spans="14:14" ht="15" customHeight="1" x14ac:dyDescent="0.25">
      <c r="N2795" t="s">
        <v>713</v>
      </c>
    </row>
    <row r="2796" spans="14:14" ht="15" customHeight="1" x14ac:dyDescent="0.25">
      <c r="N2796" t="s">
        <v>713</v>
      </c>
    </row>
    <row r="2797" spans="14:14" ht="15" customHeight="1" x14ac:dyDescent="0.25">
      <c r="N2797" t="s">
        <v>606</v>
      </c>
    </row>
    <row r="2798" spans="14:14" ht="15" customHeight="1" x14ac:dyDescent="0.25">
      <c r="N2798" t="s">
        <v>458</v>
      </c>
    </row>
    <row r="2799" spans="14:14" ht="15" customHeight="1" x14ac:dyDescent="0.25">
      <c r="N2799" t="s">
        <v>686</v>
      </c>
    </row>
    <row r="2800" spans="14:14" ht="15" customHeight="1" x14ac:dyDescent="0.25">
      <c r="N2800" t="s">
        <v>558</v>
      </c>
    </row>
    <row r="2801" spans="14:14" ht="15" customHeight="1" x14ac:dyDescent="0.25">
      <c r="N2801" t="s">
        <v>713</v>
      </c>
    </row>
    <row r="2802" spans="14:14" ht="15" customHeight="1" x14ac:dyDescent="0.25">
      <c r="N2802" t="s">
        <v>715</v>
      </c>
    </row>
    <row r="2803" spans="14:14" ht="15" customHeight="1" x14ac:dyDescent="0.25">
      <c r="N2803" t="s">
        <v>689</v>
      </c>
    </row>
    <row r="2804" spans="14:14" ht="15" customHeight="1" x14ac:dyDescent="0.25">
      <c r="N2804" t="s">
        <v>689</v>
      </c>
    </row>
    <row r="2805" spans="14:14" ht="15" customHeight="1" x14ac:dyDescent="0.25">
      <c r="N2805" t="s">
        <v>715</v>
      </c>
    </row>
    <row r="2806" spans="14:14" ht="15" customHeight="1" x14ac:dyDescent="0.25">
      <c r="N2806" t="s">
        <v>690</v>
      </c>
    </row>
    <row r="2807" spans="14:14" ht="15" customHeight="1" x14ac:dyDescent="0.25">
      <c r="N2807" t="s">
        <v>746</v>
      </c>
    </row>
    <row r="2808" spans="14:14" ht="15" customHeight="1" x14ac:dyDescent="0.25">
      <c r="N2808" t="s">
        <v>715</v>
      </c>
    </row>
    <row r="2809" spans="14:14" ht="15" customHeight="1" x14ac:dyDescent="0.25">
      <c r="N2809" t="s">
        <v>747</v>
      </c>
    </row>
    <row r="2810" spans="14:14" ht="15" customHeight="1" x14ac:dyDescent="0.25">
      <c r="N2810" t="s">
        <v>747</v>
      </c>
    </row>
    <row r="2811" spans="14:14" ht="15" customHeight="1" x14ac:dyDescent="0.25">
      <c r="N2811" t="s">
        <v>747</v>
      </c>
    </row>
    <row r="2812" spans="14:14" ht="15" customHeight="1" x14ac:dyDescent="0.25">
      <c r="N2812" t="s">
        <v>747</v>
      </c>
    </row>
    <row r="2813" spans="14:14" ht="15" customHeight="1" x14ac:dyDescent="0.25">
      <c r="N2813" t="s">
        <v>747</v>
      </c>
    </row>
    <row r="2814" spans="14:14" ht="15" customHeight="1" x14ac:dyDescent="0.25">
      <c r="N2814" t="s">
        <v>317</v>
      </c>
    </row>
    <row r="2815" spans="14:14" ht="15" customHeight="1" x14ac:dyDescent="0.25">
      <c r="N2815" t="s">
        <v>715</v>
      </c>
    </row>
    <row r="2816" spans="14:14" ht="15" customHeight="1" x14ac:dyDescent="0.25">
      <c r="N2816" t="s">
        <v>715</v>
      </c>
    </row>
    <row r="2817" spans="14:14" ht="15" customHeight="1" x14ac:dyDescent="0.25">
      <c r="N2817" t="s">
        <v>341</v>
      </c>
    </row>
    <row r="2818" spans="14:14" ht="15" customHeight="1" x14ac:dyDescent="0.25">
      <c r="N2818" t="s">
        <v>709</v>
      </c>
    </row>
    <row r="2819" spans="14:14" ht="15" customHeight="1" x14ac:dyDescent="0.25">
      <c r="N2819" t="s">
        <v>715</v>
      </c>
    </row>
    <row r="2820" spans="14:14" ht="15" customHeight="1" x14ac:dyDescent="0.25">
      <c r="N2820" t="s">
        <v>715</v>
      </c>
    </row>
    <row r="2821" spans="14:14" ht="15" customHeight="1" x14ac:dyDescent="0.25">
      <c r="N2821" t="s">
        <v>582</v>
      </c>
    </row>
    <row r="2822" spans="14:14" ht="15" customHeight="1" x14ac:dyDescent="0.25">
      <c r="N2822" t="s">
        <v>698</v>
      </c>
    </row>
    <row r="2823" spans="14:14" ht="15" customHeight="1" x14ac:dyDescent="0.25">
      <c r="N2823" t="s">
        <v>582</v>
      </c>
    </row>
    <row r="2824" spans="14:14" ht="15" customHeight="1" x14ac:dyDescent="0.25">
      <c r="N2824" t="s">
        <v>740</v>
      </c>
    </row>
    <row r="2825" spans="14:14" ht="15" customHeight="1" x14ac:dyDescent="0.25">
      <c r="N2825" t="s">
        <v>655</v>
      </c>
    </row>
    <row r="2826" spans="14:14" ht="15" customHeight="1" x14ac:dyDescent="0.25">
      <c r="N2826" t="s">
        <v>748</v>
      </c>
    </row>
    <row r="2827" spans="14:14" ht="15" customHeight="1" x14ac:dyDescent="0.25">
      <c r="N2827" t="s">
        <v>582</v>
      </c>
    </row>
    <row r="2828" spans="14:14" ht="15" customHeight="1" x14ac:dyDescent="0.25">
      <c r="N2828" t="s">
        <v>735</v>
      </c>
    </row>
    <row r="2829" spans="14:14" ht="15" customHeight="1" x14ac:dyDescent="0.25">
      <c r="N2829" t="s">
        <v>582</v>
      </c>
    </row>
    <row r="2830" spans="14:14" ht="15" customHeight="1" x14ac:dyDescent="0.25">
      <c r="N2830" t="s">
        <v>435</v>
      </c>
    </row>
    <row r="2831" spans="14:14" ht="15" customHeight="1" x14ac:dyDescent="0.25">
      <c r="N2831" t="s">
        <v>715</v>
      </c>
    </row>
    <row r="2832" spans="14:14" ht="15" customHeight="1" x14ac:dyDescent="0.25">
      <c r="N2832" t="s">
        <v>715</v>
      </c>
    </row>
    <row r="2833" spans="14:14" ht="15" customHeight="1" x14ac:dyDescent="0.25">
      <c r="N2833" t="s">
        <v>651</v>
      </c>
    </row>
    <row r="2834" spans="14:14" ht="15" customHeight="1" x14ac:dyDescent="0.25">
      <c r="N2834" t="s">
        <v>715</v>
      </c>
    </row>
    <row r="2835" spans="14:14" ht="15" customHeight="1" x14ac:dyDescent="0.25">
      <c r="N2835" t="s">
        <v>621</v>
      </c>
    </row>
    <row r="2836" spans="14:14" ht="15" customHeight="1" x14ac:dyDescent="0.25">
      <c r="N2836" t="s">
        <v>582</v>
      </c>
    </row>
    <row r="2837" spans="14:14" ht="15" customHeight="1" x14ac:dyDescent="0.25">
      <c r="N2837" t="s">
        <v>643</v>
      </c>
    </row>
    <row r="2838" spans="14:14" ht="15" customHeight="1" x14ac:dyDescent="0.25">
      <c r="N2838" t="s">
        <v>607</v>
      </c>
    </row>
    <row r="2839" spans="14:14" ht="15" customHeight="1" x14ac:dyDescent="0.25">
      <c r="N2839" t="s">
        <v>715</v>
      </c>
    </row>
    <row r="2840" spans="14:14" ht="15" customHeight="1" x14ac:dyDescent="0.25">
      <c r="N2840" t="s">
        <v>713</v>
      </c>
    </row>
    <row r="2841" spans="14:14" ht="15" customHeight="1" x14ac:dyDescent="0.25">
      <c r="N2841" t="s">
        <v>715</v>
      </c>
    </row>
    <row r="2842" spans="14:14" ht="15" customHeight="1" x14ac:dyDescent="0.25">
      <c r="N2842" t="s">
        <v>606</v>
      </c>
    </row>
    <row r="2843" spans="14:14" ht="15" customHeight="1" x14ac:dyDescent="0.25">
      <c r="N2843" t="s">
        <v>408</v>
      </c>
    </row>
    <row r="2844" spans="14:14" ht="15" customHeight="1" x14ac:dyDescent="0.25">
      <c r="N2844" t="s">
        <v>713</v>
      </c>
    </row>
    <row r="2845" spans="14:14" ht="15" customHeight="1" x14ac:dyDescent="0.25">
      <c r="N2845" t="s">
        <v>713</v>
      </c>
    </row>
    <row r="2846" spans="14:14" ht="15" customHeight="1" x14ac:dyDescent="0.25">
      <c r="N2846" t="s">
        <v>713</v>
      </c>
    </row>
    <row r="2847" spans="14:14" ht="15" customHeight="1" x14ac:dyDescent="0.25">
      <c r="N2847" t="s">
        <v>713</v>
      </c>
    </row>
    <row r="2848" spans="14:14" ht="15" customHeight="1" x14ac:dyDescent="0.25">
      <c r="N2848" t="s">
        <v>686</v>
      </c>
    </row>
    <row r="2849" spans="14:14" ht="15" customHeight="1" x14ac:dyDescent="0.25">
      <c r="N2849" t="s">
        <v>558</v>
      </c>
    </row>
    <row r="2850" spans="14:14" ht="15" customHeight="1" x14ac:dyDescent="0.25">
      <c r="N2850" t="s">
        <v>713</v>
      </c>
    </row>
    <row r="2851" spans="14:14" ht="15" customHeight="1" x14ac:dyDescent="0.25">
      <c r="N2851" t="s">
        <v>715</v>
      </c>
    </row>
    <row r="2852" spans="14:14" ht="15" customHeight="1" x14ac:dyDescent="0.25">
      <c r="N2852" t="s">
        <v>555</v>
      </c>
    </row>
    <row r="2853" spans="14:14" ht="15" customHeight="1" x14ac:dyDescent="0.25">
      <c r="N2853" t="s">
        <v>524</v>
      </c>
    </row>
    <row r="2854" spans="14:14" ht="15" customHeight="1" x14ac:dyDescent="0.25">
      <c r="N2854" t="s">
        <v>715</v>
      </c>
    </row>
    <row r="2855" spans="14:14" ht="15" customHeight="1" x14ac:dyDescent="0.25">
      <c r="N2855" t="s">
        <v>689</v>
      </c>
    </row>
    <row r="2856" spans="14:14" ht="15" customHeight="1" x14ac:dyDescent="0.25">
      <c r="N2856" t="s">
        <v>689</v>
      </c>
    </row>
    <row r="2857" spans="14:14" ht="15" customHeight="1" x14ac:dyDescent="0.25">
      <c r="N2857" t="s">
        <v>715</v>
      </c>
    </row>
    <row r="2858" spans="14:14" ht="15" customHeight="1" x14ac:dyDescent="0.25">
      <c r="N2858" t="s">
        <v>689</v>
      </c>
    </row>
    <row r="2859" spans="14:14" ht="15" customHeight="1" x14ac:dyDescent="0.25">
      <c r="N2859" t="s">
        <v>690</v>
      </c>
    </row>
    <row r="2860" spans="14:14" ht="15" customHeight="1" x14ac:dyDescent="0.25">
      <c r="N2860" t="s">
        <v>582</v>
      </c>
    </row>
    <row r="2861" spans="14:14" ht="15" customHeight="1" x14ac:dyDescent="0.25">
      <c r="N2861" t="s">
        <v>317</v>
      </c>
    </row>
    <row r="2862" spans="14:14" ht="15" customHeight="1" x14ac:dyDescent="0.25">
      <c r="N2862" t="s">
        <v>715</v>
      </c>
    </row>
    <row r="2863" spans="14:14" ht="15" customHeight="1" x14ac:dyDescent="0.25">
      <c r="N2863" t="s">
        <v>342</v>
      </c>
    </row>
    <row r="2864" spans="14:14" ht="15" customHeight="1" x14ac:dyDescent="0.25">
      <c r="N2864" t="s">
        <v>582</v>
      </c>
    </row>
    <row r="2865" spans="14:14" ht="15" customHeight="1" x14ac:dyDescent="0.25">
      <c r="N2865" t="s">
        <v>698</v>
      </c>
    </row>
    <row r="2866" spans="14:14" ht="15" customHeight="1" x14ac:dyDescent="0.25">
      <c r="N2866" t="s">
        <v>582</v>
      </c>
    </row>
    <row r="2867" spans="14:14" ht="15" customHeight="1" x14ac:dyDescent="0.25">
      <c r="N2867" t="s">
        <v>655</v>
      </c>
    </row>
    <row r="2868" spans="14:14" ht="15" customHeight="1" x14ac:dyDescent="0.25">
      <c r="N2868" t="s">
        <v>320</v>
      </c>
    </row>
    <row r="2869" spans="14:14" ht="15" customHeight="1" x14ac:dyDescent="0.25">
      <c r="N2869" t="s">
        <v>651</v>
      </c>
    </row>
    <row r="2870" spans="14:14" ht="15" customHeight="1" x14ac:dyDescent="0.25">
      <c r="N2870" t="s">
        <v>510</v>
      </c>
    </row>
    <row r="2871" spans="14:14" ht="15" customHeight="1" x14ac:dyDescent="0.25">
      <c r="N2871" t="s">
        <v>593</v>
      </c>
    </row>
    <row r="2872" spans="14:14" ht="15" customHeight="1" x14ac:dyDescent="0.25">
      <c r="N2872" t="s">
        <v>715</v>
      </c>
    </row>
    <row r="2873" spans="14:14" ht="15" customHeight="1" x14ac:dyDescent="0.25">
      <c r="N2873" t="s">
        <v>713</v>
      </c>
    </row>
    <row r="2874" spans="14:14" ht="15" customHeight="1" x14ac:dyDescent="0.25">
      <c r="N2874" t="s">
        <v>715</v>
      </c>
    </row>
    <row r="2875" spans="14:14" ht="15" customHeight="1" x14ac:dyDescent="0.25">
      <c r="N2875" t="s">
        <v>606</v>
      </c>
    </row>
    <row r="2876" spans="14:14" ht="15" customHeight="1" x14ac:dyDescent="0.25">
      <c r="N2876" t="s">
        <v>713</v>
      </c>
    </row>
    <row r="2877" spans="14:14" ht="15" customHeight="1" x14ac:dyDescent="0.25">
      <c r="N2877" t="s">
        <v>713</v>
      </c>
    </row>
    <row r="2878" spans="14:14" ht="15" customHeight="1" x14ac:dyDescent="0.25">
      <c r="N2878" t="s">
        <v>686</v>
      </c>
    </row>
    <row r="2879" spans="14:14" ht="15" customHeight="1" x14ac:dyDescent="0.25">
      <c r="N2879" t="s">
        <v>412</v>
      </c>
    </row>
    <row r="2880" spans="14:14" ht="15" customHeight="1" x14ac:dyDescent="0.25">
      <c r="N2880" t="s">
        <v>603</v>
      </c>
    </row>
    <row r="2881" spans="14:14" ht="15" customHeight="1" x14ac:dyDescent="0.25">
      <c r="N2881" t="s">
        <v>715</v>
      </c>
    </row>
    <row r="2882" spans="14:14" ht="15" customHeight="1" x14ac:dyDescent="0.25">
      <c r="N2882" t="s">
        <v>715</v>
      </c>
    </row>
    <row r="2883" spans="14:14" ht="15" customHeight="1" x14ac:dyDescent="0.25">
      <c r="N2883" t="s">
        <v>733</v>
      </c>
    </row>
    <row r="2884" spans="14:14" ht="15" customHeight="1" x14ac:dyDescent="0.25">
      <c r="N2884" t="s">
        <v>592</v>
      </c>
    </row>
    <row r="2885" spans="14:14" ht="15" customHeight="1" x14ac:dyDescent="0.25">
      <c r="N2885" t="s">
        <v>715</v>
      </c>
    </row>
    <row r="2886" spans="14:14" ht="15" customHeight="1" x14ac:dyDescent="0.25">
      <c r="N2886" t="s">
        <v>698</v>
      </c>
    </row>
    <row r="2887" spans="14:14" ht="15" customHeight="1" x14ac:dyDescent="0.25">
      <c r="N2887" t="s">
        <v>403</v>
      </c>
    </row>
    <row r="2888" spans="14:14" ht="15" customHeight="1" x14ac:dyDescent="0.25">
      <c r="N2888" t="s">
        <v>715</v>
      </c>
    </row>
    <row r="2889" spans="14:14" ht="15" customHeight="1" x14ac:dyDescent="0.25">
      <c r="N2889" t="s">
        <v>651</v>
      </c>
    </row>
    <row r="2890" spans="14:14" ht="15" customHeight="1" x14ac:dyDescent="0.25">
      <c r="N2890" t="s">
        <v>582</v>
      </c>
    </row>
    <row r="2891" spans="14:14" ht="15" customHeight="1" x14ac:dyDescent="0.25">
      <c r="N2891" t="s">
        <v>715</v>
      </c>
    </row>
    <row r="2892" spans="14:14" ht="15" customHeight="1" x14ac:dyDescent="0.25">
      <c r="N2892" t="s">
        <v>713</v>
      </c>
    </row>
    <row r="2893" spans="14:14" ht="15" customHeight="1" x14ac:dyDescent="0.25">
      <c r="N2893" t="s">
        <v>411</v>
      </c>
    </row>
    <row r="2894" spans="14:14" ht="15" customHeight="1" x14ac:dyDescent="0.25">
      <c r="N2894" t="s">
        <v>376</v>
      </c>
    </row>
    <row r="2895" spans="14:14" ht="15" customHeight="1" x14ac:dyDescent="0.25">
      <c r="N2895" t="s">
        <v>687</v>
      </c>
    </row>
    <row r="2896" spans="14:14" ht="15" customHeight="1" x14ac:dyDescent="0.25">
      <c r="N2896" t="s">
        <v>689</v>
      </c>
    </row>
    <row r="2897" spans="14:14" ht="15" customHeight="1" x14ac:dyDescent="0.25">
      <c r="N2897" t="s">
        <v>406</v>
      </c>
    </row>
    <row r="2898" spans="14:14" ht="15" customHeight="1" x14ac:dyDescent="0.25">
      <c r="N2898" t="s">
        <v>663</v>
      </c>
    </row>
    <row r="2899" spans="14:14" ht="15" customHeight="1" x14ac:dyDescent="0.25">
      <c r="N2899" t="s">
        <v>655</v>
      </c>
    </row>
    <row r="2900" spans="14:14" ht="15" customHeight="1" x14ac:dyDescent="0.25">
      <c r="N2900" t="s">
        <v>634</v>
      </c>
    </row>
    <row r="2901" spans="14:14" ht="15" customHeight="1" x14ac:dyDescent="0.25">
      <c r="N2901" t="s">
        <v>611</v>
      </c>
    </row>
    <row r="2902" spans="14:14" ht="15" customHeight="1" x14ac:dyDescent="0.25">
      <c r="N2902" t="s">
        <v>643</v>
      </c>
    </row>
    <row r="2903" spans="14:14" ht="15" customHeight="1" x14ac:dyDescent="0.25">
      <c r="N2903" t="s">
        <v>686</v>
      </c>
    </row>
    <row r="2904" spans="14:14" ht="15" customHeight="1" x14ac:dyDescent="0.25">
      <c r="N2904" t="s">
        <v>405</v>
      </c>
    </row>
    <row r="2905" spans="14:14" ht="15" customHeight="1" x14ac:dyDescent="0.25">
      <c r="N2905" t="s">
        <v>687</v>
      </c>
    </row>
    <row r="2906" spans="14:14" ht="15" customHeight="1" x14ac:dyDescent="0.25">
      <c r="N2906" t="s">
        <v>715</v>
      </c>
    </row>
    <row r="2907" spans="14:14" ht="15" customHeight="1" x14ac:dyDescent="0.25">
      <c r="N2907" t="s">
        <v>690</v>
      </c>
    </row>
    <row r="2908" spans="14:14" ht="15" customHeight="1" x14ac:dyDescent="0.25">
      <c r="N2908" t="s">
        <v>732</v>
      </c>
    </row>
    <row r="2909" spans="14:14" ht="15" customHeight="1" x14ac:dyDescent="0.25">
      <c r="N2909" t="s">
        <v>313</v>
      </c>
    </row>
    <row r="2910" spans="14:14" ht="15" customHeight="1" x14ac:dyDescent="0.25">
      <c r="N2910" t="s">
        <v>683</v>
      </c>
    </row>
    <row r="2911" spans="14:14" ht="15" customHeight="1" x14ac:dyDescent="0.25">
      <c r="N2911" t="s">
        <v>655</v>
      </c>
    </row>
    <row r="2912" spans="14:14" ht="15" customHeight="1" x14ac:dyDescent="0.25">
      <c r="N2912" t="s">
        <v>435</v>
      </c>
    </row>
    <row r="2913" spans="14:14" ht="15" customHeight="1" x14ac:dyDescent="0.25">
      <c r="N2913" t="s">
        <v>646</v>
      </c>
    </row>
    <row r="2914" spans="14:14" ht="15" customHeight="1" x14ac:dyDescent="0.25">
      <c r="N2914" t="s">
        <v>294</v>
      </c>
    </row>
    <row r="2915" spans="14:14" ht="15" customHeight="1" x14ac:dyDescent="0.25">
      <c r="N2915" t="s">
        <v>643</v>
      </c>
    </row>
    <row r="2916" spans="14:14" ht="15" customHeight="1" x14ac:dyDescent="0.25">
      <c r="N2916" t="s">
        <v>686</v>
      </c>
    </row>
    <row r="2917" spans="14:14" ht="15" customHeight="1" x14ac:dyDescent="0.25">
      <c r="N2917" t="s">
        <v>686</v>
      </c>
    </row>
    <row r="2918" spans="14:14" ht="15" customHeight="1" x14ac:dyDescent="0.25">
      <c r="N2918" t="s">
        <v>294</v>
      </c>
    </row>
    <row r="2919" spans="14:14" ht="15" customHeight="1" x14ac:dyDescent="0.25">
      <c r="N2919" t="s">
        <v>313</v>
      </c>
    </row>
    <row r="2920" spans="14:14" ht="15" customHeight="1" x14ac:dyDescent="0.25">
      <c r="N2920" t="s">
        <v>690</v>
      </c>
    </row>
    <row r="2921" spans="14:14" ht="15" customHeight="1" x14ac:dyDescent="0.25">
      <c r="N2921" t="s">
        <v>636</v>
      </c>
    </row>
    <row r="2922" spans="14:14" ht="15" customHeight="1" x14ac:dyDescent="0.25">
      <c r="N2922" t="s">
        <v>582</v>
      </c>
    </row>
    <row r="2923" spans="14:14" ht="15" customHeight="1" x14ac:dyDescent="0.25">
      <c r="N2923" t="s">
        <v>683</v>
      </c>
    </row>
    <row r="2924" spans="14:14" ht="15" customHeight="1" x14ac:dyDescent="0.25">
      <c r="N2924" t="s">
        <v>698</v>
      </c>
    </row>
    <row r="2925" spans="14:14" ht="15" customHeight="1" x14ac:dyDescent="0.25">
      <c r="N2925" t="s">
        <v>646</v>
      </c>
    </row>
    <row r="2926" spans="14:14" ht="15" customHeight="1" x14ac:dyDescent="0.25">
      <c r="N2926" t="s">
        <v>732</v>
      </c>
    </row>
    <row r="2927" spans="14:14" ht="15" customHeight="1" x14ac:dyDescent="0.25">
      <c r="N2927" t="s">
        <v>715</v>
      </c>
    </row>
    <row r="2928" spans="14:14" ht="15" customHeight="1" x14ac:dyDescent="0.25">
      <c r="N2928" t="s">
        <v>582</v>
      </c>
    </row>
    <row r="2929" spans="14:14" ht="15" customHeight="1" x14ac:dyDescent="0.25">
      <c r="N2929" t="s">
        <v>458</v>
      </c>
    </row>
    <row r="2930" spans="14:14" ht="15" customHeight="1" x14ac:dyDescent="0.25">
      <c r="N2930" t="s">
        <v>555</v>
      </c>
    </row>
    <row r="2931" spans="14:14" ht="15" customHeight="1" x14ac:dyDescent="0.25">
      <c r="N2931" t="s">
        <v>294</v>
      </c>
    </row>
    <row r="2932" spans="14:14" ht="15" customHeight="1" x14ac:dyDescent="0.25">
      <c r="N2932" t="s">
        <v>732</v>
      </c>
    </row>
    <row r="2933" spans="14:14" ht="15" customHeight="1" x14ac:dyDescent="0.25">
      <c r="N2933" t="s">
        <v>605</v>
      </c>
    </row>
    <row r="2934" spans="14:14" ht="15" customHeight="1" x14ac:dyDescent="0.25">
      <c r="N2934" t="s">
        <v>698</v>
      </c>
    </row>
    <row r="2935" spans="14:14" ht="15" customHeight="1" x14ac:dyDescent="0.25">
      <c r="N2935" t="s">
        <v>448</v>
      </c>
    </row>
    <row r="2936" spans="14:14" ht="15" customHeight="1" x14ac:dyDescent="0.25">
      <c r="N2936" t="s">
        <v>715</v>
      </c>
    </row>
    <row r="2937" spans="14:14" ht="15" customHeight="1" x14ac:dyDescent="0.25">
      <c r="N2937" t="s">
        <v>636</v>
      </c>
    </row>
    <row r="2938" spans="14:14" ht="15" customHeight="1" x14ac:dyDescent="0.25">
      <c r="N2938" t="s">
        <v>683</v>
      </c>
    </row>
    <row r="2939" spans="14:14" ht="15" customHeight="1" x14ac:dyDescent="0.25">
      <c r="N2939" t="s">
        <v>698</v>
      </c>
    </row>
    <row r="2940" spans="14:14" ht="15" customHeight="1" x14ac:dyDescent="0.25">
      <c r="N2940" t="s">
        <v>350</v>
      </c>
    </row>
    <row r="2941" spans="14:14" ht="15" customHeight="1" x14ac:dyDescent="0.25">
      <c r="N2941" t="s">
        <v>715</v>
      </c>
    </row>
    <row r="2942" spans="14:14" ht="15" customHeight="1" x14ac:dyDescent="0.25">
      <c r="N2942" t="s">
        <v>690</v>
      </c>
    </row>
    <row r="2943" spans="14:14" ht="15" customHeight="1" x14ac:dyDescent="0.25">
      <c r="N2943" t="s">
        <v>732</v>
      </c>
    </row>
    <row r="2944" spans="14:14" ht="15" customHeight="1" x14ac:dyDescent="0.25">
      <c r="N2944" t="s">
        <v>663</v>
      </c>
    </row>
    <row r="2945" spans="14:14" ht="15" customHeight="1" x14ac:dyDescent="0.25">
      <c r="N2945" t="s">
        <v>683</v>
      </c>
    </row>
    <row r="2946" spans="14:14" ht="15" customHeight="1" x14ac:dyDescent="0.25">
      <c r="N2946" t="s">
        <v>698</v>
      </c>
    </row>
    <row r="2947" spans="14:14" ht="15" customHeight="1" x14ac:dyDescent="0.25">
      <c r="N2947" t="s">
        <v>582</v>
      </c>
    </row>
    <row r="2948" spans="14:14" ht="15" customHeight="1" x14ac:dyDescent="0.25">
      <c r="N2948" t="s">
        <v>698</v>
      </c>
    </row>
    <row r="2949" spans="14:14" ht="15" customHeight="1" x14ac:dyDescent="0.25">
      <c r="N2949" t="s">
        <v>582</v>
      </c>
    </row>
    <row r="2950" spans="14:14" ht="15" customHeight="1" x14ac:dyDescent="0.25">
      <c r="N2950" t="s">
        <v>474</v>
      </c>
    </row>
    <row r="2951" spans="14:14" ht="15" customHeight="1" x14ac:dyDescent="0.25">
      <c r="N2951" t="s">
        <v>313</v>
      </c>
    </row>
    <row r="2952" spans="14:14" ht="15" customHeight="1" x14ac:dyDescent="0.25">
      <c r="N2952" t="s">
        <v>683</v>
      </c>
    </row>
    <row r="2953" spans="14:14" ht="15" customHeight="1" x14ac:dyDescent="0.25">
      <c r="N2953" t="s">
        <v>634</v>
      </c>
    </row>
    <row r="2954" spans="14:14" ht="15" customHeight="1" x14ac:dyDescent="0.25">
      <c r="N2954" t="s">
        <v>499</v>
      </c>
    </row>
    <row r="2955" spans="14:14" ht="15" customHeight="1" x14ac:dyDescent="0.25">
      <c r="N2955" t="s">
        <v>611</v>
      </c>
    </row>
    <row r="2956" spans="14:14" ht="15" customHeight="1" x14ac:dyDescent="0.25">
      <c r="N2956" t="s">
        <v>690</v>
      </c>
    </row>
    <row r="2957" spans="14:14" ht="15" customHeight="1" x14ac:dyDescent="0.25">
      <c r="N2957" t="s">
        <v>313</v>
      </c>
    </row>
    <row r="2958" spans="14:14" ht="15" customHeight="1" x14ac:dyDescent="0.25">
      <c r="N2958" t="s">
        <v>636</v>
      </c>
    </row>
    <row r="2959" spans="14:14" ht="15" customHeight="1" x14ac:dyDescent="0.25">
      <c r="N2959" t="s">
        <v>683</v>
      </c>
    </row>
    <row r="2960" spans="14:14" ht="15" customHeight="1" x14ac:dyDescent="0.25">
      <c r="N2960" t="s">
        <v>347</v>
      </c>
    </row>
    <row r="2961" spans="14:14" ht="15" customHeight="1" x14ac:dyDescent="0.25">
      <c r="N2961" t="s">
        <v>663</v>
      </c>
    </row>
    <row r="2962" spans="14:14" ht="15" customHeight="1" x14ac:dyDescent="0.25">
      <c r="N2962" t="s">
        <v>579</v>
      </c>
    </row>
    <row r="2963" spans="14:14" ht="15" customHeight="1" x14ac:dyDescent="0.25">
      <c r="N2963" t="s">
        <v>732</v>
      </c>
    </row>
    <row r="2964" spans="14:14" ht="15" customHeight="1" x14ac:dyDescent="0.25">
      <c r="N2964" t="s">
        <v>313</v>
      </c>
    </row>
    <row r="2965" spans="14:14" ht="15" customHeight="1" x14ac:dyDescent="0.25">
      <c r="N2965" t="s">
        <v>463</v>
      </c>
    </row>
    <row r="2966" spans="14:14" ht="15" customHeight="1" x14ac:dyDescent="0.25">
      <c r="N2966" t="s">
        <v>732</v>
      </c>
    </row>
    <row r="2967" spans="14:14" ht="15" customHeight="1" x14ac:dyDescent="0.25">
      <c r="N2967" t="s">
        <v>313</v>
      </c>
    </row>
    <row r="2968" spans="14:14" ht="15" customHeight="1" x14ac:dyDescent="0.25">
      <c r="N2968" t="s">
        <v>654</v>
      </c>
    </row>
    <row r="2969" spans="14:14" ht="15" customHeight="1" x14ac:dyDescent="0.25">
      <c r="N2969" t="s">
        <v>680</v>
      </c>
    </row>
    <row r="2970" spans="14:14" ht="15" customHeight="1" x14ac:dyDescent="0.25">
      <c r="N2970" t="s">
        <v>313</v>
      </c>
    </row>
    <row r="2971" spans="14:14" ht="15" customHeight="1" x14ac:dyDescent="0.25">
      <c r="N2971" t="s">
        <v>713</v>
      </c>
    </row>
    <row r="2972" spans="14:14" ht="15" customHeight="1" x14ac:dyDescent="0.25">
      <c r="N2972" t="s">
        <v>313</v>
      </c>
    </row>
    <row r="2973" spans="14:14" ht="15" customHeight="1" x14ac:dyDescent="0.25">
      <c r="N2973" t="s">
        <v>663</v>
      </c>
    </row>
    <row r="2974" spans="14:14" ht="15" customHeight="1" x14ac:dyDescent="0.25">
      <c r="N2974" t="s">
        <v>579</v>
      </c>
    </row>
    <row r="2975" spans="14:14" ht="15" customHeight="1" x14ac:dyDescent="0.25">
      <c r="N2975" t="s">
        <v>355</v>
      </c>
    </row>
    <row r="2976" spans="14:14" ht="15" customHeight="1" x14ac:dyDescent="0.25">
      <c r="N2976" t="s">
        <v>313</v>
      </c>
    </row>
    <row r="2977" spans="14:14" ht="15" customHeight="1" x14ac:dyDescent="0.25">
      <c r="N2977" t="s">
        <v>732</v>
      </c>
    </row>
    <row r="2978" spans="14:14" ht="15" customHeight="1" x14ac:dyDescent="0.25">
      <c r="N2978" t="s">
        <v>540</v>
      </c>
    </row>
    <row r="2979" spans="14:14" ht="15" customHeight="1" x14ac:dyDescent="0.25">
      <c r="N2979" t="s">
        <v>732</v>
      </c>
    </row>
    <row r="2980" spans="14:14" ht="15" customHeight="1" x14ac:dyDescent="0.25">
      <c r="N2980" t="s">
        <v>485</v>
      </c>
    </row>
    <row r="2981" spans="14:14" ht="15" customHeight="1" x14ac:dyDescent="0.25">
      <c r="N2981" t="s">
        <v>654</v>
      </c>
    </row>
    <row r="2982" spans="14:14" ht="15" customHeight="1" x14ac:dyDescent="0.25">
      <c r="N2982" t="s">
        <v>363</v>
      </c>
    </row>
    <row r="2983" spans="14:14" ht="15" customHeight="1" x14ac:dyDescent="0.25">
      <c r="N2983" t="s">
        <v>370</v>
      </c>
    </row>
    <row r="2984" spans="14:14" ht="15" customHeight="1" x14ac:dyDescent="0.25">
      <c r="N2984" t="s">
        <v>732</v>
      </c>
    </row>
    <row r="2985" spans="14:14" ht="15" customHeight="1" x14ac:dyDescent="0.25">
      <c r="N2985" t="s">
        <v>732</v>
      </c>
    </row>
    <row r="2986" spans="14:14" ht="15" customHeight="1" x14ac:dyDescent="0.25">
      <c r="N2986" t="s">
        <v>304</v>
      </c>
    </row>
    <row r="2987" spans="14:14" ht="15" customHeight="1" x14ac:dyDescent="0.25">
      <c r="N2987" t="s">
        <v>696</v>
      </c>
    </row>
    <row r="2988" spans="14:14" ht="15" customHeight="1" x14ac:dyDescent="0.25">
      <c r="N2988" t="s">
        <v>313</v>
      </c>
    </row>
    <row r="2989" spans="14:14" ht="15" customHeight="1" x14ac:dyDescent="0.25">
      <c r="N2989" t="s">
        <v>313</v>
      </c>
    </row>
    <row r="2990" spans="14:14" ht="15" customHeight="1" x14ac:dyDescent="0.25">
      <c r="N2990" t="s">
        <v>680</v>
      </c>
    </row>
    <row r="2991" spans="14:14" ht="15" customHeight="1" x14ac:dyDescent="0.25">
      <c r="N2991" t="s">
        <v>582</v>
      </c>
    </row>
    <row r="2992" spans="14:14" ht="15" customHeight="1" x14ac:dyDescent="0.25">
      <c r="N2992" t="s">
        <v>732</v>
      </c>
    </row>
    <row r="2993" spans="14:14" ht="15" customHeight="1" x14ac:dyDescent="0.25">
      <c r="N2993" t="s">
        <v>732</v>
      </c>
    </row>
    <row r="2994" spans="14:14" ht="15" customHeight="1" x14ac:dyDescent="0.25">
      <c r="N2994" t="s">
        <v>313</v>
      </c>
    </row>
    <row r="2995" spans="14:14" ht="15" customHeight="1" x14ac:dyDescent="0.25">
      <c r="N2995" t="s">
        <v>313</v>
      </c>
    </row>
    <row r="2996" spans="14:14" ht="15" customHeight="1" x14ac:dyDescent="0.25">
      <c r="N2996" t="s">
        <v>715</v>
      </c>
    </row>
    <row r="2997" spans="14:14" ht="15" customHeight="1" x14ac:dyDescent="0.25">
      <c r="N2997" t="s">
        <v>698</v>
      </c>
    </row>
    <row r="2998" spans="14:14" ht="15" customHeight="1" x14ac:dyDescent="0.25">
      <c r="N2998" t="s">
        <v>582</v>
      </c>
    </row>
    <row r="2999" spans="14:14" ht="15" customHeight="1" x14ac:dyDescent="0.25">
      <c r="N2999" t="s">
        <v>696</v>
      </c>
    </row>
    <row r="3000" spans="14:14" ht="15" customHeight="1" x14ac:dyDescent="0.25">
      <c r="N3000" t="s">
        <v>582</v>
      </c>
    </row>
    <row r="3001" spans="14:14" ht="15" customHeight="1" x14ac:dyDescent="0.25">
      <c r="N3001" t="s">
        <v>582</v>
      </c>
    </row>
    <row r="3002" spans="14:14" ht="15" customHeight="1" x14ac:dyDescent="0.25">
      <c r="N3002" t="s">
        <v>68</v>
      </c>
    </row>
    <row r="3003" spans="14:14" ht="15" customHeight="1" x14ac:dyDescent="0.25">
      <c r="N3003" t="s">
        <v>685</v>
      </c>
    </row>
    <row r="3004" spans="14:14" ht="15" customHeight="1" x14ac:dyDescent="0.25">
      <c r="N3004" t="s">
        <v>734</v>
      </c>
    </row>
    <row r="3005" spans="14:14" ht="15" customHeight="1" x14ac:dyDescent="0.25">
      <c r="N3005" t="s">
        <v>715</v>
      </c>
    </row>
    <row r="3006" spans="14:14" ht="15" customHeight="1" x14ac:dyDescent="0.25">
      <c r="N3006" t="s">
        <v>732</v>
      </c>
    </row>
    <row r="3007" spans="14:14" ht="15" customHeight="1" x14ac:dyDescent="0.25">
      <c r="N3007" t="s">
        <v>684</v>
      </c>
    </row>
    <row r="3008" spans="14:14" ht="15" customHeight="1" x14ac:dyDescent="0.25">
      <c r="N3008" t="s">
        <v>732</v>
      </c>
    </row>
    <row r="3009" spans="14:14" ht="15" customHeight="1" x14ac:dyDescent="0.25">
      <c r="N3009" t="s">
        <v>582</v>
      </c>
    </row>
    <row r="3010" spans="14:14" ht="15" customHeight="1" x14ac:dyDescent="0.25">
      <c r="N3010" t="s">
        <v>68</v>
      </c>
    </row>
    <row r="3011" spans="14:14" ht="15" customHeight="1" x14ac:dyDescent="0.25">
      <c r="N3011" t="s">
        <v>582</v>
      </c>
    </row>
    <row r="3012" spans="14:14" ht="15" customHeight="1" x14ac:dyDescent="0.25">
      <c r="N3012" t="s">
        <v>68</v>
      </c>
    </row>
    <row r="3013" spans="14:14" ht="15" customHeight="1" x14ac:dyDescent="0.25">
      <c r="N3013" t="s">
        <v>68</v>
      </c>
    </row>
    <row r="3014" spans="14:14" ht="15" customHeight="1" x14ac:dyDescent="0.25">
      <c r="N3014" t="s">
        <v>582</v>
      </c>
    </row>
    <row r="3015" spans="14:14" ht="15" customHeight="1" x14ac:dyDescent="0.25">
      <c r="N3015" t="s">
        <v>713</v>
      </c>
    </row>
    <row r="3016" spans="14:14" ht="15" customHeight="1" x14ac:dyDescent="0.25">
      <c r="N3016" t="s">
        <v>713</v>
      </c>
    </row>
    <row r="3017" spans="14:14" ht="15" customHeight="1" x14ac:dyDescent="0.25">
      <c r="N3017" t="s">
        <v>713</v>
      </c>
    </row>
    <row r="3018" spans="14:14" ht="15" customHeight="1" x14ac:dyDescent="0.25">
      <c r="N3018" t="s">
        <v>685</v>
      </c>
    </row>
    <row r="3019" spans="14:14" ht="15" customHeight="1" x14ac:dyDescent="0.25">
      <c r="N3019" t="s">
        <v>732</v>
      </c>
    </row>
    <row r="3020" spans="14:14" ht="15" customHeight="1" x14ac:dyDescent="0.25">
      <c r="N3020" t="s">
        <v>687</v>
      </c>
    </row>
    <row r="3021" spans="14:14" ht="15" customHeight="1" x14ac:dyDescent="0.25">
      <c r="N3021" t="s">
        <v>313</v>
      </c>
    </row>
    <row r="3022" spans="14:14" ht="15" customHeight="1" x14ac:dyDescent="0.25">
      <c r="N3022" t="s">
        <v>670</v>
      </c>
    </row>
    <row r="3023" spans="14:14" ht="15" customHeight="1" x14ac:dyDescent="0.25">
      <c r="N3023" t="s">
        <v>646</v>
      </c>
    </row>
    <row r="3024" spans="14:14" ht="15" customHeight="1" x14ac:dyDescent="0.25">
      <c r="N3024" t="s">
        <v>304</v>
      </c>
    </row>
    <row r="3025" spans="14:14" ht="15" customHeight="1" x14ac:dyDescent="0.25">
      <c r="N3025" t="s">
        <v>735</v>
      </c>
    </row>
    <row r="3026" spans="14:14" ht="15" customHeight="1" x14ac:dyDescent="0.25">
      <c r="N3026" t="s">
        <v>735</v>
      </c>
    </row>
    <row r="3027" spans="14:14" ht="15" customHeight="1" x14ac:dyDescent="0.25">
      <c r="N3027" t="s">
        <v>735</v>
      </c>
    </row>
    <row r="3028" spans="14:14" ht="15" customHeight="1" x14ac:dyDescent="0.25">
      <c r="N3028" t="s">
        <v>735</v>
      </c>
    </row>
    <row r="3029" spans="14:14" ht="15" customHeight="1" x14ac:dyDescent="0.25">
      <c r="N3029" t="s">
        <v>735</v>
      </c>
    </row>
    <row r="3030" spans="14:14" ht="15" customHeight="1" x14ac:dyDescent="0.25">
      <c r="N3030" t="s">
        <v>313</v>
      </c>
    </row>
    <row r="3031" spans="14:14" ht="15" customHeight="1" x14ac:dyDescent="0.25">
      <c r="N3031" t="s">
        <v>680</v>
      </c>
    </row>
    <row r="3032" spans="14:14" ht="15" customHeight="1" x14ac:dyDescent="0.25">
      <c r="N3032" t="s">
        <v>732</v>
      </c>
    </row>
    <row r="3033" spans="14:14" ht="15" customHeight="1" x14ac:dyDescent="0.25">
      <c r="N3033" t="s">
        <v>313</v>
      </c>
    </row>
    <row r="3034" spans="14:14" ht="15" customHeight="1" x14ac:dyDescent="0.25">
      <c r="N3034" t="s">
        <v>68</v>
      </c>
    </row>
    <row r="3035" spans="14:14" ht="15" customHeight="1" x14ac:dyDescent="0.25">
      <c r="N3035" t="s">
        <v>675</v>
      </c>
    </row>
    <row r="3036" spans="14:14" ht="15" customHeight="1" x14ac:dyDescent="0.25">
      <c r="N3036" t="s">
        <v>539</v>
      </c>
    </row>
    <row r="3037" spans="14:14" ht="15" customHeight="1" x14ac:dyDescent="0.25">
      <c r="N3037" t="s">
        <v>68</v>
      </c>
    </row>
    <row r="3038" spans="14:14" ht="15" customHeight="1" x14ac:dyDescent="0.25">
      <c r="N3038" t="s">
        <v>732</v>
      </c>
    </row>
    <row r="3039" spans="14:14" ht="15" customHeight="1" x14ac:dyDescent="0.25">
      <c r="N3039" t="s">
        <v>684</v>
      </c>
    </row>
    <row r="3040" spans="14:14" ht="15" customHeight="1" x14ac:dyDescent="0.25">
      <c r="N3040" t="s">
        <v>68</v>
      </c>
    </row>
    <row r="3041" spans="14:14" ht="15" customHeight="1" x14ac:dyDescent="0.25">
      <c r="N3041" t="s">
        <v>553</v>
      </c>
    </row>
    <row r="3042" spans="14:14" ht="15" customHeight="1" x14ac:dyDescent="0.25">
      <c r="N3042" t="s">
        <v>68</v>
      </c>
    </row>
    <row r="3043" spans="14:14" ht="15" customHeight="1" x14ac:dyDescent="0.25">
      <c r="N3043" t="s">
        <v>582</v>
      </c>
    </row>
    <row r="3044" spans="14:14" ht="15" customHeight="1" x14ac:dyDescent="0.25">
      <c r="N3044" t="s">
        <v>713</v>
      </c>
    </row>
    <row r="3045" spans="14:14" ht="15" customHeight="1" x14ac:dyDescent="0.25">
      <c r="N3045" t="s">
        <v>732</v>
      </c>
    </row>
    <row r="3046" spans="14:14" ht="15" customHeight="1" x14ac:dyDescent="0.25">
      <c r="N3046" t="s">
        <v>603</v>
      </c>
    </row>
    <row r="3047" spans="14:14" ht="15" customHeight="1" x14ac:dyDescent="0.25">
      <c r="N3047" t="s">
        <v>654</v>
      </c>
    </row>
    <row r="3048" spans="14:14" ht="15" customHeight="1" x14ac:dyDescent="0.25">
      <c r="N3048" t="s">
        <v>685</v>
      </c>
    </row>
    <row r="3049" spans="14:14" ht="15" customHeight="1" x14ac:dyDescent="0.25">
      <c r="N3049" t="s">
        <v>313</v>
      </c>
    </row>
    <row r="3050" spans="14:14" ht="15" customHeight="1" x14ac:dyDescent="0.25">
      <c r="N3050" t="s">
        <v>685</v>
      </c>
    </row>
    <row r="3051" spans="14:14" ht="15" customHeight="1" x14ac:dyDescent="0.25">
      <c r="N3051" t="s">
        <v>696</v>
      </c>
    </row>
    <row r="3052" spans="14:14" ht="15" customHeight="1" x14ac:dyDescent="0.25">
      <c r="N3052" t="s">
        <v>313</v>
      </c>
    </row>
    <row r="3053" spans="14:14" ht="15" customHeight="1" x14ac:dyDescent="0.25">
      <c r="N3053" t="s">
        <v>675</v>
      </c>
    </row>
    <row r="3054" spans="14:14" ht="15" customHeight="1" x14ac:dyDescent="0.25">
      <c r="N3054" t="s">
        <v>582</v>
      </c>
    </row>
    <row r="3055" spans="14:14" ht="15" customHeight="1" x14ac:dyDescent="0.25">
      <c r="N3055" t="s">
        <v>582</v>
      </c>
    </row>
    <row r="3056" spans="14:14" ht="15" customHeight="1" x14ac:dyDescent="0.25">
      <c r="N3056" t="s">
        <v>713</v>
      </c>
    </row>
    <row r="3057" spans="14:14" ht="15" customHeight="1" x14ac:dyDescent="0.25">
      <c r="N3057" t="s">
        <v>558</v>
      </c>
    </row>
    <row r="3058" spans="14:14" ht="15" customHeight="1" x14ac:dyDescent="0.25">
      <c r="N3058" t="s">
        <v>732</v>
      </c>
    </row>
    <row r="3059" spans="14:14" ht="15" customHeight="1" x14ac:dyDescent="0.25">
      <c r="N3059" t="s">
        <v>670</v>
      </c>
    </row>
    <row r="3060" spans="14:14" ht="15" customHeight="1" x14ac:dyDescent="0.25">
      <c r="N3060" t="s">
        <v>670</v>
      </c>
    </row>
    <row r="3061" spans="14:14" ht="15" customHeight="1" x14ac:dyDescent="0.25">
      <c r="N3061" t="s">
        <v>370</v>
      </c>
    </row>
    <row r="3062" spans="14:14" ht="15" customHeight="1" x14ac:dyDescent="0.25">
      <c r="N3062" t="s">
        <v>714</v>
      </c>
    </row>
    <row r="3063" spans="14:14" ht="15" customHeight="1" x14ac:dyDescent="0.25">
      <c r="N3063" t="s">
        <v>685</v>
      </c>
    </row>
    <row r="3064" spans="14:14" ht="15" customHeight="1" x14ac:dyDescent="0.25">
      <c r="N3064" t="s">
        <v>582</v>
      </c>
    </row>
    <row r="3065" spans="14:14" ht="15" customHeight="1" x14ac:dyDescent="0.25">
      <c r="N3065" t="s">
        <v>686</v>
      </c>
    </row>
    <row r="3066" spans="14:14" ht="15" customHeight="1" x14ac:dyDescent="0.25">
      <c r="N3066" t="s">
        <v>670</v>
      </c>
    </row>
    <row r="3067" spans="14:14" ht="15" customHeight="1" x14ac:dyDescent="0.25">
      <c r="N3067" t="s">
        <v>304</v>
      </c>
    </row>
    <row r="3068" spans="14:14" ht="15" customHeight="1" x14ac:dyDescent="0.25">
      <c r="N3068" t="s">
        <v>669</v>
      </c>
    </row>
    <row r="3069" spans="14:14" ht="15" customHeight="1" x14ac:dyDescent="0.25">
      <c r="N3069" t="s">
        <v>553</v>
      </c>
    </row>
    <row r="3070" spans="14:14" ht="15" customHeight="1" x14ac:dyDescent="0.25">
      <c r="N3070" t="s">
        <v>582</v>
      </c>
    </row>
    <row r="3071" spans="14:14" ht="15" customHeight="1" x14ac:dyDescent="0.25">
      <c r="N3071" t="s">
        <v>715</v>
      </c>
    </row>
    <row r="3072" spans="14:14" ht="15" customHeight="1" x14ac:dyDescent="0.25">
      <c r="N3072" t="s">
        <v>714</v>
      </c>
    </row>
    <row r="3073" spans="14:14" ht="15" customHeight="1" x14ac:dyDescent="0.25">
      <c r="N3073" t="s">
        <v>642</v>
      </c>
    </row>
    <row r="3074" spans="14:14" ht="15" customHeight="1" x14ac:dyDescent="0.25">
      <c r="N3074" t="s">
        <v>690</v>
      </c>
    </row>
    <row r="3075" spans="14:14" ht="15" customHeight="1" x14ac:dyDescent="0.25">
      <c r="N3075" t="s">
        <v>582</v>
      </c>
    </row>
    <row r="3076" spans="14:14" ht="15" customHeight="1" x14ac:dyDescent="0.25">
      <c r="N3076" t="s">
        <v>605</v>
      </c>
    </row>
    <row r="3077" spans="14:14" ht="15" customHeight="1" x14ac:dyDescent="0.25">
      <c r="N3077" t="s">
        <v>732</v>
      </c>
    </row>
    <row r="3078" spans="14:14" ht="15" customHeight="1" x14ac:dyDescent="0.25">
      <c r="N3078" t="s">
        <v>714</v>
      </c>
    </row>
    <row r="3079" spans="14:14" ht="15" customHeight="1" x14ac:dyDescent="0.25">
      <c r="N3079" t="s">
        <v>304</v>
      </c>
    </row>
    <row r="3080" spans="14:14" ht="15" customHeight="1" x14ac:dyDescent="0.25">
      <c r="N3080" t="s">
        <v>642</v>
      </c>
    </row>
    <row r="3081" spans="14:14" ht="15" customHeight="1" x14ac:dyDescent="0.25">
      <c r="N3081" t="s">
        <v>714</v>
      </c>
    </row>
    <row r="3082" spans="14:14" ht="15" customHeight="1" x14ac:dyDescent="0.25">
      <c r="N3082" t="s">
        <v>371</v>
      </c>
    </row>
    <row r="3083" spans="14:14" ht="15" customHeight="1" x14ac:dyDescent="0.25">
      <c r="N3083" t="s">
        <v>425</v>
      </c>
    </row>
    <row r="3084" spans="14:14" ht="15" customHeight="1" x14ac:dyDescent="0.25">
      <c r="N3084" t="s">
        <v>582</v>
      </c>
    </row>
    <row r="3085" spans="14:14" ht="15" customHeight="1" x14ac:dyDescent="0.25">
      <c r="N3085" t="s">
        <v>684</v>
      </c>
    </row>
    <row r="3086" spans="14:14" ht="15" customHeight="1" x14ac:dyDescent="0.25">
      <c r="N3086" t="s">
        <v>685</v>
      </c>
    </row>
    <row r="3087" spans="14:14" ht="15" customHeight="1" x14ac:dyDescent="0.25">
      <c r="N3087" t="s">
        <v>313</v>
      </c>
    </row>
    <row r="3088" spans="14:14" ht="15" customHeight="1" x14ac:dyDescent="0.25">
      <c r="N3088" t="s">
        <v>714</v>
      </c>
    </row>
    <row r="3089" spans="14:14" ht="15" customHeight="1" x14ac:dyDescent="0.25">
      <c r="N3089" t="s">
        <v>687</v>
      </c>
    </row>
    <row r="3090" spans="14:14" ht="15" customHeight="1" x14ac:dyDescent="0.25">
      <c r="N3090" t="s">
        <v>642</v>
      </c>
    </row>
    <row r="3091" spans="14:14" ht="15" customHeight="1" x14ac:dyDescent="0.25">
      <c r="N3091" t="s">
        <v>638</v>
      </c>
    </row>
    <row r="3092" spans="14:14" ht="15" customHeight="1" x14ac:dyDescent="0.25">
      <c r="N3092" t="s">
        <v>582</v>
      </c>
    </row>
    <row r="3093" spans="14:14" ht="15" customHeight="1" x14ac:dyDescent="0.25">
      <c r="N3093" t="s">
        <v>582</v>
      </c>
    </row>
    <row r="3094" spans="14:14" ht="15" customHeight="1" x14ac:dyDescent="0.25">
      <c r="N3094" t="s">
        <v>714</v>
      </c>
    </row>
    <row r="3095" spans="14:14" ht="15" customHeight="1" x14ac:dyDescent="0.25">
      <c r="N3095" t="s">
        <v>714</v>
      </c>
    </row>
    <row r="3096" spans="14:14" ht="15" customHeight="1" x14ac:dyDescent="0.25">
      <c r="N3096" t="s">
        <v>638</v>
      </c>
    </row>
    <row r="3097" spans="14:14" ht="15" customHeight="1" x14ac:dyDescent="0.25">
      <c r="N3097" t="s">
        <v>638</v>
      </c>
    </row>
    <row r="3098" spans="14:14" ht="15" customHeight="1" x14ac:dyDescent="0.25">
      <c r="N3098" t="s">
        <v>582</v>
      </c>
    </row>
    <row r="3099" spans="14:14" ht="15" customHeight="1" x14ac:dyDescent="0.25">
      <c r="N3099" t="s">
        <v>68</v>
      </c>
    </row>
    <row r="3100" spans="14:14" ht="15" customHeight="1" x14ac:dyDescent="0.25">
      <c r="N3100" t="s">
        <v>675</v>
      </c>
    </row>
    <row r="3101" spans="14:14" ht="15" customHeight="1" x14ac:dyDescent="0.25">
      <c r="N3101" t="s">
        <v>706</v>
      </c>
    </row>
    <row r="3102" spans="14:14" ht="15" customHeight="1" x14ac:dyDescent="0.25">
      <c r="N3102" t="s">
        <v>582</v>
      </c>
    </row>
    <row r="3103" spans="14:14" ht="15" customHeight="1" x14ac:dyDescent="0.25">
      <c r="N3103" t="s">
        <v>68</v>
      </c>
    </row>
    <row r="3104" spans="14:14" ht="15" customHeight="1" x14ac:dyDescent="0.25">
      <c r="N3104" t="s">
        <v>622</v>
      </c>
    </row>
    <row r="3105" spans="14:14" ht="15" customHeight="1" x14ac:dyDescent="0.25">
      <c r="N3105" t="s">
        <v>68</v>
      </c>
    </row>
    <row r="3106" spans="14:14" ht="15" customHeight="1" x14ac:dyDescent="0.25">
      <c r="N3106" t="s">
        <v>736</v>
      </c>
    </row>
    <row r="3107" spans="14:14" ht="15" customHeight="1" x14ac:dyDescent="0.25">
      <c r="N3107" t="s">
        <v>68</v>
      </c>
    </row>
    <row r="3108" spans="14:14" ht="15" customHeight="1" x14ac:dyDescent="0.25">
      <c r="N3108" t="s">
        <v>689</v>
      </c>
    </row>
    <row r="3109" spans="14:14" ht="15" customHeight="1" x14ac:dyDescent="0.25">
      <c r="N3109" t="s">
        <v>706</v>
      </c>
    </row>
    <row r="3110" spans="14:14" ht="15" customHeight="1" x14ac:dyDescent="0.25">
      <c r="N3110" t="s">
        <v>582</v>
      </c>
    </row>
    <row r="3111" spans="14:14" ht="15" customHeight="1" x14ac:dyDescent="0.25">
      <c r="N3111" t="s">
        <v>68</v>
      </c>
    </row>
    <row r="3112" spans="14:14" ht="15" customHeight="1" x14ac:dyDescent="0.25">
      <c r="N3112" t="s">
        <v>732</v>
      </c>
    </row>
    <row r="3113" spans="14:14" ht="15" customHeight="1" x14ac:dyDescent="0.25">
      <c r="N3113" t="s">
        <v>496</v>
      </c>
    </row>
    <row r="3114" spans="14:14" ht="15" customHeight="1" x14ac:dyDescent="0.25">
      <c r="N3114" t="s">
        <v>68</v>
      </c>
    </row>
    <row r="3115" spans="14:14" ht="15" customHeight="1" x14ac:dyDescent="0.25">
      <c r="N3115" t="s">
        <v>68</v>
      </c>
    </row>
    <row r="3116" spans="14:14" ht="15" customHeight="1" x14ac:dyDescent="0.25">
      <c r="N3116" t="s">
        <v>689</v>
      </c>
    </row>
    <row r="3117" spans="14:14" ht="15" customHeight="1" x14ac:dyDescent="0.25">
      <c r="N3117" t="s">
        <v>684</v>
      </c>
    </row>
    <row r="3118" spans="14:14" ht="15" customHeight="1" x14ac:dyDescent="0.25">
      <c r="N3118" t="s">
        <v>582</v>
      </c>
    </row>
    <row r="3119" spans="14:14" ht="15" customHeight="1" x14ac:dyDescent="0.25">
      <c r="N3119" t="s">
        <v>68</v>
      </c>
    </row>
    <row r="3120" spans="14:14" ht="15" customHeight="1" x14ac:dyDescent="0.25">
      <c r="N3120" t="s">
        <v>675</v>
      </c>
    </row>
    <row r="3121" spans="14:14" ht="15" customHeight="1" x14ac:dyDescent="0.25">
      <c r="N3121" t="s">
        <v>68</v>
      </c>
    </row>
    <row r="3122" spans="14:14" ht="15" customHeight="1" x14ac:dyDescent="0.25">
      <c r="N3122" t="s">
        <v>706</v>
      </c>
    </row>
    <row r="3123" spans="14:14" ht="15" customHeight="1" x14ac:dyDescent="0.25">
      <c r="N3123" t="s">
        <v>313</v>
      </c>
    </row>
    <row r="3124" spans="14:14" ht="15" customHeight="1" x14ac:dyDescent="0.25">
      <c r="N3124" t="s">
        <v>621</v>
      </c>
    </row>
    <row r="3125" spans="14:14" ht="15" customHeight="1" x14ac:dyDescent="0.25">
      <c r="N3125" t="s">
        <v>68</v>
      </c>
    </row>
    <row r="3126" spans="14:14" ht="15" customHeight="1" x14ac:dyDescent="0.25">
      <c r="N3126" t="s">
        <v>582</v>
      </c>
    </row>
    <row r="3127" spans="14:14" ht="15" customHeight="1" x14ac:dyDescent="0.25">
      <c r="N3127" t="s">
        <v>313</v>
      </c>
    </row>
    <row r="3128" spans="14:14" ht="15" customHeight="1" x14ac:dyDescent="0.25">
      <c r="N3128" t="s">
        <v>677</v>
      </c>
    </row>
    <row r="3129" spans="14:14" ht="15" customHeight="1" x14ac:dyDescent="0.25">
      <c r="N3129" t="s">
        <v>68</v>
      </c>
    </row>
    <row r="3130" spans="14:14" ht="15" customHeight="1" x14ac:dyDescent="0.25">
      <c r="N3130" t="s">
        <v>68</v>
      </c>
    </row>
    <row r="3131" spans="14:14" ht="15" customHeight="1" x14ac:dyDescent="0.25">
      <c r="N3131" t="s">
        <v>677</v>
      </c>
    </row>
    <row r="3132" spans="14:14" ht="15" customHeight="1" x14ac:dyDescent="0.25">
      <c r="N3132" t="s">
        <v>677</v>
      </c>
    </row>
    <row r="3133" spans="14:14" ht="15" customHeight="1" x14ac:dyDescent="0.25">
      <c r="N3133" t="s">
        <v>68</v>
      </c>
    </row>
    <row r="3134" spans="14:14" ht="15" customHeight="1" x14ac:dyDescent="0.25">
      <c r="N3134" t="s">
        <v>68</v>
      </c>
    </row>
    <row r="3135" spans="14:14" ht="15" customHeight="1" x14ac:dyDescent="0.25">
      <c r="N3135" t="s">
        <v>687</v>
      </c>
    </row>
    <row r="3136" spans="14:14" ht="15" customHeight="1" x14ac:dyDescent="0.25">
      <c r="N3136" t="s">
        <v>582</v>
      </c>
    </row>
    <row r="3137" spans="14:14" ht="15" customHeight="1" x14ac:dyDescent="0.25">
      <c r="N3137" t="s">
        <v>687</v>
      </c>
    </row>
    <row r="3138" spans="14:14" ht="15" customHeight="1" x14ac:dyDescent="0.25">
      <c r="N3138" t="s">
        <v>68</v>
      </c>
    </row>
    <row r="3139" spans="14:14" ht="15" customHeight="1" x14ac:dyDescent="0.25">
      <c r="N3139" t="s">
        <v>690</v>
      </c>
    </row>
    <row r="3140" spans="14:14" ht="15" customHeight="1" x14ac:dyDescent="0.25">
      <c r="N3140" t="s">
        <v>715</v>
      </c>
    </row>
    <row r="3141" spans="14:14" ht="15" customHeight="1" x14ac:dyDescent="0.25">
      <c r="N3141" t="s">
        <v>715</v>
      </c>
    </row>
    <row r="3142" spans="14:14" ht="15" customHeight="1" x14ac:dyDescent="0.25">
      <c r="N3142" t="s">
        <v>696</v>
      </c>
    </row>
    <row r="3143" spans="14:14" ht="15" customHeight="1" x14ac:dyDescent="0.25">
      <c r="N3143" t="s">
        <v>666</v>
      </c>
    </row>
    <row r="3144" spans="14:14" ht="15" customHeight="1" x14ac:dyDescent="0.25">
      <c r="N3144" t="s">
        <v>715</v>
      </c>
    </row>
    <row r="3145" spans="14:14" ht="15" customHeight="1" x14ac:dyDescent="0.25">
      <c r="N3145" t="s">
        <v>592</v>
      </c>
    </row>
    <row r="3146" spans="14:14" ht="15" customHeight="1" x14ac:dyDescent="0.25">
      <c r="N3146" t="s">
        <v>592</v>
      </c>
    </row>
    <row r="3147" spans="14:14" ht="15" customHeight="1" x14ac:dyDescent="0.25">
      <c r="N3147" t="s">
        <v>592</v>
      </c>
    </row>
    <row r="3148" spans="14:14" ht="15" customHeight="1" x14ac:dyDescent="0.25">
      <c r="N3148" t="s">
        <v>592</v>
      </c>
    </row>
    <row r="3149" spans="14:14" ht="15" customHeight="1" x14ac:dyDescent="0.25">
      <c r="N3149" t="s">
        <v>592</v>
      </c>
    </row>
    <row r="3150" spans="14:14" ht="15" customHeight="1" x14ac:dyDescent="0.25">
      <c r="N3150" t="s">
        <v>317</v>
      </c>
    </row>
    <row r="3151" spans="14:14" ht="15" customHeight="1" x14ac:dyDescent="0.25">
      <c r="N3151" t="s">
        <v>715</v>
      </c>
    </row>
    <row r="3152" spans="14:14" ht="15" customHeight="1" x14ac:dyDescent="0.25">
      <c r="N3152" t="s">
        <v>715</v>
      </c>
    </row>
    <row r="3153" spans="14:14" ht="15" customHeight="1" x14ac:dyDescent="0.25">
      <c r="N3153" t="s">
        <v>715</v>
      </c>
    </row>
    <row r="3154" spans="14:14" ht="15" customHeight="1" x14ac:dyDescent="0.25">
      <c r="N3154" t="s">
        <v>317</v>
      </c>
    </row>
    <row r="3155" spans="14:14" ht="15" customHeight="1" x14ac:dyDescent="0.25">
      <c r="N3155" t="s">
        <v>313</v>
      </c>
    </row>
    <row r="3156" spans="14:14" ht="15" customHeight="1" x14ac:dyDescent="0.25">
      <c r="N3156" t="s">
        <v>715</v>
      </c>
    </row>
    <row r="3157" spans="14:14" ht="15" customHeight="1" x14ac:dyDescent="0.25">
      <c r="N3157" t="s">
        <v>715</v>
      </c>
    </row>
    <row r="3158" spans="14:14" ht="15" customHeight="1" x14ac:dyDescent="0.25">
      <c r="N3158" t="s">
        <v>715</v>
      </c>
    </row>
    <row r="3159" spans="14:14" ht="15" customHeight="1" x14ac:dyDescent="0.25">
      <c r="N3159" t="s">
        <v>737</v>
      </c>
    </row>
    <row r="3160" spans="14:14" ht="15" customHeight="1" x14ac:dyDescent="0.25">
      <c r="N3160" t="s">
        <v>715</v>
      </c>
    </row>
    <row r="3161" spans="14:14" ht="15" customHeight="1" x14ac:dyDescent="0.25">
      <c r="N3161" t="s">
        <v>715</v>
      </c>
    </row>
    <row r="3162" spans="14:14" ht="15" customHeight="1" x14ac:dyDescent="0.25">
      <c r="N3162" t="s">
        <v>715</v>
      </c>
    </row>
    <row r="3163" spans="14:14" ht="15" customHeight="1" x14ac:dyDescent="0.25">
      <c r="N3163" t="s">
        <v>738</v>
      </c>
    </row>
    <row r="3164" spans="14:14" ht="15" customHeight="1" x14ac:dyDescent="0.25">
      <c r="N3164" t="s">
        <v>715</v>
      </c>
    </row>
    <row r="3165" spans="14:14" ht="15" customHeight="1" x14ac:dyDescent="0.25">
      <c r="N3165" t="s">
        <v>669</v>
      </c>
    </row>
    <row r="3166" spans="14:14" ht="15" customHeight="1" x14ac:dyDescent="0.25">
      <c r="N3166" t="s">
        <v>739</v>
      </c>
    </row>
    <row r="3167" spans="14:14" ht="15" customHeight="1" x14ac:dyDescent="0.25">
      <c r="N3167" t="s">
        <v>611</v>
      </c>
    </row>
    <row r="3168" spans="14:14" ht="15" customHeight="1" x14ac:dyDescent="0.25">
      <c r="N3168" t="s">
        <v>740</v>
      </c>
    </row>
    <row r="3169" spans="14:14" ht="15" customHeight="1" x14ac:dyDescent="0.25">
      <c r="N3169" t="s">
        <v>675</v>
      </c>
    </row>
    <row r="3170" spans="14:14" ht="15" customHeight="1" x14ac:dyDescent="0.25">
      <c r="N3170" t="s">
        <v>741</v>
      </c>
    </row>
    <row r="3171" spans="14:14" ht="15" customHeight="1" x14ac:dyDescent="0.25">
      <c r="N3171" t="s">
        <v>742</v>
      </c>
    </row>
    <row r="3172" spans="14:14" ht="15" customHeight="1" x14ac:dyDescent="0.25">
      <c r="N3172" t="s">
        <v>403</v>
      </c>
    </row>
    <row r="3173" spans="14:14" ht="15" customHeight="1" x14ac:dyDescent="0.25">
      <c r="N3173" t="s">
        <v>582</v>
      </c>
    </row>
    <row r="3174" spans="14:14" ht="15" customHeight="1" x14ac:dyDescent="0.25">
      <c r="N3174" t="s">
        <v>696</v>
      </c>
    </row>
    <row r="3175" spans="14:14" ht="15" customHeight="1" x14ac:dyDescent="0.25">
      <c r="N3175" t="s">
        <v>743</v>
      </c>
    </row>
    <row r="3176" spans="14:14" ht="15" customHeight="1" x14ac:dyDescent="0.25">
      <c r="N3176" t="s">
        <v>714</v>
      </c>
    </row>
    <row r="3177" spans="14:14" ht="15" customHeight="1" x14ac:dyDescent="0.25">
      <c r="N3177" t="s">
        <v>744</v>
      </c>
    </row>
    <row r="3178" spans="14:14" ht="15" customHeight="1" x14ac:dyDescent="0.25">
      <c r="N3178" t="s">
        <v>463</v>
      </c>
    </row>
    <row r="3179" spans="14:14" ht="15" customHeight="1" x14ac:dyDescent="0.25">
      <c r="N3179" t="s">
        <v>696</v>
      </c>
    </row>
    <row r="3180" spans="14:14" ht="15" customHeight="1" x14ac:dyDescent="0.25">
      <c r="N3180" t="s">
        <v>715</v>
      </c>
    </row>
    <row r="3181" spans="14:14" ht="15" customHeight="1" x14ac:dyDescent="0.25">
      <c r="N3181" t="s">
        <v>651</v>
      </c>
    </row>
    <row r="3182" spans="14:14" ht="15" customHeight="1" x14ac:dyDescent="0.25">
      <c r="N3182" t="s">
        <v>732</v>
      </c>
    </row>
    <row r="3183" spans="14:14" ht="15" customHeight="1" x14ac:dyDescent="0.25">
      <c r="N3183" t="s">
        <v>666</v>
      </c>
    </row>
    <row r="3184" spans="14:14" ht="15" customHeight="1" x14ac:dyDescent="0.25">
      <c r="N3184" t="s">
        <v>745</v>
      </c>
    </row>
    <row r="3185" spans="14:14" ht="15" customHeight="1" x14ac:dyDescent="0.25">
      <c r="N3185" t="s">
        <v>582</v>
      </c>
    </row>
    <row r="3186" spans="14:14" ht="15" customHeight="1" x14ac:dyDescent="0.25">
      <c r="N3186" t="s">
        <v>643</v>
      </c>
    </row>
    <row r="3187" spans="14:14" ht="15" customHeight="1" x14ac:dyDescent="0.25">
      <c r="N3187" t="s">
        <v>582</v>
      </c>
    </row>
    <row r="3188" spans="14:14" ht="15" customHeight="1" x14ac:dyDescent="0.25">
      <c r="N3188" t="s">
        <v>582</v>
      </c>
    </row>
    <row r="3189" spans="14:14" ht="15" customHeight="1" x14ac:dyDescent="0.25">
      <c r="N3189" t="s">
        <v>582</v>
      </c>
    </row>
    <row r="3190" spans="14:14" ht="15" customHeight="1" x14ac:dyDescent="0.25">
      <c r="N3190" t="s">
        <v>715</v>
      </c>
    </row>
    <row r="3191" spans="14:14" ht="15" customHeight="1" x14ac:dyDescent="0.25">
      <c r="N3191" t="s">
        <v>713</v>
      </c>
    </row>
    <row r="3192" spans="14:14" ht="15" customHeight="1" x14ac:dyDescent="0.25">
      <c r="N3192" t="s">
        <v>713</v>
      </c>
    </row>
    <row r="3193" spans="14:14" ht="15" customHeight="1" x14ac:dyDescent="0.25">
      <c r="N3193" t="s">
        <v>715</v>
      </c>
    </row>
    <row r="3194" spans="14:14" ht="15" customHeight="1" x14ac:dyDescent="0.25">
      <c r="N3194" t="s">
        <v>713</v>
      </c>
    </row>
    <row r="3195" spans="14:14" ht="15" customHeight="1" x14ac:dyDescent="0.25">
      <c r="N3195" t="s">
        <v>713</v>
      </c>
    </row>
    <row r="3196" spans="14:14" ht="15" customHeight="1" x14ac:dyDescent="0.25">
      <c r="N3196" t="s">
        <v>408</v>
      </c>
    </row>
    <row r="3197" spans="14:14" ht="15" customHeight="1" x14ac:dyDescent="0.25">
      <c r="N3197" t="s">
        <v>713</v>
      </c>
    </row>
    <row r="3198" spans="14:14" ht="15" customHeight="1" x14ac:dyDescent="0.25">
      <c r="N3198" t="s">
        <v>713</v>
      </c>
    </row>
    <row r="3199" spans="14:14" ht="15" customHeight="1" x14ac:dyDescent="0.25">
      <c r="N3199" t="s">
        <v>606</v>
      </c>
    </row>
    <row r="3200" spans="14:14" ht="15" customHeight="1" x14ac:dyDescent="0.25">
      <c r="N3200" t="s">
        <v>458</v>
      </c>
    </row>
    <row r="3201" spans="14:14" ht="15" customHeight="1" x14ac:dyDescent="0.25">
      <c r="N3201" t="s">
        <v>686</v>
      </c>
    </row>
    <row r="3202" spans="14:14" ht="15" customHeight="1" x14ac:dyDescent="0.25">
      <c r="N3202" t="s">
        <v>558</v>
      </c>
    </row>
    <row r="3203" spans="14:14" ht="15" customHeight="1" x14ac:dyDescent="0.25">
      <c r="N3203" t="s">
        <v>713</v>
      </c>
    </row>
    <row r="3204" spans="14:14" ht="15" customHeight="1" x14ac:dyDescent="0.25">
      <c r="N3204" t="s">
        <v>715</v>
      </c>
    </row>
    <row r="3205" spans="14:14" ht="15" customHeight="1" x14ac:dyDescent="0.25">
      <c r="N3205" t="s">
        <v>689</v>
      </c>
    </row>
    <row r="3206" spans="14:14" ht="15" customHeight="1" x14ac:dyDescent="0.25">
      <c r="N3206" t="s">
        <v>689</v>
      </c>
    </row>
    <row r="3207" spans="14:14" ht="15" customHeight="1" x14ac:dyDescent="0.25">
      <c r="N3207" t="s">
        <v>715</v>
      </c>
    </row>
    <row r="3208" spans="14:14" ht="15" customHeight="1" x14ac:dyDescent="0.25">
      <c r="N3208" t="s">
        <v>690</v>
      </c>
    </row>
    <row r="3209" spans="14:14" ht="15" customHeight="1" x14ac:dyDescent="0.25">
      <c r="N3209" t="s">
        <v>746</v>
      </c>
    </row>
    <row r="3210" spans="14:14" ht="15" customHeight="1" x14ac:dyDescent="0.25">
      <c r="N3210" t="s">
        <v>715</v>
      </c>
    </row>
    <row r="3211" spans="14:14" ht="15" customHeight="1" x14ac:dyDescent="0.25">
      <c r="N3211" t="s">
        <v>747</v>
      </c>
    </row>
    <row r="3212" spans="14:14" ht="15" customHeight="1" x14ac:dyDescent="0.25">
      <c r="N3212" t="s">
        <v>747</v>
      </c>
    </row>
    <row r="3213" spans="14:14" ht="15" customHeight="1" x14ac:dyDescent="0.25">
      <c r="N3213" t="s">
        <v>747</v>
      </c>
    </row>
    <row r="3214" spans="14:14" ht="15" customHeight="1" x14ac:dyDescent="0.25">
      <c r="N3214" t="s">
        <v>747</v>
      </c>
    </row>
    <row r="3215" spans="14:14" ht="15" customHeight="1" x14ac:dyDescent="0.25">
      <c r="N3215" t="s">
        <v>747</v>
      </c>
    </row>
    <row r="3216" spans="14:14" ht="15" customHeight="1" x14ac:dyDescent="0.25">
      <c r="N3216" t="s">
        <v>317</v>
      </c>
    </row>
    <row r="3217" spans="14:14" ht="15" customHeight="1" x14ac:dyDescent="0.25">
      <c r="N3217" t="s">
        <v>715</v>
      </c>
    </row>
    <row r="3218" spans="14:14" ht="15" customHeight="1" x14ac:dyDescent="0.25">
      <c r="N3218" t="s">
        <v>715</v>
      </c>
    </row>
    <row r="3219" spans="14:14" ht="15" customHeight="1" x14ac:dyDescent="0.25">
      <c r="N3219" t="s">
        <v>341</v>
      </c>
    </row>
    <row r="3220" spans="14:14" ht="15" customHeight="1" x14ac:dyDescent="0.25">
      <c r="N3220" t="s">
        <v>709</v>
      </c>
    </row>
    <row r="3221" spans="14:14" ht="15" customHeight="1" x14ac:dyDescent="0.25">
      <c r="N3221" t="s">
        <v>715</v>
      </c>
    </row>
    <row r="3222" spans="14:14" ht="15" customHeight="1" x14ac:dyDescent="0.25">
      <c r="N3222" t="s">
        <v>715</v>
      </c>
    </row>
    <row r="3223" spans="14:14" ht="15" customHeight="1" x14ac:dyDescent="0.25">
      <c r="N3223" t="s">
        <v>582</v>
      </c>
    </row>
    <row r="3224" spans="14:14" ht="15" customHeight="1" x14ac:dyDescent="0.25">
      <c r="N3224" t="s">
        <v>698</v>
      </c>
    </row>
    <row r="3225" spans="14:14" ht="15" customHeight="1" x14ac:dyDescent="0.25">
      <c r="N3225" t="s">
        <v>582</v>
      </c>
    </row>
    <row r="3226" spans="14:14" ht="15" customHeight="1" x14ac:dyDescent="0.25">
      <c r="N3226" t="s">
        <v>740</v>
      </c>
    </row>
    <row r="3227" spans="14:14" ht="15" customHeight="1" x14ac:dyDescent="0.25">
      <c r="N3227" t="s">
        <v>655</v>
      </c>
    </row>
    <row r="3228" spans="14:14" ht="15" customHeight="1" x14ac:dyDescent="0.25">
      <c r="N3228" t="s">
        <v>748</v>
      </c>
    </row>
    <row r="3229" spans="14:14" ht="15" customHeight="1" x14ac:dyDescent="0.25">
      <c r="N3229" t="s">
        <v>582</v>
      </c>
    </row>
    <row r="3230" spans="14:14" ht="15" customHeight="1" x14ac:dyDescent="0.25">
      <c r="N3230" t="s">
        <v>735</v>
      </c>
    </row>
    <row r="3231" spans="14:14" ht="15" customHeight="1" x14ac:dyDescent="0.25">
      <c r="N3231" t="s">
        <v>582</v>
      </c>
    </row>
    <row r="3232" spans="14:14" ht="15" customHeight="1" x14ac:dyDescent="0.25">
      <c r="N3232" t="s">
        <v>435</v>
      </c>
    </row>
    <row r="3233" spans="14:14" ht="15" customHeight="1" x14ac:dyDescent="0.25">
      <c r="N3233" t="s">
        <v>715</v>
      </c>
    </row>
    <row r="3234" spans="14:14" ht="15" customHeight="1" x14ac:dyDescent="0.25">
      <c r="N3234" t="s">
        <v>715</v>
      </c>
    </row>
    <row r="3235" spans="14:14" ht="15" customHeight="1" x14ac:dyDescent="0.25">
      <c r="N3235" t="s">
        <v>651</v>
      </c>
    </row>
    <row r="3236" spans="14:14" ht="15" customHeight="1" x14ac:dyDescent="0.25">
      <c r="N3236" t="s">
        <v>715</v>
      </c>
    </row>
    <row r="3237" spans="14:14" ht="15" customHeight="1" x14ac:dyDescent="0.25">
      <c r="N3237" t="s">
        <v>621</v>
      </c>
    </row>
    <row r="3238" spans="14:14" ht="15" customHeight="1" x14ac:dyDescent="0.25">
      <c r="N3238" t="s">
        <v>582</v>
      </c>
    </row>
    <row r="3239" spans="14:14" ht="15" customHeight="1" x14ac:dyDescent="0.25">
      <c r="N3239" t="s">
        <v>643</v>
      </c>
    </row>
    <row r="3240" spans="14:14" ht="15" customHeight="1" x14ac:dyDescent="0.25">
      <c r="N3240" t="s">
        <v>607</v>
      </c>
    </row>
    <row r="3241" spans="14:14" ht="15" customHeight="1" x14ac:dyDescent="0.25">
      <c r="N3241" t="s">
        <v>715</v>
      </c>
    </row>
    <row r="3242" spans="14:14" ht="15" customHeight="1" x14ac:dyDescent="0.25">
      <c r="N3242" t="s">
        <v>713</v>
      </c>
    </row>
    <row r="3243" spans="14:14" ht="15" customHeight="1" x14ac:dyDescent="0.25">
      <c r="N3243" t="s">
        <v>715</v>
      </c>
    </row>
    <row r="3244" spans="14:14" ht="15" customHeight="1" x14ac:dyDescent="0.25">
      <c r="N3244" t="s">
        <v>606</v>
      </c>
    </row>
    <row r="3245" spans="14:14" ht="15" customHeight="1" x14ac:dyDescent="0.25">
      <c r="N3245" t="s">
        <v>408</v>
      </c>
    </row>
    <row r="3246" spans="14:14" ht="15" customHeight="1" x14ac:dyDescent="0.25">
      <c r="N3246" t="s">
        <v>713</v>
      </c>
    </row>
    <row r="3247" spans="14:14" ht="15" customHeight="1" x14ac:dyDescent="0.25">
      <c r="N3247" t="s">
        <v>713</v>
      </c>
    </row>
    <row r="3248" spans="14:14" ht="15" customHeight="1" x14ac:dyDescent="0.25">
      <c r="N3248" t="s">
        <v>713</v>
      </c>
    </row>
    <row r="3249" spans="14:14" ht="15" customHeight="1" x14ac:dyDescent="0.25">
      <c r="N3249" t="s">
        <v>713</v>
      </c>
    </row>
    <row r="3250" spans="14:14" ht="15" customHeight="1" x14ac:dyDescent="0.25">
      <c r="N3250" t="s">
        <v>686</v>
      </c>
    </row>
    <row r="3251" spans="14:14" ht="15" customHeight="1" x14ac:dyDescent="0.25">
      <c r="N3251" t="s">
        <v>558</v>
      </c>
    </row>
    <row r="3252" spans="14:14" ht="15" customHeight="1" x14ac:dyDescent="0.25">
      <c r="N3252" t="s">
        <v>713</v>
      </c>
    </row>
    <row r="3253" spans="14:14" ht="15" customHeight="1" x14ac:dyDescent="0.25">
      <c r="N3253" t="s">
        <v>715</v>
      </c>
    </row>
    <row r="3254" spans="14:14" ht="15" customHeight="1" x14ac:dyDescent="0.25">
      <c r="N3254" t="s">
        <v>555</v>
      </c>
    </row>
    <row r="3255" spans="14:14" ht="15" customHeight="1" x14ac:dyDescent="0.25">
      <c r="N3255" t="s">
        <v>524</v>
      </c>
    </row>
    <row r="3256" spans="14:14" ht="15" customHeight="1" x14ac:dyDescent="0.25">
      <c r="N3256" t="s">
        <v>715</v>
      </c>
    </row>
    <row r="3257" spans="14:14" ht="15" customHeight="1" x14ac:dyDescent="0.25">
      <c r="N3257" t="s">
        <v>689</v>
      </c>
    </row>
    <row r="3258" spans="14:14" ht="15" customHeight="1" x14ac:dyDescent="0.25">
      <c r="N3258" t="s">
        <v>689</v>
      </c>
    </row>
    <row r="3259" spans="14:14" ht="15" customHeight="1" x14ac:dyDescent="0.25">
      <c r="N3259" t="s">
        <v>715</v>
      </c>
    </row>
    <row r="3260" spans="14:14" ht="15" customHeight="1" x14ac:dyDescent="0.25">
      <c r="N3260" t="s">
        <v>689</v>
      </c>
    </row>
    <row r="3261" spans="14:14" ht="15" customHeight="1" x14ac:dyDescent="0.25">
      <c r="N3261" t="s">
        <v>690</v>
      </c>
    </row>
    <row r="3262" spans="14:14" ht="15" customHeight="1" x14ac:dyDescent="0.25">
      <c r="N3262" t="s">
        <v>582</v>
      </c>
    </row>
    <row r="3263" spans="14:14" ht="15" customHeight="1" x14ac:dyDescent="0.25">
      <c r="N3263" t="s">
        <v>317</v>
      </c>
    </row>
    <row r="3264" spans="14:14" ht="15" customHeight="1" x14ac:dyDescent="0.25">
      <c r="N3264" t="s">
        <v>715</v>
      </c>
    </row>
    <row r="3265" spans="14:14" ht="15" customHeight="1" x14ac:dyDescent="0.25">
      <c r="N3265" t="s">
        <v>342</v>
      </c>
    </row>
    <row r="3266" spans="14:14" ht="15" customHeight="1" x14ac:dyDescent="0.25">
      <c r="N3266" t="s">
        <v>582</v>
      </c>
    </row>
    <row r="3267" spans="14:14" ht="15" customHeight="1" x14ac:dyDescent="0.25">
      <c r="N3267" t="s">
        <v>698</v>
      </c>
    </row>
    <row r="3268" spans="14:14" ht="15" customHeight="1" x14ac:dyDescent="0.25">
      <c r="N3268" t="s">
        <v>582</v>
      </c>
    </row>
    <row r="3269" spans="14:14" ht="15" customHeight="1" x14ac:dyDescent="0.25">
      <c r="N3269" t="s">
        <v>655</v>
      </c>
    </row>
    <row r="3270" spans="14:14" ht="15" customHeight="1" x14ac:dyDescent="0.25">
      <c r="N3270" t="s">
        <v>320</v>
      </c>
    </row>
    <row r="3271" spans="14:14" ht="15" customHeight="1" x14ac:dyDescent="0.25">
      <c r="N3271" t="s">
        <v>651</v>
      </c>
    </row>
    <row r="3272" spans="14:14" ht="15" customHeight="1" x14ac:dyDescent="0.25">
      <c r="N3272" t="s">
        <v>510</v>
      </c>
    </row>
    <row r="3273" spans="14:14" ht="15" customHeight="1" x14ac:dyDescent="0.25">
      <c r="N3273" t="s">
        <v>593</v>
      </c>
    </row>
    <row r="3274" spans="14:14" ht="15" customHeight="1" x14ac:dyDescent="0.25">
      <c r="N3274" t="s">
        <v>715</v>
      </c>
    </row>
    <row r="3275" spans="14:14" ht="15" customHeight="1" x14ac:dyDescent="0.25">
      <c r="N3275" t="s">
        <v>713</v>
      </c>
    </row>
    <row r="3276" spans="14:14" ht="15" customHeight="1" x14ac:dyDescent="0.25">
      <c r="N3276" t="s">
        <v>715</v>
      </c>
    </row>
    <row r="3277" spans="14:14" ht="15" customHeight="1" x14ac:dyDescent="0.25">
      <c r="N3277" t="s">
        <v>606</v>
      </c>
    </row>
    <row r="3278" spans="14:14" ht="15" customHeight="1" x14ac:dyDescent="0.25">
      <c r="N3278" t="s">
        <v>713</v>
      </c>
    </row>
    <row r="3279" spans="14:14" ht="15" customHeight="1" x14ac:dyDescent="0.25">
      <c r="N3279" t="s">
        <v>713</v>
      </c>
    </row>
    <row r="3280" spans="14:14" ht="15" customHeight="1" x14ac:dyDescent="0.25">
      <c r="N3280" t="s">
        <v>686</v>
      </c>
    </row>
    <row r="3281" spans="14:14" ht="15" customHeight="1" x14ac:dyDescent="0.25">
      <c r="N3281" t="s">
        <v>412</v>
      </c>
    </row>
    <row r="3282" spans="14:14" ht="15" customHeight="1" x14ac:dyDescent="0.25">
      <c r="N3282" t="s">
        <v>603</v>
      </c>
    </row>
    <row r="3283" spans="14:14" ht="15" customHeight="1" x14ac:dyDescent="0.25">
      <c r="N3283" t="s">
        <v>715</v>
      </c>
    </row>
    <row r="3284" spans="14:14" ht="15" customHeight="1" x14ac:dyDescent="0.25">
      <c r="N3284" t="s">
        <v>715</v>
      </c>
    </row>
    <row r="3285" spans="14:14" ht="15" customHeight="1" x14ac:dyDescent="0.25">
      <c r="N3285" t="s">
        <v>733</v>
      </c>
    </row>
    <row r="3286" spans="14:14" ht="15" customHeight="1" x14ac:dyDescent="0.25">
      <c r="N3286" t="s">
        <v>592</v>
      </c>
    </row>
    <row r="3287" spans="14:14" ht="15" customHeight="1" x14ac:dyDescent="0.25">
      <c r="N3287" t="s">
        <v>715</v>
      </c>
    </row>
    <row r="3288" spans="14:14" ht="15" customHeight="1" x14ac:dyDescent="0.25">
      <c r="N3288" t="s">
        <v>698</v>
      </c>
    </row>
    <row r="3289" spans="14:14" ht="15" customHeight="1" x14ac:dyDescent="0.25">
      <c r="N3289" t="s">
        <v>403</v>
      </c>
    </row>
    <row r="3290" spans="14:14" ht="15" customHeight="1" x14ac:dyDescent="0.25">
      <c r="N3290" t="s">
        <v>715</v>
      </c>
    </row>
    <row r="3291" spans="14:14" ht="15" customHeight="1" x14ac:dyDescent="0.25">
      <c r="N3291" t="s">
        <v>651</v>
      </c>
    </row>
    <row r="3292" spans="14:14" ht="15" customHeight="1" x14ac:dyDescent="0.25">
      <c r="N3292" t="s">
        <v>582</v>
      </c>
    </row>
    <row r="3293" spans="14:14" ht="15" customHeight="1" x14ac:dyDescent="0.25">
      <c r="N3293" t="s">
        <v>715</v>
      </c>
    </row>
    <row r="3294" spans="14:14" ht="15" customHeight="1" x14ac:dyDescent="0.25">
      <c r="N3294" t="s">
        <v>713</v>
      </c>
    </row>
    <row r="3295" spans="14:14" ht="15" customHeight="1" x14ac:dyDescent="0.25">
      <c r="N3295" t="s">
        <v>411</v>
      </c>
    </row>
    <row r="3296" spans="14:14" ht="15" customHeight="1" x14ac:dyDescent="0.25">
      <c r="N3296" t="s">
        <v>376</v>
      </c>
    </row>
    <row r="3297" spans="14:14" ht="15" customHeight="1" x14ac:dyDescent="0.25">
      <c r="N3297" t="s">
        <v>687</v>
      </c>
    </row>
    <row r="3298" spans="14:14" ht="15" customHeight="1" x14ac:dyDescent="0.25">
      <c r="N3298" t="s">
        <v>689</v>
      </c>
    </row>
    <row r="3299" spans="14:14" ht="15" customHeight="1" x14ac:dyDescent="0.25">
      <c r="N3299" t="s">
        <v>406</v>
      </c>
    </row>
    <row r="3300" spans="14:14" ht="15" customHeight="1" x14ac:dyDescent="0.25">
      <c r="N3300" t="s">
        <v>663</v>
      </c>
    </row>
    <row r="3301" spans="14:14" ht="15" customHeight="1" x14ac:dyDescent="0.25">
      <c r="N3301" t="s">
        <v>655</v>
      </c>
    </row>
    <row r="3302" spans="14:14" ht="15" customHeight="1" x14ac:dyDescent="0.25">
      <c r="N3302" t="s">
        <v>634</v>
      </c>
    </row>
    <row r="3303" spans="14:14" ht="15" customHeight="1" x14ac:dyDescent="0.25">
      <c r="N3303" t="s">
        <v>611</v>
      </c>
    </row>
    <row r="3304" spans="14:14" ht="15" customHeight="1" x14ac:dyDescent="0.25">
      <c r="N3304" t="s">
        <v>643</v>
      </c>
    </row>
    <row r="3305" spans="14:14" ht="15" customHeight="1" x14ac:dyDescent="0.25">
      <c r="N3305" t="s">
        <v>686</v>
      </c>
    </row>
    <row r="3306" spans="14:14" ht="15" customHeight="1" x14ac:dyDescent="0.25">
      <c r="N3306" t="s">
        <v>405</v>
      </c>
    </row>
    <row r="3307" spans="14:14" ht="15" customHeight="1" x14ac:dyDescent="0.25">
      <c r="N3307" t="s">
        <v>687</v>
      </c>
    </row>
    <row r="3308" spans="14:14" ht="15" customHeight="1" x14ac:dyDescent="0.25">
      <c r="N3308" t="s">
        <v>715</v>
      </c>
    </row>
    <row r="3309" spans="14:14" ht="15" customHeight="1" x14ac:dyDescent="0.25">
      <c r="N3309" t="s">
        <v>690</v>
      </c>
    </row>
    <row r="3310" spans="14:14" ht="15" customHeight="1" x14ac:dyDescent="0.25">
      <c r="N3310" t="s">
        <v>732</v>
      </c>
    </row>
    <row r="3311" spans="14:14" ht="15" customHeight="1" x14ac:dyDescent="0.25">
      <c r="N3311" t="s">
        <v>313</v>
      </c>
    </row>
    <row r="3312" spans="14:14" ht="15" customHeight="1" x14ac:dyDescent="0.25">
      <c r="N3312" t="s">
        <v>683</v>
      </c>
    </row>
    <row r="3313" spans="14:14" ht="15" customHeight="1" x14ac:dyDescent="0.25">
      <c r="N3313" t="s">
        <v>655</v>
      </c>
    </row>
    <row r="3314" spans="14:14" ht="15" customHeight="1" x14ac:dyDescent="0.25">
      <c r="N3314" t="s">
        <v>435</v>
      </c>
    </row>
    <row r="3315" spans="14:14" ht="15" customHeight="1" x14ac:dyDescent="0.25">
      <c r="N3315" t="s">
        <v>646</v>
      </c>
    </row>
    <row r="3316" spans="14:14" ht="15" customHeight="1" x14ac:dyDescent="0.25">
      <c r="N3316" t="s">
        <v>294</v>
      </c>
    </row>
    <row r="3317" spans="14:14" ht="15" customHeight="1" x14ac:dyDescent="0.25">
      <c r="N3317" t="s">
        <v>643</v>
      </c>
    </row>
    <row r="3318" spans="14:14" ht="15" customHeight="1" x14ac:dyDescent="0.25">
      <c r="N3318" t="s">
        <v>686</v>
      </c>
    </row>
    <row r="3319" spans="14:14" ht="15" customHeight="1" x14ac:dyDescent="0.25">
      <c r="N3319" t="s">
        <v>686</v>
      </c>
    </row>
    <row r="3320" spans="14:14" ht="15" customHeight="1" x14ac:dyDescent="0.25">
      <c r="N3320" t="s">
        <v>294</v>
      </c>
    </row>
    <row r="3321" spans="14:14" ht="15" customHeight="1" x14ac:dyDescent="0.25">
      <c r="N3321" t="s">
        <v>313</v>
      </c>
    </row>
    <row r="3322" spans="14:14" ht="15" customHeight="1" x14ac:dyDescent="0.25">
      <c r="N3322" t="s">
        <v>690</v>
      </c>
    </row>
    <row r="3323" spans="14:14" ht="15" customHeight="1" x14ac:dyDescent="0.25">
      <c r="N3323" t="s">
        <v>636</v>
      </c>
    </row>
    <row r="3324" spans="14:14" ht="15" customHeight="1" x14ac:dyDescent="0.25">
      <c r="N3324" t="s">
        <v>582</v>
      </c>
    </row>
    <row r="3325" spans="14:14" ht="15" customHeight="1" x14ac:dyDescent="0.25">
      <c r="N3325" t="s">
        <v>683</v>
      </c>
    </row>
    <row r="3326" spans="14:14" ht="15" customHeight="1" x14ac:dyDescent="0.25">
      <c r="N3326" t="s">
        <v>698</v>
      </c>
    </row>
    <row r="3327" spans="14:14" ht="15" customHeight="1" x14ac:dyDescent="0.25">
      <c r="N3327" t="s">
        <v>646</v>
      </c>
    </row>
    <row r="3328" spans="14:14" ht="15" customHeight="1" x14ac:dyDescent="0.25">
      <c r="N3328" t="s">
        <v>732</v>
      </c>
    </row>
    <row r="3329" spans="14:14" ht="15" customHeight="1" x14ac:dyDescent="0.25">
      <c r="N3329" t="s">
        <v>715</v>
      </c>
    </row>
    <row r="3330" spans="14:14" ht="15" customHeight="1" x14ac:dyDescent="0.25">
      <c r="N3330" t="s">
        <v>582</v>
      </c>
    </row>
    <row r="3331" spans="14:14" ht="15" customHeight="1" x14ac:dyDescent="0.25">
      <c r="N3331" t="s">
        <v>458</v>
      </c>
    </row>
    <row r="3332" spans="14:14" ht="15" customHeight="1" x14ac:dyDescent="0.25">
      <c r="N3332" t="s">
        <v>555</v>
      </c>
    </row>
    <row r="3333" spans="14:14" ht="15" customHeight="1" x14ac:dyDescent="0.25">
      <c r="N3333" t="s">
        <v>294</v>
      </c>
    </row>
    <row r="3334" spans="14:14" ht="15" customHeight="1" x14ac:dyDescent="0.25">
      <c r="N3334" t="s">
        <v>732</v>
      </c>
    </row>
    <row r="3335" spans="14:14" ht="15" customHeight="1" x14ac:dyDescent="0.25">
      <c r="N3335" t="s">
        <v>605</v>
      </c>
    </row>
    <row r="3336" spans="14:14" ht="15" customHeight="1" x14ac:dyDescent="0.25">
      <c r="N3336" t="s">
        <v>698</v>
      </c>
    </row>
    <row r="3337" spans="14:14" ht="15" customHeight="1" x14ac:dyDescent="0.25">
      <c r="N3337" t="s">
        <v>448</v>
      </c>
    </row>
    <row r="3338" spans="14:14" ht="15" customHeight="1" x14ac:dyDescent="0.25">
      <c r="N3338" t="s">
        <v>715</v>
      </c>
    </row>
    <row r="3339" spans="14:14" ht="15" customHeight="1" x14ac:dyDescent="0.25">
      <c r="N3339" t="s">
        <v>636</v>
      </c>
    </row>
    <row r="3340" spans="14:14" ht="15" customHeight="1" x14ac:dyDescent="0.25">
      <c r="N3340" t="s">
        <v>683</v>
      </c>
    </row>
    <row r="3341" spans="14:14" ht="15" customHeight="1" x14ac:dyDescent="0.25">
      <c r="N3341" t="s">
        <v>698</v>
      </c>
    </row>
    <row r="3342" spans="14:14" ht="15" customHeight="1" x14ac:dyDescent="0.25">
      <c r="N3342" t="s">
        <v>350</v>
      </c>
    </row>
    <row r="3343" spans="14:14" ht="15" customHeight="1" x14ac:dyDescent="0.25">
      <c r="N3343" t="s">
        <v>715</v>
      </c>
    </row>
    <row r="3344" spans="14:14" ht="15" customHeight="1" x14ac:dyDescent="0.25">
      <c r="N3344" t="s">
        <v>690</v>
      </c>
    </row>
    <row r="3345" spans="14:14" ht="15" customHeight="1" x14ac:dyDescent="0.25">
      <c r="N3345" t="s">
        <v>732</v>
      </c>
    </row>
    <row r="3346" spans="14:14" ht="15" customHeight="1" x14ac:dyDescent="0.25">
      <c r="N3346" t="s">
        <v>663</v>
      </c>
    </row>
    <row r="3347" spans="14:14" ht="15" customHeight="1" x14ac:dyDescent="0.25">
      <c r="N3347" t="s">
        <v>683</v>
      </c>
    </row>
    <row r="3348" spans="14:14" ht="15" customHeight="1" x14ac:dyDescent="0.25">
      <c r="N3348" t="s">
        <v>698</v>
      </c>
    </row>
    <row r="3349" spans="14:14" ht="15" customHeight="1" x14ac:dyDescent="0.25">
      <c r="N3349" t="s">
        <v>582</v>
      </c>
    </row>
    <row r="3350" spans="14:14" ht="15" customHeight="1" x14ac:dyDescent="0.25">
      <c r="N3350" t="s">
        <v>698</v>
      </c>
    </row>
    <row r="3351" spans="14:14" ht="15" customHeight="1" x14ac:dyDescent="0.25">
      <c r="N3351" t="s">
        <v>582</v>
      </c>
    </row>
    <row r="3352" spans="14:14" ht="15" customHeight="1" x14ac:dyDescent="0.25">
      <c r="N3352" t="s">
        <v>474</v>
      </c>
    </row>
    <row r="3353" spans="14:14" ht="15" customHeight="1" x14ac:dyDescent="0.25">
      <c r="N3353" t="s">
        <v>313</v>
      </c>
    </row>
    <row r="3354" spans="14:14" ht="15" customHeight="1" x14ac:dyDescent="0.25">
      <c r="N3354" t="s">
        <v>683</v>
      </c>
    </row>
    <row r="3355" spans="14:14" ht="15" customHeight="1" x14ac:dyDescent="0.25">
      <c r="N3355" t="s">
        <v>634</v>
      </c>
    </row>
    <row r="3356" spans="14:14" ht="15" customHeight="1" x14ac:dyDescent="0.25">
      <c r="N3356" t="s">
        <v>499</v>
      </c>
    </row>
    <row r="3357" spans="14:14" ht="15" customHeight="1" x14ac:dyDescent="0.25">
      <c r="N3357" t="s">
        <v>611</v>
      </c>
    </row>
    <row r="3358" spans="14:14" ht="15" customHeight="1" x14ac:dyDescent="0.25">
      <c r="N3358" t="s">
        <v>690</v>
      </c>
    </row>
    <row r="3359" spans="14:14" ht="15" customHeight="1" x14ac:dyDescent="0.25">
      <c r="N3359" t="s">
        <v>313</v>
      </c>
    </row>
    <row r="3360" spans="14:14" ht="15" customHeight="1" x14ac:dyDescent="0.25">
      <c r="N3360" t="s">
        <v>636</v>
      </c>
    </row>
    <row r="3361" spans="14:14" ht="15" customHeight="1" x14ac:dyDescent="0.25">
      <c r="N3361" t="s">
        <v>683</v>
      </c>
    </row>
    <row r="3362" spans="14:14" ht="15" customHeight="1" x14ac:dyDescent="0.25">
      <c r="N3362" t="s">
        <v>347</v>
      </c>
    </row>
    <row r="3363" spans="14:14" ht="15" customHeight="1" x14ac:dyDescent="0.25">
      <c r="N3363" t="s">
        <v>663</v>
      </c>
    </row>
    <row r="3364" spans="14:14" ht="15" customHeight="1" x14ac:dyDescent="0.25">
      <c r="N3364" t="s">
        <v>579</v>
      </c>
    </row>
    <row r="3365" spans="14:14" ht="15" customHeight="1" x14ac:dyDescent="0.25">
      <c r="N3365" t="s">
        <v>732</v>
      </c>
    </row>
    <row r="3366" spans="14:14" ht="15" customHeight="1" x14ac:dyDescent="0.25">
      <c r="N3366" t="s">
        <v>313</v>
      </c>
    </row>
    <row r="3367" spans="14:14" ht="15" customHeight="1" x14ac:dyDescent="0.25">
      <c r="N3367" t="s">
        <v>463</v>
      </c>
    </row>
    <row r="3368" spans="14:14" ht="15" customHeight="1" x14ac:dyDescent="0.25">
      <c r="N3368" t="s">
        <v>732</v>
      </c>
    </row>
    <row r="3369" spans="14:14" ht="15" customHeight="1" x14ac:dyDescent="0.25">
      <c r="N3369" t="s">
        <v>313</v>
      </c>
    </row>
    <row r="3370" spans="14:14" ht="15" customHeight="1" x14ac:dyDescent="0.25">
      <c r="N3370" t="s">
        <v>654</v>
      </c>
    </row>
    <row r="3371" spans="14:14" ht="15" customHeight="1" x14ac:dyDescent="0.25">
      <c r="N3371" t="s">
        <v>680</v>
      </c>
    </row>
    <row r="3372" spans="14:14" ht="15" customHeight="1" x14ac:dyDescent="0.25">
      <c r="N3372" t="s">
        <v>313</v>
      </c>
    </row>
    <row r="3373" spans="14:14" ht="15" customHeight="1" x14ac:dyDescent="0.25">
      <c r="N3373" t="s">
        <v>713</v>
      </c>
    </row>
    <row r="3374" spans="14:14" ht="15" customHeight="1" x14ac:dyDescent="0.25">
      <c r="N3374" t="s">
        <v>313</v>
      </c>
    </row>
    <row r="3375" spans="14:14" ht="15" customHeight="1" x14ac:dyDescent="0.25">
      <c r="N3375" t="s">
        <v>663</v>
      </c>
    </row>
    <row r="3376" spans="14:14" ht="15" customHeight="1" x14ac:dyDescent="0.25">
      <c r="N3376" t="s">
        <v>579</v>
      </c>
    </row>
    <row r="3377" spans="14:14" ht="15" customHeight="1" x14ac:dyDescent="0.25">
      <c r="N3377" t="s">
        <v>355</v>
      </c>
    </row>
    <row r="3378" spans="14:14" ht="15" customHeight="1" x14ac:dyDescent="0.25">
      <c r="N3378" t="s">
        <v>313</v>
      </c>
    </row>
    <row r="3379" spans="14:14" ht="15" customHeight="1" x14ac:dyDescent="0.25">
      <c r="N3379" t="s">
        <v>732</v>
      </c>
    </row>
    <row r="3380" spans="14:14" ht="15" customHeight="1" x14ac:dyDescent="0.25">
      <c r="N3380" t="s">
        <v>540</v>
      </c>
    </row>
    <row r="3381" spans="14:14" ht="15" customHeight="1" x14ac:dyDescent="0.25">
      <c r="N3381" t="s">
        <v>732</v>
      </c>
    </row>
    <row r="3382" spans="14:14" ht="15" customHeight="1" x14ac:dyDescent="0.25">
      <c r="N3382" t="s">
        <v>485</v>
      </c>
    </row>
    <row r="3383" spans="14:14" ht="15" customHeight="1" x14ac:dyDescent="0.25">
      <c r="N3383" t="s">
        <v>654</v>
      </c>
    </row>
    <row r="3384" spans="14:14" ht="15" customHeight="1" x14ac:dyDescent="0.25">
      <c r="N3384" t="s">
        <v>363</v>
      </c>
    </row>
    <row r="3385" spans="14:14" ht="15" customHeight="1" x14ac:dyDescent="0.25">
      <c r="N3385" t="s">
        <v>370</v>
      </c>
    </row>
    <row r="3386" spans="14:14" ht="15" customHeight="1" x14ac:dyDescent="0.25">
      <c r="N3386" t="s">
        <v>732</v>
      </c>
    </row>
    <row r="3387" spans="14:14" ht="15" customHeight="1" x14ac:dyDescent="0.25">
      <c r="N3387" t="s">
        <v>732</v>
      </c>
    </row>
    <row r="3388" spans="14:14" ht="15" customHeight="1" x14ac:dyDescent="0.25">
      <c r="N3388" t="s">
        <v>304</v>
      </c>
    </row>
    <row r="3389" spans="14:14" ht="15" customHeight="1" x14ac:dyDescent="0.25">
      <c r="N3389" t="s">
        <v>696</v>
      </c>
    </row>
    <row r="3390" spans="14:14" ht="15" customHeight="1" x14ac:dyDescent="0.25">
      <c r="N3390" t="s">
        <v>313</v>
      </c>
    </row>
    <row r="3391" spans="14:14" ht="15" customHeight="1" x14ac:dyDescent="0.25">
      <c r="N3391" t="s">
        <v>313</v>
      </c>
    </row>
    <row r="3392" spans="14:14" ht="15" customHeight="1" x14ac:dyDescent="0.25">
      <c r="N3392" t="s">
        <v>680</v>
      </c>
    </row>
    <row r="3393" spans="14:14" ht="15" customHeight="1" x14ac:dyDescent="0.25">
      <c r="N3393" t="s">
        <v>582</v>
      </c>
    </row>
    <row r="3394" spans="14:14" ht="15" customHeight="1" x14ac:dyDescent="0.25">
      <c r="N3394" t="s">
        <v>732</v>
      </c>
    </row>
    <row r="3395" spans="14:14" ht="15" customHeight="1" x14ac:dyDescent="0.25">
      <c r="N3395" t="s">
        <v>732</v>
      </c>
    </row>
    <row r="3396" spans="14:14" ht="15" customHeight="1" x14ac:dyDescent="0.25">
      <c r="N3396" t="s">
        <v>313</v>
      </c>
    </row>
    <row r="3397" spans="14:14" ht="15" customHeight="1" x14ac:dyDescent="0.25">
      <c r="N3397" t="s">
        <v>313</v>
      </c>
    </row>
    <row r="3398" spans="14:14" ht="15" customHeight="1" x14ac:dyDescent="0.25">
      <c r="N3398" t="s">
        <v>715</v>
      </c>
    </row>
    <row r="3399" spans="14:14" ht="15" customHeight="1" x14ac:dyDescent="0.25">
      <c r="N3399" t="s">
        <v>698</v>
      </c>
    </row>
    <row r="3400" spans="14:14" ht="15" customHeight="1" x14ac:dyDescent="0.25">
      <c r="N3400" t="s">
        <v>582</v>
      </c>
    </row>
    <row r="3401" spans="14:14" ht="15" customHeight="1" x14ac:dyDescent="0.25">
      <c r="N3401" t="s">
        <v>696</v>
      </c>
    </row>
    <row r="3402" spans="14:14" ht="15" customHeight="1" x14ac:dyDescent="0.25">
      <c r="N3402" t="s">
        <v>582</v>
      </c>
    </row>
    <row r="3403" spans="14:14" ht="15" customHeight="1" x14ac:dyDescent="0.25">
      <c r="N3403" t="s">
        <v>582</v>
      </c>
    </row>
    <row r="3404" spans="14:14" ht="15" customHeight="1" x14ac:dyDescent="0.25">
      <c r="N3404" t="s">
        <v>68</v>
      </c>
    </row>
    <row r="3405" spans="14:14" ht="15" customHeight="1" x14ac:dyDescent="0.25">
      <c r="N3405" t="s">
        <v>685</v>
      </c>
    </row>
    <row r="3406" spans="14:14" ht="15" customHeight="1" x14ac:dyDescent="0.25">
      <c r="N3406" t="s">
        <v>734</v>
      </c>
    </row>
    <row r="3407" spans="14:14" ht="15" customHeight="1" x14ac:dyDescent="0.25">
      <c r="N3407" t="s">
        <v>715</v>
      </c>
    </row>
    <row r="3408" spans="14:14" ht="15" customHeight="1" x14ac:dyDescent="0.25">
      <c r="N3408" t="s">
        <v>732</v>
      </c>
    </row>
    <row r="3409" spans="14:14" ht="15" customHeight="1" x14ac:dyDescent="0.25">
      <c r="N3409" t="s">
        <v>684</v>
      </c>
    </row>
    <row r="3410" spans="14:14" ht="15" customHeight="1" x14ac:dyDescent="0.25">
      <c r="N3410" t="s">
        <v>732</v>
      </c>
    </row>
    <row r="3411" spans="14:14" ht="15" customHeight="1" x14ac:dyDescent="0.25">
      <c r="N3411" t="s">
        <v>582</v>
      </c>
    </row>
    <row r="3412" spans="14:14" ht="15" customHeight="1" x14ac:dyDescent="0.25">
      <c r="N3412" t="s">
        <v>68</v>
      </c>
    </row>
    <row r="3413" spans="14:14" ht="15" customHeight="1" x14ac:dyDescent="0.25">
      <c r="N3413" t="s">
        <v>582</v>
      </c>
    </row>
    <row r="3414" spans="14:14" ht="15" customHeight="1" x14ac:dyDescent="0.25">
      <c r="N3414" t="s">
        <v>68</v>
      </c>
    </row>
    <row r="3415" spans="14:14" ht="15" customHeight="1" x14ac:dyDescent="0.25">
      <c r="N3415" t="s">
        <v>68</v>
      </c>
    </row>
    <row r="3416" spans="14:14" ht="15" customHeight="1" x14ac:dyDescent="0.25">
      <c r="N3416" t="s">
        <v>582</v>
      </c>
    </row>
    <row r="3417" spans="14:14" ht="15" customHeight="1" x14ac:dyDescent="0.25">
      <c r="N3417" t="s">
        <v>713</v>
      </c>
    </row>
    <row r="3418" spans="14:14" ht="15" customHeight="1" x14ac:dyDescent="0.25">
      <c r="N3418" t="s">
        <v>713</v>
      </c>
    </row>
    <row r="3419" spans="14:14" ht="15" customHeight="1" x14ac:dyDescent="0.25">
      <c r="N3419" t="s">
        <v>713</v>
      </c>
    </row>
    <row r="3420" spans="14:14" ht="15" customHeight="1" x14ac:dyDescent="0.25">
      <c r="N3420" t="s">
        <v>685</v>
      </c>
    </row>
    <row r="3421" spans="14:14" ht="15" customHeight="1" x14ac:dyDescent="0.25">
      <c r="N3421" t="s">
        <v>732</v>
      </c>
    </row>
    <row r="3422" spans="14:14" ht="15" customHeight="1" x14ac:dyDescent="0.25">
      <c r="N3422" t="s">
        <v>687</v>
      </c>
    </row>
    <row r="3423" spans="14:14" ht="15" customHeight="1" x14ac:dyDescent="0.25">
      <c r="N3423" t="s">
        <v>313</v>
      </c>
    </row>
    <row r="3424" spans="14:14" ht="15" customHeight="1" x14ac:dyDescent="0.25">
      <c r="N3424" t="s">
        <v>670</v>
      </c>
    </row>
    <row r="3425" spans="14:14" ht="15" customHeight="1" x14ac:dyDescent="0.25">
      <c r="N3425" t="s">
        <v>646</v>
      </c>
    </row>
    <row r="3426" spans="14:14" ht="15" customHeight="1" x14ac:dyDescent="0.25">
      <c r="N3426" t="s">
        <v>304</v>
      </c>
    </row>
    <row r="3427" spans="14:14" ht="15" customHeight="1" x14ac:dyDescent="0.25">
      <c r="N3427" t="s">
        <v>735</v>
      </c>
    </row>
    <row r="3428" spans="14:14" ht="15" customHeight="1" x14ac:dyDescent="0.25">
      <c r="N3428" t="s">
        <v>735</v>
      </c>
    </row>
    <row r="3429" spans="14:14" ht="15" customHeight="1" x14ac:dyDescent="0.25">
      <c r="N3429" t="s">
        <v>735</v>
      </c>
    </row>
    <row r="3430" spans="14:14" ht="15" customHeight="1" x14ac:dyDescent="0.25">
      <c r="N3430" t="s">
        <v>735</v>
      </c>
    </row>
    <row r="3431" spans="14:14" ht="15" customHeight="1" x14ac:dyDescent="0.25">
      <c r="N3431" t="s">
        <v>735</v>
      </c>
    </row>
    <row r="3432" spans="14:14" ht="15" customHeight="1" x14ac:dyDescent="0.25">
      <c r="N3432" t="s">
        <v>313</v>
      </c>
    </row>
    <row r="3433" spans="14:14" ht="15" customHeight="1" x14ac:dyDescent="0.25">
      <c r="N3433" t="s">
        <v>680</v>
      </c>
    </row>
    <row r="3434" spans="14:14" ht="15" customHeight="1" x14ac:dyDescent="0.25">
      <c r="N3434" t="s">
        <v>732</v>
      </c>
    </row>
    <row r="3435" spans="14:14" ht="15" customHeight="1" x14ac:dyDescent="0.25">
      <c r="N3435" t="s">
        <v>313</v>
      </c>
    </row>
    <row r="3436" spans="14:14" ht="15" customHeight="1" x14ac:dyDescent="0.25">
      <c r="N3436" t="s">
        <v>68</v>
      </c>
    </row>
    <row r="3437" spans="14:14" ht="15" customHeight="1" x14ac:dyDescent="0.25">
      <c r="N3437" t="s">
        <v>675</v>
      </c>
    </row>
    <row r="3438" spans="14:14" ht="15" customHeight="1" x14ac:dyDescent="0.25">
      <c r="N3438" t="s">
        <v>539</v>
      </c>
    </row>
    <row r="3439" spans="14:14" ht="15" customHeight="1" x14ac:dyDescent="0.25">
      <c r="N3439" t="s">
        <v>68</v>
      </c>
    </row>
    <row r="3440" spans="14:14" ht="15" customHeight="1" x14ac:dyDescent="0.25">
      <c r="N3440" t="s">
        <v>732</v>
      </c>
    </row>
    <row r="3441" spans="14:14" ht="15" customHeight="1" x14ac:dyDescent="0.25">
      <c r="N3441" t="s">
        <v>684</v>
      </c>
    </row>
    <row r="3442" spans="14:14" ht="15" customHeight="1" x14ac:dyDescent="0.25">
      <c r="N3442" t="s">
        <v>68</v>
      </c>
    </row>
    <row r="3443" spans="14:14" ht="15" customHeight="1" x14ac:dyDescent="0.25">
      <c r="N3443" t="s">
        <v>553</v>
      </c>
    </row>
    <row r="3444" spans="14:14" ht="15" customHeight="1" x14ac:dyDescent="0.25">
      <c r="N3444" t="s">
        <v>68</v>
      </c>
    </row>
    <row r="3445" spans="14:14" ht="15" customHeight="1" x14ac:dyDescent="0.25">
      <c r="N3445" t="s">
        <v>582</v>
      </c>
    </row>
    <row r="3446" spans="14:14" ht="15" customHeight="1" x14ac:dyDescent="0.25">
      <c r="N3446" t="s">
        <v>713</v>
      </c>
    </row>
    <row r="3447" spans="14:14" ht="15" customHeight="1" x14ac:dyDescent="0.25">
      <c r="N3447" t="s">
        <v>732</v>
      </c>
    </row>
    <row r="3448" spans="14:14" ht="15" customHeight="1" x14ac:dyDescent="0.25">
      <c r="N3448" t="s">
        <v>603</v>
      </c>
    </row>
    <row r="3449" spans="14:14" ht="15" customHeight="1" x14ac:dyDescent="0.25">
      <c r="N3449" t="s">
        <v>654</v>
      </c>
    </row>
    <row r="3450" spans="14:14" ht="15" customHeight="1" x14ac:dyDescent="0.25">
      <c r="N3450" t="s">
        <v>685</v>
      </c>
    </row>
    <row r="3451" spans="14:14" ht="15" customHeight="1" x14ac:dyDescent="0.25">
      <c r="N3451" t="s">
        <v>313</v>
      </c>
    </row>
    <row r="3452" spans="14:14" ht="15" customHeight="1" x14ac:dyDescent="0.25">
      <c r="N3452" t="s">
        <v>685</v>
      </c>
    </row>
    <row r="3453" spans="14:14" ht="15" customHeight="1" x14ac:dyDescent="0.25">
      <c r="N3453" t="s">
        <v>696</v>
      </c>
    </row>
    <row r="3454" spans="14:14" ht="15" customHeight="1" x14ac:dyDescent="0.25">
      <c r="N3454" t="s">
        <v>313</v>
      </c>
    </row>
    <row r="3455" spans="14:14" ht="15" customHeight="1" x14ac:dyDescent="0.25">
      <c r="N3455" t="s">
        <v>675</v>
      </c>
    </row>
    <row r="3456" spans="14:14" ht="15" customHeight="1" x14ac:dyDescent="0.25">
      <c r="N3456" t="s">
        <v>582</v>
      </c>
    </row>
    <row r="3457" spans="14:14" ht="15" customHeight="1" x14ac:dyDescent="0.25">
      <c r="N3457" t="s">
        <v>582</v>
      </c>
    </row>
    <row r="3458" spans="14:14" ht="15" customHeight="1" x14ac:dyDescent="0.25">
      <c r="N3458" t="s">
        <v>713</v>
      </c>
    </row>
    <row r="3459" spans="14:14" ht="15" customHeight="1" x14ac:dyDescent="0.25">
      <c r="N3459" t="s">
        <v>558</v>
      </c>
    </row>
    <row r="3460" spans="14:14" ht="15" customHeight="1" x14ac:dyDescent="0.25">
      <c r="N3460" t="s">
        <v>732</v>
      </c>
    </row>
    <row r="3461" spans="14:14" ht="15" customHeight="1" x14ac:dyDescent="0.25">
      <c r="N3461" t="s">
        <v>670</v>
      </c>
    </row>
    <row r="3462" spans="14:14" ht="15" customHeight="1" x14ac:dyDescent="0.25">
      <c r="N3462" t="s">
        <v>670</v>
      </c>
    </row>
    <row r="3463" spans="14:14" ht="15" customHeight="1" x14ac:dyDescent="0.25">
      <c r="N3463" t="s">
        <v>370</v>
      </c>
    </row>
    <row r="3464" spans="14:14" ht="15" customHeight="1" x14ac:dyDescent="0.25">
      <c r="N3464" t="s">
        <v>714</v>
      </c>
    </row>
    <row r="3465" spans="14:14" ht="15" customHeight="1" x14ac:dyDescent="0.25">
      <c r="N3465" t="s">
        <v>685</v>
      </c>
    </row>
    <row r="3466" spans="14:14" ht="15" customHeight="1" x14ac:dyDescent="0.25">
      <c r="N3466" t="s">
        <v>582</v>
      </c>
    </row>
    <row r="3467" spans="14:14" ht="15" customHeight="1" x14ac:dyDescent="0.25">
      <c r="N3467" t="s">
        <v>686</v>
      </c>
    </row>
    <row r="3468" spans="14:14" ht="15" customHeight="1" x14ac:dyDescent="0.25">
      <c r="N3468" t="s">
        <v>670</v>
      </c>
    </row>
    <row r="3469" spans="14:14" ht="15" customHeight="1" x14ac:dyDescent="0.25">
      <c r="N3469" t="s">
        <v>304</v>
      </c>
    </row>
    <row r="3470" spans="14:14" ht="15" customHeight="1" x14ac:dyDescent="0.25">
      <c r="N3470" t="s">
        <v>669</v>
      </c>
    </row>
    <row r="3471" spans="14:14" ht="15" customHeight="1" x14ac:dyDescent="0.25">
      <c r="N3471" t="s">
        <v>553</v>
      </c>
    </row>
    <row r="3472" spans="14:14" ht="15" customHeight="1" x14ac:dyDescent="0.25">
      <c r="N3472" t="s">
        <v>582</v>
      </c>
    </row>
    <row r="3473" spans="14:14" ht="15" customHeight="1" x14ac:dyDescent="0.25">
      <c r="N3473" t="s">
        <v>715</v>
      </c>
    </row>
    <row r="3474" spans="14:14" ht="15" customHeight="1" x14ac:dyDescent="0.25">
      <c r="N3474" t="s">
        <v>714</v>
      </c>
    </row>
    <row r="3475" spans="14:14" ht="15" customHeight="1" x14ac:dyDescent="0.25">
      <c r="N3475" t="s">
        <v>642</v>
      </c>
    </row>
    <row r="3476" spans="14:14" ht="15" customHeight="1" x14ac:dyDescent="0.25">
      <c r="N3476" t="s">
        <v>690</v>
      </c>
    </row>
    <row r="3477" spans="14:14" ht="15" customHeight="1" x14ac:dyDescent="0.25">
      <c r="N3477" t="s">
        <v>582</v>
      </c>
    </row>
    <row r="3478" spans="14:14" ht="15" customHeight="1" x14ac:dyDescent="0.25">
      <c r="N3478" t="s">
        <v>605</v>
      </c>
    </row>
    <row r="3479" spans="14:14" ht="15" customHeight="1" x14ac:dyDescent="0.25">
      <c r="N3479" t="s">
        <v>732</v>
      </c>
    </row>
    <row r="3480" spans="14:14" ht="15" customHeight="1" x14ac:dyDescent="0.25">
      <c r="N3480" t="s">
        <v>714</v>
      </c>
    </row>
    <row r="3481" spans="14:14" ht="15" customHeight="1" x14ac:dyDescent="0.25">
      <c r="N3481" t="s">
        <v>304</v>
      </c>
    </row>
    <row r="3482" spans="14:14" ht="15" customHeight="1" x14ac:dyDescent="0.25">
      <c r="N3482" t="s">
        <v>642</v>
      </c>
    </row>
    <row r="3483" spans="14:14" ht="15" customHeight="1" x14ac:dyDescent="0.25">
      <c r="N3483" t="s">
        <v>714</v>
      </c>
    </row>
    <row r="3484" spans="14:14" ht="15" customHeight="1" x14ac:dyDescent="0.25">
      <c r="N3484" t="s">
        <v>371</v>
      </c>
    </row>
    <row r="3485" spans="14:14" ht="15" customHeight="1" x14ac:dyDescent="0.25">
      <c r="N3485" t="s">
        <v>425</v>
      </c>
    </row>
    <row r="3486" spans="14:14" ht="15" customHeight="1" x14ac:dyDescent="0.25">
      <c r="N3486" t="s">
        <v>582</v>
      </c>
    </row>
    <row r="3487" spans="14:14" ht="15" customHeight="1" x14ac:dyDescent="0.25">
      <c r="N3487" t="s">
        <v>684</v>
      </c>
    </row>
    <row r="3488" spans="14:14" ht="15" customHeight="1" x14ac:dyDescent="0.25">
      <c r="N3488" t="s">
        <v>685</v>
      </c>
    </row>
    <row r="3489" spans="14:14" ht="15" customHeight="1" x14ac:dyDescent="0.25">
      <c r="N3489" t="s">
        <v>313</v>
      </c>
    </row>
    <row r="3490" spans="14:14" ht="15" customHeight="1" x14ac:dyDescent="0.25">
      <c r="N3490" t="s">
        <v>714</v>
      </c>
    </row>
    <row r="3491" spans="14:14" ht="15" customHeight="1" x14ac:dyDescent="0.25">
      <c r="N3491" t="s">
        <v>687</v>
      </c>
    </row>
    <row r="3492" spans="14:14" ht="15" customHeight="1" x14ac:dyDescent="0.25">
      <c r="N3492" t="s">
        <v>642</v>
      </c>
    </row>
    <row r="3493" spans="14:14" ht="15" customHeight="1" x14ac:dyDescent="0.25">
      <c r="N3493" t="s">
        <v>638</v>
      </c>
    </row>
    <row r="3494" spans="14:14" ht="15" customHeight="1" x14ac:dyDescent="0.25">
      <c r="N3494" t="s">
        <v>582</v>
      </c>
    </row>
    <row r="3495" spans="14:14" ht="15" customHeight="1" x14ac:dyDescent="0.25">
      <c r="N3495" t="s">
        <v>582</v>
      </c>
    </row>
    <row r="3496" spans="14:14" ht="15" customHeight="1" x14ac:dyDescent="0.25">
      <c r="N3496" t="s">
        <v>714</v>
      </c>
    </row>
    <row r="3497" spans="14:14" ht="15" customHeight="1" x14ac:dyDescent="0.25">
      <c r="N3497" t="s">
        <v>714</v>
      </c>
    </row>
    <row r="3498" spans="14:14" ht="15" customHeight="1" x14ac:dyDescent="0.25">
      <c r="N3498" t="s">
        <v>638</v>
      </c>
    </row>
    <row r="3499" spans="14:14" ht="15" customHeight="1" x14ac:dyDescent="0.25">
      <c r="N3499" t="s">
        <v>638</v>
      </c>
    </row>
    <row r="3500" spans="14:14" ht="15" customHeight="1" x14ac:dyDescent="0.25">
      <c r="N3500" t="s">
        <v>582</v>
      </c>
    </row>
    <row r="3501" spans="14:14" ht="15" customHeight="1" x14ac:dyDescent="0.25">
      <c r="N3501" t="s">
        <v>68</v>
      </c>
    </row>
    <row r="3502" spans="14:14" ht="15" customHeight="1" x14ac:dyDescent="0.25">
      <c r="N3502" t="s">
        <v>675</v>
      </c>
    </row>
    <row r="3503" spans="14:14" ht="15" customHeight="1" x14ac:dyDescent="0.25">
      <c r="N3503" t="s">
        <v>706</v>
      </c>
    </row>
    <row r="3504" spans="14:14" ht="15" customHeight="1" x14ac:dyDescent="0.25">
      <c r="N3504" t="s">
        <v>582</v>
      </c>
    </row>
    <row r="3505" spans="14:14" ht="15" customHeight="1" x14ac:dyDescent="0.25">
      <c r="N3505" t="s">
        <v>68</v>
      </c>
    </row>
    <row r="3506" spans="14:14" ht="15" customHeight="1" x14ac:dyDescent="0.25">
      <c r="N3506" t="s">
        <v>622</v>
      </c>
    </row>
    <row r="3507" spans="14:14" ht="15" customHeight="1" x14ac:dyDescent="0.25">
      <c r="N3507" t="s">
        <v>68</v>
      </c>
    </row>
    <row r="3508" spans="14:14" ht="15" customHeight="1" x14ac:dyDescent="0.25">
      <c r="N3508" t="s">
        <v>736</v>
      </c>
    </row>
    <row r="3509" spans="14:14" ht="15" customHeight="1" x14ac:dyDescent="0.25">
      <c r="N3509" t="s">
        <v>68</v>
      </c>
    </row>
    <row r="3510" spans="14:14" ht="15" customHeight="1" x14ac:dyDescent="0.25">
      <c r="N3510" t="s">
        <v>689</v>
      </c>
    </row>
    <row r="3511" spans="14:14" ht="15" customHeight="1" x14ac:dyDescent="0.25">
      <c r="N3511" t="s">
        <v>706</v>
      </c>
    </row>
    <row r="3512" spans="14:14" ht="15" customHeight="1" x14ac:dyDescent="0.25">
      <c r="N3512" t="s">
        <v>582</v>
      </c>
    </row>
    <row r="3513" spans="14:14" ht="15" customHeight="1" x14ac:dyDescent="0.25">
      <c r="N3513" t="s">
        <v>68</v>
      </c>
    </row>
    <row r="3514" spans="14:14" ht="15" customHeight="1" x14ac:dyDescent="0.25">
      <c r="N3514" t="s">
        <v>732</v>
      </c>
    </row>
    <row r="3515" spans="14:14" ht="15" customHeight="1" x14ac:dyDescent="0.25">
      <c r="N3515" t="s">
        <v>496</v>
      </c>
    </row>
    <row r="3516" spans="14:14" ht="15" customHeight="1" x14ac:dyDescent="0.25">
      <c r="N3516" t="s">
        <v>68</v>
      </c>
    </row>
    <row r="3517" spans="14:14" ht="15" customHeight="1" x14ac:dyDescent="0.25">
      <c r="N3517" t="s">
        <v>68</v>
      </c>
    </row>
    <row r="3518" spans="14:14" ht="15" customHeight="1" x14ac:dyDescent="0.25">
      <c r="N3518" t="s">
        <v>689</v>
      </c>
    </row>
    <row r="3519" spans="14:14" ht="15" customHeight="1" x14ac:dyDescent="0.25">
      <c r="N3519" t="s">
        <v>684</v>
      </c>
    </row>
    <row r="3520" spans="14:14" ht="15" customHeight="1" x14ac:dyDescent="0.25">
      <c r="N3520" t="s">
        <v>582</v>
      </c>
    </row>
    <row r="3521" spans="14:14" ht="15" customHeight="1" x14ac:dyDescent="0.25">
      <c r="N3521" t="s">
        <v>68</v>
      </c>
    </row>
    <row r="3522" spans="14:14" ht="15" customHeight="1" x14ac:dyDescent="0.25">
      <c r="N3522" t="s">
        <v>675</v>
      </c>
    </row>
    <row r="3523" spans="14:14" ht="15" customHeight="1" x14ac:dyDescent="0.25">
      <c r="N3523" t="s">
        <v>68</v>
      </c>
    </row>
    <row r="3524" spans="14:14" ht="15" customHeight="1" x14ac:dyDescent="0.25">
      <c r="N3524" t="s">
        <v>706</v>
      </c>
    </row>
    <row r="3525" spans="14:14" ht="15" customHeight="1" x14ac:dyDescent="0.25">
      <c r="N3525" t="s">
        <v>313</v>
      </c>
    </row>
    <row r="3526" spans="14:14" ht="15" customHeight="1" x14ac:dyDescent="0.25">
      <c r="N3526" t="s">
        <v>621</v>
      </c>
    </row>
    <row r="3527" spans="14:14" ht="15" customHeight="1" x14ac:dyDescent="0.25">
      <c r="N3527" t="s">
        <v>68</v>
      </c>
    </row>
    <row r="3528" spans="14:14" ht="15" customHeight="1" x14ac:dyDescent="0.25">
      <c r="N3528" t="s">
        <v>582</v>
      </c>
    </row>
    <row r="3529" spans="14:14" ht="15" customHeight="1" x14ac:dyDescent="0.25">
      <c r="N3529" t="s">
        <v>313</v>
      </c>
    </row>
    <row r="3530" spans="14:14" ht="15" customHeight="1" x14ac:dyDescent="0.25">
      <c r="N3530" t="s">
        <v>677</v>
      </c>
    </row>
    <row r="3531" spans="14:14" ht="15" customHeight="1" x14ac:dyDescent="0.25">
      <c r="N3531" t="s">
        <v>68</v>
      </c>
    </row>
    <row r="3532" spans="14:14" ht="15" customHeight="1" x14ac:dyDescent="0.25">
      <c r="N3532" t="s">
        <v>68</v>
      </c>
    </row>
    <row r="3533" spans="14:14" ht="15" customHeight="1" x14ac:dyDescent="0.25">
      <c r="N3533" t="s">
        <v>677</v>
      </c>
    </row>
    <row r="3534" spans="14:14" ht="15" customHeight="1" x14ac:dyDescent="0.25">
      <c r="N3534" t="s">
        <v>677</v>
      </c>
    </row>
    <row r="3535" spans="14:14" ht="15" customHeight="1" x14ac:dyDescent="0.25">
      <c r="N3535" t="s">
        <v>68</v>
      </c>
    </row>
    <row r="3536" spans="14:14" ht="15" customHeight="1" x14ac:dyDescent="0.25">
      <c r="N3536" t="s">
        <v>68</v>
      </c>
    </row>
    <row r="3537" spans="14:14" ht="15" customHeight="1" x14ac:dyDescent="0.25">
      <c r="N3537" t="s">
        <v>687</v>
      </c>
    </row>
    <row r="3538" spans="14:14" ht="15" customHeight="1" x14ac:dyDescent="0.25">
      <c r="N3538" t="s">
        <v>582</v>
      </c>
    </row>
    <row r="3539" spans="14:14" ht="15" customHeight="1" x14ac:dyDescent="0.25">
      <c r="N3539" t="s">
        <v>687</v>
      </c>
    </row>
    <row r="3540" spans="14:14" ht="15" customHeight="1" x14ac:dyDescent="0.25">
      <c r="N3540" t="s">
        <v>68</v>
      </c>
    </row>
    <row r="3541" spans="14:14" ht="15" customHeight="1" x14ac:dyDescent="0.25">
      <c r="N3541" t="s">
        <v>690</v>
      </c>
    </row>
    <row r="3542" spans="14:14" ht="15" customHeight="1" x14ac:dyDescent="0.25">
      <c r="N3542" t="s">
        <v>715</v>
      </c>
    </row>
    <row r="3543" spans="14:14" ht="15" customHeight="1" x14ac:dyDescent="0.25">
      <c r="N3543" t="s">
        <v>715</v>
      </c>
    </row>
    <row r="3544" spans="14:14" ht="15" customHeight="1" x14ac:dyDescent="0.25">
      <c r="N3544" t="s">
        <v>696</v>
      </c>
    </row>
    <row r="3545" spans="14:14" ht="15" customHeight="1" x14ac:dyDescent="0.25">
      <c r="N3545" t="s">
        <v>666</v>
      </c>
    </row>
    <row r="3546" spans="14:14" ht="15" customHeight="1" x14ac:dyDescent="0.25">
      <c r="N3546" t="s">
        <v>715</v>
      </c>
    </row>
    <row r="3547" spans="14:14" ht="15" customHeight="1" x14ac:dyDescent="0.25">
      <c r="N3547" t="s">
        <v>592</v>
      </c>
    </row>
    <row r="3548" spans="14:14" ht="15" customHeight="1" x14ac:dyDescent="0.25">
      <c r="N3548" t="s">
        <v>592</v>
      </c>
    </row>
    <row r="3549" spans="14:14" ht="15" customHeight="1" x14ac:dyDescent="0.25">
      <c r="N3549" t="s">
        <v>592</v>
      </c>
    </row>
    <row r="3550" spans="14:14" ht="15" customHeight="1" x14ac:dyDescent="0.25">
      <c r="N3550" t="s">
        <v>592</v>
      </c>
    </row>
    <row r="3551" spans="14:14" ht="15" customHeight="1" x14ac:dyDescent="0.25">
      <c r="N3551" t="s">
        <v>592</v>
      </c>
    </row>
    <row r="3552" spans="14:14" ht="15" customHeight="1" x14ac:dyDescent="0.25">
      <c r="N3552" t="s">
        <v>317</v>
      </c>
    </row>
    <row r="3553" spans="14:14" ht="15" customHeight="1" x14ac:dyDescent="0.25">
      <c r="N3553" t="s">
        <v>715</v>
      </c>
    </row>
    <row r="3554" spans="14:14" ht="15" customHeight="1" x14ac:dyDescent="0.25">
      <c r="N3554" t="s">
        <v>715</v>
      </c>
    </row>
    <row r="3555" spans="14:14" ht="15" customHeight="1" x14ac:dyDescent="0.25">
      <c r="N3555" t="s">
        <v>715</v>
      </c>
    </row>
    <row r="3556" spans="14:14" ht="15" customHeight="1" x14ac:dyDescent="0.25">
      <c r="N3556" t="s">
        <v>317</v>
      </c>
    </row>
    <row r="3557" spans="14:14" ht="15" customHeight="1" x14ac:dyDescent="0.25">
      <c r="N3557" t="s">
        <v>313</v>
      </c>
    </row>
    <row r="3558" spans="14:14" ht="15" customHeight="1" x14ac:dyDescent="0.25">
      <c r="N3558" t="s">
        <v>715</v>
      </c>
    </row>
    <row r="3559" spans="14:14" ht="15" customHeight="1" x14ac:dyDescent="0.25">
      <c r="N3559" t="s">
        <v>715</v>
      </c>
    </row>
    <row r="3560" spans="14:14" ht="15" customHeight="1" x14ac:dyDescent="0.25">
      <c r="N3560" t="s">
        <v>715</v>
      </c>
    </row>
    <row r="3561" spans="14:14" ht="15" customHeight="1" x14ac:dyDescent="0.25">
      <c r="N3561" t="s">
        <v>737</v>
      </c>
    </row>
    <row r="3562" spans="14:14" ht="15" customHeight="1" x14ac:dyDescent="0.25">
      <c r="N3562" t="s">
        <v>715</v>
      </c>
    </row>
    <row r="3563" spans="14:14" ht="15" customHeight="1" x14ac:dyDescent="0.25">
      <c r="N3563" t="s">
        <v>715</v>
      </c>
    </row>
    <row r="3564" spans="14:14" ht="15" customHeight="1" x14ac:dyDescent="0.25">
      <c r="N3564" t="s">
        <v>715</v>
      </c>
    </row>
    <row r="3565" spans="14:14" ht="15" customHeight="1" x14ac:dyDescent="0.25">
      <c r="N3565" t="s">
        <v>738</v>
      </c>
    </row>
    <row r="3566" spans="14:14" ht="15" customHeight="1" x14ac:dyDescent="0.25">
      <c r="N3566" t="s">
        <v>715</v>
      </c>
    </row>
    <row r="3567" spans="14:14" ht="15" customHeight="1" x14ac:dyDescent="0.25">
      <c r="N3567" t="s">
        <v>669</v>
      </c>
    </row>
    <row r="3568" spans="14:14" ht="15" customHeight="1" x14ac:dyDescent="0.25">
      <c r="N3568" t="s">
        <v>739</v>
      </c>
    </row>
    <row r="3569" spans="14:14" ht="15" customHeight="1" x14ac:dyDescent="0.25">
      <c r="N3569" t="s">
        <v>611</v>
      </c>
    </row>
    <row r="3570" spans="14:14" ht="15" customHeight="1" x14ac:dyDescent="0.25">
      <c r="N3570" t="s">
        <v>740</v>
      </c>
    </row>
    <row r="3571" spans="14:14" ht="15" customHeight="1" x14ac:dyDescent="0.25">
      <c r="N3571" t="s">
        <v>675</v>
      </c>
    </row>
    <row r="3572" spans="14:14" ht="15" customHeight="1" x14ac:dyDescent="0.25">
      <c r="N3572" t="s">
        <v>741</v>
      </c>
    </row>
    <row r="3573" spans="14:14" ht="15" customHeight="1" x14ac:dyDescent="0.25">
      <c r="N3573" t="s">
        <v>742</v>
      </c>
    </row>
    <row r="3574" spans="14:14" ht="15" customHeight="1" x14ac:dyDescent="0.25">
      <c r="N3574" t="s">
        <v>403</v>
      </c>
    </row>
    <row r="3575" spans="14:14" ht="15" customHeight="1" x14ac:dyDescent="0.25">
      <c r="N3575" t="s">
        <v>582</v>
      </c>
    </row>
    <row r="3576" spans="14:14" ht="15" customHeight="1" x14ac:dyDescent="0.25">
      <c r="N3576" t="s">
        <v>696</v>
      </c>
    </row>
    <row r="3577" spans="14:14" ht="15" customHeight="1" x14ac:dyDescent="0.25">
      <c r="N3577" t="s">
        <v>743</v>
      </c>
    </row>
    <row r="3578" spans="14:14" ht="15" customHeight="1" x14ac:dyDescent="0.25">
      <c r="N3578" t="s">
        <v>714</v>
      </c>
    </row>
    <row r="3579" spans="14:14" ht="15" customHeight="1" x14ac:dyDescent="0.25">
      <c r="N3579" t="s">
        <v>744</v>
      </c>
    </row>
    <row r="3580" spans="14:14" ht="15" customHeight="1" x14ac:dyDescent="0.25">
      <c r="N3580" t="s">
        <v>463</v>
      </c>
    </row>
    <row r="3581" spans="14:14" ht="15" customHeight="1" x14ac:dyDescent="0.25">
      <c r="N3581" t="s">
        <v>696</v>
      </c>
    </row>
    <row r="3582" spans="14:14" ht="15" customHeight="1" x14ac:dyDescent="0.25">
      <c r="N3582" t="s">
        <v>715</v>
      </c>
    </row>
    <row r="3583" spans="14:14" ht="15" customHeight="1" x14ac:dyDescent="0.25">
      <c r="N3583" t="s">
        <v>651</v>
      </c>
    </row>
    <row r="3584" spans="14:14" ht="15" customHeight="1" x14ac:dyDescent="0.25">
      <c r="N3584" t="s">
        <v>732</v>
      </c>
    </row>
    <row r="3585" spans="14:14" ht="15" customHeight="1" x14ac:dyDescent="0.25">
      <c r="N3585" t="s">
        <v>666</v>
      </c>
    </row>
    <row r="3586" spans="14:14" ht="15" customHeight="1" x14ac:dyDescent="0.25">
      <c r="N3586" t="s">
        <v>745</v>
      </c>
    </row>
    <row r="3587" spans="14:14" ht="15" customHeight="1" x14ac:dyDescent="0.25">
      <c r="N3587" t="s">
        <v>582</v>
      </c>
    </row>
    <row r="3588" spans="14:14" ht="15" customHeight="1" x14ac:dyDescent="0.25">
      <c r="N3588" t="s">
        <v>643</v>
      </c>
    </row>
    <row r="3589" spans="14:14" ht="15" customHeight="1" x14ac:dyDescent="0.25">
      <c r="N3589" t="s">
        <v>582</v>
      </c>
    </row>
    <row r="3590" spans="14:14" ht="15" customHeight="1" x14ac:dyDescent="0.25">
      <c r="N3590" t="s">
        <v>582</v>
      </c>
    </row>
    <row r="3591" spans="14:14" ht="15" customHeight="1" x14ac:dyDescent="0.25">
      <c r="N3591" t="s">
        <v>582</v>
      </c>
    </row>
    <row r="3592" spans="14:14" ht="15" customHeight="1" x14ac:dyDescent="0.25">
      <c r="N3592" t="s">
        <v>715</v>
      </c>
    </row>
    <row r="3593" spans="14:14" ht="15" customHeight="1" x14ac:dyDescent="0.25">
      <c r="N3593" t="s">
        <v>713</v>
      </c>
    </row>
    <row r="3594" spans="14:14" ht="15" customHeight="1" x14ac:dyDescent="0.25">
      <c r="N3594" t="s">
        <v>713</v>
      </c>
    </row>
    <row r="3595" spans="14:14" ht="15" customHeight="1" x14ac:dyDescent="0.25">
      <c r="N3595" t="s">
        <v>715</v>
      </c>
    </row>
    <row r="3596" spans="14:14" ht="15" customHeight="1" x14ac:dyDescent="0.25">
      <c r="N3596" t="s">
        <v>713</v>
      </c>
    </row>
    <row r="3597" spans="14:14" ht="15" customHeight="1" x14ac:dyDescent="0.25">
      <c r="N3597" t="s">
        <v>713</v>
      </c>
    </row>
    <row r="3598" spans="14:14" ht="15" customHeight="1" x14ac:dyDescent="0.25">
      <c r="N3598" t="s">
        <v>408</v>
      </c>
    </row>
    <row r="3599" spans="14:14" ht="15" customHeight="1" x14ac:dyDescent="0.25">
      <c r="N3599" t="s">
        <v>713</v>
      </c>
    </row>
    <row r="3600" spans="14:14" ht="15" customHeight="1" x14ac:dyDescent="0.25">
      <c r="N3600" t="s">
        <v>713</v>
      </c>
    </row>
    <row r="3601" spans="14:14" ht="15" customHeight="1" x14ac:dyDescent="0.25">
      <c r="N3601" t="s">
        <v>606</v>
      </c>
    </row>
    <row r="3602" spans="14:14" ht="15" customHeight="1" x14ac:dyDescent="0.25">
      <c r="N3602" t="s">
        <v>458</v>
      </c>
    </row>
    <row r="3603" spans="14:14" ht="15" customHeight="1" x14ac:dyDescent="0.25">
      <c r="N3603" t="s">
        <v>686</v>
      </c>
    </row>
    <row r="3604" spans="14:14" ht="15" customHeight="1" x14ac:dyDescent="0.25">
      <c r="N3604" t="s">
        <v>558</v>
      </c>
    </row>
    <row r="3605" spans="14:14" ht="15" customHeight="1" x14ac:dyDescent="0.25">
      <c r="N3605" t="s">
        <v>713</v>
      </c>
    </row>
    <row r="3606" spans="14:14" ht="15" customHeight="1" x14ac:dyDescent="0.25">
      <c r="N3606" t="s">
        <v>715</v>
      </c>
    </row>
    <row r="3607" spans="14:14" ht="15" customHeight="1" x14ac:dyDescent="0.25">
      <c r="N3607" t="s">
        <v>689</v>
      </c>
    </row>
    <row r="3608" spans="14:14" ht="15" customHeight="1" x14ac:dyDescent="0.25">
      <c r="N3608" t="s">
        <v>689</v>
      </c>
    </row>
    <row r="3609" spans="14:14" ht="15" customHeight="1" x14ac:dyDescent="0.25">
      <c r="N3609" t="s">
        <v>715</v>
      </c>
    </row>
    <row r="3610" spans="14:14" ht="15" customHeight="1" x14ac:dyDescent="0.25">
      <c r="N3610" t="s">
        <v>690</v>
      </c>
    </row>
    <row r="3611" spans="14:14" ht="15" customHeight="1" x14ac:dyDescent="0.25">
      <c r="N3611" t="s">
        <v>746</v>
      </c>
    </row>
    <row r="3612" spans="14:14" ht="15" customHeight="1" x14ac:dyDescent="0.25">
      <c r="N3612" t="s">
        <v>715</v>
      </c>
    </row>
    <row r="3613" spans="14:14" ht="15" customHeight="1" x14ac:dyDescent="0.25">
      <c r="N3613" t="s">
        <v>747</v>
      </c>
    </row>
    <row r="3614" spans="14:14" ht="15" customHeight="1" x14ac:dyDescent="0.25">
      <c r="N3614" t="s">
        <v>747</v>
      </c>
    </row>
    <row r="3615" spans="14:14" ht="15" customHeight="1" x14ac:dyDescent="0.25">
      <c r="N3615" t="s">
        <v>747</v>
      </c>
    </row>
    <row r="3616" spans="14:14" ht="15" customHeight="1" x14ac:dyDescent="0.25">
      <c r="N3616" t="s">
        <v>747</v>
      </c>
    </row>
    <row r="3617" spans="14:14" ht="15" customHeight="1" x14ac:dyDescent="0.25">
      <c r="N3617" t="s">
        <v>747</v>
      </c>
    </row>
    <row r="3618" spans="14:14" ht="15" customHeight="1" x14ac:dyDescent="0.25">
      <c r="N3618" t="s">
        <v>317</v>
      </c>
    </row>
    <row r="3619" spans="14:14" ht="15" customHeight="1" x14ac:dyDescent="0.25">
      <c r="N3619" t="s">
        <v>715</v>
      </c>
    </row>
    <row r="3620" spans="14:14" ht="15" customHeight="1" x14ac:dyDescent="0.25">
      <c r="N3620" t="s">
        <v>715</v>
      </c>
    </row>
    <row r="3621" spans="14:14" ht="15" customHeight="1" x14ac:dyDescent="0.25">
      <c r="N3621" t="s">
        <v>341</v>
      </c>
    </row>
    <row r="3622" spans="14:14" ht="15" customHeight="1" x14ac:dyDescent="0.25">
      <c r="N3622" t="s">
        <v>709</v>
      </c>
    </row>
    <row r="3623" spans="14:14" ht="15" customHeight="1" x14ac:dyDescent="0.25">
      <c r="N3623" t="s">
        <v>715</v>
      </c>
    </row>
    <row r="3624" spans="14:14" ht="15" customHeight="1" x14ac:dyDescent="0.25">
      <c r="N3624" t="s">
        <v>715</v>
      </c>
    </row>
    <row r="3625" spans="14:14" ht="15" customHeight="1" x14ac:dyDescent="0.25">
      <c r="N3625" t="s">
        <v>582</v>
      </c>
    </row>
    <row r="3626" spans="14:14" ht="15" customHeight="1" x14ac:dyDescent="0.25">
      <c r="N3626" t="s">
        <v>698</v>
      </c>
    </row>
    <row r="3627" spans="14:14" ht="15" customHeight="1" x14ac:dyDescent="0.25">
      <c r="N3627" t="s">
        <v>582</v>
      </c>
    </row>
    <row r="3628" spans="14:14" ht="15" customHeight="1" x14ac:dyDescent="0.25">
      <c r="N3628" t="s">
        <v>740</v>
      </c>
    </row>
    <row r="3629" spans="14:14" ht="15" customHeight="1" x14ac:dyDescent="0.25">
      <c r="N3629" t="s">
        <v>655</v>
      </c>
    </row>
    <row r="3630" spans="14:14" ht="15" customHeight="1" x14ac:dyDescent="0.25">
      <c r="N3630" t="s">
        <v>748</v>
      </c>
    </row>
    <row r="3631" spans="14:14" ht="15" customHeight="1" x14ac:dyDescent="0.25">
      <c r="N3631" t="s">
        <v>582</v>
      </c>
    </row>
    <row r="3632" spans="14:14" ht="15" customHeight="1" x14ac:dyDescent="0.25">
      <c r="N3632" t="s">
        <v>735</v>
      </c>
    </row>
    <row r="3633" spans="14:14" ht="15" customHeight="1" x14ac:dyDescent="0.25">
      <c r="N3633" t="s">
        <v>582</v>
      </c>
    </row>
    <row r="3634" spans="14:14" ht="15" customHeight="1" x14ac:dyDescent="0.25">
      <c r="N3634" t="s">
        <v>435</v>
      </c>
    </row>
    <row r="3635" spans="14:14" ht="15" customHeight="1" x14ac:dyDescent="0.25">
      <c r="N3635" t="s">
        <v>715</v>
      </c>
    </row>
    <row r="3636" spans="14:14" ht="15" customHeight="1" x14ac:dyDescent="0.25">
      <c r="N3636" t="s">
        <v>715</v>
      </c>
    </row>
    <row r="3637" spans="14:14" ht="15" customHeight="1" x14ac:dyDescent="0.25">
      <c r="N3637" t="s">
        <v>651</v>
      </c>
    </row>
    <row r="3638" spans="14:14" ht="15" customHeight="1" x14ac:dyDescent="0.25">
      <c r="N3638" t="s">
        <v>715</v>
      </c>
    </row>
    <row r="3639" spans="14:14" ht="15" customHeight="1" x14ac:dyDescent="0.25">
      <c r="N3639" t="s">
        <v>621</v>
      </c>
    </row>
    <row r="3640" spans="14:14" ht="15" customHeight="1" x14ac:dyDescent="0.25">
      <c r="N3640" t="s">
        <v>582</v>
      </c>
    </row>
    <row r="3641" spans="14:14" ht="15" customHeight="1" x14ac:dyDescent="0.25">
      <c r="N3641" t="s">
        <v>643</v>
      </c>
    </row>
    <row r="3642" spans="14:14" ht="15" customHeight="1" x14ac:dyDescent="0.25">
      <c r="N3642" t="s">
        <v>607</v>
      </c>
    </row>
    <row r="3643" spans="14:14" ht="15" customHeight="1" x14ac:dyDescent="0.25">
      <c r="N3643" t="s">
        <v>715</v>
      </c>
    </row>
    <row r="3644" spans="14:14" ht="15" customHeight="1" x14ac:dyDescent="0.25">
      <c r="N3644" t="s">
        <v>713</v>
      </c>
    </row>
    <row r="3645" spans="14:14" ht="15" customHeight="1" x14ac:dyDescent="0.25">
      <c r="N3645" t="s">
        <v>715</v>
      </c>
    </row>
    <row r="3646" spans="14:14" ht="15" customHeight="1" x14ac:dyDescent="0.25">
      <c r="N3646" t="s">
        <v>606</v>
      </c>
    </row>
    <row r="3647" spans="14:14" ht="15" customHeight="1" x14ac:dyDescent="0.25">
      <c r="N3647" t="s">
        <v>408</v>
      </c>
    </row>
    <row r="3648" spans="14:14" ht="15" customHeight="1" x14ac:dyDescent="0.25">
      <c r="N3648" t="s">
        <v>713</v>
      </c>
    </row>
    <row r="3649" spans="14:14" ht="15" customHeight="1" x14ac:dyDescent="0.25">
      <c r="N3649" t="s">
        <v>713</v>
      </c>
    </row>
    <row r="3650" spans="14:14" ht="15" customHeight="1" x14ac:dyDescent="0.25">
      <c r="N3650" t="s">
        <v>713</v>
      </c>
    </row>
    <row r="3651" spans="14:14" ht="15" customHeight="1" x14ac:dyDescent="0.25">
      <c r="N3651" t="s">
        <v>713</v>
      </c>
    </row>
    <row r="3652" spans="14:14" ht="15" customHeight="1" x14ac:dyDescent="0.25">
      <c r="N3652" t="s">
        <v>686</v>
      </c>
    </row>
    <row r="3653" spans="14:14" ht="15" customHeight="1" x14ac:dyDescent="0.25">
      <c r="N3653" t="s">
        <v>558</v>
      </c>
    </row>
    <row r="3654" spans="14:14" ht="15" customHeight="1" x14ac:dyDescent="0.25">
      <c r="N3654" t="s">
        <v>713</v>
      </c>
    </row>
    <row r="3655" spans="14:14" ht="15" customHeight="1" x14ac:dyDescent="0.25">
      <c r="N3655" t="s">
        <v>715</v>
      </c>
    </row>
    <row r="3656" spans="14:14" ht="15" customHeight="1" x14ac:dyDescent="0.25">
      <c r="N3656" t="s">
        <v>555</v>
      </c>
    </row>
    <row r="3657" spans="14:14" ht="15" customHeight="1" x14ac:dyDescent="0.25">
      <c r="N3657" t="s">
        <v>524</v>
      </c>
    </row>
    <row r="3658" spans="14:14" ht="15" customHeight="1" x14ac:dyDescent="0.25">
      <c r="N3658" t="s">
        <v>715</v>
      </c>
    </row>
    <row r="3659" spans="14:14" ht="15" customHeight="1" x14ac:dyDescent="0.25">
      <c r="N3659" t="s">
        <v>689</v>
      </c>
    </row>
    <row r="3660" spans="14:14" ht="15" customHeight="1" x14ac:dyDescent="0.25">
      <c r="N3660" t="s">
        <v>689</v>
      </c>
    </row>
    <row r="3661" spans="14:14" ht="15" customHeight="1" x14ac:dyDescent="0.25">
      <c r="N3661" t="s">
        <v>715</v>
      </c>
    </row>
    <row r="3662" spans="14:14" ht="15" customHeight="1" x14ac:dyDescent="0.25">
      <c r="N3662" t="s">
        <v>689</v>
      </c>
    </row>
    <row r="3663" spans="14:14" ht="15" customHeight="1" x14ac:dyDescent="0.25">
      <c r="N3663" t="s">
        <v>690</v>
      </c>
    </row>
    <row r="3664" spans="14:14" ht="15" customHeight="1" x14ac:dyDescent="0.25">
      <c r="N3664" t="s">
        <v>582</v>
      </c>
    </row>
    <row r="3665" spans="14:14" ht="15" customHeight="1" x14ac:dyDescent="0.25">
      <c r="N3665" t="s">
        <v>317</v>
      </c>
    </row>
    <row r="3666" spans="14:14" ht="15" customHeight="1" x14ac:dyDescent="0.25">
      <c r="N3666" t="s">
        <v>715</v>
      </c>
    </row>
    <row r="3667" spans="14:14" ht="15" customHeight="1" x14ac:dyDescent="0.25">
      <c r="N3667" t="s">
        <v>342</v>
      </c>
    </row>
    <row r="3668" spans="14:14" ht="15" customHeight="1" x14ac:dyDescent="0.25">
      <c r="N3668" t="s">
        <v>582</v>
      </c>
    </row>
    <row r="3669" spans="14:14" ht="15" customHeight="1" x14ac:dyDescent="0.25">
      <c r="N3669" t="s">
        <v>698</v>
      </c>
    </row>
    <row r="3670" spans="14:14" ht="15" customHeight="1" x14ac:dyDescent="0.25">
      <c r="N3670" t="s">
        <v>582</v>
      </c>
    </row>
    <row r="3671" spans="14:14" ht="15" customHeight="1" x14ac:dyDescent="0.25">
      <c r="N3671" t="s">
        <v>655</v>
      </c>
    </row>
    <row r="3672" spans="14:14" ht="15" customHeight="1" x14ac:dyDescent="0.25">
      <c r="N3672" t="s">
        <v>320</v>
      </c>
    </row>
    <row r="3673" spans="14:14" ht="15" customHeight="1" x14ac:dyDescent="0.25">
      <c r="N3673" t="s">
        <v>651</v>
      </c>
    </row>
    <row r="3674" spans="14:14" ht="15" customHeight="1" x14ac:dyDescent="0.25">
      <c r="N3674" t="s">
        <v>510</v>
      </c>
    </row>
    <row r="3675" spans="14:14" ht="15" customHeight="1" x14ac:dyDescent="0.25">
      <c r="N3675" t="s">
        <v>593</v>
      </c>
    </row>
    <row r="3676" spans="14:14" ht="15" customHeight="1" x14ac:dyDescent="0.25">
      <c r="N3676" t="s">
        <v>715</v>
      </c>
    </row>
    <row r="3677" spans="14:14" ht="15" customHeight="1" x14ac:dyDescent="0.25">
      <c r="N3677" t="s">
        <v>713</v>
      </c>
    </row>
    <row r="3678" spans="14:14" ht="15" customHeight="1" x14ac:dyDescent="0.25">
      <c r="N3678" t="s">
        <v>715</v>
      </c>
    </row>
    <row r="3679" spans="14:14" ht="15" customHeight="1" x14ac:dyDescent="0.25">
      <c r="N3679" t="s">
        <v>606</v>
      </c>
    </row>
    <row r="3680" spans="14:14" ht="15" customHeight="1" x14ac:dyDescent="0.25">
      <c r="N3680" t="s">
        <v>713</v>
      </c>
    </row>
    <row r="3681" spans="14:14" ht="15" customHeight="1" x14ac:dyDescent="0.25">
      <c r="N3681" t="s">
        <v>713</v>
      </c>
    </row>
    <row r="3682" spans="14:14" ht="15" customHeight="1" x14ac:dyDescent="0.25">
      <c r="N3682" t="s">
        <v>686</v>
      </c>
    </row>
    <row r="3683" spans="14:14" ht="15" customHeight="1" x14ac:dyDescent="0.25">
      <c r="N3683" t="s">
        <v>412</v>
      </c>
    </row>
    <row r="3684" spans="14:14" ht="15" customHeight="1" x14ac:dyDescent="0.25">
      <c r="N3684" t="s">
        <v>603</v>
      </c>
    </row>
    <row r="3685" spans="14:14" ht="15" customHeight="1" x14ac:dyDescent="0.25">
      <c r="N3685" t="s">
        <v>715</v>
      </c>
    </row>
    <row r="3686" spans="14:14" ht="15" customHeight="1" x14ac:dyDescent="0.25">
      <c r="N3686" t="s">
        <v>715</v>
      </c>
    </row>
    <row r="3687" spans="14:14" ht="15" customHeight="1" x14ac:dyDescent="0.25">
      <c r="N3687" t="s">
        <v>733</v>
      </c>
    </row>
    <row r="3688" spans="14:14" ht="15" customHeight="1" x14ac:dyDescent="0.25">
      <c r="N3688" t="s">
        <v>592</v>
      </c>
    </row>
    <row r="3689" spans="14:14" ht="15" customHeight="1" x14ac:dyDescent="0.25">
      <c r="N3689" t="s">
        <v>715</v>
      </c>
    </row>
    <row r="3690" spans="14:14" ht="15" customHeight="1" x14ac:dyDescent="0.25">
      <c r="N3690" t="s">
        <v>698</v>
      </c>
    </row>
    <row r="3691" spans="14:14" ht="15" customHeight="1" x14ac:dyDescent="0.25">
      <c r="N3691" t="s">
        <v>403</v>
      </c>
    </row>
    <row r="3692" spans="14:14" ht="15" customHeight="1" x14ac:dyDescent="0.25">
      <c r="N3692" t="s">
        <v>715</v>
      </c>
    </row>
    <row r="3693" spans="14:14" ht="15" customHeight="1" x14ac:dyDescent="0.25">
      <c r="N3693" t="s">
        <v>651</v>
      </c>
    </row>
    <row r="3694" spans="14:14" ht="15" customHeight="1" x14ac:dyDescent="0.25">
      <c r="N3694" t="s">
        <v>582</v>
      </c>
    </row>
    <row r="3695" spans="14:14" ht="15" customHeight="1" x14ac:dyDescent="0.25">
      <c r="N3695" t="s">
        <v>715</v>
      </c>
    </row>
    <row r="3696" spans="14:14" ht="15" customHeight="1" x14ac:dyDescent="0.25">
      <c r="N3696" t="s">
        <v>713</v>
      </c>
    </row>
    <row r="3697" spans="14:14" ht="15" customHeight="1" x14ac:dyDescent="0.25">
      <c r="N3697" t="s">
        <v>411</v>
      </c>
    </row>
    <row r="3698" spans="14:14" ht="15" customHeight="1" x14ac:dyDescent="0.25">
      <c r="N3698" t="s">
        <v>376</v>
      </c>
    </row>
    <row r="3699" spans="14:14" ht="15" customHeight="1" x14ac:dyDescent="0.25">
      <c r="N3699" t="s">
        <v>687</v>
      </c>
    </row>
    <row r="3700" spans="14:14" ht="15" customHeight="1" x14ac:dyDescent="0.25">
      <c r="N3700" t="s">
        <v>689</v>
      </c>
    </row>
    <row r="3701" spans="14:14" ht="15" customHeight="1" x14ac:dyDescent="0.25">
      <c r="N3701" t="s">
        <v>406</v>
      </c>
    </row>
    <row r="3702" spans="14:14" ht="15" customHeight="1" x14ac:dyDescent="0.25">
      <c r="N3702" t="s">
        <v>663</v>
      </c>
    </row>
    <row r="3703" spans="14:14" ht="15" customHeight="1" x14ac:dyDescent="0.25">
      <c r="N3703" t="s">
        <v>655</v>
      </c>
    </row>
    <row r="3704" spans="14:14" ht="15" customHeight="1" x14ac:dyDescent="0.25">
      <c r="N3704" t="s">
        <v>634</v>
      </c>
    </row>
    <row r="3705" spans="14:14" ht="15" customHeight="1" x14ac:dyDescent="0.25">
      <c r="N3705" t="s">
        <v>611</v>
      </c>
    </row>
    <row r="3706" spans="14:14" ht="15" customHeight="1" x14ac:dyDescent="0.25">
      <c r="N3706" t="s">
        <v>643</v>
      </c>
    </row>
    <row r="3707" spans="14:14" ht="15" customHeight="1" x14ac:dyDescent="0.25">
      <c r="N3707" t="s">
        <v>686</v>
      </c>
    </row>
    <row r="3708" spans="14:14" ht="15" customHeight="1" x14ac:dyDescent="0.25">
      <c r="N3708" t="s">
        <v>405</v>
      </c>
    </row>
    <row r="3709" spans="14:14" ht="15" customHeight="1" x14ac:dyDescent="0.25">
      <c r="N3709" t="s">
        <v>687</v>
      </c>
    </row>
    <row r="3710" spans="14:14" ht="15" customHeight="1" x14ac:dyDescent="0.25">
      <c r="N3710" t="s">
        <v>715</v>
      </c>
    </row>
    <row r="3711" spans="14:14" ht="15" customHeight="1" x14ac:dyDescent="0.25">
      <c r="N3711" t="s">
        <v>690</v>
      </c>
    </row>
    <row r="3712" spans="14:14" ht="15" customHeight="1" x14ac:dyDescent="0.25">
      <c r="N3712" t="s">
        <v>732</v>
      </c>
    </row>
    <row r="3713" spans="14:14" ht="15" customHeight="1" x14ac:dyDescent="0.25">
      <c r="N3713" t="s">
        <v>313</v>
      </c>
    </row>
    <row r="3714" spans="14:14" ht="15" customHeight="1" x14ac:dyDescent="0.25">
      <c r="N3714" t="s">
        <v>683</v>
      </c>
    </row>
    <row r="3715" spans="14:14" ht="15" customHeight="1" x14ac:dyDescent="0.25">
      <c r="N3715" t="s">
        <v>655</v>
      </c>
    </row>
    <row r="3716" spans="14:14" ht="15" customHeight="1" x14ac:dyDescent="0.25">
      <c r="N3716" t="s">
        <v>435</v>
      </c>
    </row>
    <row r="3717" spans="14:14" ht="15" customHeight="1" x14ac:dyDescent="0.25">
      <c r="N3717" t="s">
        <v>646</v>
      </c>
    </row>
    <row r="3718" spans="14:14" ht="15" customHeight="1" x14ac:dyDescent="0.25">
      <c r="N3718" t="s">
        <v>294</v>
      </c>
    </row>
    <row r="3719" spans="14:14" ht="15" customHeight="1" x14ac:dyDescent="0.25">
      <c r="N3719" t="s">
        <v>643</v>
      </c>
    </row>
    <row r="3720" spans="14:14" ht="15" customHeight="1" x14ac:dyDescent="0.25">
      <c r="N3720" t="s">
        <v>686</v>
      </c>
    </row>
    <row r="3721" spans="14:14" ht="15" customHeight="1" x14ac:dyDescent="0.25">
      <c r="N3721" t="s">
        <v>686</v>
      </c>
    </row>
    <row r="3722" spans="14:14" ht="15" customHeight="1" x14ac:dyDescent="0.25">
      <c r="N3722" t="s">
        <v>294</v>
      </c>
    </row>
    <row r="3723" spans="14:14" ht="15" customHeight="1" x14ac:dyDescent="0.25">
      <c r="N3723" t="s">
        <v>313</v>
      </c>
    </row>
    <row r="3724" spans="14:14" ht="15" customHeight="1" x14ac:dyDescent="0.25">
      <c r="N3724" t="s">
        <v>690</v>
      </c>
    </row>
    <row r="3725" spans="14:14" ht="15" customHeight="1" x14ac:dyDescent="0.25">
      <c r="N3725" t="s">
        <v>636</v>
      </c>
    </row>
    <row r="3726" spans="14:14" ht="15" customHeight="1" x14ac:dyDescent="0.25">
      <c r="N3726" t="s">
        <v>582</v>
      </c>
    </row>
    <row r="3727" spans="14:14" ht="15" customHeight="1" x14ac:dyDescent="0.25">
      <c r="N3727" t="s">
        <v>683</v>
      </c>
    </row>
    <row r="3728" spans="14:14" ht="15" customHeight="1" x14ac:dyDescent="0.25">
      <c r="N3728" t="s">
        <v>698</v>
      </c>
    </row>
    <row r="3729" spans="14:14" ht="15" customHeight="1" x14ac:dyDescent="0.25">
      <c r="N3729" t="s">
        <v>646</v>
      </c>
    </row>
    <row r="3730" spans="14:14" ht="15" customHeight="1" x14ac:dyDescent="0.25">
      <c r="N3730" t="s">
        <v>732</v>
      </c>
    </row>
    <row r="3731" spans="14:14" ht="15" customHeight="1" x14ac:dyDescent="0.25">
      <c r="N3731" t="s">
        <v>715</v>
      </c>
    </row>
    <row r="3732" spans="14:14" ht="15" customHeight="1" x14ac:dyDescent="0.25">
      <c r="N3732" t="s">
        <v>582</v>
      </c>
    </row>
    <row r="3733" spans="14:14" ht="15" customHeight="1" x14ac:dyDescent="0.25">
      <c r="N3733" t="s">
        <v>458</v>
      </c>
    </row>
    <row r="3734" spans="14:14" ht="15" customHeight="1" x14ac:dyDescent="0.25">
      <c r="N3734" t="s">
        <v>555</v>
      </c>
    </row>
    <row r="3735" spans="14:14" ht="15" customHeight="1" x14ac:dyDescent="0.25">
      <c r="N3735" t="s">
        <v>294</v>
      </c>
    </row>
    <row r="3736" spans="14:14" ht="15" customHeight="1" x14ac:dyDescent="0.25">
      <c r="N3736" t="s">
        <v>732</v>
      </c>
    </row>
    <row r="3737" spans="14:14" ht="15" customHeight="1" x14ac:dyDescent="0.25">
      <c r="N3737" t="s">
        <v>605</v>
      </c>
    </row>
    <row r="3738" spans="14:14" ht="15" customHeight="1" x14ac:dyDescent="0.25">
      <c r="N3738" t="s">
        <v>698</v>
      </c>
    </row>
    <row r="3739" spans="14:14" ht="15" customHeight="1" x14ac:dyDescent="0.25">
      <c r="N3739" t="s">
        <v>448</v>
      </c>
    </row>
    <row r="3740" spans="14:14" ht="15" customHeight="1" x14ac:dyDescent="0.25">
      <c r="N3740" t="s">
        <v>715</v>
      </c>
    </row>
    <row r="3741" spans="14:14" ht="15" customHeight="1" x14ac:dyDescent="0.25">
      <c r="N3741" t="s">
        <v>636</v>
      </c>
    </row>
    <row r="3742" spans="14:14" ht="15" customHeight="1" x14ac:dyDescent="0.25">
      <c r="N3742" t="s">
        <v>683</v>
      </c>
    </row>
    <row r="3743" spans="14:14" ht="15" customHeight="1" x14ac:dyDescent="0.25">
      <c r="N3743" t="s">
        <v>698</v>
      </c>
    </row>
    <row r="3744" spans="14:14" ht="15" customHeight="1" x14ac:dyDescent="0.25">
      <c r="N3744" t="s">
        <v>350</v>
      </c>
    </row>
    <row r="3745" spans="14:14" ht="15" customHeight="1" x14ac:dyDescent="0.25">
      <c r="N3745" t="s">
        <v>715</v>
      </c>
    </row>
    <row r="3746" spans="14:14" ht="15" customHeight="1" x14ac:dyDescent="0.25">
      <c r="N3746" t="s">
        <v>690</v>
      </c>
    </row>
    <row r="3747" spans="14:14" ht="15" customHeight="1" x14ac:dyDescent="0.25">
      <c r="N3747" t="s">
        <v>732</v>
      </c>
    </row>
    <row r="3748" spans="14:14" ht="15" customHeight="1" x14ac:dyDescent="0.25">
      <c r="N3748" t="s">
        <v>663</v>
      </c>
    </row>
    <row r="3749" spans="14:14" ht="15" customHeight="1" x14ac:dyDescent="0.25">
      <c r="N3749" t="s">
        <v>683</v>
      </c>
    </row>
    <row r="3750" spans="14:14" ht="15" customHeight="1" x14ac:dyDescent="0.25">
      <c r="N3750" t="s">
        <v>698</v>
      </c>
    </row>
    <row r="3751" spans="14:14" ht="15" customHeight="1" x14ac:dyDescent="0.25">
      <c r="N3751" t="s">
        <v>582</v>
      </c>
    </row>
    <row r="3752" spans="14:14" ht="15" customHeight="1" x14ac:dyDescent="0.25">
      <c r="N3752" t="s">
        <v>698</v>
      </c>
    </row>
    <row r="3753" spans="14:14" ht="15" customHeight="1" x14ac:dyDescent="0.25">
      <c r="N3753" t="s">
        <v>582</v>
      </c>
    </row>
    <row r="3754" spans="14:14" ht="15" customHeight="1" x14ac:dyDescent="0.25">
      <c r="N3754" t="s">
        <v>474</v>
      </c>
    </row>
    <row r="3755" spans="14:14" ht="15" customHeight="1" x14ac:dyDescent="0.25">
      <c r="N3755" t="s">
        <v>313</v>
      </c>
    </row>
    <row r="3756" spans="14:14" ht="15" customHeight="1" x14ac:dyDescent="0.25">
      <c r="N3756" t="s">
        <v>683</v>
      </c>
    </row>
    <row r="3757" spans="14:14" ht="15" customHeight="1" x14ac:dyDescent="0.25">
      <c r="N3757" t="s">
        <v>634</v>
      </c>
    </row>
    <row r="3758" spans="14:14" ht="15" customHeight="1" x14ac:dyDescent="0.25">
      <c r="N3758" t="s">
        <v>499</v>
      </c>
    </row>
    <row r="3759" spans="14:14" ht="15" customHeight="1" x14ac:dyDescent="0.25">
      <c r="N3759" t="s">
        <v>611</v>
      </c>
    </row>
    <row r="3760" spans="14:14" ht="15" customHeight="1" x14ac:dyDescent="0.25">
      <c r="N3760" t="s">
        <v>690</v>
      </c>
    </row>
    <row r="3761" spans="14:14" ht="15" customHeight="1" x14ac:dyDescent="0.25">
      <c r="N3761" t="s">
        <v>313</v>
      </c>
    </row>
    <row r="3762" spans="14:14" ht="15" customHeight="1" x14ac:dyDescent="0.25">
      <c r="N3762" t="s">
        <v>636</v>
      </c>
    </row>
    <row r="3763" spans="14:14" ht="15" customHeight="1" x14ac:dyDescent="0.25">
      <c r="N3763" t="s">
        <v>683</v>
      </c>
    </row>
    <row r="3764" spans="14:14" ht="15" customHeight="1" x14ac:dyDescent="0.25">
      <c r="N3764" t="s">
        <v>347</v>
      </c>
    </row>
    <row r="3765" spans="14:14" ht="15" customHeight="1" x14ac:dyDescent="0.25">
      <c r="N3765" t="s">
        <v>663</v>
      </c>
    </row>
    <row r="3766" spans="14:14" ht="15" customHeight="1" x14ac:dyDescent="0.25">
      <c r="N3766" t="s">
        <v>579</v>
      </c>
    </row>
    <row r="3767" spans="14:14" ht="15" customHeight="1" x14ac:dyDescent="0.25">
      <c r="N3767" t="s">
        <v>732</v>
      </c>
    </row>
    <row r="3768" spans="14:14" ht="15" customHeight="1" x14ac:dyDescent="0.25">
      <c r="N3768" t="s">
        <v>313</v>
      </c>
    </row>
    <row r="3769" spans="14:14" ht="15" customHeight="1" x14ac:dyDescent="0.25">
      <c r="N3769" t="s">
        <v>463</v>
      </c>
    </row>
    <row r="3770" spans="14:14" ht="15" customHeight="1" x14ac:dyDescent="0.25">
      <c r="N3770" t="s">
        <v>732</v>
      </c>
    </row>
    <row r="3771" spans="14:14" ht="15" customHeight="1" x14ac:dyDescent="0.25">
      <c r="N3771" t="s">
        <v>313</v>
      </c>
    </row>
    <row r="3772" spans="14:14" ht="15" customHeight="1" x14ac:dyDescent="0.25">
      <c r="N3772" t="s">
        <v>654</v>
      </c>
    </row>
    <row r="3773" spans="14:14" ht="15" customHeight="1" x14ac:dyDescent="0.25">
      <c r="N3773" t="s">
        <v>680</v>
      </c>
    </row>
    <row r="3774" spans="14:14" ht="15" customHeight="1" x14ac:dyDescent="0.25">
      <c r="N3774" t="s">
        <v>313</v>
      </c>
    </row>
    <row r="3775" spans="14:14" ht="15" customHeight="1" x14ac:dyDescent="0.25">
      <c r="N3775" t="s">
        <v>713</v>
      </c>
    </row>
    <row r="3776" spans="14:14" ht="15" customHeight="1" x14ac:dyDescent="0.25">
      <c r="N3776" t="s">
        <v>313</v>
      </c>
    </row>
    <row r="3777" spans="14:14" ht="15" customHeight="1" x14ac:dyDescent="0.25">
      <c r="N3777" t="s">
        <v>663</v>
      </c>
    </row>
    <row r="3778" spans="14:14" ht="15" customHeight="1" x14ac:dyDescent="0.25">
      <c r="N3778" t="s">
        <v>579</v>
      </c>
    </row>
    <row r="3779" spans="14:14" ht="15" customHeight="1" x14ac:dyDescent="0.25">
      <c r="N3779" t="s">
        <v>355</v>
      </c>
    </row>
    <row r="3780" spans="14:14" ht="15" customHeight="1" x14ac:dyDescent="0.25">
      <c r="N3780" t="s">
        <v>313</v>
      </c>
    </row>
    <row r="3781" spans="14:14" ht="15" customHeight="1" x14ac:dyDescent="0.25">
      <c r="N3781" t="s">
        <v>732</v>
      </c>
    </row>
    <row r="3782" spans="14:14" ht="15" customHeight="1" x14ac:dyDescent="0.25">
      <c r="N3782" t="s">
        <v>540</v>
      </c>
    </row>
    <row r="3783" spans="14:14" ht="15" customHeight="1" x14ac:dyDescent="0.25">
      <c r="N3783" t="s">
        <v>732</v>
      </c>
    </row>
    <row r="3784" spans="14:14" ht="15" customHeight="1" x14ac:dyDescent="0.25">
      <c r="N3784" t="s">
        <v>485</v>
      </c>
    </row>
    <row r="3785" spans="14:14" ht="15" customHeight="1" x14ac:dyDescent="0.25">
      <c r="N3785" t="s">
        <v>654</v>
      </c>
    </row>
    <row r="3786" spans="14:14" ht="15" customHeight="1" x14ac:dyDescent="0.25">
      <c r="N3786" t="s">
        <v>363</v>
      </c>
    </row>
    <row r="3787" spans="14:14" ht="15" customHeight="1" x14ac:dyDescent="0.25">
      <c r="N3787" t="s">
        <v>370</v>
      </c>
    </row>
    <row r="3788" spans="14:14" ht="15" customHeight="1" x14ac:dyDescent="0.25">
      <c r="N3788" t="s">
        <v>732</v>
      </c>
    </row>
    <row r="3789" spans="14:14" ht="15" customHeight="1" x14ac:dyDescent="0.25">
      <c r="N3789" t="s">
        <v>732</v>
      </c>
    </row>
    <row r="3790" spans="14:14" ht="15" customHeight="1" x14ac:dyDescent="0.25">
      <c r="N3790" t="s">
        <v>304</v>
      </c>
    </row>
    <row r="3791" spans="14:14" ht="15" customHeight="1" x14ac:dyDescent="0.25">
      <c r="N3791" t="s">
        <v>696</v>
      </c>
    </row>
    <row r="3792" spans="14:14" ht="15" customHeight="1" x14ac:dyDescent="0.25">
      <c r="N3792" t="s">
        <v>313</v>
      </c>
    </row>
    <row r="3793" spans="14:14" ht="15" customHeight="1" x14ac:dyDescent="0.25">
      <c r="N3793" t="s">
        <v>313</v>
      </c>
    </row>
    <row r="3794" spans="14:14" ht="15" customHeight="1" x14ac:dyDescent="0.25">
      <c r="N3794" t="s">
        <v>680</v>
      </c>
    </row>
    <row r="3795" spans="14:14" ht="15" customHeight="1" x14ac:dyDescent="0.25">
      <c r="N3795" t="s">
        <v>582</v>
      </c>
    </row>
    <row r="3796" spans="14:14" ht="15" customHeight="1" x14ac:dyDescent="0.25">
      <c r="N3796" t="s">
        <v>732</v>
      </c>
    </row>
    <row r="3797" spans="14:14" ht="15" customHeight="1" x14ac:dyDescent="0.25">
      <c r="N3797" t="s">
        <v>732</v>
      </c>
    </row>
    <row r="3798" spans="14:14" ht="15" customHeight="1" x14ac:dyDescent="0.25">
      <c r="N3798" t="s">
        <v>313</v>
      </c>
    </row>
    <row r="3799" spans="14:14" ht="15" customHeight="1" x14ac:dyDescent="0.25">
      <c r="N3799" t="s">
        <v>313</v>
      </c>
    </row>
    <row r="3800" spans="14:14" ht="15" customHeight="1" x14ac:dyDescent="0.25">
      <c r="N3800" t="s">
        <v>715</v>
      </c>
    </row>
    <row r="3801" spans="14:14" ht="15" customHeight="1" x14ac:dyDescent="0.25">
      <c r="N3801" t="s">
        <v>698</v>
      </c>
    </row>
    <row r="3802" spans="14:14" ht="15" customHeight="1" x14ac:dyDescent="0.25">
      <c r="N3802" t="s">
        <v>582</v>
      </c>
    </row>
    <row r="3803" spans="14:14" ht="15" customHeight="1" x14ac:dyDescent="0.25">
      <c r="N3803" t="s">
        <v>696</v>
      </c>
    </row>
    <row r="3804" spans="14:14" ht="15" customHeight="1" x14ac:dyDescent="0.25">
      <c r="N3804" t="s">
        <v>582</v>
      </c>
    </row>
    <row r="3805" spans="14:14" ht="15" customHeight="1" x14ac:dyDescent="0.25">
      <c r="N3805" t="s">
        <v>582</v>
      </c>
    </row>
    <row r="3806" spans="14:14" ht="15" customHeight="1" x14ac:dyDescent="0.25">
      <c r="N3806" t="s">
        <v>68</v>
      </c>
    </row>
    <row r="3807" spans="14:14" ht="15" customHeight="1" x14ac:dyDescent="0.25">
      <c r="N3807" t="s">
        <v>685</v>
      </c>
    </row>
    <row r="3808" spans="14:14" ht="15" customHeight="1" x14ac:dyDescent="0.25">
      <c r="N3808" t="s">
        <v>734</v>
      </c>
    </row>
    <row r="3809" spans="14:14" ht="15" customHeight="1" x14ac:dyDescent="0.25">
      <c r="N3809" t="s">
        <v>715</v>
      </c>
    </row>
    <row r="3810" spans="14:14" ht="15" customHeight="1" x14ac:dyDescent="0.25">
      <c r="N3810" t="s">
        <v>732</v>
      </c>
    </row>
    <row r="3811" spans="14:14" ht="15" customHeight="1" x14ac:dyDescent="0.25">
      <c r="N3811" t="s">
        <v>684</v>
      </c>
    </row>
    <row r="3812" spans="14:14" ht="15" customHeight="1" x14ac:dyDescent="0.25">
      <c r="N3812" t="s">
        <v>732</v>
      </c>
    </row>
    <row r="3813" spans="14:14" ht="15" customHeight="1" x14ac:dyDescent="0.25">
      <c r="N3813" t="s">
        <v>582</v>
      </c>
    </row>
    <row r="3814" spans="14:14" ht="15" customHeight="1" x14ac:dyDescent="0.25">
      <c r="N3814" t="s">
        <v>68</v>
      </c>
    </row>
    <row r="3815" spans="14:14" ht="15" customHeight="1" x14ac:dyDescent="0.25">
      <c r="N3815" t="s">
        <v>582</v>
      </c>
    </row>
    <row r="3816" spans="14:14" ht="15" customHeight="1" x14ac:dyDescent="0.25">
      <c r="N3816" t="s">
        <v>68</v>
      </c>
    </row>
    <row r="3817" spans="14:14" ht="15" customHeight="1" x14ac:dyDescent="0.25">
      <c r="N3817" t="s">
        <v>68</v>
      </c>
    </row>
    <row r="3818" spans="14:14" ht="15" customHeight="1" x14ac:dyDescent="0.25">
      <c r="N3818" t="s">
        <v>582</v>
      </c>
    </row>
    <row r="3819" spans="14:14" ht="15" customHeight="1" x14ac:dyDescent="0.25">
      <c r="N3819" t="s">
        <v>713</v>
      </c>
    </row>
    <row r="3820" spans="14:14" ht="15" customHeight="1" x14ac:dyDescent="0.25">
      <c r="N3820" t="s">
        <v>713</v>
      </c>
    </row>
    <row r="3821" spans="14:14" ht="15" customHeight="1" x14ac:dyDescent="0.25">
      <c r="N3821" t="s">
        <v>713</v>
      </c>
    </row>
    <row r="3822" spans="14:14" ht="15" customHeight="1" x14ac:dyDescent="0.25">
      <c r="N3822" t="s">
        <v>685</v>
      </c>
    </row>
    <row r="3823" spans="14:14" ht="15" customHeight="1" x14ac:dyDescent="0.25">
      <c r="N3823" t="s">
        <v>732</v>
      </c>
    </row>
    <row r="3824" spans="14:14" ht="15" customHeight="1" x14ac:dyDescent="0.25">
      <c r="N3824" t="s">
        <v>687</v>
      </c>
    </row>
    <row r="3825" spans="14:14" ht="15" customHeight="1" x14ac:dyDescent="0.25">
      <c r="N3825" t="s">
        <v>313</v>
      </c>
    </row>
    <row r="3826" spans="14:14" ht="15" customHeight="1" x14ac:dyDescent="0.25">
      <c r="N3826" t="s">
        <v>670</v>
      </c>
    </row>
    <row r="3827" spans="14:14" ht="15" customHeight="1" x14ac:dyDescent="0.25">
      <c r="N3827" t="s">
        <v>646</v>
      </c>
    </row>
    <row r="3828" spans="14:14" ht="15" customHeight="1" x14ac:dyDescent="0.25">
      <c r="N3828" t="s">
        <v>304</v>
      </c>
    </row>
    <row r="3829" spans="14:14" ht="15" customHeight="1" x14ac:dyDescent="0.25">
      <c r="N3829" t="s">
        <v>735</v>
      </c>
    </row>
    <row r="3830" spans="14:14" ht="15" customHeight="1" x14ac:dyDescent="0.25">
      <c r="N3830" t="s">
        <v>735</v>
      </c>
    </row>
    <row r="3831" spans="14:14" ht="15" customHeight="1" x14ac:dyDescent="0.25">
      <c r="N3831" t="s">
        <v>735</v>
      </c>
    </row>
    <row r="3832" spans="14:14" ht="15" customHeight="1" x14ac:dyDescent="0.25">
      <c r="N3832" t="s">
        <v>735</v>
      </c>
    </row>
    <row r="3833" spans="14:14" ht="15" customHeight="1" x14ac:dyDescent="0.25">
      <c r="N3833" t="s">
        <v>735</v>
      </c>
    </row>
    <row r="3834" spans="14:14" ht="15" customHeight="1" x14ac:dyDescent="0.25">
      <c r="N3834" t="s">
        <v>313</v>
      </c>
    </row>
    <row r="3835" spans="14:14" ht="15" customHeight="1" x14ac:dyDescent="0.25">
      <c r="N3835" t="s">
        <v>680</v>
      </c>
    </row>
    <row r="3836" spans="14:14" ht="15" customHeight="1" x14ac:dyDescent="0.25">
      <c r="N3836" t="s">
        <v>732</v>
      </c>
    </row>
    <row r="3837" spans="14:14" ht="15" customHeight="1" x14ac:dyDescent="0.25">
      <c r="N3837" t="s">
        <v>313</v>
      </c>
    </row>
    <row r="3838" spans="14:14" ht="15" customHeight="1" x14ac:dyDescent="0.25">
      <c r="N3838" t="s">
        <v>68</v>
      </c>
    </row>
    <row r="3839" spans="14:14" ht="15" customHeight="1" x14ac:dyDescent="0.25">
      <c r="N3839" t="s">
        <v>675</v>
      </c>
    </row>
    <row r="3840" spans="14:14" ht="15" customHeight="1" x14ac:dyDescent="0.25">
      <c r="N3840" t="s">
        <v>539</v>
      </c>
    </row>
    <row r="3841" spans="14:14" ht="15" customHeight="1" x14ac:dyDescent="0.25">
      <c r="N3841" t="s">
        <v>68</v>
      </c>
    </row>
    <row r="3842" spans="14:14" ht="15" customHeight="1" x14ac:dyDescent="0.25">
      <c r="N3842" t="s">
        <v>732</v>
      </c>
    </row>
    <row r="3843" spans="14:14" ht="15" customHeight="1" x14ac:dyDescent="0.25">
      <c r="N3843" t="s">
        <v>684</v>
      </c>
    </row>
    <row r="3844" spans="14:14" ht="15" customHeight="1" x14ac:dyDescent="0.25">
      <c r="N3844" t="s">
        <v>68</v>
      </c>
    </row>
    <row r="3845" spans="14:14" ht="15" customHeight="1" x14ac:dyDescent="0.25">
      <c r="N3845" t="s">
        <v>553</v>
      </c>
    </row>
    <row r="3846" spans="14:14" ht="15" customHeight="1" x14ac:dyDescent="0.25">
      <c r="N3846" t="s">
        <v>68</v>
      </c>
    </row>
    <row r="3847" spans="14:14" ht="15" customHeight="1" x14ac:dyDescent="0.25">
      <c r="N3847" t="s">
        <v>582</v>
      </c>
    </row>
    <row r="3848" spans="14:14" ht="15" customHeight="1" x14ac:dyDescent="0.25">
      <c r="N3848" t="s">
        <v>713</v>
      </c>
    </row>
    <row r="3849" spans="14:14" ht="15" customHeight="1" x14ac:dyDescent="0.25">
      <c r="N3849" t="s">
        <v>732</v>
      </c>
    </row>
    <row r="3850" spans="14:14" ht="15" customHeight="1" x14ac:dyDescent="0.25">
      <c r="N3850" t="s">
        <v>603</v>
      </c>
    </row>
    <row r="3851" spans="14:14" ht="15" customHeight="1" x14ac:dyDescent="0.25">
      <c r="N3851" t="s">
        <v>654</v>
      </c>
    </row>
    <row r="3852" spans="14:14" ht="15" customHeight="1" x14ac:dyDescent="0.25">
      <c r="N3852" t="s">
        <v>685</v>
      </c>
    </row>
    <row r="3853" spans="14:14" ht="15" customHeight="1" x14ac:dyDescent="0.25">
      <c r="N3853" t="s">
        <v>313</v>
      </c>
    </row>
    <row r="3854" spans="14:14" ht="15" customHeight="1" x14ac:dyDescent="0.25">
      <c r="N3854" t="s">
        <v>685</v>
      </c>
    </row>
    <row r="3855" spans="14:14" ht="15" customHeight="1" x14ac:dyDescent="0.25">
      <c r="N3855" t="s">
        <v>696</v>
      </c>
    </row>
    <row r="3856" spans="14:14" ht="15" customHeight="1" x14ac:dyDescent="0.25">
      <c r="N3856" t="s">
        <v>313</v>
      </c>
    </row>
    <row r="3857" spans="14:14" ht="15" customHeight="1" x14ac:dyDescent="0.25">
      <c r="N3857" t="s">
        <v>675</v>
      </c>
    </row>
    <row r="3858" spans="14:14" ht="15" customHeight="1" x14ac:dyDescent="0.25">
      <c r="N3858" t="s">
        <v>582</v>
      </c>
    </row>
    <row r="3859" spans="14:14" ht="15" customHeight="1" x14ac:dyDescent="0.25">
      <c r="N3859" t="s">
        <v>582</v>
      </c>
    </row>
    <row r="3860" spans="14:14" ht="15" customHeight="1" x14ac:dyDescent="0.25">
      <c r="N3860" t="s">
        <v>713</v>
      </c>
    </row>
    <row r="3861" spans="14:14" ht="15" customHeight="1" x14ac:dyDescent="0.25">
      <c r="N3861" t="s">
        <v>558</v>
      </c>
    </row>
    <row r="3862" spans="14:14" ht="15" customHeight="1" x14ac:dyDescent="0.25">
      <c r="N3862" t="s">
        <v>732</v>
      </c>
    </row>
    <row r="3863" spans="14:14" ht="15" customHeight="1" x14ac:dyDescent="0.25">
      <c r="N3863" t="s">
        <v>670</v>
      </c>
    </row>
    <row r="3864" spans="14:14" ht="15" customHeight="1" x14ac:dyDescent="0.25">
      <c r="N3864" t="s">
        <v>670</v>
      </c>
    </row>
    <row r="3865" spans="14:14" ht="15" customHeight="1" x14ac:dyDescent="0.25">
      <c r="N3865" t="s">
        <v>370</v>
      </c>
    </row>
    <row r="3866" spans="14:14" ht="15" customHeight="1" x14ac:dyDescent="0.25">
      <c r="N3866" t="s">
        <v>714</v>
      </c>
    </row>
    <row r="3867" spans="14:14" ht="15" customHeight="1" x14ac:dyDescent="0.25">
      <c r="N3867" t="s">
        <v>685</v>
      </c>
    </row>
    <row r="3868" spans="14:14" ht="15" customHeight="1" x14ac:dyDescent="0.25">
      <c r="N3868" t="s">
        <v>582</v>
      </c>
    </row>
    <row r="3869" spans="14:14" ht="15" customHeight="1" x14ac:dyDescent="0.25">
      <c r="N3869" t="s">
        <v>686</v>
      </c>
    </row>
    <row r="3870" spans="14:14" ht="15" customHeight="1" x14ac:dyDescent="0.25">
      <c r="N3870" t="s">
        <v>670</v>
      </c>
    </row>
    <row r="3871" spans="14:14" ht="15" customHeight="1" x14ac:dyDescent="0.25">
      <c r="N3871" t="s">
        <v>304</v>
      </c>
    </row>
    <row r="3872" spans="14:14" ht="15" customHeight="1" x14ac:dyDescent="0.25">
      <c r="N3872" t="s">
        <v>669</v>
      </c>
    </row>
    <row r="3873" spans="14:14" ht="15" customHeight="1" x14ac:dyDescent="0.25">
      <c r="N3873" t="s">
        <v>553</v>
      </c>
    </row>
    <row r="3874" spans="14:14" ht="15" customHeight="1" x14ac:dyDescent="0.25">
      <c r="N3874" t="s">
        <v>582</v>
      </c>
    </row>
    <row r="3875" spans="14:14" ht="15" customHeight="1" x14ac:dyDescent="0.25">
      <c r="N3875" t="s">
        <v>715</v>
      </c>
    </row>
    <row r="3876" spans="14:14" ht="15" customHeight="1" x14ac:dyDescent="0.25">
      <c r="N3876" t="s">
        <v>714</v>
      </c>
    </row>
    <row r="3877" spans="14:14" ht="15" customHeight="1" x14ac:dyDescent="0.25">
      <c r="N3877" t="s">
        <v>642</v>
      </c>
    </row>
    <row r="3878" spans="14:14" ht="15" customHeight="1" x14ac:dyDescent="0.25">
      <c r="N3878" t="s">
        <v>690</v>
      </c>
    </row>
    <row r="3879" spans="14:14" ht="15" customHeight="1" x14ac:dyDescent="0.25">
      <c r="N3879" t="s">
        <v>582</v>
      </c>
    </row>
    <row r="3880" spans="14:14" ht="15" customHeight="1" x14ac:dyDescent="0.25">
      <c r="N3880" t="s">
        <v>605</v>
      </c>
    </row>
    <row r="3881" spans="14:14" ht="15" customHeight="1" x14ac:dyDescent="0.25">
      <c r="N3881" t="s">
        <v>732</v>
      </c>
    </row>
    <row r="3882" spans="14:14" ht="15" customHeight="1" x14ac:dyDescent="0.25">
      <c r="N3882" t="s">
        <v>714</v>
      </c>
    </row>
    <row r="3883" spans="14:14" ht="15" customHeight="1" x14ac:dyDescent="0.25">
      <c r="N3883" t="s">
        <v>304</v>
      </c>
    </row>
    <row r="3884" spans="14:14" ht="15" customHeight="1" x14ac:dyDescent="0.25">
      <c r="N3884" t="s">
        <v>642</v>
      </c>
    </row>
    <row r="3885" spans="14:14" ht="15" customHeight="1" x14ac:dyDescent="0.25">
      <c r="N3885" t="s">
        <v>714</v>
      </c>
    </row>
    <row r="3886" spans="14:14" ht="15" customHeight="1" x14ac:dyDescent="0.25">
      <c r="N3886" t="s">
        <v>371</v>
      </c>
    </row>
    <row r="3887" spans="14:14" ht="15" customHeight="1" x14ac:dyDescent="0.25">
      <c r="N3887" t="s">
        <v>425</v>
      </c>
    </row>
    <row r="3888" spans="14:14" ht="15" customHeight="1" x14ac:dyDescent="0.25">
      <c r="N3888" t="s">
        <v>582</v>
      </c>
    </row>
    <row r="3889" spans="14:14" ht="15" customHeight="1" x14ac:dyDescent="0.25">
      <c r="N3889" t="s">
        <v>684</v>
      </c>
    </row>
    <row r="3890" spans="14:14" ht="15" customHeight="1" x14ac:dyDescent="0.25">
      <c r="N3890" t="s">
        <v>685</v>
      </c>
    </row>
    <row r="3891" spans="14:14" ht="15" customHeight="1" x14ac:dyDescent="0.25">
      <c r="N3891" t="s">
        <v>313</v>
      </c>
    </row>
    <row r="3892" spans="14:14" ht="15" customHeight="1" x14ac:dyDescent="0.25">
      <c r="N3892" t="s">
        <v>714</v>
      </c>
    </row>
    <row r="3893" spans="14:14" ht="15" customHeight="1" x14ac:dyDescent="0.25">
      <c r="N3893" t="s">
        <v>687</v>
      </c>
    </row>
    <row r="3894" spans="14:14" ht="15" customHeight="1" x14ac:dyDescent="0.25">
      <c r="N3894" t="s">
        <v>642</v>
      </c>
    </row>
    <row r="3895" spans="14:14" ht="15" customHeight="1" x14ac:dyDescent="0.25">
      <c r="N3895" t="s">
        <v>638</v>
      </c>
    </row>
    <row r="3896" spans="14:14" ht="15" customHeight="1" x14ac:dyDescent="0.25">
      <c r="N3896" t="s">
        <v>582</v>
      </c>
    </row>
    <row r="3897" spans="14:14" ht="15" customHeight="1" x14ac:dyDescent="0.25">
      <c r="N3897" t="s">
        <v>582</v>
      </c>
    </row>
    <row r="3898" spans="14:14" ht="15" customHeight="1" x14ac:dyDescent="0.25">
      <c r="N3898" t="s">
        <v>714</v>
      </c>
    </row>
    <row r="3899" spans="14:14" ht="15" customHeight="1" x14ac:dyDescent="0.25">
      <c r="N3899" t="s">
        <v>714</v>
      </c>
    </row>
    <row r="3900" spans="14:14" ht="15" customHeight="1" x14ac:dyDescent="0.25">
      <c r="N3900" t="s">
        <v>638</v>
      </c>
    </row>
    <row r="3901" spans="14:14" ht="15" customHeight="1" x14ac:dyDescent="0.25">
      <c r="N3901" t="s">
        <v>638</v>
      </c>
    </row>
    <row r="3902" spans="14:14" ht="15" customHeight="1" x14ac:dyDescent="0.25">
      <c r="N3902" t="s">
        <v>582</v>
      </c>
    </row>
    <row r="3903" spans="14:14" ht="15" customHeight="1" x14ac:dyDescent="0.25">
      <c r="N3903" t="s">
        <v>68</v>
      </c>
    </row>
    <row r="3904" spans="14:14" ht="15" customHeight="1" x14ac:dyDescent="0.25">
      <c r="N3904" t="s">
        <v>675</v>
      </c>
    </row>
    <row r="3905" spans="14:14" ht="15" customHeight="1" x14ac:dyDescent="0.25">
      <c r="N3905" t="s">
        <v>706</v>
      </c>
    </row>
    <row r="3906" spans="14:14" ht="15" customHeight="1" x14ac:dyDescent="0.25">
      <c r="N3906" t="s">
        <v>582</v>
      </c>
    </row>
    <row r="3907" spans="14:14" ht="15" customHeight="1" x14ac:dyDescent="0.25">
      <c r="N3907" t="s">
        <v>68</v>
      </c>
    </row>
    <row r="3908" spans="14:14" ht="15" customHeight="1" x14ac:dyDescent="0.25">
      <c r="N3908" t="s">
        <v>622</v>
      </c>
    </row>
    <row r="3909" spans="14:14" ht="15" customHeight="1" x14ac:dyDescent="0.25">
      <c r="N3909" t="s">
        <v>68</v>
      </c>
    </row>
    <row r="3910" spans="14:14" ht="15" customHeight="1" x14ac:dyDescent="0.25">
      <c r="N3910" t="s">
        <v>736</v>
      </c>
    </row>
    <row r="3911" spans="14:14" ht="15" customHeight="1" x14ac:dyDescent="0.25">
      <c r="N3911" t="s">
        <v>68</v>
      </c>
    </row>
    <row r="3912" spans="14:14" ht="15" customHeight="1" x14ac:dyDescent="0.25">
      <c r="N3912" t="s">
        <v>689</v>
      </c>
    </row>
    <row r="3913" spans="14:14" ht="15" customHeight="1" x14ac:dyDescent="0.25">
      <c r="N3913" t="s">
        <v>706</v>
      </c>
    </row>
    <row r="3914" spans="14:14" ht="15" customHeight="1" x14ac:dyDescent="0.25">
      <c r="N3914" t="s">
        <v>582</v>
      </c>
    </row>
    <row r="3915" spans="14:14" ht="15" customHeight="1" x14ac:dyDescent="0.25">
      <c r="N3915" t="s">
        <v>68</v>
      </c>
    </row>
    <row r="3916" spans="14:14" ht="15" customHeight="1" x14ac:dyDescent="0.25">
      <c r="N3916" t="s">
        <v>732</v>
      </c>
    </row>
    <row r="3917" spans="14:14" ht="15" customHeight="1" x14ac:dyDescent="0.25">
      <c r="N3917" t="s">
        <v>496</v>
      </c>
    </row>
    <row r="3918" spans="14:14" ht="15" customHeight="1" x14ac:dyDescent="0.25">
      <c r="N3918" t="s">
        <v>68</v>
      </c>
    </row>
    <row r="3919" spans="14:14" ht="15" customHeight="1" x14ac:dyDescent="0.25">
      <c r="N3919" t="s">
        <v>68</v>
      </c>
    </row>
    <row r="3920" spans="14:14" ht="15" customHeight="1" x14ac:dyDescent="0.25">
      <c r="N3920" t="s">
        <v>689</v>
      </c>
    </row>
    <row r="3921" spans="14:14" ht="15" customHeight="1" x14ac:dyDescent="0.25">
      <c r="N3921" t="s">
        <v>684</v>
      </c>
    </row>
    <row r="3922" spans="14:14" ht="15" customHeight="1" x14ac:dyDescent="0.25">
      <c r="N3922" t="s">
        <v>582</v>
      </c>
    </row>
    <row r="3923" spans="14:14" ht="15" customHeight="1" x14ac:dyDescent="0.25">
      <c r="N3923" t="s">
        <v>68</v>
      </c>
    </row>
    <row r="3924" spans="14:14" ht="15" customHeight="1" x14ac:dyDescent="0.25">
      <c r="N3924" t="s">
        <v>675</v>
      </c>
    </row>
    <row r="3925" spans="14:14" ht="15" customHeight="1" x14ac:dyDescent="0.25">
      <c r="N3925" t="s">
        <v>68</v>
      </c>
    </row>
    <row r="3926" spans="14:14" ht="15" customHeight="1" x14ac:dyDescent="0.25">
      <c r="N3926" t="s">
        <v>706</v>
      </c>
    </row>
    <row r="3927" spans="14:14" ht="15" customHeight="1" x14ac:dyDescent="0.25">
      <c r="N3927" t="s">
        <v>313</v>
      </c>
    </row>
    <row r="3928" spans="14:14" ht="15" customHeight="1" x14ac:dyDescent="0.25">
      <c r="N3928" t="s">
        <v>621</v>
      </c>
    </row>
    <row r="3929" spans="14:14" ht="15" customHeight="1" x14ac:dyDescent="0.25">
      <c r="N3929" t="s">
        <v>68</v>
      </c>
    </row>
    <row r="3930" spans="14:14" ht="15" customHeight="1" x14ac:dyDescent="0.25">
      <c r="N3930" t="s">
        <v>582</v>
      </c>
    </row>
    <row r="3931" spans="14:14" ht="15" customHeight="1" x14ac:dyDescent="0.25">
      <c r="N3931" t="s">
        <v>313</v>
      </c>
    </row>
    <row r="3932" spans="14:14" ht="15" customHeight="1" x14ac:dyDescent="0.25">
      <c r="N3932" t="s">
        <v>677</v>
      </c>
    </row>
    <row r="3933" spans="14:14" ht="15" customHeight="1" x14ac:dyDescent="0.25">
      <c r="N3933" t="s">
        <v>68</v>
      </c>
    </row>
    <row r="3934" spans="14:14" ht="15" customHeight="1" x14ac:dyDescent="0.25">
      <c r="N3934" t="s">
        <v>68</v>
      </c>
    </row>
    <row r="3935" spans="14:14" ht="15" customHeight="1" x14ac:dyDescent="0.25">
      <c r="N3935" t="s">
        <v>677</v>
      </c>
    </row>
    <row r="3936" spans="14:14" ht="15" customHeight="1" x14ac:dyDescent="0.25">
      <c r="N3936" t="s">
        <v>677</v>
      </c>
    </row>
    <row r="3937" spans="14:14" ht="15" customHeight="1" x14ac:dyDescent="0.25">
      <c r="N3937" t="s">
        <v>68</v>
      </c>
    </row>
    <row r="3938" spans="14:14" ht="15" customHeight="1" x14ac:dyDescent="0.25">
      <c r="N3938" t="s">
        <v>68</v>
      </c>
    </row>
    <row r="3939" spans="14:14" ht="15" customHeight="1" x14ac:dyDescent="0.25">
      <c r="N3939" t="s">
        <v>687</v>
      </c>
    </row>
    <row r="3940" spans="14:14" ht="15" customHeight="1" x14ac:dyDescent="0.25">
      <c r="N3940" t="s">
        <v>582</v>
      </c>
    </row>
    <row r="3941" spans="14:14" ht="15" customHeight="1" x14ac:dyDescent="0.25">
      <c r="N3941" t="s">
        <v>687</v>
      </c>
    </row>
    <row r="3942" spans="14:14" ht="15" customHeight="1" x14ac:dyDescent="0.25">
      <c r="N3942" t="s">
        <v>68</v>
      </c>
    </row>
    <row r="3943" spans="14:14" ht="15" customHeight="1" x14ac:dyDescent="0.25">
      <c r="N3943" t="s">
        <v>690</v>
      </c>
    </row>
    <row r="3944" spans="14:14" ht="15" customHeight="1" x14ac:dyDescent="0.25">
      <c r="N3944" t="s">
        <v>715</v>
      </c>
    </row>
    <row r="3945" spans="14:14" ht="15" customHeight="1" x14ac:dyDescent="0.25">
      <c r="N3945" t="s">
        <v>715</v>
      </c>
    </row>
    <row r="3946" spans="14:14" ht="15" customHeight="1" x14ac:dyDescent="0.25">
      <c r="N3946" t="s">
        <v>696</v>
      </c>
    </row>
    <row r="3947" spans="14:14" ht="15" customHeight="1" x14ac:dyDescent="0.25">
      <c r="N3947" t="s">
        <v>666</v>
      </c>
    </row>
    <row r="3948" spans="14:14" ht="15" customHeight="1" x14ac:dyDescent="0.25">
      <c r="N3948" t="s">
        <v>715</v>
      </c>
    </row>
    <row r="3949" spans="14:14" ht="15" customHeight="1" x14ac:dyDescent="0.25">
      <c r="N3949" t="s">
        <v>592</v>
      </c>
    </row>
    <row r="3950" spans="14:14" ht="15" customHeight="1" x14ac:dyDescent="0.25">
      <c r="N3950" t="s">
        <v>592</v>
      </c>
    </row>
    <row r="3951" spans="14:14" ht="15" customHeight="1" x14ac:dyDescent="0.25">
      <c r="N3951" t="s">
        <v>592</v>
      </c>
    </row>
    <row r="3952" spans="14:14" ht="15" customHeight="1" x14ac:dyDescent="0.25">
      <c r="N3952" t="s">
        <v>592</v>
      </c>
    </row>
    <row r="3953" spans="14:14" ht="15" customHeight="1" x14ac:dyDescent="0.25">
      <c r="N3953" t="s">
        <v>592</v>
      </c>
    </row>
    <row r="3954" spans="14:14" ht="15" customHeight="1" x14ac:dyDescent="0.25">
      <c r="N3954" t="s">
        <v>317</v>
      </c>
    </row>
    <row r="3955" spans="14:14" ht="15" customHeight="1" x14ac:dyDescent="0.25">
      <c r="N3955" t="s">
        <v>715</v>
      </c>
    </row>
    <row r="3956" spans="14:14" ht="15" customHeight="1" x14ac:dyDescent="0.25">
      <c r="N3956" t="s">
        <v>715</v>
      </c>
    </row>
    <row r="3957" spans="14:14" ht="15" customHeight="1" x14ac:dyDescent="0.25">
      <c r="N3957" t="s">
        <v>715</v>
      </c>
    </row>
    <row r="3958" spans="14:14" ht="15" customHeight="1" x14ac:dyDescent="0.25">
      <c r="N3958" t="s">
        <v>317</v>
      </c>
    </row>
    <row r="3959" spans="14:14" ht="15" customHeight="1" x14ac:dyDescent="0.25">
      <c r="N3959" t="s">
        <v>313</v>
      </c>
    </row>
    <row r="3960" spans="14:14" ht="15" customHeight="1" x14ac:dyDescent="0.25">
      <c r="N3960" t="s">
        <v>715</v>
      </c>
    </row>
    <row r="3961" spans="14:14" ht="15" customHeight="1" x14ac:dyDescent="0.25">
      <c r="N3961" t="s">
        <v>715</v>
      </c>
    </row>
    <row r="3962" spans="14:14" ht="15" customHeight="1" x14ac:dyDescent="0.25">
      <c r="N3962" t="s">
        <v>715</v>
      </c>
    </row>
    <row r="3963" spans="14:14" ht="15" customHeight="1" x14ac:dyDescent="0.25">
      <c r="N3963" t="s">
        <v>737</v>
      </c>
    </row>
    <row r="3964" spans="14:14" ht="15" customHeight="1" x14ac:dyDescent="0.25">
      <c r="N3964" t="s">
        <v>715</v>
      </c>
    </row>
    <row r="3965" spans="14:14" ht="15" customHeight="1" x14ac:dyDescent="0.25">
      <c r="N3965" t="s">
        <v>715</v>
      </c>
    </row>
    <row r="3966" spans="14:14" ht="15" customHeight="1" x14ac:dyDescent="0.25">
      <c r="N3966" t="s">
        <v>715</v>
      </c>
    </row>
    <row r="3967" spans="14:14" ht="15" customHeight="1" x14ac:dyDescent="0.25">
      <c r="N3967" t="s">
        <v>738</v>
      </c>
    </row>
    <row r="3968" spans="14:14" ht="15" customHeight="1" x14ac:dyDescent="0.25">
      <c r="N3968" t="s">
        <v>715</v>
      </c>
    </row>
    <row r="3969" spans="14:14" ht="15" customHeight="1" x14ac:dyDescent="0.25">
      <c r="N3969" t="s">
        <v>669</v>
      </c>
    </row>
    <row r="3970" spans="14:14" ht="15" customHeight="1" x14ac:dyDescent="0.25">
      <c r="N3970" t="s">
        <v>739</v>
      </c>
    </row>
    <row r="3971" spans="14:14" ht="15" customHeight="1" x14ac:dyDescent="0.25">
      <c r="N3971" t="s">
        <v>611</v>
      </c>
    </row>
    <row r="3972" spans="14:14" ht="15" customHeight="1" x14ac:dyDescent="0.25">
      <c r="N3972" t="s">
        <v>740</v>
      </c>
    </row>
    <row r="3973" spans="14:14" ht="15" customHeight="1" x14ac:dyDescent="0.25">
      <c r="N3973" t="s">
        <v>675</v>
      </c>
    </row>
    <row r="3974" spans="14:14" ht="15" customHeight="1" x14ac:dyDescent="0.25">
      <c r="N3974" t="s">
        <v>741</v>
      </c>
    </row>
    <row r="3975" spans="14:14" ht="15" customHeight="1" x14ac:dyDescent="0.25">
      <c r="N3975" t="s">
        <v>742</v>
      </c>
    </row>
    <row r="3976" spans="14:14" ht="15" customHeight="1" x14ac:dyDescent="0.25">
      <c r="N3976" t="s">
        <v>403</v>
      </c>
    </row>
    <row r="3977" spans="14:14" ht="15" customHeight="1" x14ac:dyDescent="0.25">
      <c r="N3977" t="s">
        <v>582</v>
      </c>
    </row>
    <row r="3978" spans="14:14" ht="15" customHeight="1" x14ac:dyDescent="0.25">
      <c r="N3978" t="s">
        <v>696</v>
      </c>
    </row>
    <row r="3979" spans="14:14" ht="15" customHeight="1" x14ac:dyDescent="0.25">
      <c r="N3979" t="s">
        <v>743</v>
      </c>
    </row>
    <row r="3980" spans="14:14" ht="15" customHeight="1" x14ac:dyDescent="0.25">
      <c r="N3980" t="s">
        <v>714</v>
      </c>
    </row>
    <row r="3981" spans="14:14" ht="15" customHeight="1" x14ac:dyDescent="0.25">
      <c r="N3981" t="s">
        <v>744</v>
      </c>
    </row>
    <row r="3982" spans="14:14" ht="15" customHeight="1" x14ac:dyDescent="0.25">
      <c r="N3982" t="s">
        <v>463</v>
      </c>
    </row>
    <row r="3983" spans="14:14" ht="15" customHeight="1" x14ac:dyDescent="0.25">
      <c r="N3983" t="s">
        <v>696</v>
      </c>
    </row>
    <row r="3984" spans="14:14" ht="15" customHeight="1" x14ac:dyDescent="0.25">
      <c r="N3984" t="s">
        <v>715</v>
      </c>
    </row>
    <row r="3985" spans="14:14" ht="15" customHeight="1" x14ac:dyDescent="0.25">
      <c r="N3985" t="s">
        <v>651</v>
      </c>
    </row>
    <row r="3986" spans="14:14" ht="15" customHeight="1" x14ac:dyDescent="0.25">
      <c r="N3986" t="s">
        <v>732</v>
      </c>
    </row>
    <row r="3987" spans="14:14" ht="15" customHeight="1" x14ac:dyDescent="0.25">
      <c r="N3987" t="s">
        <v>666</v>
      </c>
    </row>
    <row r="3988" spans="14:14" ht="15" customHeight="1" x14ac:dyDescent="0.25">
      <c r="N3988" t="s">
        <v>745</v>
      </c>
    </row>
    <row r="3989" spans="14:14" ht="15" customHeight="1" x14ac:dyDescent="0.25">
      <c r="N3989" t="s">
        <v>582</v>
      </c>
    </row>
    <row r="3990" spans="14:14" ht="15" customHeight="1" x14ac:dyDescent="0.25">
      <c r="N3990" t="s">
        <v>643</v>
      </c>
    </row>
    <row r="3991" spans="14:14" ht="15" customHeight="1" x14ac:dyDescent="0.25">
      <c r="N3991" t="s">
        <v>582</v>
      </c>
    </row>
    <row r="3992" spans="14:14" ht="15" customHeight="1" x14ac:dyDescent="0.25">
      <c r="N3992" t="s">
        <v>582</v>
      </c>
    </row>
    <row r="3993" spans="14:14" ht="15" customHeight="1" x14ac:dyDescent="0.25">
      <c r="N3993" t="s">
        <v>582</v>
      </c>
    </row>
    <row r="3994" spans="14:14" ht="15" customHeight="1" x14ac:dyDescent="0.25">
      <c r="N3994" t="s">
        <v>715</v>
      </c>
    </row>
    <row r="3995" spans="14:14" ht="15" customHeight="1" x14ac:dyDescent="0.25">
      <c r="N3995" t="s">
        <v>713</v>
      </c>
    </row>
    <row r="3996" spans="14:14" ht="15" customHeight="1" x14ac:dyDescent="0.25">
      <c r="N3996" t="s">
        <v>713</v>
      </c>
    </row>
    <row r="3997" spans="14:14" ht="15" customHeight="1" x14ac:dyDescent="0.25">
      <c r="N3997" t="s">
        <v>715</v>
      </c>
    </row>
    <row r="3998" spans="14:14" ht="15" customHeight="1" x14ac:dyDescent="0.25">
      <c r="N3998" t="s">
        <v>713</v>
      </c>
    </row>
    <row r="3999" spans="14:14" ht="15" customHeight="1" x14ac:dyDescent="0.25">
      <c r="N3999" t="s">
        <v>713</v>
      </c>
    </row>
    <row r="4000" spans="14:14" ht="15" customHeight="1" x14ac:dyDescent="0.25">
      <c r="N4000" t="s">
        <v>408</v>
      </c>
    </row>
    <row r="4001" spans="14:14" ht="15" customHeight="1" x14ac:dyDescent="0.25">
      <c r="N4001" t="s">
        <v>713</v>
      </c>
    </row>
    <row r="4002" spans="14:14" ht="15" customHeight="1" x14ac:dyDescent="0.25">
      <c r="N4002" t="s">
        <v>713</v>
      </c>
    </row>
    <row r="4003" spans="14:14" ht="15" customHeight="1" x14ac:dyDescent="0.25">
      <c r="N4003" t="s">
        <v>606</v>
      </c>
    </row>
    <row r="4004" spans="14:14" ht="15" customHeight="1" x14ac:dyDescent="0.25">
      <c r="N4004" t="s">
        <v>458</v>
      </c>
    </row>
    <row r="4005" spans="14:14" ht="15" customHeight="1" x14ac:dyDescent="0.25">
      <c r="N4005" t="s">
        <v>686</v>
      </c>
    </row>
    <row r="4006" spans="14:14" ht="15" customHeight="1" x14ac:dyDescent="0.25">
      <c r="N4006" t="s">
        <v>558</v>
      </c>
    </row>
    <row r="4007" spans="14:14" ht="15" customHeight="1" x14ac:dyDescent="0.25">
      <c r="N4007" t="s">
        <v>713</v>
      </c>
    </row>
    <row r="4008" spans="14:14" ht="15" customHeight="1" x14ac:dyDescent="0.25">
      <c r="N4008" t="s">
        <v>715</v>
      </c>
    </row>
    <row r="4009" spans="14:14" ht="15" customHeight="1" x14ac:dyDescent="0.25">
      <c r="N4009" t="s">
        <v>689</v>
      </c>
    </row>
    <row r="4010" spans="14:14" ht="15" customHeight="1" x14ac:dyDescent="0.25">
      <c r="N4010" t="s">
        <v>689</v>
      </c>
    </row>
    <row r="4011" spans="14:14" ht="15" customHeight="1" x14ac:dyDescent="0.25">
      <c r="N4011" t="s">
        <v>715</v>
      </c>
    </row>
    <row r="4012" spans="14:14" ht="15" customHeight="1" x14ac:dyDescent="0.25">
      <c r="N4012" t="s">
        <v>690</v>
      </c>
    </row>
    <row r="4013" spans="14:14" ht="15" customHeight="1" x14ac:dyDescent="0.25">
      <c r="N4013" t="s">
        <v>746</v>
      </c>
    </row>
    <row r="4014" spans="14:14" ht="15" customHeight="1" x14ac:dyDescent="0.25">
      <c r="N4014" t="s">
        <v>715</v>
      </c>
    </row>
    <row r="4015" spans="14:14" ht="15" customHeight="1" x14ac:dyDescent="0.25">
      <c r="N4015" t="s">
        <v>747</v>
      </c>
    </row>
    <row r="4016" spans="14:14" ht="15" customHeight="1" x14ac:dyDescent="0.25">
      <c r="N4016" t="s">
        <v>747</v>
      </c>
    </row>
    <row r="4017" spans="14:14" ht="15" customHeight="1" x14ac:dyDescent="0.25">
      <c r="N4017" t="s">
        <v>747</v>
      </c>
    </row>
    <row r="4018" spans="14:14" ht="15" customHeight="1" x14ac:dyDescent="0.25">
      <c r="N4018" t="s">
        <v>747</v>
      </c>
    </row>
    <row r="4019" spans="14:14" ht="15" customHeight="1" x14ac:dyDescent="0.25">
      <c r="N4019" t="s">
        <v>747</v>
      </c>
    </row>
    <row r="4020" spans="14:14" ht="15" customHeight="1" x14ac:dyDescent="0.25">
      <c r="N4020" t="s">
        <v>317</v>
      </c>
    </row>
    <row r="4021" spans="14:14" ht="15" customHeight="1" x14ac:dyDescent="0.25">
      <c r="N4021" t="s">
        <v>715</v>
      </c>
    </row>
    <row r="4022" spans="14:14" ht="15" customHeight="1" x14ac:dyDescent="0.25">
      <c r="N4022" t="s">
        <v>715</v>
      </c>
    </row>
    <row r="4023" spans="14:14" ht="15" customHeight="1" x14ac:dyDescent="0.25">
      <c r="N4023" t="s">
        <v>341</v>
      </c>
    </row>
    <row r="4024" spans="14:14" ht="15" customHeight="1" x14ac:dyDescent="0.25">
      <c r="N4024" t="s">
        <v>709</v>
      </c>
    </row>
    <row r="4025" spans="14:14" ht="15" customHeight="1" x14ac:dyDescent="0.25">
      <c r="N4025" t="s">
        <v>715</v>
      </c>
    </row>
    <row r="4026" spans="14:14" ht="15" customHeight="1" x14ac:dyDescent="0.25">
      <c r="N4026" t="s">
        <v>715</v>
      </c>
    </row>
    <row r="4027" spans="14:14" ht="15" customHeight="1" x14ac:dyDescent="0.25">
      <c r="N4027" t="s">
        <v>582</v>
      </c>
    </row>
    <row r="4028" spans="14:14" ht="15" customHeight="1" x14ac:dyDescent="0.25">
      <c r="N4028" t="s">
        <v>698</v>
      </c>
    </row>
    <row r="4029" spans="14:14" ht="15" customHeight="1" x14ac:dyDescent="0.25">
      <c r="N4029" t="s">
        <v>582</v>
      </c>
    </row>
    <row r="4030" spans="14:14" ht="15" customHeight="1" x14ac:dyDescent="0.25">
      <c r="N4030" t="s">
        <v>740</v>
      </c>
    </row>
    <row r="4031" spans="14:14" ht="15" customHeight="1" x14ac:dyDescent="0.25">
      <c r="N4031" t="s">
        <v>655</v>
      </c>
    </row>
    <row r="4032" spans="14:14" ht="15" customHeight="1" x14ac:dyDescent="0.25">
      <c r="N4032" t="s">
        <v>748</v>
      </c>
    </row>
    <row r="4033" spans="14:14" ht="15" customHeight="1" x14ac:dyDescent="0.25">
      <c r="N4033" t="s">
        <v>582</v>
      </c>
    </row>
    <row r="4034" spans="14:14" ht="15" customHeight="1" x14ac:dyDescent="0.25">
      <c r="N4034" t="s">
        <v>735</v>
      </c>
    </row>
    <row r="4035" spans="14:14" ht="15" customHeight="1" x14ac:dyDescent="0.25">
      <c r="N4035" t="s">
        <v>582</v>
      </c>
    </row>
    <row r="4036" spans="14:14" ht="15" customHeight="1" x14ac:dyDescent="0.25">
      <c r="N4036" t="s">
        <v>435</v>
      </c>
    </row>
    <row r="4037" spans="14:14" ht="15" customHeight="1" x14ac:dyDescent="0.25">
      <c r="N4037" t="s">
        <v>715</v>
      </c>
    </row>
    <row r="4038" spans="14:14" ht="15" customHeight="1" x14ac:dyDescent="0.25">
      <c r="N4038" t="s">
        <v>715</v>
      </c>
    </row>
    <row r="4039" spans="14:14" ht="15" customHeight="1" x14ac:dyDescent="0.25">
      <c r="N4039" t="s">
        <v>651</v>
      </c>
    </row>
    <row r="4040" spans="14:14" ht="15" customHeight="1" x14ac:dyDescent="0.25">
      <c r="N4040" t="s">
        <v>715</v>
      </c>
    </row>
    <row r="4041" spans="14:14" ht="15" customHeight="1" x14ac:dyDescent="0.25">
      <c r="N4041" t="s">
        <v>621</v>
      </c>
    </row>
    <row r="4042" spans="14:14" ht="15" customHeight="1" x14ac:dyDescent="0.25">
      <c r="N4042" t="s">
        <v>582</v>
      </c>
    </row>
    <row r="4043" spans="14:14" ht="15" customHeight="1" x14ac:dyDescent="0.25">
      <c r="N4043" t="s">
        <v>643</v>
      </c>
    </row>
    <row r="4044" spans="14:14" ht="15" customHeight="1" x14ac:dyDescent="0.25">
      <c r="N4044" t="s">
        <v>607</v>
      </c>
    </row>
    <row r="4045" spans="14:14" ht="15" customHeight="1" x14ac:dyDescent="0.25">
      <c r="N4045" t="s">
        <v>715</v>
      </c>
    </row>
    <row r="4046" spans="14:14" ht="15" customHeight="1" x14ac:dyDescent="0.25">
      <c r="N4046" t="s">
        <v>713</v>
      </c>
    </row>
    <row r="4047" spans="14:14" ht="15" customHeight="1" x14ac:dyDescent="0.25">
      <c r="N4047" t="s">
        <v>715</v>
      </c>
    </row>
    <row r="4048" spans="14:14" ht="15" customHeight="1" x14ac:dyDescent="0.25">
      <c r="N4048" t="s">
        <v>606</v>
      </c>
    </row>
    <row r="4049" spans="14:14" ht="15" customHeight="1" x14ac:dyDescent="0.25">
      <c r="N4049" t="s">
        <v>408</v>
      </c>
    </row>
    <row r="4050" spans="14:14" ht="15" customHeight="1" x14ac:dyDescent="0.25">
      <c r="N4050" t="s">
        <v>713</v>
      </c>
    </row>
    <row r="4051" spans="14:14" ht="15" customHeight="1" x14ac:dyDescent="0.25">
      <c r="N4051" t="s">
        <v>713</v>
      </c>
    </row>
    <row r="4052" spans="14:14" ht="15" customHeight="1" x14ac:dyDescent="0.25">
      <c r="N4052" t="s">
        <v>713</v>
      </c>
    </row>
    <row r="4053" spans="14:14" ht="15" customHeight="1" x14ac:dyDescent="0.25">
      <c r="N4053" t="s">
        <v>713</v>
      </c>
    </row>
    <row r="4054" spans="14:14" ht="15" customHeight="1" x14ac:dyDescent="0.25">
      <c r="N4054" t="s">
        <v>686</v>
      </c>
    </row>
    <row r="4055" spans="14:14" ht="15" customHeight="1" x14ac:dyDescent="0.25">
      <c r="N4055" t="s">
        <v>558</v>
      </c>
    </row>
    <row r="4056" spans="14:14" ht="15" customHeight="1" x14ac:dyDescent="0.25">
      <c r="N4056" t="s">
        <v>713</v>
      </c>
    </row>
    <row r="4057" spans="14:14" ht="15" customHeight="1" x14ac:dyDescent="0.25">
      <c r="N4057" t="s">
        <v>715</v>
      </c>
    </row>
    <row r="4058" spans="14:14" ht="15" customHeight="1" x14ac:dyDescent="0.25">
      <c r="N4058" t="s">
        <v>555</v>
      </c>
    </row>
    <row r="4059" spans="14:14" ht="15" customHeight="1" x14ac:dyDescent="0.25">
      <c r="N4059" t="s">
        <v>524</v>
      </c>
    </row>
    <row r="4060" spans="14:14" ht="15" customHeight="1" x14ac:dyDescent="0.25">
      <c r="N4060" t="s">
        <v>715</v>
      </c>
    </row>
    <row r="4061" spans="14:14" ht="15" customHeight="1" x14ac:dyDescent="0.25">
      <c r="N4061" t="s">
        <v>689</v>
      </c>
    </row>
    <row r="4062" spans="14:14" ht="15" customHeight="1" x14ac:dyDescent="0.25">
      <c r="N4062" t="s">
        <v>689</v>
      </c>
    </row>
    <row r="4063" spans="14:14" ht="15" customHeight="1" x14ac:dyDescent="0.25">
      <c r="N4063" t="s">
        <v>715</v>
      </c>
    </row>
    <row r="4064" spans="14:14" ht="15" customHeight="1" x14ac:dyDescent="0.25">
      <c r="N4064" t="s">
        <v>689</v>
      </c>
    </row>
    <row r="4065" spans="14:14" ht="15" customHeight="1" x14ac:dyDescent="0.25">
      <c r="N4065" t="s">
        <v>690</v>
      </c>
    </row>
    <row r="4066" spans="14:14" ht="15" customHeight="1" x14ac:dyDescent="0.25">
      <c r="N4066" t="s">
        <v>582</v>
      </c>
    </row>
    <row r="4067" spans="14:14" ht="15" customHeight="1" x14ac:dyDescent="0.25">
      <c r="N4067" t="s">
        <v>317</v>
      </c>
    </row>
    <row r="4068" spans="14:14" ht="15" customHeight="1" x14ac:dyDescent="0.25">
      <c r="N4068" t="s">
        <v>715</v>
      </c>
    </row>
    <row r="4069" spans="14:14" ht="15" customHeight="1" x14ac:dyDescent="0.25">
      <c r="N4069" t="s">
        <v>342</v>
      </c>
    </row>
    <row r="4070" spans="14:14" ht="15" customHeight="1" x14ac:dyDescent="0.25">
      <c r="N4070" t="s">
        <v>582</v>
      </c>
    </row>
    <row r="4071" spans="14:14" ht="15" customHeight="1" x14ac:dyDescent="0.25">
      <c r="N4071" t="s">
        <v>698</v>
      </c>
    </row>
    <row r="4072" spans="14:14" ht="15" customHeight="1" x14ac:dyDescent="0.25">
      <c r="N4072" t="s">
        <v>582</v>
      </c>
    </row>
    <row r="4073" spans="14:14" ht="15" customHeight="1" x14ac:dyDescent="0.25">
      <c r="N4073" t="s">
        <v>655</v>
      </c>
    </row>
    <row r="4074" spans="14:14" ht="15" customHeight="1" x14ac:dyDescent="0.25">
      <c r="N4074" t="s">
        <v>320</v>
      </c>
    </row>
    <row r="4075" spans="14:14" ht="15" customHeight="1" x14ac:dyDescent="0.25">
      <c r="N4075" t="s">
        <v>651</v>
      </c>
    </row>
    <row r="4076" spans="14:14" ht="15" customHeight="1" x14ac:dyDescent="0.25">
      <c r="N4076" t="s">
        <v>510</v>
      </c>
    </row>
    <row r="4077" spans="14:14" ht="15" customHeight="1" x14ac:dyDescent="0.25">
      <c r="N4077" t="s">
        <v>593</v>
      </c>
    </row>
    <row r="4078" spans="14:14" ht="15" customHeight="1" x14ac:dyDescent="0.25">
      <c r="N4078" t="s">
        <v>715</v>
      </c>
    </row>
    <row r="4079" spans="14:14" ht="15" customHeight="1" x14ac:dyDescent="0.25">
      <c r="N4079" t="s">
        <v>713</v>
      </c>
    </row>
    <row r="4080" spans="14:14" ht="15" customHeight="1" x14ac:dyDescent="0.25">
      <c r="N4080" t="s">
        <v>715</v>
      </c>
    </row>
    <row r="4081" spans="14:14" ht="15" customHeight="1" x14ac:dyDescent="0.25">
      <c r="N4081" t="s">
        <v>606</v>
      </c>
    </row>
    <row r="4082" spans="14:14" ht="15" customHeight="1" x14ac:dyDescent="0.25">
      <c r="N4082" t="s">
        <v>713</v>
      </c>
    </row>
    <row r="4083" spans="14:14" ht="15" customHeight="1" x14ac:dyDescent="0.25">
      <c r="N4083" t="s">
        <v>713</v>
      </c>
    </row>
    <row r="4084" spans="14:14" ht="15" customHeight="1" x14ac:dyDescent="0.25">
      <c r="N4084" t="s">
        <v>686</v>
      </c>
    </row>
    <row r="4085" spans="14:14" ht="15" customHeight="1" x14ac:dyDescent="0.25">
      <c r="N4085" t="s">
        <v>412</v>
      </c>
    </row>
    <row r="4086" spans="14:14" ht="15" customHeight="1" x14ac:dyDescent="0.25">
      <c r="N4086" t="s">
        <v>603</v>
      </c>
    </row>
    <row r="4087" spans="14:14" ht="15" customHeight="1" x14ac:dyDescent="0.25">
      <c r="N4087" t="s">
        <v>715</v>
      </c>
    </row>
    <row r="4088" spans="14:14" ht="15" customHeight="1" x14ac:dyDescent="0.25">
      <c r="N4088" t="s">
        <v>715</v>
      </c>
    </row>
    <row r="4089" spans="14:14" ht="15" customHeight="1" x14ac:dyDescent="0.25">
      <c r="N4089" t="s">
        <v>733</v>
      </c>
    </row>
    <row r="4090" spans="14:14" ht="15" customHeight="1" x14ac:dyDescent="0.25">
      <c r="N4090" t="s">
        <v>592</v>
      </c>
    </row>
    <row r="4091" spans="14:14" ht="15" customHeight="1" x14ac:dyDescent="0.25">
      <c r="N4091" t="s">
        <v>715</v>
      </c>
    </row>
    <row r="4092" spans="14:14" ht="15" customHeight="1" x14ac:dyDescent="0.25">
      <c r="N4092" t="s">
        <v>698</v>
      </c>
    </row>
    <row r="4093" spans="14:14" ht="15" customHeight="1" x14ac:dyDescent="0.25">
      <c r="N4093" t="s">
        <v>403</v>
      </c>
    </row>
    <row r="4094" spans="14:14" ht="15" customHeight="1" x14ac:dyDescent="0.25">
      <c r="N4094" t="s">
        <v>715</v>
      </c>
    </row>
    <row r="4095" spans="14:14" ht="15" customHeight="1" x14ac:dyDescent="0.25">
      <c r="N4095" t="s">
        <v>651</v>
      </c>
    </row>
    <row r="4096" spans="14:14" ht="15" customHeight="1" x14ac:dyDescent="0.25">
      <c r="N4096" t="s">
        <v>582</v>
      </c>
    </row>
    <row r="4097" spans="14:14" ht="15" customHeight="1" x14ac:dyDescent="0.25">
      <c r="N4097" t="s">
        <v>715</v>
      </c>
    </row>
    <row r="4098" spans="14:14" ht="15" customHeight="1" x14ac:dyDescent="0.25">
      <c r="N4098" t="s">
        <v>713</v>
      </c>
    </row>
    <row r="4099" spans="14:14" ht="15" customHeight="1" x14ac:dyDescent="0.25">
      <c r="N4099" t="s">
        <v>411</v>
      </c>
    </row>
    <row r="4100" spans="14:14" ht="15" customHeight="1" x14ac:dyDescent="0.25">
      <c r="N4100" t="s">
        <v>376</v>
      </c>
    </row>
    <row r="4101" spans="14:14" ht="15" customHeight="1" x14ac:dyDescent="0.25">
      <c r="N4101" t="s">
        <v>687</v>
      </c>
    </row>
    <row r="4102" spans="14:14" ht="15" customHeight="1" x14ac:dyDescent="0.25">
      <c r="N4102" t="s">
        <v>689</v>
      </c>
    </row>
    <row r="4103" spans="14:14" ht="15" customHeight="1" x14ac:dyDescent="0.25">
      <c r="N4103" t="s">
        <v>406</v>
      </c>
    </row>
    <row r="4104" spans="14:14" ht="15" customHeight="1" x14ac:dyDescent="0.25">
      <c r="N4104" t="s">
        <v>663</v>
      </c>
    </row>
    <row r="4105" spans="14:14" ht="15" customHeight="1" x14ac:dyDescent="0.25">
      <c r="N4105" t="s">
        <v>655</v>
      </c>
    </row>
    <row r="4106" spans="14:14" ht="15" customHeight="1" x14ac:dyDescent="0.25">
      <c r="N4106" t="s">
        <v>634</v>
      </c>
    </row>
    <row r="4107" spans="14:14" ht="15" customHeight="1" x14ac:dyDescent="0.25">
      <c r="N4107" t="s">
        <v>611</v>
      </c>
    </row>
    <row r="4108" spans="14:14" ht="15" customHeight="1" x14ac:dyDescent="0.25">
      <c r="N4108" t="s">
        <v>643</v>
      </c>
    </row>
    <row r="4109" spans="14:14" ht="15" customHeight="1" x14ac:dyDescent="0.25">
      <c r="N4109" t="s">
        <v>686</v>
      </c>
    </row>
    <row r="4110" spans="14:14" ht="15" customHeight="1" x14ac:dyDescent="0.25">
      <c r="N4110" t="s">
        <v>405</v>
      </c>
    </row>
    <row r="4111" spans="14:14" ht="15" customHeight="1" x14ac:dyDescent="0.25">
      <c r="N4111" t="s">
        <v>687</v>
      </c>
    </row>
    <row r="4112" spans="14:14" ht="15" customHeight="1" x14ac:dyDescent="0.25">
      <c r="N4112" t="s">
        <v>715</v>
      </c>
    </row>
    <row r="4113" spans="14:14" ht="15" customHeight="1" x14ac:dyDescent="0.25">
      <c r="N4113" t="s">
        <v>690</v>
      </c>
    </row>
    <row r="4114" spans="14:14" ht="15" customHeight="1" x14ac:dyDescent="0.25">
      <c r="N4114" t="s">
        <v>732</v>
      </c>
    </row>
    <row r="4115" spans="14:14" ht="15" customHeight="1" x14ac:dyDescent="0.25">
      <c r="N4115" t="s">
        <v>313</v>
      </c>
    </row>
    <row r="4116" spans="14:14" ht="15" customHeight="1" x14ac:dyDescent="0.25">
      <c r="N4116" t="s">
        <v>683</v>
      </c>
    </row>
    <row r="4117" spans="14:14" ht="15" customHeight="1" x14ac:dyDescent="0.25">
      <c r="N4117" t="s">
        <v>655</v>
      </c>
    </row>
    <row r="4118" spans="14:14" ht="15" customHeight="1" x14ac:dyDescent="0.25">
      <c r="N4118" t="s">
        <v>435</v>
      </c>
    </row>
    <row r="4119" spans="14:14" ht="15" customHeight="1" x14ac:dyDescent="0.25">
      <c r="N4119" t="s">
        <v>646</v>
      </c>
    </row>
    <row r="4120" spans="14:14" ht="15" customHeight="1" x14ac:dyDescent="0.25">
      <c r="N4120" t="s">
        <v>294</v>
      </c>
    </row>
    <row r="4121" spans="14:14" ht="15" customHeight="1" x14ac:dyDescent="0.25">
      <c r="N4121" t="s">
        <v>643</v>
      </c>
    </row>
    <row r="4122" spans="14:14" ht="15" customHeight="1" x14ac:dyDescent="0.25">
      <c r="N4122" t="s">
        <v>686</v>
      </c>
    </row>
    <row r="4123" spans="14:14" ht="15" customHeight="1" x14ac:dyDescent="0.25">
      <c r="N4123" t="s">
        <v>686</v>
      </c>
    </row>
    <row r="4124" spans="14:14" ht="15" customHeight="1" x14ac:dyDescent="0.25">
      <c r="N4124" t="s">
        <v>294</v>
      </c>
    </row>
    <row r="4125" spans="14:14" ht="15" customHeight="1" x14ac:dyDescent="0.25">
      <c r="N4125" t="s">
        <v>313</v>
      </c>
    </row>
    <row r="4126" spans="14:14" ht="15" customHeight="1" x14ac:dyDescent="0.25">
      <c r="N4126" t="s">
        <v>690</v>
      </c>
    </row>
    <row r="4127" spans="14:14" ht="15" customHeight="1" x14ac:dyDescent="0.25">
      <c r="N4127" t="s">
        <v>636</v>
      </c>
    </row>
    <row r="4128" spans="14:14" ht="15" customHeight="1" x14ac:dyDescent="0.25">
      <c r="N4128" t="s">
        <v>582</v>
      </c>
    </row>
    <row r="4129" spans="14:14" ht="15" customHeight="1" x14ac:dyDescent="0.25">
      <c r="N4129" t="s">
        <v>683</v>
      </c>
    </row>
    <row r="4130" spans="14:14" ht="15" customHeight="1" x14ac:dyDescent="0.25">
      <c r="N4130" t="s">
        <v>698</v>
      </c>
    </row>
    <row r="4131" spans="14:14" ht="15" customHeight="1" x14ac:dyDescent="0.25">
      <c r="N4131" t="s">
        <v>646</v>
      </c>
    </row>
    <row r="4132" spans="14:14" ht="15" customHeight="1" x14ac:dyDescent="0.25">
      <c r="N4132" t="s">
        <v>732</v>
      </c>
    </row>
    <row r="4133" spans="14:14" ht="15" customHeight="1" x14ac:dyDescent="0.25">
      <c r="N4133" t="s">
        <v>715</v>
      </c>
    </row>
    <row r="4134" spans="14:14" ht="15" customHeight="1" x14ac:dyDescent="0.25">
      <c r="N4134" t="s">
        <v>582</v>
      </c>
    </row>
    <row r="4135" spans="14:14" ht="15" customHeight="1" x14ac:dyDescent="0.25">
      <c r="N4135" t="s">
        <v>458</v>
      </c>
    </row>
    <row r="4136" spans="14:14" ht="15" customHeight="1" x14ac:dyDescent="0.25">
      <c r="N4136" t="s">
        <v>555</v>
      </c>
    </row>
    <row r="4137" spans="14:14" ht="15" customHeight="1" x14ac:dyDescent="0.25">
      <c r="N4137" t="s">
        <v>294</v>
      </c>
    </row>
    <row r="4138" spans="14:14" ht="15" customHeight="1" x14ac:dyDescent="0.25">
      <c r="N4138" t="s">
        <v>732</v>
      </c>
    </row>
    <row r="4139" spans="14:14" ht="15" customHeight="1" x14ac:dyDescent="0.25">
      <c r="N4139" t="s">
        <v>605</v>
      </c>
    </row>
    <row r="4140" spans="14:14" ht="15" customHeight="1" x14ac:dyDescent="0.25">
      <c r="N4140" t="s">
        <v>698</v>
      </c>
    </row>
    <row r="4141" spans="14:14" ht="15" customHeight="1" x14ac:dyDescent="0.25">
      <c r="N4141" t="s">
        <v>448</v>
      </c>
    </row>
    <row r="4142" spans="14:14" ht="15" customHeight="1" x14ac:dyDescent="0.25">
      <c r="N4142" t="s">
        <v>715</v>
      </c>
    </row>
    <row r="4143" spans="14:14" ht="15" customHeight="1" x14ac:dyDescent="0.25">
      <c r="N4143" t="s">
        <v>636</v>
      </c>
    </row>
    <row r="4144" spans="14:14" ht="15" customHeight="1" x14ac:dyDescent="0.25">
      <c r="N4144" t="s">
        <v>683</v>
      </c>
    </row>
    <row r="4145" spans="14:14" ht="15" customHeight="1" x14ac:dyDescent="0.25">
      <c r="N4145" t="s">
        <v>698</v>
      </c>
    </row>
    <row r="4146" spans="14:14" ht="15" customHeight="1" x14ac:dyDescent="0.25">
      <c r="N4146" t="s">
        <v>350</v>
      </c>
    </row>
    <row r="4147" spans="14:14" ht="15" customHeight="1" x14ac:dyDescent="0.25">
      <c r="N4147" t="s">
        <v>715</v>
      </c>
    </row>
    <row r="4148" spans="14:14" ht="15" customHeight="1" x14ac:dyDescent="0.25">
      <c r="N4148" t="s">
        <v>690</v>
      </c>
    </row>
    <row r="4149" spans="14:14" ht="15" customHeight="1" x14ac:dyDescent="0.25">
      <c r="N4149" t="s">
        <v>732</v>
      </c>
    </row>
    <row r="4150" spans="14:14" ht="15" customHeight="1" x14ac:dyDescent="0.25">
      <c r="N4150" t="s">
        <v>663</v>
      </c>
    </row>
    <row r="4151" spans="14:14" ht="15" customHeight="1" x14ac:dyDescent="0.25">
      <c r="N4151" t="s">
        <v>683</v>
      </c>
    </row>
    <row r="4152" spans="14:14" ht="15" customHeight="1" x14ac:dyDescent="0.25">
      <c r="N4152" t="s">
        <v>698</v>
      </c>
    </row>
    <row r="4153" spans="14:14" ht="15" customHeight="1" x14ac:dyDescent="0.25">
      <c r="N4153" t="s">
        <v>582</v>
      </c>
    </row>
    <row r="4154" spans="14:14" ht="15" customHeight="1" x14ac:dyDescent="0.25">
      <c r="N4154" t="s">
        <v>698</v>
      </c>
    </row>
    <row r="4155" spans="14:14" ht="15" customHeight="1" x14ac:dyDescent="0.25">
      <c r="N4155" t="s">
        <v>582</v>
      </c>
    </row>
    <row r="4156" spans="14:14" ht="15" customHeight="1" x14ac:dyDescent="0.25">
      <c r="N4156" t="s">
        <v>474</v>
      </c>
    </row>
    <row r="4157" spans="14:14" ht="15" customHeight="1" x14ac:dyDescent="0.25">
      <c r="N4157" t="s">
        <v>313</v>
      </c>
    </row>
    <row r="4158" spans="14:14" ht="15" customHeight="1" x14ac:dyDescent="0.25">
      <c r="N4158" t="s">
        <v>683</v>
      </c>
    </row>
    <row r="4159" spans="14:14" ht="15" customHeight="1" x14ac:dyDescent="0.25">
      <c r="N4159" t="s">
        <v>634</v>
      </c>
    </row>
    <row r="4160" spans="14:14" ht="15" customHeight="1" x14ac:dyDescent="0.25">
      <c r="N4160" t="s">
        <v>499</v>
      </c>
    </row>
    <row r="4161" spans="14:14" ht="15" customHeight="1" x14ac:dyDescent="0.25">
      <c r="N4161" t="s">
        <v>611</v>
      </c>
    </row>
    <row r="4162" spans="14:14" ht="15" customHeight="1" x14ac:dyDescent="0.25">
      <c r="N4162" t="s">
        <v>690</v>
      </c>
    </row>
    <row r="4163" spans="14:14" ht="15" customHeight="1" x14ac:dyDescent="0.25">
      <c r="N4163" t="s">
        <v>313</v>
      </c>
    </row>
    <row r="4164" spans="14:14" ht="15" customHeight="1" x14ac:dyDescent="0.25">
      <c r="N4164" t="s">
        <v>636</v>
      </c>
    </row>
    <row r="4165" spans="14:14" ht="15" customHeight="1" x14ac:dyDescent="0.25">
      <c r="N4165" t="s">
        <v>683</v>
      </c>
    </row>
    <row r="4166" spans="14:14" ht="15" customHeight="1" x14ac:dyDescent="0.25">
      <c r="N4166" t="s">
        <v>347</v>
      </c>
    </row>
    <row r="4167" spans="14:14" ht="15" customHeight="1" x14ac:dyDescent="0.25">
      <c r="N4167" t="s">
        <v>663</v>
      </c>
    </row>
    <row r="4168" spans="14:14" ht="15" customHeight="1" x14ac:dyDescent="0.25">
      <c r="N4168" t="s">
        <v>579</v>
      </c>
    </row>
    <row r="4169" spans="14:14" ht="15" customHeight="1" x14ac:dyDescent="0.25">
      <c r="N4169" t="s">
        <v>732</v>
      </c>
    </row>
    <row r="4170" spans="14:14" ht="15" customHeight="1" x14ac:dyDescent="0.25">
      <c r="N4170" t="s">
        <v>313</v>
      </c>
    </row>
    <row r="4171" spans="14:14" ht="15" customHeight="1" x14ac:dyDescent="0.25">
      <c r="N4171" t="s">
        <v>463</v>
      </c>
    </row>
    <row r="4172" spans="14:14" ht="15" customHeight="1" x14ac:dyDescent="0.25">
      <c r="N4172" t="s">
        <v>732</v>
      </c>
    </row>
    <row r="4173" spans="14:14" ht="15" customHeight="1" x14ac:dyDescent="0.25">
      <c r="N4173" t="s">
        <v>313</v>
      </c>
    </row>
    <row r="4174" spans="14:14" ht="15" customHeight="1" x14ac:dyDescent="0.25">
      <c r="N4174" t="s">
        <v>654</v>
      </c>
    </row>
    <row r="4175" spans="14:14" ht="15" customHeight="1" x14ac:dyDescent="0.25">
      <c r="N4175" t="s">
        <v>680</v>
      </c>
    </row>
    <row r="4176" spans="14:14" ht="15" customHeight="1" x14ac:dyDescent="0.25">
      <c r="N4176" t="s">
        <v>313</v>
      </c>
    </row>
    <row r="4177" spans="14:14" ht="15" customHeight="1" x14ac:dyDescent="0.25">
      <c r="N4177" t="s">
        <v>713</v>
      </c>
    </row>
    <row r="4178" spans="14:14" ht="15" customHeight="1" x14ac:dyDescent="0.25">
      <c r="N4178" t="s">
        <v>313</v>
      </c>
    </row>
    <row r="4179" spans="14:14" ht="15" customHeight="1" x14ac:dyDescent="0.25">
      <c r="N4179" t="s">
        <v>663</v>
      </c>
    </row>
    <row r="4180" spans="14:14" ht="15" customHeight="1" x14ac:dyDescent="0.25">
      <c r="N4180" t="s">
        <v>579</v>
      </c>
    </row>
    <row r="4181" spans="14:14" ht="15" customHeight="1" x14ac:dyDescent="0.25">
      <c r="N4181" t="s">
        <v>355</v>
      </c>
    </row>
    <row r="4182" spans="14:14" ht="15" customHeight="1" x14ac:dyDescent="0.25">
      <c r="N4182" t="s">
        <v>313</v>
      </c>
    </row>
    <row r="4183" spans="14:14" ht="15" customHeight="1" x14ac:dyDescent="0.25">
      <c r="N4183" t="s">
        <v>732</v>
      </c>
    </row>
    <row r="4184" spans="14:14" ht="15" customHeight="1" x14ac:dyDescent="0.25">
      <c r="N4184" t="s">
        <v>540</v>
      </c>
    </row>
    <row r="4185" spans="14:14" ht="15" customHeight="1" x14ac:dyDescent="0.25">
      <c r="N4185" t="s">
        <v>732</v>
      </c>
    </row>
    <row r="4186" spans="14:14" ht="15" customHeight="1" x14ac:dyDescent="0.25">
      <c r="N4186" t="s">
        <v>485</v>
      </c>
    </row>
    <row r="4187" spans="14:14" ht="15" customHeight="1" x14ac:dyDescent="0.25">
      <c r="N4187" t="s">
        <v>654</v>
      </c>
    </row>
    <row r="4188" spans="14:14" ht="15" customHeight="1" x14ac:dyDescent="0.25">
      <c r="N4188" t="s">
        <v>363</v>
      </c>
    </row>
    <row r="4189" spans="14:14" ht="15" customHeight="1" x14ac:dyDescent="0.25">
      <c r="N4189" t="s">
        <v>370</v>
      </c>
    </row>
    <row r="4190" spans="14:14" ht="15" customHeight="1" x14ac:dyDescent="0.25">
      <c r="N4190" t="s">
        <v>732</v>
      </c>
    </row>
    <row r="4191" spans="14:14" ht="15" customHeight="1" x14ac:dyDescent="0.25">
      <c r="N4191" t="s">
        <v>732</v>
      </c>
    </row>
    <row r="4192" spans="14:14" ht="15" customHeight="1" x14ac:dyDescent="0.25">
      <c r="N4192" t="s">
        <v>304</v>
      </c>
    </row>
    <row r="4193" spans="14:14" ht="15" customHeight="1" x14ac:dyDescent="0.25">
      <c r="N4193" t="s">
        <v>696</v>
      </c>
    </row>
    <row r="4194" spans="14:14" ht="15" customHeight="1" x14ac:dyDescent="0.25">
      <c r="N4194" t="s">
        <v>313</v>
      </c>
    </row>
    <row r="4195" spans="14:14" ht="15" customHeight="1" x14ac:dyDescent="0.25">
      <c r="N4195" t="s">
        <v>313</v>
      </c>
    </row>
    <row r="4196" spans="14:14" ht="15" customHeight="1" x14ac:dyDescent="0.25">
      <c r="N4196" t="s">
        <v>680</v>
      </c>
    </row>
    <row r="4197" spans="14:14" ht="15" customHeight="1" x14ac:dyDescent="0.25">
      <c r="N4197" t="s">
        <v>582</v>
      </c>
    </row>
    <row r="4198" spans="14:14" ht="15" customHeight="1" x14ac:dyDescent="0.25">
      <c r="N4198" t="s">
        <v>732</v>
      </c>
    </row>
    <row r="4199" spans="14:14" ht="15" customHeight="1" x14ac:dyDescent="0.25">
      <c r="N4199" t="s">
        <v>732</v>
      </c>
    </row>
    <row r="4200" spans="14:14" ht="15" customHeight="1" x14ac:dyDescent="0.25">
      <c r="N4200" t="s">
        <v>313</v>
      </c>
    </row>
    <row r="4201" spans="14:14" ht="15" customHeight="1" x14ac:dyDescent="0.25">
      <c r="N4201" t="s">
        <v>313</v>
      </c>
    </row>
    <row r="4202" spans="14:14" ht="15" customHeight="1" x14ac:dyDescent="0.25">
      <c r="N4202" t="s">
        <v>715</v>
      </c>
    </row>
    <row r="4203" spans="14:14" ht="15" customHeight="1" x14ac:dyDescent="0.25">
      <c r="N4203" t="s">
        <v>698</v>
      </c>
    </row>
    <row r="4204" spans="14:14" ht="15" customHeight="1" x14ac:dyDescent="0.25">
      <c r="N4204" t="s">
        <v>582</v>
      </c>
    </row>
    <row r="4205" spans="14:14" ht="15" customHeight="1" x14ac:dyDescent="0.25">
      <c r="N4205" t="s">
        <v>696</v>
      </c>
    </row>
    <row r="4206" spans="14:14" ht="15" customHeight="1" x14ac:dyDescent="0.25">
      <c r="N4206" t="s">
        <v>582</v>
      </c>
    </row>
    <row r="4207" spans="14:14" ht="15" customHeight="1" x14ac:dyDescent="0.25">
      <c r="N4207" t="s">
        <v>582</v>
      </c>
    </row>
    <row r="4208" spans="14:14" ht="15" customHeight="1" x14ac:dyDescent="0.25">
      <c r="N4208" t="s">
        <v>68</v>
      </c>
    </row>
    <row r="4209" spans="14:14" ht="15" customHeight="1" x14ac:dyDescent="0.25">
      <c r="N4209" t="s">
        <v>685</v>
      </c>
    </row>
    <row r="4210" spans="14:14" ht="15" customHeight="1" x14ac:dyDescent="0.25">
      <c r="N4210" t="s">
        <v>734</v>
      </c>
    </row>
    <row r="4211" spans="14:14" ht="15" customHeight="1" x14ac:dyDescent="0.25">
      <c r="N4211" t="s">
        <v>715</v>
      </c>
    </row>
    <row r="4212" spans="14:14" ht="15" customHeight="1" x14ac:dyDescent="0.25">
      <c r="N4212" t="s">
        <v>732</v>
      </c>
    </row>
    <row r="4213" spans="14:14" ht="15" customHeight="1" x14ac:dyDescent="0.25">
      <c r="N4213" t="s">
        <v>684</v>
      </c>
    </row>
    <row r="4214" spans="14:14" ht="15" customHeight="1" x14ac:dyDescent="0.25">
      <c r="N4214" t="s">
        <v>732</v>
      </c>
    </row>
    <row r="4215" spans="14:14" ht="15" customHeight="1" x14ac:dyDescent="0.25">
      <c r="N4215" t="s">
        <v>582</v>
      </c>
    </row>
    <row r="4216" spans="14:14" ht="15" customHeight="1" x14ac:dyDescent="0.25">
      <c r="N4216" t="s">
        <v>68</v>
      </c>
    </row>
    <row r="4217" spans="14:14" ht="15" customHeight="1" x14ac:dyDescent="0.25">
      <c r="N4217" t="s">
        <v>582</v>
      </c>
    </row>
    <row r="4218" spans="14:14" ht="15" customHeight="1" x14ac:dyDescent="0.25">
      <c r="N4218" t="s">
        <v>68</v>
      </c>
    </row>
    <row r="4219" spans="14:14" ht="15" customHeight="1" x14ac:dyDescent="0.25">
      <c r="N4219" t="s">
        <v>68</v>
      </c>
    </row>
    <row r="4220" spans="14:14" ht="15" customHeight="1" x14ac:dyDescent="0.25">
      <c r="N4220" t="s">
        <v>582</v>
      </c>
    </row>
    <row r="4221" spans="14:14" ht="15" customHeight="1" x14ac:dyDescent="0.25">
      <c r="N4221" t="s">
        <v>713</v>
      </c>
    </row>
    <row r="4222" spans="14:14" ht="15" customHeight="1" x14ac:dyDescent="0.25">
      <c r="N4222" t="s">
        <v>713</v>
      </c>
    </row>
    <row r="4223" spans="14:14" ht="15" customHeight="1" x14ac:dyDescent="0.25">
      <c r="N4223" t="s">
        <v>713</v>
      </c>
    </row>
    <row r="4224" spans="14:14" ht="15" customHeight="1" x14ac:dyDescent="0.25">
      <c r="N4224" t="s">
        <v>685</v>
      </c>
    </row>
    <row r="4225" spans="14:14" ht="15" customHeight="1" x14ac:dyDescent="0.25">
      <c r="N4225" t="s">
        <v>732</v>
      </c>
    </row>
    <row r="4226" spans="14:14" ht="15" customHeight="1" x14ac:dyDescent="0.25">
      <c r="N4226" t="s">
        <v>687</v>
      </c>
    </row>
    <row r="4227" spans="14:14" ht="15" customHeight="1" x14ac:dyDescent="0.25">
      <c r="N4227" t="s">
        <v>313</v>
      </c>
    </row>
    <row r="4228" spans="14:14" ht="15" customHeight="1" x14ac:dyDescent="0.25">
      <c r="N4228" t="s">
        <v>670</v>
      </c>
    </row>
    <row r="4229" spans="14:14" ht="15" customHeight="1" x14ac:dyDescent="0.25">
      <c r="N4229" t="s">
        <v>646</v>
      </c>
    </row>
    <row r="4230" spans="14:14" ht="15" customHeight="1" x14ac:dyDescent="0.25">
      <c r="N4230" t="s">
        <v>304</v>
      </c>
    </row>
    <row r="4231" spans="14:14" ht="15" customHeight="1" x14ac:dyDescent="0.25">
      <c r="N4231" t="s">
        <v>735</v>
      </c>
    </row>
    <row r="4232" spans="14:14" ht="15" customHeight="1" x14ac:dyDescent="0.25">
      <c r="N4232" t="s">
        <v>735</v>
      </c>
    </row>
    <row r="4233" spans="14:14" ht="15" customHeight="1" x14ac:dyDescent="0.25">
      <c r="N4233" t="s">
        <v>735</v>
      </c>
    </row>
    <row r="4234" spans="14:14" ht="15" customHeight="1" x14ac:dyDescent="0.25">
      <c r="N4234" t="s">
        <v>735</v>
      </c>
    </row>
    <row r="4235" spans="14:14" ht="15" customHeight="1" x14ac:dyDescent="0.25">
      <c r="N4235" t="s">
        <v>735</v>
      </c>
    </row>
    <row r="4236" spans="14:14" ht="15" customHeight="1" x14ac:dyDescent="0.25">
      <c r="N4236" t="s">
        <v>313</v>
      </c>
    </row>
    <row r="4237" spans="14:14" ht="15" customHeight="1" x14ac:dyDescent="0.25">
      <c r="N4237" t="s">
        <v>680</v>
      </c>
    </row>
    <row r="4238" spans="14:14" ht="15" customHeight="1" x14ac:dyDescent="0.25">
      <c r="N4238" t="s">
        <v>732</v>
      </c>
    </row>
    <row r="4239" spans="14:14" ht="15" customHeight="1" x14ac:dyDescent="0.25">
      <c r="N4239" t="s">
        <v>313</v>
      </c>
    </row>
    <row r="4240" spans="14:14" ht="15" customHeight="1" x14ac:dyDescent="0.25">
      <c r="N4240" t="s">
        <v>68</v>
      </c>
    </row>
    <row r="4241" spans="14:14" ht="15" customHeight="1" x14ac:dyDescent="0.25">
      <c r="N4241" t="s">
        <v>675</v>
      </c>
    </row>
    <row r="4242" spans="14:14" ht="15" customHeight="1" x14ac:dyDescent="0.25">
      <c r="N4242" t="s">
        <v>539</v>
      </c>
    </row>
    <row r="4243" spans="14:14" ht="15" customHeight="1" x14ac:dyDescent="0.25">
      <c r="N4243" t="s">
        <v>68</v>
      </c>
    </row>
    <row r="4244" spans="14:14" ht="15" customHeight="1" x14ac:dyDescent="0.25">
      <c r="N4244" t="s">
        <v>732</v>
      </c>
    </row>
    <row r="4245" spans="14:14" ht="15" customHeight="1" x14ac:dyDescent="0.25">
      <c r="N4245" t="s">
        <v>684</v>
      </c>
    </row>
    <row r="4246" spans="14:14" ht="15" customHeight="1" x14ac:dyDescent="0.25">
      <c r="N4246" t="s">
        <v>68</v>
      </c>
    </row>
    <row r="4247" spans="14:14" ht="15" customHeight="1" x14ac:dyDescent="0.25">
      <c r="N4247" t="s">
        <v>553</v>
      </c>
    </row>
    <row r="4248" spans="14:14" ht="15" customHeight="1" x14ac:dyDescent="0.25">
      <c r="N4248" t="s">
        <v>68</v>
      </c>
    </row>
    <row r="4249" spans="14:14" ht="15" customHeight="1" x14ac:dyDescent="0.25">
      <c r="N4249" t="s">
        <v>582</v>
      </c>
    </row>
    <row r="4250" spans="14:14" ht="15" customHeight="1" x14ac:dyDescent="0.25">
      <c r="N4250" t="s">
        <v>713</v>
      </c>
    </row>
    <row r="4251" spans="14:14" ht="15" customHeight="1" x14ac:dyDescent="0.25">
      <c r="N4251" t="s">
        <v>732</v>
      </c>
    </row>
    <row r="4252" spans="14:14" ht="15" customHeight="1" x14ac:dyDescent="0.25">
      <c r="N4252" t="s">
        <v>603</v>
      </c>
    </row>
    <row r="4253" spans="14:14" ht="15" customHeight="1" x14ac:dyDescent="0.25">
      <c r="N4253" t="s">
        <v>654</v>
      </c>
    </row>
    <row r="4254" spans="14:14" ht="15" customHeight="1" x14ac:dyDescent="0.25">
      <c r="N4254" t="s">
        <v>685</v>
      </c>
    </row>
    <row r="4255" spans="14:14" ht="15" customHeight="1" x14ac:dyDescent="0.25">
      <c r="N4255" t="s">
        <v>313</v>
      </c>
    </row>
    <row r="4256" spans="14:14" ht="15" customHeight="1" x14ac:dyDescent="0.25">
      <c r="N4256" t="s">
        <v>685</v>
      </c>
    </row>
    <row r="4257" spans="14:14" ht="15" customHeight="1" x14ac:dyDescent="0.25">
      <c r="N4257" t="s">
        <v>696</v>
      </c>
    </row>
    <row r="4258" spans="14:14" ht="15" customHeight="1" x14ac:dyDescent="0.25">
      <c r="N4258" t="s">
        <v>313</v>
      </c>
    </row>
    <row r="4259" spans="14:14" ht="15" customHeight="1" x14ac:dyDescent="0.25">
      <c r="N4259" t="s">
        <v>675</v>
      </c>
    </row>
    <row r="4260" spans="14:14" ht="15" customHeight="1" x14ac:dyDescent="0.25">
      <c r="N4260" t="s">
        <v>582</v>
      </c>
    </row>
    <row r="4261" spans="14:14" ht="15" customHeight="1" x14ac:dyDescent="0.25">
      <c r="N4261" t="s">
        <v>582</v>
      </c>
    </row>
    <row r="4262" spans="14:14" ht="15" customHeight="1" x14ac:dyDescent="0.25">
      <c r="N4262" t="s">
        <v>713</v>
      </c>
    </row>
    <row r="4263" spans="14:14" ht="15" customHeight="1" x14ac:dyDescent="0.25">
      <c r="N4263" t="s">
        <v>558</v>
      </c>
    </row>
    <row r="4264" spans="14:14" ht="15" customHeight="1" x14ac:dyDescent="0.25">
      <c r="N4264" t="s">
        <v>732</v>
      </c>
    </row>
    <row r="4265" spans="14:14" ht="15" customHeight="1" x14ac:dyDescent="0.25">
      <c r="N4265" t="s">
        <v>670</v>
      </c>
    </row>
    <row r="4266" spans="14:14" ht="15" customHeight="1" x14ac:dyDescent="0.25">
      <c r="N4266" t="s">
        <v>670</v>
      </c>
    </row>
    <row r="4267" spans="14:14" ht="15" customHeight="1" x14ac:dyDescent="0.25">
      <c r="N4267" t="s">
        <v>370</v>
      </c>
    </row>
    <row r="4268" spans="14:14" ht="15" customHeight="1" x14ac:dyDescent="0.25">
      <c r="N4268" t="s">
        <v>714</v>
      </c>
    </row>
    <row r="4269" spans="14:14" ht="15" customHeight="1" x14ac:dyDescent="0.25">
      <c r="N4269" t="s">
        <v>685</v>
      </c>
    </row>
    <row r="4270" spans="14:14" ht="15" customHeight="1" x14ac:dyDescent="0.25">
      <c r="N4270" t="s">
        <v>582</v>
      </c>
    </row>
    <row r="4271" spans="14:14" ht="15" customHeight="1" x14ac:dyDescent="0.25">
      <c r="N4271" t="s">
        <v>686</v>
      </c>
    </row>
    <row r="4272" spans="14:14" ht="15" customHeight="1" x14ac:dyDescent="0.25">
      <c r="N4272" t="s">
        <v>670</v>
      </c>
    </row>
    <row r="4273" spans="14:14" ht="15" customHeight="1" x14ac:dyDescent="0.25">
      <c r="N4273" t="s">
        <v>304</v>
      </c>
    </row>
    <row r="4274" spans="14:14" ht="15" customHeight="1" x14ac:dyDescent="0.25">
      <c r="N4274" t="s">
        <v>669</v>
      </c>
    </row>
    <row r="4275" spans="14:14" ht="15" customHeight="1" x14ac:dyDescent="0.25">
      <c r="N4275" t="s">
        <v>553</v>
      </c>
    </row>
    <row r="4276" spans="14:14" ht="15" customHeight="1" x14ac:dyDescent="0.25">
      <c r="N4276" t="s">
        <v>582</v>
      </c>
    </row>
    <row r="4277" spans="14:14" ht="15" customHeight="1" x14ac:dyDescent="0.25">
      <c r="N4277" t="s">
        <v>715</v>
      </c>
    </row>
    <row r="4278" spans="14:14" ht="15" customHeight="1" x14ac:dyDescent="0.25">
      <c r="N4278" t="s">
        <v>714</v>
      </c>
    </row>
    <row r="4279" spans="14:14" ht="15" customHeight="1" x14ac:dyDescent="0.25">
      <c r="N4279" t="s">
        <v>642</v>
      </c>
    </row>
    <row r="4280" spans="14:14" ht="15" customHeight="1" x14ac:dyDescent="0.25">
      <c r="N4280" t="s">
        <v>690</v>
      </c>
    </row>
    <row r="4281" spans="14:14" ht="15" customHeight="1" x14ac:dyDescent="0.25">
      <c r="N4281" t="s">
        <v>582</v>
      </c>
    </row>
    <row r="4282" spans="14:14" ht="15" customHeight="1" x14ac:dyDescent="0.25">
      <c r="N4282" t="s">
        <v>605</v>
      </c>
    </row>
    <row r="4283" spans="14:14" ht="15" customHeight="1" x14ac:dyDescent="0.25">
      <c r="N4283" t="s">
        <v>732</v>
      </c>
    </row>
    <row r="4284" spans="14:14" ht="15" customHeight="1" x14ac:dyDescent="0.25">
      <c r="N4284" t="s">
        <v>714</v>
      </c>
    </row>
    <row r="4285" spans="14:14" ht="15" customHeight="1" x14ac:dyDescent="0.25">
      <c r="N4285" t="s">
        <v>304</v>
      </c>
    </row>
    <row r="4286" spans="14:14" ht="15" customHeight="1" x14ac:dyDescent="0.25">
      <c r="N4286" t="s">
        <v>642</v>
      </c>
    </row>
    <row r="4287" spans="14:14" ht="15" customHeight="1" x14ac:dyDescent="0.25">
      <c r="N4287" t="s">
        <v>714</v>
      </c>
    </row>
    <row r="4288" spans="14:14" ht="15" customHeight="1" x14ac:dyDescent="0.25">
      <c r="N4288" t="s">
        <v>371</v>
      </c>
    </row>
    <row r="4289" spans="14:14" ht="15" customHeight="1" x14ac:dyDescent="0.25">
      <c r="N4289" t="s">
        <v>425</v>
      </c>
    </row>
    <row r="4290" spans="14:14" ht="15" customHeight="1" x14ac:dyDescent="0.25">
      <c r="N4290" t="s">
        <v>582</v>
      </c>
    </row>
    <row r="4291" spans="14:14" ht="15" customHeight="1" x14ac:dyDescent="0.25">
      <c r="N4291" t="s">
        <v>684</v>
      </c>
    </row>
    <row r="4292" spans="14:14" ht="15" customHeight="1" x14ac:dyDescent="0.25">
      <c r="N4292" t="s">
        <v>685</v>
      </c>
    </row>
    <row r="4293" spans="14:14" ht="15" customHeight="1" x14ac:dyDescent="0.25">
      <c r="N4293" t="s">
        <v>313</v>
      </c>
    </row>
    <row r="4294" spans="14:14" ht="15" customHeight="1" x14ac:dyDescent="0.25">
      <c r="N4294" t="s">
        <v>714</v>
      </c>
    </row>
    <row r="4295" spans="14:14" ht="15" customHeight="1" x14ac:dyDescent="0.25">
      <c r="N4295" t="s">
        <v>687</v>
      </c>
    </row>
    <row r="4296" spans="14:14" ht="15" customHeight="1" x14ac:dyDescent="0.25">
      <c r="N4296" t="s">
        <v>642</v>
      </c>
    </row>
    <row r="4297" spans="14:14" ht="15" customHeight="1" x14ac:dyDescent="0.25">
      <c r="N4297" t="s">
        <v>638</v>
      </c>
    </row>
    <row r="4298" spans="14:14" ht="15" customHeight="1" x14ac:dyDescent="0.25">
      <c r="N4298" t="s">
        <v>582</v>
      </c>
    </row>
    <row r="4299" spans="14:14" ht="15" customHeight="1" x14ac:dyDescent="0.25">
      <c r="N4299" t="s">
        <v>582</v>
      </c>
    </row>
    <row r="4300" spans="14:14" ht="15" customHeight="1" x14ac:dyDescent="0.25">
      <c r="N4300" t="s">
        <v>714</v>
      </c>
    </row>
    <row r="4301" spans="14:14" ht="15" customHeight="1" x14ac:dyDescent="0.25">
      <c r="N4301" t="s">
        <v>714</v>
      </c>
    </row>
    <row r="4302" spans="14:14" ht="15" customHeight="1" x14ac:dyDescent="0.25">
      <c r="N4302" t="s">
        <v>638</v>
      </c>
    </row>
    <row r="4303" spans="14:14" ht="15" customHeight="1" x14ac:dyDescent="0.25">
      <c r="N4303" t="s">
        <v>638</v>
      </c>
    </row>
    <row r="4304" spans="14:14" ht="15" customHeight="1" x14ac:dyDescent="0.25">
      <c r="N4304" t="s">
        <v>582</v>
      </c>
    </row>
    <row r="4305" spans="14:14" ht="15" customHeight="1" x14ac:dyDescent="0.25">
      <c r="N4305" t="s">
        <v>68</v>
      </c>
    </row>
    <row r="4306" spans="14:14" ht="15" customHeight="1" x14ac:dyDescent="0.25">
      <c r="N4306" t="s">
        <v>675</v>
      </c>
    </row>
    <row r="4307" spans="14:14" ht="15" customHeight="1" x14ac:dyDescent="0.25">
      <c r="N4307" t="s">
        <v>706</v>
      </c>
    </row>
    <row r="4308" spans="14:14" ht="15" customHeight="1" x14ac:dyDescent="0.25">
      <c r="N4308" t="s">
        <v>582</v>
      </c>
    </row>
    <row r="4309" spans="14:14" ht="15" customHeight="1" x14ac:dyDescent="0.25">
      <c r="N4309" t="s">
        <v>68</v>
      </c>
    </row>
    <row r="4310" spans="14:14" ht="15" customHeight="1" x14ac:dyDescent="0.25">
      <c r="N4310" t="s">
        <v>622</v>
      </c>
    </row>
    <row r="4311" spans="14:14" ht="15" customHeight="1" x14ac:dyDescent="0.25">
      <c r="N4311" t="s">
        <v>68</v>
      </c>
    </row>
    <row r="4312" spans="14:14" ht="15" customHeight="1" x14ac:dyDescent="0.25">
      <c r="N4312" t="s">
        <v>736</v>
      </c>
    </row>
    <row r="4313" spans="14:14" ht="15" customHeight="1" x14ac:dyDescent="0.25">
      <c r="N4313" t="s">
        <v>68</v>
      </c>
    </row>
    <row r="4314" spans="14:14" ht="15" customHeight="1" x14ac:dyDescent="0.25">
      <c r="N4314" t="s">
        <v>689</v>
      </c>
    </row>
    <row r="4315" spans="14:14" ht="15" customHeight="1" x14ac:dyDescent="0.25">
      <c r="N4315" t="s">
        <v>706</v>
      </c>
    </row>
    <row r="4316" spans="14:14" ht="15" customHeight="1" x14ac:dyDescent="0.25">
      <c r="N4316" t="s">
        <v>582</v>
      </c>
    </row>
    <row r="4317" spans="14:14" ht="15" customHeight="1" x14ac:dyDescent="0.25">
      <c r="N4317" t="s">
        <v>68</v>
      </c>
    </row>
    <row r="4318" spans="14:14" ht="15" customHeight="1" x14ac:dyDescent="0.25">
      <c r="N4318" t="s">
        <v>732</v>
      </c>
    </row>
    <row r="4319" spans="14:14" ht="15" customHeight="1" x14ac:dyDescent="0.25">
      <c r="N4319" t="s">
        <v>496</v>
      </c>
    </row>
    <row r="4320" spans="14:14" ht="15" customHeight="1" x14ac:dyDescent="0.25">
      <c r="N4320" t="s">
        <v>68</v>
      </c>
    </row>
    <row r="4321" spans="14:14" ht="15" customHeight="1" x14ac:dyDescent="0.25">
      <c r="N4321" t="s">
        <v>68</v>
      </c>
    </row>
    <row r="4322" spans="14:14" ht="15" customHeight="1" x14ac:dyDescent="0.25">
      <c r="N4322" t="s">
        <v>689</v>
      </c>
    </row>
    <row r="4323" spans="14:14" ht="15" customHeight="1" x14ac:dyDescent="0.25">
      <c r="N4323" t="s">
        <v>684</v>
      </c>
    </row>
    <row r="4324" spans="14:14" ht="15" customHeight="1" x14ac:dyDescent="0.25">
      <c r="N4324" t="s">
        <v>582</v>
      </c>
    </row>
    <row r="4325" spans="14:14" ht="15" customHeight="1" x14ac:dyDescent="0.25">
      <c r="N4325" t="s">
        <v>68</v>
      </c>
    </row>
    <row r="4326" spans="14:14" ht="15" customHeight="1" x14ac:dyDescent="0.25">
      <c r="N4326" t="s">
        <v>675</v>
      </c>
    </row>
    <row r="4327" spans="14:14" ht="15" customHeight="1" x14ac:dyDescent="0.25">
      <c r="N4327" t="s">
        <v>68</v>
      </c>
    </row>
    <row r="4328" spans="14:14" ht="15" customHeight="1" x14ac:dyDescent="0.25">
      <c r="N4328" t="s">
        <v>706</v>
      </c>
    </row>
    <row r="4329" spans="14:14" ht="15" customHeight="1" x14ac:dyDescent="0.25">
      <c r="N4329" t="s">
        <v>313</v>
      </c>
    </row>
    <row r="4330" spans="14:14" ht="15" customHeight="1" x14ac:dyDescent="0.25">
      <c r="N4330" t="s">
        <v>621</v>
      </c>
    </row>
    <row r="4331" spans="14:14" ht="15" customHeight="1" x14ac:dyDescent="0.25">
      <c r="N4331" t="s">
        <v>68</v>
      </c>
    </row>
    <row r="4332" spans="14:14" ht="15" customHeight="1" x14ac:dyDescent="0.25">
      <c r="N4332" t="s">
        <v>582</v>
      </c>
    </row>
    <row r="4333" spans="14:14" ht="15" customHeight="1" x14ac:dyDescent="0.25">
      <c r="N4333" t="s">
        <v>313</v>
      </c>
    </row>
    <row r="4334" spans="14:14" ht="15" customHeight="1" x14ac:dyDescent="0.25">
      <c r="N4334" t="s">
        <v>677</v>
      </c>
    </row>
    <row r="4335" spans="14:14" ht="15" customHeight="1" x14ac:dyDescent="0.25">
      <c r="N4335" t="s">
        <v>68</v>
      </c>
    </row>
    <row r="4336" spans="14:14" ht="15" customHeight="1" x14ac:dyDescent="0.25">
      <c r="N4336" t="s">
        <v>68</v>
      </c>
    </row>
    <row r="4337" spans="14:14" ht="15" customHeight="1" x14ac:dyDescent="0.25">
      <c r="N4337" t="s">
        <v>677</v>
      </c>
    </row>
    <row r="4338" spans="14:14" ht="15" customHeight="1" x14ac:dyDescent="0.25">
      <c r="N4338" t="s">
        <v>677</v>
      </c>
    </row>
    <row r="4339" spans="14:14" ht="15" customHeight="1" x14ac:dyDescent="0.25">
      <c r="N4339" t="s">
        <v>68</v>
      </c>
    </row>
    <row r="4340" spans="14:14" ht="15" customHeight="1" x14ac:dyDescent="0.25">
      <c r="N4340" t="s">
        <v>68</v>
      </c>
    </row>
    <row r="4341" spans="14:14" ht="15" customHeight="1" x14ac:dyDescent="0.25">
      <c r="N4341" t="s">
        <v>687</v>
      </c>
    </row>
    <row r="4342" spans="14:14" ht="15" customHeight="1" x14ac:dyDescent="0.25">
      <c r="N4342" t="s">
        <v>582</v>
      </c>
    </row>
    <row r="4343" spans="14:14" ht="15" customHeight="1" x14ac:dyDescent="0.25">
      <c r="N4343" t="s">
        <v>687</v>
      </c>
    </row>
    <row r="4344" spans="14:14" ht="15" customHeight="1" x14ac:dyDescent="0.25">
      <c r="N4344" t="s">
        <v>68</v>
      </c>
    </row>
    <row r="4345" spans="14:14" ht="15" customHeight="1" x14ac:dyDescent="0.25">
      <c r="N4345" t="s">
        <v>690</v>
      </c>
    </row>
    <row r="4346" spans="14:14" ht="15" customHeight="1" x14ac:dyDescent="0.25">
      <c r="N4346" t="s">
        <v>715</v>
      </c>
    </row>
    <row r="4347" spans="14:14" ht="15" customHeight="1" x14ac:dyDescent="0.25">
      <c r="N4347" t="s">
        <v>715</v>
      </c>
    </row>
    <row r="4348" spans="14:14" ht="15" customHeight="1" x14ac:dyDescent="0.25">
      <c r="N4348" t="s">
        <v>696</v>
      </c>
    </row>
    <row r="4349" spans="14:14" ht="15" customHeight="1" x14ac:dyDescent="0.25">
      <c r="N4349" t="s">
        <v>666</v>
      </c>
    </row>
    <row r="4350" spans="14:14" ht="15" customHeight="1" x14ac:dyDescent="0.25">
      <c r="N4350" t="s">
        <v>715</v>
      </c>
    </row>
    <row r="4351" spans="14:14" ht="15" customHeight="1" x14ac:dyDescent="0.25">
      <c r="N4351" t="s">
        <v>592</v>
      </c>
    </row>
    <row r="4352" spans="14:14" ht="15" customHeight="1" x14ac:dyDescent="0.25">
      <c r="N4352" t="s">
        <v>592</v>
      </c>
    </row>
    <row r="4353" spans="14:14" ht="15" customHeight="1" x14ac:dyDescent="0.25">
      <c r="N4353" t="s">
        <v>592</v>
      </c>
    </row>
    <row r="4354" spans="14:14" ht="15" customHeight="1" x14ac:dyDescent="0.25">
      <c r="N4354" t="s">
        <v>592</v>
      </c>
    </row>
    <row r="4355" spans="14:14" ht="15" customHeight="1" x14ac:dyDescent="0.25">
      <c r="N4355" t="s">
        <v>592</v>
      </c>
    </row>
    <row r="4356" spans="14:14" ht="15" customHeight="1" x14ac:dyDescent="0.25">
      <c r="N4356" t="s">
        <v>317</v>
      </c>
    </row>
    <row r="4357" spans="14:14" ht="15" customHeight="1" x14ac:dyDescent="0.25">
      <c r="N4357" t="s">
        <v>715</v>
      </c>
    </row>
    <row r="4358" spans="14:14" ht="15" customHeight="1" x14ac:dyDescent="0.25">
      <c r="N4358" t="s">
        <v>715</v>
      </c>
    </row>
    <row r="4359" spans="14:14" ht="15" customHeight="1" x14ac:dyDescent="0.25">
      <c r="N4359" t="s">
        <v>715</v>
      </c>
    </row>
    <row r="4360" spans="14:14" ht="15" customHeight="1" x14ac:dyDescent="0.25">
      <c r="N4360" t="s">
        <v>317</v>
      </c>
    </row>
    <row r="4361" spans="14:14" ht="15" customHeight="1" x14ac:dyDescent="0.25">
      <c r="N4361" t="s">
        <v>313</v>
      </c>
    </row>
    <row r="4362" spans="14:14" ht="15" customHeight="1" x14ac:dyDescent="0.25">
      <c r="N4362" t="s">
        <v>715</v>
      </c>
    </row>
    <row r="4363" spans="14:14" ht="15" customHeight="1" x14ac:dyDescent="0.25">
      <c r="N4363" t="s">
        <v>715</v>
      </c>
    </row>
    <row r="4364" spans="14:14" ht="15" customHeight="1" x14ac:dyDescent="0.25">
      <c r="N4364" t="s">
        <v>715</v>
      </c>
    </row>
    <row r="4365" spans="14:14" ht="15" customHeight="1" x14ac:dyDescent="0.25">
      <c r="N4365" t="s">
        <v>737</v>
      </c>
    </row>
    <row r="4366" spans="14:14" ht="15" customHeight="1" x14ac:dyDescent="0.25">
      <c r="N4366" t="s">
        <v>715</v>
      </c>
    </row>
    <row r="4367" spans="14:14" ht="15" customHeight="1" x14ac:dyDescent="0.25">
      <c r="N4367" t="s">
        <v>715</v>
      </c>
    </row>
    <row r="4368" spans="14:14" ht="15" customHeight="1" x14ac:dyDescent="0.25">
      <c r="N4368" t="s">
        <v>715</v>
      </c>
    </row>
    <row r="4369" spans="14:14" ht="15" customHeight="1" x14ac:dyDescent="0.25">
      <c r="N4369" t="s">
        <v>738</v>
      </c>
    </row>
    <row r="4370" spans="14:14" ht="15" customHeight="1" x14ac:dyDescent="0.25">
      <c r="N4370" t="s">
        <v>715</v>
      </c>
    </row>
    <row r="4371" spans="14:14" ht="15" customHeight="1" x14ac:dyDescent="0.25">
      <c r="N4371" t="s">
        <v>669</v>
      </c>
    </row>
    <row r="4372" spans="14:14" ht="15" customHeight="1" x14ac:dyDescent="0.25">
      <c r="N4372" t="s">
        <v>739</v>
      </c>
    </row>
    <row r="4373" spans="14:14" ht="15" customHeight="1" x14ac:dyDescent="0.25">
      <c r="N4373" t="s">
        <v>611</v>
      </c>
    </row>
    <row r="4374" spans="14:14" ht="15" customHeight="1" x14ac:dyDescent="0.25">
      <c r="N4374" t="s">
        <v>740</v>
      </c>
    </row>
    <row r="4375" spans="14:14" ht="15" customHeight="1" x14ac:dyDescent="0.25">
      <c r="N4375" t="s">
        <v>675</v>
      </c>
    </row>
    <row r="4376" spans="14:14" ht="15" customHeight="1" x14ac:dyDescent="0.25">
      <c r="N4376" t="s">
        <v>741</v>
      </c>
    </row>
    <row r="4377" spans="14:14" ht="15" customHeight="1" x14ac:dyDescent="0.25">
      <c r="N4377" t="s">
        <v>742</v>
      </c>
    </row>
    <row r="4378" spans="14:14" ht="15" customHeight="1" x14ac:dyDescent="0.25">
      <c r="N4378" t="s">
        <v>403</v>
      </c>
    </row>
    <row r="4379" spans="14:14" ht="15" customHeight="1" x14ac:dyDescent="0.25">
      <c r="N4379" t="s">
        <v>582</v>
      </c>
    </row>
    <row r="4380" spans="14:14" ht="15" customHeight="1" x14ac:dyDescent="0.25">
      <c r="N4380" t="s">
        <v>696</v>
      </c>
    </row>
    <row r="4381" spans="14:14" ht="15" customHeight="1" x14ac:dyDescent="0.25">
      <c r="N4381" t="s">
        <v>743</v>
      </c>
    </row>
    <row r="4382" spans="14:14" ht="15" customHeight="1" x14ac:dyDescent="0.25">
      <c r="N4382" t="s">
        <v>714</v>
      </c>
    </row>
    <row r="4383" spans="14:14" ht="15" customHeight="1" x14ac:dyDescent="0.25">
      <c r="N4383" t="s">
        <v>744</v>
      </c>
    </row>
    <row r="4384" spans="14:14" ht="15" customHeight="1" x14ac:dyDescent="0.25">
      <c r="N4384" t="s">
        <v>463</v>
      </c>
    </row>
    <row r="4385" spans="14:14" ht="15" customHeight="1" x14ac:dyDescent="0.25">
      <c r="N4385" t="s">
        <v>696</v>
      </c>
    </row>
    <row r="4386" spans="14:14" ht="15" customHeight="1" x14ac:dyDescent="0.25">
      <c r="N4386" t="s">
        <v>715</v>
      </c>
    </row>
    <row r="4387" spans="14:14" ht="15" customHeight="1" x14ac:dyDescent="0.25">
      <c r="N4387" t="s">
        <v>651</v>
      </c>
    </row>
    <row r="4388" spans="14:14" ht="15" customHeight="1" x14ac:dyDescent="0.25">
      <c r="N4388" t="s">
        <v>732</v>
      </c>
    </row>
    <row r="4389" spans="14:14" ht="15" customHeight="1" x14ac:dyDescent="0.25">
      <c r="N4389" t="s">
        <v>666</v>
      </c>
    </row>
    <row r="4390" spans="14:14" ht="15" customHeight="1" x14ac:dyDescent="0.25">
      <c r="N4390" t="s">
        <v>745</v>
      </c>
    </row>
    <row r="4391" spans="14:14" ht="15" customHeight="1" x14ac:dyDescent="0.25">
      <c r="N4391" t="s">
        <v>582</v>
      </c>
    </row>
    <row r="4392" spans="14:14" ht="15" customHeight="1" x14ac:dyDescent="0.25">
      <c r="N4392" t="s">
        <v>643</v>
      </c>
    </row>
    <row r="4393" spans="14:14" ht="15" customHeight="1" x14ac:dyDescent="0.25">
      <c r="N4393" t="s">
        <v>582</v>
      </c>
    </row>
    <row r="4394" spans="14:14" ht="15" customHeight="1" x14ac:dyDescent="0.25">
      <c r="N4394" t="s">
        <v>582</v>
      </c>
    </row>
    <row r="4395" spans="14:14" ht="15" customHeight="1" x14ac:dyDescent="0.25">
      <c r="N4395" t="s">
        <v>582</v>
      </c>
    </row>
    <row r="4396" spans="14:14" ht="15" customHeight="1" x14ac:dyDescent="0.25">
      <c r="N4396" t="s">
        <v>715</v>
      </c>
    </row>
    <row r="4397" spans="14:14" ht="15" customHeight="1" x14ac:dyDescent="0.25">
      <c r="N4397" t="s">
        <v>713</v>
      </c>
    </row>
    <row r="4398" spans="14:14" ht="15" customHeight="1" x14ac:dyDescent="0.25">
      <c r="N4398" t="s">
        <v>713</v>
      </c>
    </row>
    <row r="4399" spans="14:14" ht="15" customHeight="1" x14ac:dyDescent="0.25">
      <c r="N4399" t="s">
        <v>715</v>
      </c>
    </row>
    <row r="4400" spans="14:14" ht="15" customHeight="1" x14ac:dyDescent="0.25">
      <c r="N4400" t="s">
        <v>713</v>
      </c>
    </row>
    <row r="4401" spans="14:14" ht="15" customHeight="1" x14ac:dyDescent="0.25">
      <c r="N4401" t="s">
        <v>713</v>
      </c>
    </row>
    <row r="4402" spans="14:14" ht="15" customHeight="1" x14ac:dyDescent="0.25">
      <c r="N4402" t="s">
        <v>408</v>
      </c>
    </row>
    <row r="4403" spans="14:14" ht="15" customHeight="1" x14ac:dyDescent="0.25">
      <c r="N4403" t="s">
        <v>713</v>
      </c>
    </row>
    <row r="4404" spans="14:14" ht="15" customHeight="1" x14ac:dyDescent="0.25">
      <c r="N4404" t="s">
        <v>713</v>
      </c>
    </row>
    <row r="4405" spans="14:14" ht="15" customHeight="1" x14ac:dyDescent="0.25">
      <c r="N4405" t="s">
        <v>606</v>
      </c>
    </row>
    <row r="4406" spans="14:14" ht="15" customHeight="1" x14ac:dyDescent="0.25">
      <c r="N4406" t="s">
        <v>458</v>
      </c>
    </row>
    <row r="4407" spans="14:14" ht="15" customHeight="1" x14ac:dyDescent="0.25">
      <c r="N4407" t="s">
        <v>686</v>
      </c>
    </row>
    <row r="4408" spans="14:14" ht="15" customHeight="1" x14ac:dyDescent="0.25">
      <c r="N4408" t="s">
        <v>558</v>
      </c>
    </row>
    <row r="4409" spans="14:14" ht="15" customHeight="1" x14ac:dyDescent="0.25">
      <c r="N4409" t="s">
        <v>713</v>
      </c>
    </row>
    <row r="4410" spans="14:14" ht="15" customHeight="1" x14ac:dyDescent="0.25">
      <c r="N4410" t="s">
        <v>715</v>
      </c>
    </row>
    <row r="4411" spans="14:14" ht="15" customHeight="1" x14ac:dyDescent="0.25">
      <c r="N4411" t="s">
        <v>689</v>
      </c>
    </row>
    <row r="4412" spans="14:14" ht="15" customHeight="1" x14ac:dyDescent="0.25">
      <c r="N4412" t="s">
        <v>689</v>
      </c>
    </row>
    <row r="4413" spans="14:14" ht="15" customHeight="1" x14ac:dyDescent="0.25">
      <c r="N4413" t="s">
        <v>715</v>
      </c>
    </row>
    <row r="4414" spans="14:14" ht="15" customHeight="1" x14ac:dyDescent="0.25">
      <c r="N4414" t="s">
        <v>690</v>
      </c>
    </row>
    <row r="4415" spans="14:14" ht="15" customHeight="1" x14ac:dyDescent="0.25">
      <c r="N4415" t="s">
        <v>746</v>
      </c>
    </row>
    <row r="4416" spans="14:14" ht="15" customHeight="1" x14ac:dyDescent="0.25">
      <c r="N4416" t="s">
        <v>715</v>
      </c>
    </row>
    <row r="4417" spans="14:14" ht="15" customHeight="1" x14ac:dyDescent="0.25">
      <c r="N4417" t="s">
        <v>747</v>
      </c>
    </row>
    <row r="4418" spans="14:14" ht="15" customHeight="1" x14ac:dyDescent="0.25">
      <c r="N4418" t="s">
        <v>747</v>
      </c>
    </row>
    <row r="4419" spans="14:14" ht="15" customHeight="1" x14ac:dyDescent="0.25">
      <c r="N4419" t="s">
        <v>747</v>
      </c>
    </row>
    <row r="4420" spans="14:14" ht="15" customHeight="1" x14ac:dyDescent="0.25">
      <c r="N4420" t="s">
        <v>747</v>
      </c>
    </row>
    <row r="4421" spans="14:14" ht="15" customHeight="1" x14ac:dyDescent="0.25">
      <c r="N4421" t="s">
        <v>747</v>
      </c>
    </row>
    <row r="4422" spans="14:14" ht="15" customHeight="1" x14ac:dyDescent="0.25">
      <c r="N4422" t="s">
        <v>317</v>
      </c>
    </row>
    <row r="4423" spans="14:14" ht="15" customHeight="1" x14ac:dyDescent="0.25">
      <c r="N4423" t="s">
        <v>715</v>
      </c>
    </row>
    <row r="4424" spans="14:14" ht="15" customHeight="1" x14ac:dyDescent="0.25">
      <c r="N4424" t="s">
        <v>715</v>
      </c>
    </row>
    <row r="4425" spans="14:14" ht="15" customHeight="1" x14ac:dyDescent="0.25">
      <c r="N4425" t="s">
        <v>341</v>
      </c>
    </row>
    <row r="4426" spans="14:14" ht="15" customHeight="1" x14ac:dyDescent="0.25">
      <c r="N4426" t="s">
        <v>709</v>
      </c>
    </row>
    <row r="4427" spans="14:14" ht="15" customHeight="1" x14ac:dyDescent="0.25">
      <c r="N4427" t="s">
        <v>715</v>
      </c>
    </row>
    <row r="4428" spans="14:14" ht="15" customHeight="1" x14ac:dyDescent="0.25">
      <c r="N4428" t="s">
        <v>715</v>
      </c>
    </row>
    <row r="4429" spans="14:14" ht="15" customHeight="1" x14ac:dyDescent="0.25">
      <c r="N4429" t="s">
        <v>582</v>
      </c>
    </row>
    <row r="4430" spans="14:14" ht="15" customHeight="1" x14ac:dyDescent="0.25">
      <c r="N4430" t="s">
        <v>698</v>
      </c>
    </row>
    <row r="4431" spans="14:14" ht="15" customHeight="1" x14ac:dyDescent="0.25">
      <c r="N4431" t="s">
        <v>582</v>
      </c>
    </row>
    <row r="4432" spans="14:14" ht="15" customHeight="1" x14ac:dyDescent="0.25">
      <c r="N4432" t="s">
        <v>740</v>
      </c>
    </row>
    <row r="4433" spans="14:14" ht="15" customHeight="1" x14ac:dyDescent="0.25">
      <c r="N4433" t="s">
        <v>655</v>
      </c>
    </row>
    <row r="4434" spans="14:14" ht="15" customHeight="1" x14ac:dyDescent="0.25">
      <c r="N4434" t="s">
        <v>748</v>
      </c>
    </row>
    <row r="4435" spans="14:14" ht="15" customHeight="1" x14ac:dyDescent="0.25">
      <c r="N4435" t="s">
        <v>582</v>
      </c>
    </row>
    <row r="4436" spans="14:14" ht="15" customHeight="1" x14ac:dyDescent="0.25">
      <c r="N4436" t="s">
        <v>735</v>
      </c>
    </row>
    <row r="4437" spans="14:14" ht="15" customHeight="1" x14ac:dyDescent="0.25">
      <c r="N4437" t="s">
        <v>582</v>
      </c>
    </row>
    <row r="4438" spans="14:14" ht="15" customHeight="1" x14ac:dyDescent="0.25">
      <c r="N4438" t="s">
        <v>435</v>
      </c>
    </row>
    <row r="4439" spans="14:14" ht="15" customHeight="1" x14ac:dyDescent="0.25">
      <c r="N4439" t="s">
        <v>715</v>
      </c>
    </row>
    <row r="4440" spans="14:14" ht="15" customHeight="1" x14ac:dyDescent="0.25">
      <c r="N4440" t="s">
        <v>715</v>
      </c>
    </row>
    <row r="4441" spans="14:14" ht="15" customHeight="1" x14ac:dyDescent="0.25">
      <c r="N4441" t="s">
        <v>651</v>
      </c>
    </row>
    <row r="4442" spans="14:14" ht="15" customHeight="1" x14ac:dyDescent="0.25">
      <c r="N4442" t="s">
        <v>715</v>
      </c>
    </row>
    <row r="4443" spans="14:14" ht="15" customHeight="1" x14ac:dyDescent="0.25">
      <c r="N4443" t="s">
        <v>621</v>
      </c>
    </row>
    <row r="4444" spans="14:14" ht="15" customHeight="1" x14ac:dyDescent="0.25">
      <c r="N4444" t="s">
        <v>582</v>
      </c>
    </row>
    <row r="4445" spans="14:14" ht="15" customHeight="1" x14ac:dyDescent="0.25">
      <c r="N4445" t="s">
        <v>643</v>
      </c>
    </row>
    <row r="4446" spans="14:14" ht="15" customHeight="1" x14ac:dyDescent="0.25">
      <c r="N4446" t="s">
        <v>607</v>
      </c>
    </row>
    <row r="4447" spans="14:14" ht="15" customHeight="1" x14ac:dyDescent="0.25">
      <c r="N4447" t="s">
        <v>715</v>
      </c>
    </row>
    <row r="4448" spans="14:14" ht="15" customHeight="1" x14ac:dyDescent="0.25">
      <c r="N4448" t="s">
        <v>713</v>
      </c>
    </row>
    <row r="4449" spans="14:14" ht="15" customHeight="1" x14ac:dyDescent="0.25">
      <c r="N4449" t="s">
        <v>715</v>
      </c>
    </row>
    <row r="4450" spans="14:14" ht="15" customHeight="1" x14ac:dyDescent="0.25">
      <c r="N4450" t="s">
        <v>606</v>
      </c>
    </row>
    <row r="4451" spans="14:14" ht="15" customHeight="1" x14ac:dyDescent="0.25">
      <c r="N4451" t="s">
        <v>408</v>
      </c>
    </row>
    <row r="4452" spans="14:14" ht="15" customHeight="1" x14ac:dyDescent="0.25">
      <c r="N4452" t="s">
        <v>713</v>
      </c>
    </row>
    <row r="4453" spans="14:14" ht="15" customHeight="1" x14ac:dyDescent="0.25">
      <c r="N4453" t="s">
        <v>713</v>
      </c>
    </row>
    <row r="4454" spans="14:14" ht="15" customHeight="1" x14ac:dyDescent="0.25">
      <c r="N4454" t="s">
        <v>713</v>
      </c>
    </row>
    <row r="4455" spans="14:14" ht="15" customHeight="1" x14ac:dyDescent="0.25">
      <c r="N4455" t="s">
        <v>713</v>
      </c>
    </row>
    <row r="4456" spans="14:14" ht="15" customHeight="1" x14ac:dyDescent="0.25">
      <c r="N4456" t="s">
        <v>686</v>
      </c>
    </row>
    <row r="4457" spans="14:14" ht="15" customHeight="1" x14ac:dyDescent="0.25">
      <c r="N4457" t="s">
        <v>558</v>
      </c>
    </row>
    <row r="4458" spans="14:14" ht="15" customHeight="1" x14ac:dyDescent="0.25">
      <c r="N4458" t="s">
        <v>713</v>
      </c>
    </row>
    <row r="4459" spans="14:14" ht="15" customHeight="1" x14ac:dyDescent="0.25">
      <c r="N4459" t="s">
        <v>715</v>
      </c>
    </row>
    <row r="4460" spans="14:14" ht="15" customHeight="1" x14ac:dyDescent="0.25">
      <c r="N4460" t="s">
        <v>555</v>
      </c>
    </row>
    <row r="4461" spans="14:14" ht="15" customHeight="1" x14ac:dyDescent="0.25">
      <c r="N4461" t="s">
        <v>524</v>
      </c>
    </row>
    <row r="4462" spans="14:14" ht="15" customHeight="1" x14ac:dyDescent="0.25">
      <c r="N4462" t="s">
        <v>715</v>
      </c>
    </row>
    <row r="4463" spans="14:14" ht="15" customHeight="1" x14ac:dyDescent="0.25">
      <c r="N4463" t="s">
        <v>689</v>
      </c>
    </row>
    <row r="4464" spans="14:14" ht="15" customHeight="1" x14ac:dyDescent="0.25">
      <c r="N4464" t="s">
        <v>689</v>
      </c>
    </row>
    <row r="4465" spans="14:14" ht="15" customHeight="1" x14ac:dyDescent="0.25">
      <c r="N4465" t="s">
        <v>715</v>
      </c>
    </row>
    <row r="4466" spans="14:14" ht="15" customHeight="1" x14ac:dyDescent="0.25">
      <c r="N4466" t="s">
        <v>689</v>
      </c>
    </row>
    <row r="4467" spans="14:14" ht="15" customHeight="1" x14ac:dyDescent="0.25">
      <c r="N4467" t="s">
        <v>690</v>
      </c>
    </row>
    <row r="4468" spans="14:14" ht="15" customHeight="1" x14ac:dyDescent="0.25">
      <c r="N4468" t="s">
        <v>582</v>
      </c>
    </row>
    <row r="4469" spans="14:14" ht="15" customHeight="1" x14ac:dyDescent="0.25">
      <c r="N4469" t="s">
        <v>317</v>
      </c>
    </row>
    <row r="4470" spans="14:14" ht="15" customHeight="1" x14ac:dyDescent="0.25">
      <c r="N4470" t="s">
        <v>715</v>
      </c>
    </row>
    <row r="4471" spans="14:14" ht="15" customHeight="1" x14ac:dyDescent="0.25">
      <c r="N4471" t="s">
        <v>342</v>
      </c>
    </row>
    <row r="4472" spans="14:14" ht="15" customHeight="1" x14ac:dyDescent="0.25">
      <c r="N4472" t="s">
        <v>582</v>
      </c>
    </row>
    <row r="4473" spans="14:14" ht="15" customHeight="1" x14ac:dyDescent="0.25">
      <c r="N4473" t="s">
        <v>698</v>
      </c>
    </row>
    <row r="4474" spans="14:14" ht="15" customHeight="1" x14ac:dyDescent="0.25">
      <c r="N4474" t="s">
        <v>582</v>
      </c>
    </row>
    <row r="4475" spans="14:14" ht="15" customHeight="1" x14ac:dyDescent="0.25">
      <c r="N4475" t="s">
        <v>655</v>
      </c>
    </row>
    <row r="4476" spans="14:14" ht="15" customHeight="1" x14ac:dyDescent="0.25">
      <c r="N4476" t="s">
        <v>320</v>
      </c>
    </row>
    <row r="4477" spans="14:14" ht="15" customHeight="1" x14ac:dyDescent="0.25">
      <c r="N4477" t="s">
        <v>651</v>
      </c>
    </row>
    <row r="4478" spans="14:14" ht="15" customHeight="1" x14ac:dyDescent="0.25">
      <c r="N4478" t="s">
        <v>510</v>
      </c>
    </row>
    <row r="4479" spans="14:14" ht="15" customHeight="1" x14ac:dyDescent="0.25">
      <c r="N4479" t="s">
        <v>593</v>
      </c>
    </row>
    <row r="4480" spans="14:14" ht="15" customHeight="1" x14ac:dyDescent="0.25">
      <c r="N4480" t="s">
        <v>715</v>
      </c>
    </row>
    <row r="4481" spans="14:14" ht="15" customHeight="1" x14ac:dyDescent="0.25">
      <c r="N4481" t="s">
        <v>713</v>
      </c>
    </row>
    <row r="4482" spans="14:14" ht="15" customHeight="1" x14ac:dyDescent="0.25">
      <c r="N4482" t="s">
        <v>715</v>
      </c>
    </row>
    <row r="4483" spans="14:14" ht="15" customHeight="1" x14ac:dyDescent="0.25">
      <c r="N4483" t="s">
        <v>606</v>
      </c>
    </row>
    <row r="4484" spans="14:14" ht="15" customHeight="1" x14ac:dyDescent="0.25">
      <c r="N4484" t="s">
        <v>713</v>
      </c>
    </row>
    <row r="4485" spans="14:14" ht="15" customHeight="1" x14ac:dyDescent="0.25">
      <c r="N4485" t="s">
        <v>713</v>
      </c>
    </row>
    <row r="4486" spans="14:14" ht="15" customHeight="1" x14ac:dyDescent="0.25">
      <c r="N4486" t="s">
        <v>686</v>
      </c>
    </row>
    <row r="4487" spans="14:14" ht="15" customHeight="1" x14ac:dyDescent="0.25">
      <c r="N4487" t="s">
        <v>412</v>
      </c>
    </row>
    <row r="4488" spans="14:14" ht="15" customHeight="1" x14ac:dyDescent="0.25">
      <c r="N4488" t="s">
        <v>603</v>
      </c>
    </row>
    <row r="4489" spans="14:14" ht="15" customHeight="1" x14ac:dyDescent="0.25">
      <c r="N4489" t="s">
        <v>715</v>
      </c>
    </row>
    <row r="4490" spans="14:14" ht="15" customHeight="1" x14ac:dyDescent="0.25">
      <c r="N4490" t="s">
        <v>715</v>
      </c>
    </row>
    <row r="4491" spans="14:14" ht="15" customHeight="1" x14ac:dyDescent="0.25">
      <c r="N4491" t="s">
        <v>733</v>
      </c>
    </row>
    <row r="4492" spans="14:14" ht="15" customHeight="1" x14ac:dyDescent="0.25">
      <c r="N4492" t="s">
        <v>592</v>
      </c>
    </row>
    <row r="4493" spans="14:14" ht="15" customHeight="1" x14ac:dyDescent="0.25">
      <c r="N4493" t="s">
        <v>715</v>
      </c>
    </row>
    <row r="4494" spans="14:14" ht="15" customHeight="1" x14ac:dyDescent="0.25">
      <c r="N4494" t="s">
        <v>698</v>
      </c>
    </row>
    <row r="4495" spans="14:14" ht="15" customHeight="1" x14ac:dyDescent="0.25">
      <c r="N4495" t="s">
        <v>403</v>
      </c>
    </row>
    <row r="4496" spans="14:14" ht="15" customHeight="1" x14ac:dyDescent="0.25">
      <c r="N4496" t="s">
        <v>715</v>
      </c>
    </row>
    <row r="4497" spans="14:14" ht="15" customHeight="1" x14ac:dyDescent="0.25">
      <c r="N4497" t="s">
        <v>651</v>
      </c>
    </row>
    <row r="4498" spans="14:14" ht="15" customHeight="1" x14ac:dyDescent="0.25">
      <c r="N4498" t="s">
        <v>582</v>
      </c>
    </row>
    <row r="4499" spans="14:14" ht="15" customHeight="1" x14ac:dyDescent="0.25">
      <c r="N4499" t="s">
        <v>715</v>
      </c>
    </row>
    <row r="4500" spans="14:14" ht="15" customHeight="1" x14ac:dyDescent="0.25">
      <c r="N4500" t="s">
        <v>713</v>
      </c>
    </row>
    <row r="4501" spans="14:14" ht="15" customHeight="1" x14ac:dyDescent="0.25">
      <c r="N4501" t="s">
        <v>411</v>
      </c>
    </row>
    <row r="4502" spans="14:14" ht="15" customHeight="1" x14ac:dyDescent="0.25">
      <c r="N4502" t="s">
        <v>376</v>
      </c>
    </row>
    <row r="4503" spans="14:14" ht="15" customHeight="1" x14ac:dyDescent="0.25">
      <c r="N4503" t="s">
        <v>687</v>
      </c>
    </row>
    <row r="4504" spans="14:14" ht="15" customHeight="1" x14ac:dyDescent="0.25">
      <c r="N4504" t="s">
        <v>689</v>
      </c>
    </row>
    <row r="4505" spans="14:14" ht="15" customHeight="1" x14ac:dyDescent="0.25">
      <c r="N4505" t="s">
        <v>406</v>
      </c>
    </row>
    <row r="4506" spans="14:14" ht="15" customHeight="1" x14ac:dyDescent="0.25">
      <c r="N4506" t="s">
        <v>663</v>
      </c>
    </row>
    <row r="4507" spans="14:14" ht="15" customHeight="1" x14ac:dyDescent="0.25">
      <c r="N4507" t="s">
        <v>655</v>
      </c>
    </row>
    <row r="4508" spans="14:14" ht="15" customHeight="1" x14ac:dyDescent="0.25">
      <c r="N4508" t="s">
        <v>634</v>
      </c>
    </row>
    <row r="4509" spans="14:14" ht="15" customHeight="1" x14ac:dyDescent="0.25">
      <c r="N4509" t="s">
        <v>611</v>
      </c>
    </row>
    <row r="4510" spans="14:14" ht="15" customHeight="1" x14ac:dyDescent="0.25">
      <c r="N4510" t="s">
        <v>643</v>
      </c>
    </row>
    <row r="4511" spans="14:14" ht="15" customHeight="1" x14ac:dyDescent="0.25">
      <c r="N4511" t="s">
        <v>686</v>
      </c>
    </row>
    <row r="4512" spans="14:14" ht="15" customHeight="1" x14ac:dyDescent="0.25">
      <c r="N4512" t="s">
        <v>405</v>
      </c>
    </row>
    <row r="4513" spans="14:14" ht="15" customHeight="1" x14ac:dyDescent="0.25">
      <c r="N4513" t="s">
        <v>687</v>
      </c>
    </row>
    <row r="4514" spans="14:14" ht="15" customHeight="1" x14ac:dyDescent="0.25">
      <c r="N4514" t="s">
        <v>715</v>
      </c>
    </row>
    <row r="4515" spans="14:14" ht="15" customHeight="1" x14ac:dyDescent="0.25">
      <c r="N4515" t="s">
        <v>690</v>
      </c>
    </row>
    <row r="4516" spans="14:14" ht="15" customHeight="1" x14ac:dyDescent="0.25">
      <c r="N4516" t="s">
        <v>732</v>
      </c>
    </row>
    <row r="4517" spans="14:14" ht="15" customHeight="1" x14ac:dyDescent="0.25">
      <c r="N4517" t="s">
        <v>313</v>
      </c>
    </row>
    <row r="4518" spans="14:14" ht="15" customHeight="1" x14ac:dyDescent="0.25">
      <c r="N4518" t="s">
        <v>683</v>
      </c>
    </row>
    <row r="4519" spans="14:14" ht="15" customHeight="1" x14ac:dyDescent="0.25">
      <c r="N4519" t="s">
        <v>655</v>
      </c>
    </row>
    <row r="4520" spans="14:14" ht="15" customHeight="1" x14ac:dyDescent="0.25">
      <c r="N4520" t="s">
        <v>435</v>
      </c>
    </row>
    <row r="4521" spans="14:14" ht="15" customHeight="1" x14ac:dyDescent="0.25">
      <c r="N4521" t="s">
        <v>646</v>
      </c>
    </row>
    <row r="4522" spans="14:14" ht="15" customHeight="1" x14ac:dyDescent="0.25">
      <c r="N4522" t="s">
        <v>294</v>
      </c>
    </row>
    <row r="4523" spans="14:14" ht="15" customHeight="1" x14ac:dyDescent="0.25">
      <c r="N4523" t="s">
        <v>643</v>
      </c>
    </row>
    <row r="4524" spans="14:14" ht="15" customHeight="1" x14ac:dyDescent="0.25">
      <c r="N4524" t="s">
        <v>686</v>
      </c>
    </row>
    <row r="4525" spans="14:14" ht="15" customHeight="1" x14ac:dyDescent="0.25">
      <c r="N4525" t="s">
        <v>686</v>
      </c>
    </row>
    <row r="4526" spans="14:14" ht="15" customHeight="1" x14ac:dyDescent="0.25">
      <c r="N4526" t="s">
        <v>294</v>
      </c>
    </row>
    <row r="4527" spans="14:14" ht="15" customHeight="1" x14ac:dyDescent="0.25">
      <c r="N4527" t="s">
        <v>313</v>
      </c>
    </row>
    <row r="4528" spans="14:14" ht="15" customHeight="1" x14ac:dyDescent="0.25">
      <c r="N4528" t="s">
        <v>690</v>
      </c>
    </row>
    <row r="4529" spans="14:14" ht="15" customHeight="1" x14ac:dyDescent="0.25">
      <c r="N4529" t="s">
        <v>636</v>
      </c>
    </row>
    <row r="4530" spans="14:14" ht="15" customHeight="1" x14ac:dyDescent="0.25">
      <c r="N4530" t="s">
        <v>582</v>
      </c>
    </row>
    <row r="4531" spans="14:14" ht="15" customHeight="1" x14ac:dyDescent="0.25">
      <c r="N4531" t="s">
        <v>683</v>
      </c>
    </row>
    <row r="4532" spans="14:14" ht="15" customHeight="1" x14ac:dyDescent="0.25">
      <c r="N4532" t="s">
        <v>698</v>
      </c>
    </row>
    <row r="4533" spans="14:14" ht="15" customHeight="1" x14ac:dyDescent="0.25">
      <c r="N4533" t="s">
        <v>646</v>
      </c>
    </row>
    <row r="4534" spans="14:14" ht="15" customHeight="1" x14ac:dyDescent="0.25">
      <c r="N4534" t="s">
        <v>732</v>
      </c>
    </row>
    <row r="4535" spans="14:14" ht="15" customHeight="1" x14ac:dyDescent="0.25">
      <c r="N4535" t="s">
        <v>715</v>
      </c>
    </row>
    <row r="4536" spans="14:14" ht="15" customHeight="1" x14ac:dyDescent="0.25">
      <c r="N4536" t="s">
        <v>582</v>
      </c>
    </row>
    <row r="4537" spans="14:14" ht="15" customHeight="1" x14ac:dyDescent="0.25">
      <c r="N4537" t="s">
        <v>458</v>
      </c>
    </row>
    <row r="4538" spans="14:14" ht="15" customHeight="1" x14ac:dyDescent="0.25">
      <c r="N4538" t="s">
        <v>555</v>
      </c>
    </row>
    <row r="4539" spans="14:14" ht="15" customHeight="1" x14ac:dyDescent="0.25">
      <c r="N4539" t="s">
        <v>294</v>
      </c>
    </row>
    <row r="4540" spans="14:14" ht="15" customHeight="1" x14ac:dyDescent="0.25">
      <c r="N4540" t="s">
        <v>732</v>
      </c>
    </row>
    <row r="4541" spans="14:14" ht="15" customHeight="1" x14ac:dyDescent="0.25">
      <c r="N4541" t="s">
        <v>605</v>
      </c>
    </row>
    <row r="4542" spans="14:14" ht="15" customHeight="1" x14ac:dyDescent="0.25">
      <c r="N4542" t="s">
        <v>698</v>
      </c>
    </row>
    <row r="4543" spans="14:14" ht="15" customHeight="1" x14ac:dyDescent="0.25">
      <c r="N4543" t="s">
        <v>448</v>
      </c>
    </row>
    <row r="4544" spans="14:14" ht="15" customHeight="1" x14ac:dyDescent="0.25">
      <c r="N4544" t="s">
        <v>715</v>
      </c>
    </row>
    <row r="4545" spans="14:14" ht="15" customHeight="1" x14ac:dyDescent="0.25">
      <c r="N4545" t="s">
        <v>636</v>
      </c>
    </row>
    <row r="4546" spans="14:14" ht="15" customHeight="1" x14ac:dyDescent="0.25">
      <c r="N4546" t="s">
        <v>683</v>
      </c>
    </row>
    <row r="4547" spans="14:14" ht="15" customHeight="1" x14ac:dyDescent="0.25">
      <c r="N4547" t="s">
        <v>698</v>
      </c>
    </row>
    <row r="4548" spans="14:14" ht="15" customHeight="1" x14ac:dyDescent="0.25">
      <c r="N4548" t="s">
        <v>350</v>
      </c>
    </row>
    <row r="4549" spans="14:14" ht="15" customHeight="1" x14ac:dyDescent="0.25">
      <c r="N4549" t="s">
        <v>715</v>
      </c>
    </row>
    <row r="4550" spans="14:14" ht="15" customHeight="1" x14ac:dyDescent="0.25">
      <c r="N4550" t="s">
        <v>690</v>
      </c>
    </row>
    <row r="4551" spans="14:14" ht="15" customHeight="1" x14ac:dyDescent="0.25">
      <c r="N4551" t="s">
        <v>732</v>
      </c>
    </row>
    <row r="4552" spans="14:14" ht="15" customHeight="1" x14ac:dyDescent="0.25">
      <c r="N4552" t="s">
        <v>663</v>
      </c>
    </row>
    <row r="4553" spans="14:14" ht="15" customHeight="1" x14ac:dyDescent="0.25">
      <c r="N4553" t="s">
        <v>683</v>
      </c>
    </row>
    <row r="4554" spans="14:14" ht="15" customHeight="1" x14ac:dyDescent="0.25">
      <c r="N4554" t="s">
        <v>698</v>
      </c>
    </row>
    <row r="4555" spans="14:14" ht="15" customHeight="1" x14ac:dyDescent="0.25">
      <c r="N4555" t="s">
        <v>582</v>
      </c>
    </row>
    <row r="4556" spans="14:14" ht="15" customHeight="1" x14ac:dyDescent="0.25">
      <c r="N4556" t="s">
        <v>698</v>
      </c>
    </row>
    <row r="4557" spans="14:14" ht="15" customHeight="1" x14ac:dyDescent="0.25">
      <c r="N4557" t="s">
        <v>582</v>
      </c>
    </row>
    <row r="4558" spans="14:14" ht="15" customHeight="1" x14ac:dyDescent="0.25">
      <c r="N4558" t="s">
        <v>474</v>
      </c>
    </row>
    <row r="4559" spans="14:14" ht="15" customHeight="1" x14ac:dyDescent="0.25">
      <c r="N4559" t="s">
        <v>313</v>
      </c>
    </row>
    <row r="4560" spans="14:14" ht="15" customHeight="1" x14ac:dyDescent="0.25">
      <c r="N4560" t="s">
        <v>683</v>
      </c>
    </row>
    <row r="4561" spans="14:14" ht="15" customHeight="1" x14ac:dyDescent="0.25">
      <c r="N4561" t="s">
        <v>634</v>
      </c>
    </row>
    <row r="4562" spans="14:14" ht="15" customHeight="1" x14ac:dyDescent="0.25">
      <c r="N4562" t="s">
        <v>499</v>
      </c>
    </row>
    <row r="4563" spans="14:14" ht="15" customHeight="1" x14ac:dyDescent="0.25">
      <c r="N4563" t="s">
        <v>611</v>
      </c>
    </row>
    <row r="4564" spans="14:14" ht="15" customHeight="1" x14ac:dyDescent="0.25">
      <c r="N4564" t="s">
        <v>690</v>
      </c>
    </row>
    <row r="4565" spans="14:14" ht="15" customHeight="1" x14ac:dyDescent="0.25">
      <c r="N4565" t="s">
        <v>313</v>
      </c>
    </row>
    <row r="4566" spans="14:14" ht="15" customHeight="1" x14ac:dyDescent="0.25">
      <c r="N4566" t="s">
        <v>636</v>
      </c>
    </row>
    <row r="4567" spans="14:14" ht="15" customHeight="1" x14ac:dyDescent="0.25">
      <c r="N4567" t="s">
        <v>683</v>
      </c>
    </row>
    <row r="4568" spans="14:14" ht="15" customHeight="1" x14ac:dyDescent="0.25">
      <c r="N4568" t="s">
        <v>347</v>
      </c>
    </row>
    <row r="4569" spans="14:14" ht="15" customHeight="1" x14ac:dyDescent="0.25">
      <c r="N4569" t="s">
        <v>663</v>
      </c>
    </row>
    <row r="4570" spans="14:14" ht="15" customHeight="1" x14ac:dyDescent="0.25">
      <c r="N4570" t="s">
        <v>579</v>
      </c>
    </row>
    <row r="4571" spans="14:14" ht="15" customHeight="1" x14ac:dyDescent="0.25">
      <c r="N4571" t="s">
        <v>732</v>
      </c>
    </row>
    <row r="4572" spans="14:14" ht="15" customHeight="1" x14ac:dyDescent="0.25">
      <c r="N4572" t="s">
        <v>313</v>
      </c>
    </row>
    <row r="4573" spans="14:14" ht="15" customHeight="1" x14ac:dyDescent="0.25">
      <c r="N4573" t="s">
        <v>463</v>
      </c>
    </row>
    <row r="4574" spans="14:14" ht="15" customHeight="1" x14ac:dyDescent="0.25">
      <c r="N4574" t="s">
        <v>732</v>
      </c>
    </row>
    <row r="4575" spans="14:14" ht="15" customHeight="1" x14ac:dyDescent="0.25">
      <c r="N4575" t="s">
        <v>313</v>
      </c>
    </row>
    <row r="4576" spans="14:14" ht="15" customHeight="1" x14ac:dyDescent="0.25">
      <c r="N4576" t="s">
        <v>654</v>
      </c>
    </row>
    <row r="4577" spans="14:14" ht="15" customHeight="1" x14ac:dyDescent="0.25">
      <c r="N4577" t="s">
        <v>680</v>
      </c>
    </row>
    <row r="4578" spans="14:14" ht="15" customHeight="1" x14ac:dyDescent="0.25">
      <c r="N4578" t="s">
        <v>313</v>
      </c>
    </row>
    <row r="4579" spans="14:14" ht="15" customHeight="1" x14ac:dyDescent="0.25">
      <c r="N4579" t="s">
        <v>713</v>
      </c>
    </row>
    <row r="4580" spans="14:14" ht="15" customHeight="1" x14ac:dyDescent="0.25">
      <c r="N4580" t="s">
        <v>313</v>
      </c>
    </row>
    <row r="4581" spans="14:14" ht="15" customHeight="1" x14ac:dyDescent="0.25">
      <c r="N4581" t="s">
        <v>663</v>
      </c>
    </row>
    <row r="4582" spans="14:14" ht="15" customHeight="1" x14ac:dyDescent="0.25">
      <c r="N4582" t="s">
        <v>579</v>
      </c>
    </row>
    <row r="4583" spans="14:14" ht="15" customHeight="1" x14ac:dyDescent="0.25">
      <c r="N4583" t="s">
        <v>355</v>
      </c>
    </row>
    <row r="4584" spans="14:14" ht="15" customHeight="1" x14ac:dyDescent="0.25">
      <c r="N4584" t="s">
        <v>313</v>
      </c>
    </row>
    <row r="4585" spans="14:14" ht="15" customHeight="1" x14ac:dyDescent="0.25">
      <c r="N4585" t="s">
        <v>732</v>
      </c>
    </row>
    <row r="4586" spans="14:14" ht="15" customHeight="1" x14ac:dyDescent="0.25">
      <c r="N4586" t="s">
        <v>540</v>
      </c>
    </row>
    <row r="4587" spans="14:14" ht="15" customHeight="1" x14ac:dyDescent="0.25">
      <c r="N4587" t="s">
        <v>732</v>
      </c>
    </row>
    <row r="4588" spans="14:14" ht="15" customHeight="1" x14ac:dyDescent="0.25">
      <c r="N4588" t="s">
        <v>485</v>
      </c>
    </row>
    <row r="4589" spans="14:14" ht="15" customHeight="1" x14ac:dyDescent="0.25">
      <c r="N4589" t="s">
        <v>654</v>
      </c>
    </row>
    <row r="4590" spans="14:14" ht="15" customHeight="1" x14ac:dyDescent="0.25">
      <c r="N4590" t="s">
        <v>363</v>
      </c>
    </row>
    <row r="4591" spans="14:14" ht="15" customHeight="1" x14ac:dyDescent="0.25">
      <c r="N4591" t="s">
        <v>370</v>
      </c>
    </row>
    <row r="4592" spans="14:14" ht="15" customHeight="1" x14ac:dyDescent="0.25">
      <c r="N4592" t="s">
        <v>732</v>
      </c>
    </row>
    <row r="4593" spans="14:14" ht="15" customHeight="1" x14ac:dyDescent="0.25">
      <c r="N4593" t="s">
        <v>732</v>
      </c>
    </row>
    <row r="4594" spans="14:14" ht="15" customHeight="1" x14ac:dyDescent="0.25">
      <c r="N4594" t="s">
        <v>304</v>
      </c>
    </row>
    <row r="4595" spans="14:14" ht="15" customHeight="1" x14ac:dyDescent="0.25">
      <c r="N4595" t="s">
        <v>696</v>
      </c>
    </row>
    <row r="4596" spans="14:14" ht="15" customHeight="1" x14ac:dyDescent="0.25">
      <c r="N4596" t="s">
        <v>313</v>
      </c>
    </row>
    <row r="4597" spans="14:14" ht="15" customHeight="1" x14ac:dyDescent="0.25">
      <c r="N4597" t="s">
        <v>313</v>
      </c>
    </row>
    <row r="4598" spans="14:14" ht="15" customHeight="1" x14ac:dyDescent="0.25">
      <c r="N4598" t="s">
        <v>680</v>
      </c>
    </row>
    <row r="4599" spans="14:14" ht="15" customHeight="1" x14ac:dyDescent="0.25">
      <c r="N4599" t="s">
        <v>582</v>
      </c>
    </row>
    <row r="4600" spans="14:14" ht="15" customHeight="1" x14ac:dyDescent="0.25">
      <c r="N4600" t="s">
        <v>732</v>
      </c>
    </row>
    <row r="4601" spans="14:14" ht="15" customHeight="1" x14ac:dyDescent="0.25">
      <c r="N4601" t="s">
        <v>732</v>
      </c>
    </row>
    <row r="4602" spans="14:14" ht="15" customHeight="1" x14ac:dyDescent="0.25">
      <c r="N4602" t="s">
        <v>313</v>
      </c>
    </row>
    <row r="4603" spans="14:14" ht="15" customHeight="1" x14ac:dyDescent="0.25">
      <c r="N4603" t="s">
        <v>313</v>
      </c>
    </row>
    <row r="4604" spans="14:14" ht="15" customHeight="1" x14ac:dyDescent="0.25">
      <c r="N4604" t="s">
        <v>715</v>
      </c>
    </row>
    <row r="4605" spans="14:14" ht="15" customHeight="1" x14ac:dyDescent="0.25">
      <c r="N4605" t="s">
        <v>698</v>
      </c>
    </row>
    <row r="4606" spans="14:14" ht="15" customHeight="1" x14ac:dyDescent="0.25">
      <c r="N4606" t="s">
        <v>582</v>
      </c>
    </row>
    <row r="4607" spans="14:14" ht="15" customHeight="1" x14ac:dyDescent="0.25">
      <c r="N4607" t="s">
        <v>696</v>
      </c>
    </row>
    <row r="4608" spans="14:14" ht="15" customHeight="1" x14ac:dyDescent="0.25">
      <c r="N4608" t="s">
        <v>582</v>
      </c>
    </row>
    <row r="4609" spans="14:14" ht="15" customHeight="1" x14ac:dyDescent="0.25">
      <c r="N4609" t="s">
        <v>582</v>
      </c>
    </row>
    <row r="4610" spans="14:14" ht="15" customHeight="1" x14ac:dyDescent="0.25">
      <c r="N4610" t="s">
        <v>68</v>
      </c>
    </row>
    <row r="4611" spans="14:14" ht="15" customHeight="1" x14ac:dyDescent="0.25">
      <c r="N4611" t="s">
        <v>685</v>
      </c>
    </row>
    <row r="4612" spans="14:14" ht="15" customHeight="1" x14ac:dyDescent="0.25">
      <c r="N4612" t="s">
        <v>734</v>
      </c>
    </row>
    <row r="4613" spans="14:14" ht="15" customHeight="1" x14ac:dyDescent="0.25">
      <c r="N4613" t="s">
        <v>715</v>
      </c>
    </row>
    <row r="4614" spans="14:14" ht="15" customHeight="1" x14ac:dyDescent="0.25">
      <c r="N4614" t="s">
        <v>732</v>
      </c>
    </row>
    <row r="4615" spans="14:14" ht="15" customHeight="1" x14ac:dyDescent="0.25">
      <c r="N4615" t="s">
        <v>684</v>
      </c>
    </row>
    <row r="4616" spans="14:14" ht="15" customHeight="1" x14ac:dyDescent="0.25">
      <c r="N4616" t="s">
        <v>732</v>
      </c>
    </row>
    <row r="4617" spans="14:14" ht="15" customHeight="1" x14ac:dyDescent="0.25">
      <c r="N4617" t="s">
        <v>582</v>
      </c>
    </row>
    <row r="4618" spans="14:14" ht="15" customHeight="1" x14ac:dyDescent="0.25">
      <c r="N4618" t="s">
        <v>68</v>
      </c>
    </row>
    <row r="4619" spans="14:14" ht="15" customHeight="1" x14ac:dyDescent="0.25">
      <c r="N4619" t="s">
        <v>582</v>
      </c>
    </row>
    <row r="4620" spans="14:14" ht="15" customHeight="1" x14ac:dyDescent="0.25">
      <c r="N4620" t="s">
        <v>68</v>
      </c>
    </row>
    <row r="4621" spans="14:14" ht="15" customHeight="1" x14ac:dyDescent="0.25">
      <c r="N4621" t="s">
        <v>68</v>
      </c>
    </row>
    <row r="4622" spans="14:14" ht="15" customHeight="1" x14ac:dyDescent="0.25">
      <c r="N4622" t="s">
        <v>582</v>
      </c>
    </row>
    <row r="4623" spans="14:14" ht="15" customHeight="1" x14ac:dyDescent="0.25">
      <c r="N4623" t="s">
        <v>713</v>
      </c>
    </row>
    <row r="4624" spans="14:14" ht="15" customHeight="1" x14ac:dyDescent="0.25">
      <c r="N4624" t="s">
        <v>713</v>
      </c>
    </row>
    <row r="4625" spans="14:14" ht="15" customHeight="1" x14ac:dyDescent="0.25">
      <c r="N4625" t="s">
        <v>713</v>
      </c>
    </row>
    <row r="4626" spans="14:14" ht="15" customHeight="1" x14ac:dyDescent="0.25">
      <c r="N4626" t="s">
        <v>685</v>
      </c>
    </row>
    <row r="4627" spans="14:14" ht="15" customHeight="1" x14ac:dyDescent="0.25">
      <c r="N4627" t="s">
        <v>732</v>
      </c>
    </row>
    <row r="4628" spans="14:14" ht="15" customHeight="1" x14ac:dyDescent="0.25">
      <c r="N4628" t="s">
        <v>687</v>
      </c>
    </row>
    <row r="4629" spans="14:14" ht="15" customHeight="1" x14ac:dyDescent="0.25">
      <c r="N4629" t="s">
        <v>313</v>
      </c>
    </row>
    <row r="4630" spans="14:14" ht="15" customHeight="1" x14ac:dyDescent="0.25">
      <c r="N4630" t="s">
        <v>670</v>
      </c>
    </row>
    <row r="4631" spans="14:14" ht="15" customHeight="1" x14ac:dyDescent="0.25">
      <c r="N4631" t="s">
        <v>646</v>
      </c>
    </row>
    <row r="4632" spans="14:14" ht="15" customHeight="1" x14ac:dyDescent="0.25">
      <c r="N4632" t="s">
        <v>304</v>
      </c>
    </row>
    <row r="4633" spans="14:14" ht="15" customHeight="1" x14ac:dyDescent="0.25">
      <c r="N4633" t="s">
        <v>735</v>
      </c>
    </row>
    <row r="4634" spans="14:14" ht="15" customHeight="1" x14ac:dyDescent="0.25">
      <c r="N4634" t="s">
        <v>735</v>
      </c>
    </row>
    <row r="4635" spans="14:14" ht="15" customHeight="1" x14ac:dyDescent="0.25">
      <c r="N4635" t="s">
        <v>735</v>
      </c>
    </row>
    <row r="4636" spans="14:14" ht="15" customHeight="1" x14ac:dyDescent="0.25">
      <c r="N4636" t="s">
        <v>735</v>
      </c>
    </row>
    <row r="4637" spans="14:14" ht="15" customHeight="1" x14ac:dyDescent="0.25">
      <c r="N4637" t="s">
        <v>735</v>
      </c>
    </row>
    <row r="4638" spans="14:14" ht="15" customHeight="1" x14ac:dyDescent="0.25">
      <c r="N4638" t="s">
        <v>313</v>
      </c>
    </row>
    <row r="4639" spans="14:14" ht="15" customHeight="1" x14ac:dyDescent="0.25">
      <c r="N4639" t="s">
        <v>680</v>
      </c>
    </row>
    <row r="4640" spans="14:14" ht="15" customHeight="1" x14ac:dyDescent="0.25">
      <c r="N4640" t="s">
        <v>732</v>
      </c>
    </row>
    <row r="4641" spans="14:14" ht="15" customHeight="1" x14ac:dyDescent="0.25">
      <c r="N4641" t="s">
        <v>313</v>
      </c>
    </row>
    <row r="4642" spans="14:14" ht="15" customHeight="1" x14ac:dyDescent="0.25">
      <c r="N4642" t="s">
        <v>68</v>
      </c>
    </row>
    <row r="4643" spans="14:14" ht="15" customHeight="1" x14ac:dyDescent="0.25">
      <c r="N4643" t="s">
        <v>675</v>
      </c>
    </row>
    <row r="4644" spans="14:14" ht="15" customHeight="1" x14ac:dyDescent="0.25">
      <c r="N4644" t="s">
        <v>539</v>
      </c>
    </row>
    <row r="4645" spans="14:14" ht="15" customHeight="1" x14ac:dyDescent="0.25">
      <c r="N4645" t="s">
        <v>68</v>
      </c>
    </row>
    <row r="4646" spans="14:14" ht="15" customHeight="1" x14ac:dyDescent="0.25">
      <c r="N4646" t="s">
        <v>732</v>
      </c>
    </row>
    <row r="4647" spans="14:14" ht="15" customHeight="1" x14ac:dyDescent="0.25">
      <c r="N4647" t="s">
        <v>684</v>
      </c>
    </row>
    <row r="4648" spans="14:14" ht="15" customHeight="1" x14ac:dyDescent="0.25">
      <c r="N4648" t="s">
        <v>68</v>
      </c>
    </row>
    <row r="4649" spans="14:14" ht="15" customHeight="1" x14ac:dyDescent="0.25">
      <c r="N4649" t="s">
        <v>553</v>
      </c>
    </row>
    <row r="4650" spans="14:14" ht="15" customHeight="1" x14ac:dyDescent="0.25">
      <c r="N4650" t="s">
        <v>68</v>
      </c>
    </row>
    <row r="4651" spans="14:14" ht="15" customHeight="1" x14ac:dyDescent="0.25">
      <c r="N4651" t="s">
        <v>582</v>
      </c>
    </row>
    <row r="4652" spans="14:14" ht="15" customHeight="1" x14ac:dyDescent="0.25">
      <c r="N4652" t="s">
        <v>713</v>
      </c>
    </row>
    <row r="4653" spans="14:14" ht="15" customHeight="1" x14ac:dyDescent="0.25">
      <c r="N4653" t="s">
        <v>732</v>
      </c>
    </row>
    <row r="4654" spans="14:14" ht="15" customHeight="1" x14ac:dyDescent="0.25">
      <c r="N4654" t="s">
        <v>603</v>
      </c>
    </row>
    <row r="4655" spans="14:14" ht="15" customHeight="1" x14ac:dyDescent="0.25">
      <c r="N4655" t="s">
        <v>654</v>
      </c>
    </row>
    <row r="4656" spans="14:14" ht="15" customHeight="1" x14ac:dyDescent="0.25">
      <c r="N4656" t="s">
        <v>685</v>
      </c>
    </row>
    <row r="4657" spans="14:14" ht="15" customHeight="1" x14ac:dyDescent="0.25">
      <c r="N4657" t="s">
        <v>313</v>
      </c>
    </row>
    <row r="4658" spans="14:14" ht="15" customHeight="1" x14ac:dyDescent="0.25">
      <c r="N4658" t="s">
        <v>685</v>
      </c>
    </row>
    <row r="4659" spans="14:14" ht="15" customHeight="1" x14ac:dyDescent="0.25">
      <c r="N4659" t="s">
        <v>696</v>
      </c>
    </row>
    <row r="4660" spans="14:14" ht="15" customHeight="1" x14ac:dyDescent="0.25">
      <c r="N4660" t="s">
        <v>313</v>
      </c>
    </row>
    <row r="4661" spans="14:14" ht="15" customHeight="1" x14ac:dyDescent="0.25">
      <c r="N4661" t="s">
        <v>675</v>
      </c>
    </row>
    <row r="4662" spans="14:14" ht="15" customHeight="1" x14ac:dyDescent="0.25">
      <c r="N4662" t="s">
        <v>582</v>
      </c>
    </row>
    <row r="4663" spans="14:14" ht="15" customHeight="1" x14ac:dyDescent="0.25">
      <c r="N4663" t="s">
        <v>582</v>
      </c>
    </row>
    <row r="4664" spans="14:14" ht="15" customHeight="1" x14ac:dyDescent="0.25">
      <c r="N4664" t="s">
        <v>713</v>
      </c>
    </row>
    <row r="4665" spans="14:14" ht="15" customHeight="1" x14ac:dyDescent="0.25">
      <c r="N4665" t="s">
        <v>558</v>
      </c>
    </row>
    <row r="4666" spans="14:14" ht="15" customHeight="1" x14ac:dyDescent="0.25">
      <c r="N4666" t="s">
        <v>732</v>
      </c>
    </row>
    <row r="4667" spans="14:14" ht="15" customHeight="1" x14ac:dyDescent="0.25">
      <c r="N4667" t="s">
        <v>670</v>
      </c>
    </row>
    <row r="4668" spans="14:14" ht="15" customHeight="1" x14ac:dyDescent="0.25">
      <c r="N4668" t="s">
        <v>670</v>
      </c>
    </row>
    <row r="4669" spans="14:14" ht="15" customHeight="1" x14ac:dyDescent="0.25">
      <c r="N4669" t="s">
        <v>370</v>
      </c>
    </row>
    <row r="4670" spans="14:14" ht="15" customHeight="1" x14ac:dyDescent="0.25">
      <c r="N4670" t="s">
        <v>714</v>
      </c>
    </row>
    <row r="4671" spans="14:14" ht="15" customHeight="1" x14ac:dyDescent="0.25">
      <c r="N4671" t="s">
        <v>685</v>
      </c>
    </row>
    <row r="4672" spans="14:14" ht="15" customHeight="1" x14ac:dyDescent="0.25">
      <c r="N4672" t="s">
        <v>582</v>
      </c>
    </row>
    <row r="4673" spans="14:14" ht="15" customHeight="1" x14ac:dyDescent="0.25">
      <c r="N4673" t="s">
        <v>686</v>
      </c>
    </row>
    <row r="4674" spans="14:14" ht="15" customHeight="1" x14ac:dyDescent="0.25">
      <c r="N4674" t="s">
        <v>670</v>
      </c>
    </row>
    <row r="4675" spans="14:14" ht="15" customHeight="1" x14ac:dyDescent="0.25">
      <c r="N4675" t="s">
        <v>304</v>
      </c>
    </row>
    <row r="4676" spans="14:14" ht="15" customHeight="1" x14ac:dyDescent="0.25">
      <c r="N4676" t="s">
        <v>669</v>
      </c>
    </row>
    <row r="4677" spans="14:14" ht="15" customHeight="1" x14ac:dyDescent="0.25">
      <c r="N4677" t="s">
        <v>553</v>
      </c>
    </row>
    <row r="4678" spans="14:14" ht="15" customHeight="1" x14ac:dyDescent="0.25">
      <c r="N4678" t="s">
        <v>582</v>
      </c>
    </row>
    <row r="4679" spans="14:14" ht="15" customHeight="1" x14ac:dyDescent="0.25">
      <c r="N4679" t="s">
        <v>715</v>
      </c>
    </row>
    <row r="4680" spans="14:14" ht="15" customHeight="1" x14ac:dyDescent="0.25">
      <c r="N4680" t="s">
        <v>714</v>
      </c>
    </row>
    <row r="4681" spans="14:14" ht="15" customHeight="1" x14ac:dyDescent="0.25">
      <c r="N4681" t="s">
        <v>642</v>
      </c>
    </row>
    <row r="4682" spans="14:14" ht="15" customHeight="1" x14ac:dyDescent="0.25">
      <c r="N4682" t="s">
        <v>690</v>
      </c>
    </row>
    <row r="4683" spans="14:14" ht="15" customHeight="1" x14ac:dyDescent="0.25">
      <c r="N4683" t="s">
        <v>582</v>
      </c>
    </row>
    <row r="4684" spans="14:14" ht="15" customHeight="1" x14ac:dyDescent="0.25">
      <c r="N4684" t="s">
        <v>605</v>
      </c>
    </row>
    <row r="4685" spans="14:14" ht="15" customHeight="1" x14ac:dyDescent="0.25">
      <c r="N4685" t="s">
        <v>732</v>
      </c>
    </row>
    <row r="4686" spans="14:14" ht="15" customHeight="1" x14ac:dyDescent="0.25">
      <c r="N4686" t="s">
        <v>714</v>
      </c>
    </row>
    <row r="4687" spans="14:14" ht="15" customHeight="1" x14ac:dyDescent="0.25">
      <c r="N4687" t="s">
        <v>304</v>
      </c>
    </row>
    <row r="4688" spans="14:14" ht="15" customHeight="1" x14ac:dyDescent="0.25">
      <c r="N4688" t="s">
        <v>642</v>
      </c>
    </row>
    <row r="4689" spans="14:14" ht="15" customHeight="1" x14ac:dyDescent="0.25">
      <c r="N4689" t="s">
        <v>714</v>
      </c>
    </row>
    <row r="4690" spans="14:14" ht="15" customHeight="1" x14ac:dyDescent="0.25">
      <c r="N4690" t="s">
        <v>371</v>
      </c>
    </row>
    <row r="4691" spans="14:14" ht="15" customHeight="1" x14ac:dyDescent="0.25">
      <c r="N4691" t="s">
        <v>425</v>
      </c>
    </row>
    <row r="4692" spans="14:14" ht="15" customHeight="1" x14ac:dyDescent="0.25">
      <c r="N4692" t="s">
        <v>582</v>
      </c>
    </row>
    <row r="4693" spans="14:14" ht="15" customHeight="1" x14ac:dyDescent="0.25">
      <c r="N4693" t="s">
        <v>684</v>
      </c>
    </row>
    <row r="4694" spans="14:14" ht="15" customHeight="1" x14ac:dyDescent="0.25">
      <c r="N4694" t="s">
        <v>685</v>
      </c>
    </row>
    <row r="4695" spans="14:14" ht="15" customHeight="1" x14ac:dyDescent="0.25">
      <c r="N4695" t="s">
        <v>313</v>
      </c>
    </row>
    <row r="4696" spans="14:14" ht="15" customHeight="1" x14ac:dyDescent="0.25">
      <c r="N4696" t="s">
        <v>714</v>
      </c>
    </row>
    <row r="4697" spans="14:14" ht="15" customHeight="1" x14ac:dyDescent="0.25">
      <c r="N4697" t="s">
        <v>687</v>
      </c>
    </row>
    <row r="4698" spans="14:14" ht="15" customHeight="1" x14ac:dyDescent="0.25">
      <c r="N4698" t="s">
        <v>642</v>
      </c>
    </row>
    <row r="4699" spans="14:14" ht="15" customHeight="1" x14ac:dyDescent="0.25">
      <c r="N4699" t="s">
        <v>638</v>
      </c>
    </row>
    <row r="4700" spans="14:14" ht="15" customHeight="1" x14ac:dyDescent="0.25">
      <c r="N4700" t="s">
        <v>582</v>
      </c>
    </row>
    <row r="4701" spans="14:14" ht="15" customHeight="1" x14ac:dyDescent="0.25">
      <c r="N4701" t="s">
        <v>582</v>
      </c>
    </row>
    <row r="4702" spans="14:14" ht="15" customHeight="1" x14ac:dyDescent="0.25">
      <c r="N4702" t="s">
        <v>714</v>
      </c>
    </row>
    <row r="4703" spans="14:14" ht="15" customHeight="1" x14ac:dyDescent="0.25">
      <c r="N4703" t="s">
        <v>714</v>
      </c>
    </row>
    <row r="4704" spans="14:14" ht="15" customHeight="1" x14ac:dyDescent="0.25">
      <c r="N4704" t="s">
        <v>638</v>
      </c>
    </row>
    <row r="4705" spans="14:14" ht="15" customHeight="1" x14ac:dyDescent="0.25">
      <c r="N4705" t="s">
        <v>638</v>
      </c>
    </row>
    <row r="4706" spans="14:14" ht="15" customHeight="1" x14ac:dyDescent="0.25">
      <c r="N4706" t="s">
        <v>582</v>
      </c>
    </row>
    <row r="4707" spans="14:14" ht="15" customHeight="1" x14ac:dyDescent="0.25">
      <c r="N4707" t="s">
        <v>68</v>
      </c>
    </row>
    <row r="4708" spans="14:14" ht="15" customHeight="1" x14ac:dyDescent="0.25">
      <c r="N4708" t="s">
        <v>675</v>
      </c>
    </row>
    <row r="4709" spans="14:14" ht="15" customHeight="1" x14ac:dyDescent="0.25">
      <c r="N4709" t="s">
        <v>706</v>
      </c>
    </row>
    <row r="4710" spans="14:14" ht="15" customHeight="1" x14ac:dyDescent="0.25">
      <c r="N4710" t="s">
        <v>582</v>
      </c>
    </row>
    <row r="4711" spans="14:14" ht="15" customHeight="1" x14ac:dyDescent="0.25">
      <c r="N4711" t="s">
        <v>68</v>
      </c>
    </row>
    <row r="4712" spans="14:14" ht="15" customHeight="1" x14ac:dyDescent="0.25">
      <c r="N4712" t="s">
        <v>622</v>
      </c>
    </row>
    <row r="4713" spans="14:14" ht="15" customHeight="1" x14ac:dyDescent="0.25">
      <c r="N4713" t="s">
        <v>68</v>
      </c>
    </row>
    <row r="4714" spans="14:14" ht="15" customHeight="1" x14ac:dyDescent="0.25">
      <c r="N4714" t="s">
        <v>736</v>
      </c>
    </row>
    <row r="4715" spans="14:14" ht="15" customHeight="1" x14ac:dyDescent="0.25">
      <c r="N4715" t="s">
        <v>68</v>
      </c>
    </row>
    <row r="4716" spans="14:14" ht="15" customHeight="1" x14ac:dyDescent="0.25">
      <c r="N4716" t="s">
        <v>689</v>
      </c>
    </row>
    <row r="4717" spans="14:14" ht="15" customHeight="1" x14ac:dyDescent="0.25">
      <c r="N4717" t="s">
        <v>706</v>
      </c>
    </row>
    <row r="4718" spans="14:14" ht="15" customHeight="1" x14ac:dyDescent="0.25">
      <c r="N4718" t="s">
        <v>582</v>
      </c>
    </row>
    <row r="4719" spans="14:14" ht="15" customHeight="1" x14ac:dyDescent="0.25">
      <c r="N4719" t="s">
        <v>68</v>
      </c>
    </row>
    <row r="4720" spans="14:14" ht="15" customHeight="1" x14ac:dyDescent="0.25">
      <c r="N4720" t="s">
        <v>732</v>
      </c>
    </row>
    <row r="4721" spans="14:14" ht="15" customHeight="1" x14ac:dyDescent="0.25">
      <c r="N4721" t="s">
        <v>496</v>
      </c>
    </row>
    <row r="4722" spans="14:14" ht="15" customHeight="1" x14ac:dyDescent="0.25">
      <c r="N4722" t="s">
        <v>68</v>
      </c>
    </row>
    <row r="4723" spans="14:14" ht="15" customHeight="1" x14ac:dyDescent="0.25">
      <c r="N4723" t="s">
        <v>68</v>
      </c>
    </row>
    <row r="4724" spans="14:14" ht="15" customHeight="1" x14ac:dyDescent="0.25">
      <c r="N4724" t="s">
        <v>689</v>
      </c>
    </row>
    <row r="4725" spans="14:14" ht="15" customHeight="1" x14ac:dyDescent="0.25">
      <c r="N4725" t="s">
        <v>684</v>
      </c>
    </row>
    <row r="4726" spans="14:14" ht="15" customHeight="1" x14ac:dyDescent="0.25">
      <c r="N4726" t="s">
        <v>582</v>
      </c>
    </row>
    <row r="4727" spans="14:14" ht="15" customHeight="1" x14ac:dyDescent="0.25">
      <c r="N4727" t="s">
        <v>68</v>
      </c>
    </row>
    <row r="4728" spans="14:14" ht="15" customHeight="1" x14ac:dyDescent="0.25">
      <c r="N4728" t="s">
        <v>675</v>
      </c>
    </row>
    <row r="4729" spans="14:14" ht="15" customHeight="1" x14ac:dyDescent="0.25">
      <c r="N4729" t="s">
        <v>68</v>
      </c>
    </row>
    <row r="4730" spans="14:14" ht="15" customHeight="1" x14ac:dyDescent="0.25">
      <c r="N4730" t="s">
        <v>706</v>
      </c>
    </row>
    <row r="4731" spans="14:14" ht="15" customHeight="1" x14ac:dyDescent="0.25">
      <c r="N4731" t="s">
        <v>313</v>
      </c>
    </row>
    <row r="4732" spans="14:14" ht="15" customHeight="1" x14ac:dyDescent="0.25">
      <c r="N4732" t="s">
        <v>621</v>
      </c>
    </row>
    <row r="4733" spans="14:14" ht="15" customHeight="1" x14ac:dyDescent="0.25">
      <c r="N4733" t="s">
        <v>68</v>
      </c>
    </row>
    <row r="4734" spans="14:14" ht="15" customHeight="1" x14ac:dyDescent="0.25">
      <c r="N4734" t="s">
        <v>582</v>
      </c>
    </row>
    <row r="4735" spans="14:14" ht="15" customHeight="1" x14ac:dyDescent="0.25">
      <c r="N4735" t="s">
        <v>313</v>
      </c>
    </row>
    <row r="4736" spans="14:14" ht="15" customHeight="1" x14ac:dyDescent="0.25">
      <c r="N4736" t="s">
        <v>677</v>
      </c>
    </row>
    <row r="4737" spans="14:14" ht="15" customHeight="1" x14ac:dyDescent="0.25">
      <c r="N4737" t="s">
        <v>68</v>
      </c>
    </row>
    <row r="4738" spans="14:14" ht="15" customHeight="1" x14ac:dyDescent="0.25">
      <c r="N4738" t="s">
        <v>68</v>
      </c>
    </row>
    <row r="4739" spans="14:14" ht="15" customHeight="1" x14ac:dyDescent="0.25">
      <c r="N4739" t="s">
        <v>677</v>
      </c>
    </row>
    <row r="4740" spans="14:14" ht="15" customHeight="1" x14ac:dyDescent="0.25">
      <c r="N4740" t="s">
        <v>677</v>
      </c>
    </row>
    <row r="4741" spans="14:14" ht="15" customHeight="1" x14ac:dyDescent="0.25">
      <c r="N4741" t="s">
        <v>68</v>
      </c>
    </row>
    <row r="4742" spans="14:14" ht="15" customHeight="1" x14ac:dyDescent="0.25">
      <c r="N4742" t="s">
        <v>68</v>
      </c>
    </row>
    <row r="4743" spans="14:14" ht="15" customHeight="1" x14ac:dyDescent="0.25">
      <c r="N4743" t="s">
        <v>687</v>
      </c>
    </row>
    <row r="4744" spans="14:14" ht="15" customHeight="1" x14ac:dyDescent="0.25">
      <c r="N4744" t="s">
        <v>582</v>
      </c>
    </row>
    <row r="4745" spans="14:14" ht="15" customHeight="1" x14ac:dyDescent="0.25">
      <c r="N4745" t="s">
        <v>687</v>
      </c>
    </row>
    <row r="4746" spans="14:14" ht="15" customHeight="1" x14ac:dyDescent="0.25">
      <c r="N4746" t="s">
        <v>68</v>
      </c>
    </row>
    <row r="4747" spans="14:14" ht="15" customHeight="1" x14ac:dyDescent="0.25">
      <c r="N4747" t="s">
        <v>690</v>
      </c>
    </row>
    <row r="4748" spans="14:14" ht="15" customHeight="1" x14ac:dyDescent="0.25">
      <c r="N4748" t="s">
        <v>715</v>
      </c>
    </row>
    <row r="4749" spans="14:14" ht="15" customHeight="1" x14ac:dyDescent="0.25">
      <c r="N4749" t="s">
        <v>715</v>
      </c>
    </row>
    <row r="4750" spans="14:14" ht="15" customHeight="1" x14ac:dyDescent="0.25">
      <c r="N4750" t="s">
        <v>696</v>
      </c>
    </row>
    <row r="4751" spans="14:14" ht="15" customHeight="1" x14ac:dyDescent="0.25">
      <c r="N4751" t="s">
        <v>666</v>
      </c>
    </row>
    <row r="4752" spans="14:14" ht="15" customHeight="1" x14ac:dyDescent="0.25">
      <c r="N4752" t="s">
        <v>715</v>
      </c>
    </row>
    <row r="4753" spans="14:14" ht="15" customHeight="1" x14ac:dyDescent="0.25">
      <c r="N4753" t="s">
        <v>592</v>
      </c>
    </row>
    <row r="4754" spans="14:14" ht="15" customHeight="1" x14ac:dyDescent="0.25">
      <c r="N4754" t="s">
        <v>592</v>
      </c>
    </row>
    <row r="4755" spans="14:14" ht="15" customHeight="1" x14ac:dyDescent="0.25">
      <c r="N4755" t="s">
        <v>592</v>
      </c>
    </row>
    <row r="4756" spans="14:14" ht="15" customHeight="1" x14ac:dyDescent="0.25">
      <c r="N4756" t="s">
        <v>592</v>
      </c>
    </row>
    <row r="4757" spans="14:14" ht="15" customHeight="1" x14ac:dyDescent="0.25">
      <c r="N4757" t="s">
        <v>592</v>
      </c>
    </row>
    <row r="4758" spans="14:14" ht="15" customHeight="1" x14ac:dyDescent="0.25">
      <c r="N4758" t="s">
        <v>317</v>
      </c>
    </row>
    <row r="4759" spans="14:14" ht="15" customHeight="1" x14ac:dyDescent="0.25">
      <c r="N4759" t="s">
        <v>715</v>
      </c>
    </row>
    <row r="4760" spans="14:14" ht="15" customHeight="1" x14ac:dyDescent="0.25">
      <c r="N4760" t="s">
        <v>715</v>
      </c>
    </row>
    <row r="4761" spans="14:14" ht="15" customHeight="1" x14ac:dyDescent="0.25">
      <c r="N4761" t="s">
        <v>715</v>
      </c>
    </row>
    <row r="4762" spans="14:14" ht="15" customHeight="1" x14ac:dyDescent="0.25">
      <c r="N4762" t="s">
        <v>317</v>
      </c>
    </row>
    <row r="4763" spans="14:14" ht="15" customHeight="1" x14ac:dyDescent="0.25">
      <c r="N4763" t="s">
        <v>313</v>
      </c>
    </row>
    <row r="4764" spans="14:14" ht="15" customHeight="1" x14ac:dyDescent="0.25">
      <c r="N4764" t="s">
        <v>313</v>
      </c>
    </row>
    <row r="4765" spans="14:14" ht="15" customHeight="1" x14ac:dyDescent="0.25">
      <c r="N4765" t="s">
        <v>313</v>
      </c>
    </row>
    <row r="4766" spans="14:14" ht="15" customHeight="1" x14ac:dyDescent="0.25">
      <c r="N4766" t="s">
        <v>313</v>
      </c>
    </row>
    <row r="4767" spans="14:14" ht="15" customHeight="1" x14ac:dyDescent="0.25">
      <c r="N4767" t="s">
        <v>715</v>
      </c>
    </row>
    <row r="4768" spans="14:14" ht="15" customHeight="1" x14ac:dyDescent="0.25">
      <c r="N4768" t="s">
        <v>715</v>
      </c>
    </row>
    <row r="4769" spans="14:14" ht="15" customHeight="1" x14ac:dyDescent="0.25">
      <c r="N4769" t="s">
        <v>715</v>
      </c>
    </row>
    <row r="4770" spans="14:14" ht="15" customHeight="1" x14ac:dyDescent="0.25">
      <c r="N4770" t="s">
        <v>715</v>
      </c>
    </row>
    <row r="4771" spans="14:14" ht="15" customHeight="1" x14ac:dyDescent="0.25">
      <c r="N4771" t="s">
        <v>715</v>
      </c>
    </row>
    <row r="4772" spans="14:14" ht="15" customHeight="1" x14ac:dyDescent="0.25">
      <c r="N4772" t="s">
        <v>715</v>
      </c>
    </row>
    <row r="4773" spans="14:14" ht="15" customHeight="1" x14ac:dyDescent="0.25">
      <c r="N4773" t="s">
        <v>715</v>
      </c>
    </row>
    <row r="4774" spans="14:14" ht="15" customHeight="1" x14ac:dyDescent="0.25">
      <c r="N4774" t="s">
        <v>715</v>
      </c>
    </row>
    <row r="4775" spans="14:14" ht="15" customHeight="1" x14ac:dyDescent="0.25">
      <c r="N4775" t="s">
        <v>715</v>
      </c>
    </row>
    <row r="4776" spans="14:14" ht="15" customHeight="1" x14ac:dyDescent="0.25">
      <c r="N4776" t="s">
        <v>715</v>
      </c>
    </row>
    <row r="4777" spans="14:14" ht="15" customHeight="1" x14ac:dyDescent="0.25">
      <c r="N4777" t="s">
        <v>715</v>
      </c>
    </row>
    <row r="4778" spans="14:14" ht="15" customHeight="1" x14ac:dyDescent="0.25">
      <c r="N4778" t="s">
        <v>715</v>
      </c>
    </row>
    <row r="4779" spans="14:14" ht="15" customHeight="1" x14ac:dyDescent="0.25">
      <c r="N4779" t="s">
        <v>715</v>
      </c>
    </row>
    <row r="4780" spans="14:14" ht="15" customHeight="1" x14ac:dyDescent="0.25">
      <c r="N4780" t="s">
        <v>715</v>
      </c>
    </row>
    <row r="4781" spans="14:14" ht="15" customHeight="1" x14ac:dyDescent="0.25">
      <c r="N4781" t="s">
        <v>715</v>
      </c>
    </row>
    <row r="4782" spans="14:14" ht="15" customHeight="1" x14ac:dyDescent="0.25">
      <c r="N4782" t="s">
        <v>715</v>
      </c>
    </row>
    <row r="4783" spans="14:14" ht="15" customHeight="1" x14ac:dyDescent="0.25">
      <c r="N4783" t="s">
        <v>715</v>
      </c>
    </row>
    <row r="4784" spans="14:14" ht="15" customHeight="1" x14ac:dyDescent="0.25">
      <c r="N4784" t="s">
        <v>715</v>
      </c>
    </row>
    <row r="4785" spans="14:14" ht="15" customHeight="1" x14ac:dyDescent="0.25">
      <c r="N4785" t="s">
        <v>715</v>
      </c>
    </row>
    <row r="4786" spans="14:14" ht="15" customHeight="1" x14ac:dyDescent="0.25">
      <c r="N4786" t="s">
        <v>715</v>
      </c>
    </row>
    <row r="4787" spans="14:14" ht="15" customHeight="1" x14ac:dyDescent="0.25">
      <c r="N4787" t="s">
        <v>715</v>
      </c>
    </row>
    <row r="4788" spans="14:14" ht="15" customHeight="1" x14ac:dyDescent="0.25">
      <c r="N4788" t="s">
        <v>715</v>
      </c>
    </row>
    <row r="4789" spans="14:14" ht="15" customHeight="1" x14ac:dyDescent="0.25">
      <c r="N4789" t="s">
        <v>715</v>
      </c>
    </row>
    <row r="4790" spans="14:14" ht="15" customHeight="1" x14ac:dyDescent="0.25">
      <c r="N4790" t="s">
        <v>715</v>
      </c>
    </row>
    <row r="4791" spans="14:14" ht="15" customHeight="1" x14ac:dyDescent="0.25">
      <c r="N4791" t="s">
        <v>715</v>
      </c>
    </row>
    <row r="4792" spans="14:14" ht="15" customHeight="1" x14ac:dyDescent="0.25">
      <c r="N4792" t="s">
        <v>715</v>
      </c>
    </row>
    <row r="4793" spans="14:14" ht="15" customHeight="1" x14ac:dyDescent="0.25">
      <c r="N4793" t="s">
        <v>715</v>
      </c>
    </row>
    <row r="4794" spans="14:14" ht="15" customHeight="1" x14ac:dyDescent="0.25">
      <c r="N4794" t="s">
        <v>715</v>
      </c>
    </row>
    <row r="4795" spans="14:14" ht="15" customHeight="1" x14ac:dyDescent="0.25">
      <c r="N4795" t="s">
        <v>715</v>
      </c>
    </row>
    <row r="4796" spans="14:14" ht="15" customHeight="1" x14ac:dyDescent="0.25">
      <c r="N4796" t="s">
        <v>715</v>
      </c>
    </row>
    <row r="4797" spans="14:14" ht="15" customHeight="1" x14ac:dyDescent="0.25">
      <c r="N4797" t="s">
        <v>715</v>
      </c>
    </row>
    <row r="4798" spans="14:14" ht="15" customHeight="1" x14ac:dyDescent="0.25">
      <c r="N4798" t="s">
        <v>715</v>
      </c>
    </row>
    <row r="4799" spans="14:14" ht="15" customHeight="1" x14ac:dyDescent="0.25">
      <c r="N4799" t="s">
        <v>715</v>
      </c>
    </row>
    <row r="4800" spans="14:14" ht="15" customHeight="1" x14ac:dyDescent="0.25">
      <c r="N4800" t="s">
        <v>715</v>
      </c>
    </row>
    <row r="4801" spans="14:14" ht="15" customHeight="1" x14ac:dyDescent="0.25">
      <c r="N4801" t="s">
        <v>715</v>
      </c>
    </row>
    <row r="4802" spans="14:14" ht="15" customHeight="1" x14ac:dyDescent="0.25">
      <c r="N4802" t="s">
        <v>715</v>
      </c>
    </row>
    <row r="4803" spans="14:14" ht="15" customHeight="1" x14ac:dyDescent="0.25">
      <c r="N4803" t="s">
        <v>715</v>
      </c>
    </row>
    <row r="4804" spans="14:14" ht="15" customHeight="1" x14ac:dyDescent="0.25">
      <c r="N4804" t="s">
        <v>715</v>
      </c>
    </row>
    <row r="4805" spans="14:14" ht="15" customHeight="1" x14ac:dyDescent="0.25">
      <c r="N4805" t="s">
        <v>715</v>
      </c>
    </row>
    <row r="4806" spans="14:14" ht="15" customHeight="1" x14ac:dyDescent="0.25">
      <c r="N4806" t="s">
        <v>715</v>
      </c>
    </row>
    <row r="4807" spans="14:14" ht="15" customHeight="1" x14ac:dyDescent="0.25">
      <c r="N4807" t="s">
        <v>715</v>
      </c>
    </row>
    <row r="4808" spans="14:14" ht="15" customHeight="1" x14ac:dyDescent="0.25">
      <c r="N4808" t="s">
        <v>715</v>
      </c>
    </row>
    <row r="4809" spans="14:14" ht="15" customHeight="1" x14ac:dyDescent="0.25">
      <c r="N4809" t="s">
        <v>715</v>
      </c>
    </row>
    <row r="4810" spans="14:14" ht="15" customHeight="1" x14ac:dyDescent="0.25">
      <c r="N4810" t="s">
        <v>715</v>
      </c>
    </row>
    <row r="4811" spans="14:14" ht="15" customHeight="1" x14ac:dyDescent="0.25">
      <c r="N4811" t="s">
        <v>715</v>
      </c>
    </row>
    <row r="4812" spans="14:14" ht="15" customHeight="1" x14ac:dyDescent="0.25">
      <c r="N4812" t="s">
        <v>715</v>
      </c>
    </row>
    <row r="4813" spans="14:14" ht="15" customHeight="1" x14ac:dyDescent="0.25">
      <c r="N4813" t="s">
        <v>715</v>
      </c>
    </row>
    <row r="4814" spans="14:14" ht="15" customHeight="1" x14ac:dyDescent="0.25">
      <c r="N4814" t="s">
        <v>715</v>
      </c>
    </row>
    <row r="4815" spans="14:14" ht="15" customHeight="1" x14ac:dyDescent="0.25">
      <c r="N4815" t="s">
        <v>715</v>
      </c>
    </row>
    <row r="4816" spans="14:14" ht="15" customHeight="1" x14ac:dyDescent="0.25">
      <c r="N4816" t="s">
        <v>715</v>
      </c>
    </row>
    <row r="4817" spans="14:14" ht="15" customHeight="1" x14ac:dyDescent="0.25">
      <c r="N4817" t="s">
        <v>715</v>
      </c>
    </row>
    <row r="4818" spans="14:14" ht="15" customHeight="1" x14ac:dyDescent="0.25">
      <c r="N4818" t="s">
        <v>715</v>
      </c>
    </row>
    <row r="4819" spans="14:14" ht="15" customHeight="1" x14ac:dyDescent="0.25">
      <c r="N4819" t="s">
        <v>715</v>
      </c>
    </row>
    <row r="4820" spans="14:14" ht="15" customHeight="1" x14ac:dyDescent="0.25">
      <c r="N4820" t="s">
        <v>715</v>
      </c>
    </row>
    <row r="4821" spans="14:14" ht="15" customHeight="1" x14ac:dyDescent="0.25">
      <c r="N4821" t="s">
        <v>715</v>
      </c>
    </row>
    <row r="4822" spans="14:14" ht="15" customHeight="1" x14ac:dyDescent="0.25">
      <c r="N4822" t="s">
        <v>715</v>
      </c>
    </row>
    <row r="4823" spans="14:14" ht="15" customHeight="1" x14ac:dyDescent="0.25">
      <c r="N4823" t="s">
        <v>715</v>
      </c>
    </row>
    <row r="4824" spans="14:14" ht="15" customHeight="1" x14ac:dyDescent="0.25">
      <c r="N4824" t="s">
        <v>738</v>
      </c>
    </row>
    <row r="4825" spans="14:14" ht="15" customHeight="1" x14ac:dyDescent="0.25">
      <c r="N4825" t="s">
        <v>715</v>
      </c>
    </row>
    <row r="4826" spans="14:14" ht="15" customHeight="1" x14ac:dyDescent="0.25">
      <c r="N4826" t="s">
        <v>669</v>
      </c>
    </row>
    <row r="4827" spans="14:14" ht="15" customHeight="1" x14ac:dyDescent="0.25">
      <c r="N4827" t="s">
        <v>739</v>
      </c>
    </row>
    <row r="4828" spans="14:14" ht="15" customHeight="1" x14ac:dyDescent="0.25">
      <c r="N4828" t="s">
        <v>611</v>
      </c>
    </row>
    <row r="4829" spans="14:14" ht="15" customHeight="1" x14ac:dyDescent="0.25">
      <c r="N4829" t="s">
        <v>740</v>
      </c>
    </row>
    <row r="4830" spans="14:14" ht="15" customHeight="1" x14ac:dyDescent="0.25">
      <c r="N4830" t="s">
        <v>675</v>
      </c>
    </row>
    <row r="4831" spans="14:14" ht="15" customHeight="1" x14ac:dyDescent="0.25">
      <c r="N4831" t="s">
        <v>741</v>
      </c>
    </row>
    <row r="4832" spans="14:14" ht="15" customHeight="1" x14ac:dyDescent="0.25">
      <c r="N4832" t="s">
        <v>742</v>
      </c>
    </row>
    <row r="4833" spans="14:14" ht="15" customHeight="1" x14ac:dyDescent="0.25">
      <c r="N4833" t="s">
        <v>403</v>
      </c>
    </row>
    <row r="4834" spans="14:14" ht="15" customHeight="1" x14ac:dyDescent="0.25">
      <c r="N4834" t="s">
        <v>403</v>
      </c>
    </row>
    <row r="4835" spans="14:14" ht="15" customHeight="1" x14ac:dyDescent="0.25">
      <c r="N4835" t="s">
        <v>403</v>
      </c>
    </row>
    <row r="4836" spans="14:14" ht="15" customHeight="1" x14ac:dyDescent="0.25">
      <c r="N4836" t="s">
        <v>403</v>
      </c>
    </row>
    <row r="4837" spans="14:14" ht="15" customHeight="1" x14ac:dyDescent="0.25">
      <c r="N4837" t="s">
        <v>403</v>
      </c>
    </row>
    <row r="4838" spans="14:14" ht="15" customHeight="1" x14ac:dyDescent="0.25">
      <c r="N4838" t="s">
        <v>403</v>
      </c>
    </row>
    <row r="4839" spans="14:14" ht="15" customHeight="1" x14ac:dyDescent="0.25">
      <c r="N4839" t="s">
        <v>403</v>
      </c>
    </row>
    <row r="4840" spans="14:14" ht="15" customHeight="1" x14ac:dyDescent="0.25">
      <c r="N4840" t="s">
        <v>582</v>
      </c>
    </row>
    <row r="4841" spans="14:14" ht="15" customHeight="1" x14ac:dyDescent="0.25">
      <c r="N4841" t="s">
        <v>696</v>
      </c>
    </row>
    <row r="4842" spans="14:14" ht="15" customHeight="1" x14ac:dyDescent="0.25">
      <c r="N4842" t="s">
        <v>743</v>
      </c>
    </row>
    <row r="4843" spans="14:14" ht="15" customHeight="1" x14ac:dyDescent="0.25">
      <c r="N4843" t="s">
        <v>714</v>
      </c>
    </row>
    <row r="4844" spans="14:14" ht="15" customHeight="1" x14ac:dyDescent="0.25">
      <c r="N4844" t="s">
        <v>744</v>
      </c>
    </row>
    <row r="4845" spans="14:14" ht="15" customHeight="1" x14ac:dyDescent="0.25">
      <c r="N4845" t="s">
        <v>463</v>
      </c>
    </row>
    <row r="4846" spans="14:14" ht="15" customHeight="1" x14ac:dyDescent="0.25">
      <c r="N4846" t="s">
        <v>696</v>
      </c>
    </row>
    <row r="4847" spans="14:14" ht="15" customHeight="1" x14ac:dyDescent="0.25">
      <c r="N4847" t="s">
        <v>715</v>
      </c>
    </row>
    <row r="4848" spans="14:14" ht="15" customHeight="1" x14ac:dyDescent="0.25">
      <c r="N4848" t="s">
        <v>690</v>
      </c>
    </row>
    <row r="4849" spans="14:14" ht="15" customHeight="1" x14ac:dyDescent="0.25">
      <c r="N4849" t="s">
        <v>690</v>
      </c>
    </row>
    <row r="4850" spans="14:14" ht="15" customHeight="1" x14ac:dyDescent="0.25">
      <c r="N4850" t="s">
        <v>690</v>
      </c>
    </row>
    <row r="4851" spans="14:14" ht="15" customHeight="1" x14ac:dyDescent="0.25">
      <c r="N4851" t="s">
        <v>690</v>
      </c>
    </row>
    <row r="4852" spans="14:14" ht="15" customHeight="1" x14ac:dyDescent="0.25">
      <c r="N4852" t="s">
        <v>732</v>
      </c>
    </row>
    <row r="4853" spans="14:14" ht="15" customHeight="1" x14ac:dyDescent="0.25">
      <c r="N4853" t="s">
        <v>666</v>
      </c>
    </row>
    <row r="4854" spans="14:14" ht="15" customHeight="1" x14ac:dyDescent="0.25">
      <c r="N4854" t="s">
        <v>745</v>
      </c>
    </row>
    <row r="4855" spans="14:14" ht="15" customHeight="1" x14ac:dyDescent="0.25">
      <c r="N4855" t="s">
        <v>582</v>
      </c>
    </row>
    <row r="4856" spans="14:14" ht="15" customHeight="1" x14ac:dyDescent="0.25">
      <c r="N4856" t="s">
        <v>643</v>
      </c>
    </row>
    <row r="4857" spans="14:14" ht="15" customHeight="1" x14ac:dyDescent="0.25">
      <c r="N4857" t="s">
        <v>582</v>
      </c>
    </row>
    <row r="4858" spans="14:14" ht="15" customHeight="1" x14ac:dyDescent="0.25">
      <c r="N4858" t="s">
        <v>582</v>
      </c>
    </row>
    <row r="4859" spans="14:14" ht="15" customHeight="1" x14ac:dyDescent="0.25">
      <c r="N4859" t="s">
        <v>582</v>
      </c>
    </row>
    <row r="4860" spans="14:14" ht="15" customHeight="1" x14ac:dyDescent="0.25">
      <c r="N4860" t="s">
        <v>715</v>
      </c>
    </row>
    <row r="4861" spans="14:14" ht="15" customHeight="1" x14ac:dyDescent="0.25">
      <c r="N4861" t="s">
        <v>713</v>
      </c>
    </row>
    <row r="4862" spans="14:14" ht="15" customHeight="1" x14ac:dyDescent="0.25">
      <c r="N4862" t="s">
        <v>713</v>
      </c>
    </row>
    <row r="4863" spans="14:14" ht="15" customHeight="1" x14ac:dyDescent="0.25">
      <c r="N4863" t="s">
        <v>715</v>
      </c>
    </row>
    <row r="4864" spans="14:14" ht="15" customHeight="1" x14ac:dyDescent="0.25">
      <c r="N4864" t="s">
        <v>713</v>
      </c>
    </row>
    <row r="4865" spans="14:14" ht="15" customHeight="1" x14ac:dyDescent="0.25">
      <c r="N4865" t="s">
        <v>713</v>
      </c>
    </row>
    <row r="4866" spans="14:14" ht="15" customHeight="1" x14ac:dyDescent="0.25">
      <c r="N4866" t="s">
        <v>408</v>
      </c>
    </row>
    <row r="4867" spans="14:14" ht="15" customHeight="1" x14ac:dyDescent="0.25">
      <c r="N4867" t="s">
        <v>713</v>
      </c>
    </row>
    <row r="4868" spans="14:14" ht="15" customHeight="1" x14ac:dyDescent="0.25">
      <c r="N4868" t="s">
        <v>713</v>
      </c>
    </row>
    <row r="4869" spans="14:14" ht="15" customHeight="1" x14ac:dyDescent="0.25">
      <c r="N4869" t="s">
        <v>606</v>
      </c>
    </row>
    <row r="4870" spans="14:14" ht="15" customHeight="1" x14ac:dyDescent="0.25">
      <c r="N4870" t="s">
        <v>458</v>
      </c>
    </row>
    <row r="4871" spans="14:14" ht="15" customHeight="1" x14ac:dyDescent="0.25">
      <c r="N4871" t="s">
        <v>686</v>
      </c>
    </row>
    <row r="4872" spans="14:14" ht="15" customHeight="1" x14ac:dyDescent="0.25">
      <c r="N4872" t="s">
        <v>558</v>
      </c>
    </row>
    <row r="4873" spans="14:14" ht="15" customHeight="1" x14ac:dyDescent="0.25">
      <c r="N4873" t="s">
        <v>713</v>
      </c>
    </row>
    <row r="4874" spans="14:14" ht="15" customHeight="1" x14ac:dyDescent="0.25">
      <c r="N4874" t="s">
        <v>715</v>
      </c>
    </row>
    <row r="4875" spans="14:14" ht="15" customHeight="1" x14ac:dyDescent="0.25">
      <c r="N4875" t="s">
        <v>689</v>
      </c>
    </row>
    <row r="4876" spans="14:14" ht="15" customHeight="1" x14ac:dyDescent="0.25">
      <c r="N4876" t="s">
        <v>689</v>
      </c>
    </row>
    <row r="4877" spans="14:14" ht="15" customHeight="1" x14ac:dyDescent="0.25">
      <c r="N4877" t="s">
        <v>715</v>
      </c>
    </row>
    <row r="4878" spans="14:14" ht="15" customHeight="1" x14ac:dyDescent="0.25">
      <c r="N4878" t="s">
        <v>690</v>
      </c>
    </row>
    <row r="4879" spans="14:14" ht="15" customHeight="1" x14ac:dyDescent="0.25">
      <c r="N4879" t="s">
        <v>746</v>
      </c>
    </row>
    <row r="4880" spans="14:14" ht="15" customHeight="1" x14ac:dyDescent="0.25">
      <c r="N4880" t="s">
        <v>715</v>
      </c>
    </row>
    <row r="4881" spans="14:14" ht="15" customHeight="1" x14ac:dyDescent="0.25">
      <c r="N4881" t="s">
        <v>747</v>
      </c>
    </row>
    <row r="4882" spans="14:14" ht="15" customHeight="1" x14ac:dyDescent="0.25">
      <c r="N4882" t="s">
        <v>747</v>
      </c>
    </row>
    <row r="4883" spans="14:14" ht="15" customHeight="1" x14ac:dyDescent="0.25">
      <c r="N4883" t="s">
        <v>747</v>
      </c>
    </row>
    <row r="4884" spans="14:14" ht="15" customHeight="1" x14ac:dyDescent="0.25">
      <c r="N4884" t="s">
        <v>747</v>
      </c>
    </row>
    <row r="4885" spans="14:14" ht="15" customHeight="1" x14ac:dyDescent="0.25">
      <c r="N4885" t="s">
        <v>747</v>
      </c>
    </row>
    <row r="4886" spans="14:14" ht="15" customHeight="1" x14ac:dyDescent="0.25">
      <c r="N4886" t="s">
        <v>317</v>
      </c>
    </row>
    <row r="4887" spans="14:14" ht="15" customHeight="1" x14ac:dyDescent="0.25">
      <c r="N4887" t="s">
        <v>715</v>
      </c>
    </row>
    <row r="4888" spans="14:14" ht="15" customHeight="1" x14ac:dyDescent="0.25">
      <c r="N4888" t="s">
        <v>715</v>
      </c>
    </row>
    <row r="4889" spans="14:14" ht="15" customHeight="1" x14ac:dyDescent="0.25">
      <c r="N4889" t="s">
        <v>341</v>
      </c>
    </row>
    <row r="4890" spans="14:14" ht="15" customHeight="1" x14ac:dyDescent="0.25">
      <c r="N4890" t="s">
        <v>709</v>
      </c>
    </row>
    <row r="4891" spans="14:14" ht="15" customHeight="1" x14ac:dyDescent="0.25">
      <c r="N4891" t="s">
        <v>709</v>
      </c>
    </row>
    <row r="4892" spans="14:14" ht="15" customHeight="1" x14ac:dyDescent="0.25">
      <c r="N4892" t="s">
        <v>709</v>
      </c>
    </row>
    <row r="4893" spans="14:14" ht="15" customHeight="1" x14ac:dyDescent="0.25">
      <c r="N4893" t="s">
        <v>709</v>
      </c>
    </row>
    <row r="4894" spans="14:14" ht="15" customHeight="1" x14ac:dyDescent="0.25">
      <c r="N4894" t="s">
        <v>715</v>
      </c>
    </row>
    <row r="4895" spans="14:14" ht="15" customHeight="1" x14ac:dyDescent="0.25">
      <c r="N4895" t="s">
        <v>715</v>
      </c>
    </row>
    <row r="4896" spans="14:14" ht="15" customHeight="1" x14ac:dyDescent="0.25">
      <c r="N4896" t="s">
        <v>715</v>
      </c>
    </row>
    <row r="4897" spans="14:14" ht="15" customHeight="1" x14ac:dyDescent="0.25">
      <c r="N4897" t="s">
        <v>715</v>
      </c>
    </row>
    <row r="4898" spans="14:14" ht="15" customHeight="1" x14ac:dyDescent="0.25">
      <c r="N4898" t="s">
        <v>715</v>
      </c>
    </row>
    <row r="4899" spans="14:14" ht="15" customHeight="1" x14ac:dyDescent="0.25">
      <c r="N4899" t="s">
        <v>715</v>
      </c>
    </row>
    <row r="4900" spans="14:14" ht="15" customHeight="1" x14ac:dyDescent="0.25">
      <c r="N4900" t="s">
        <v>715</v>
      </c>
    </row>
    <row r="4901" spans="14:14" ht="15" customHeight="1" x14ac:dyDescent="0.25">
      <c r="N4901" t="s">
        <v>715</v>
      </c>
    </row>
    <row r="4902" spans="14:14" ht="15" customHeight="1" x14ac:dyDescent="0.25">
      <c r="N4902" t="s">
        <v>715</v>
      </c>
    </row>
    <row r="4903" spans="14:14" ht="15" customHeight="1" x14ac:dyDescent="0.25">
      <c r="N4903" t="s">
        <v>715</v>
      </c>
    </row>
    <row r="4904" spans="14:14" ht="15" customHeight="1" x14ac:dyDescent="0.25">
      <c r="N4904" t="s">
        <v>715</v>
      </c>
    </row>
    <row r="4905" spans="14:14" ht="15" customHeight="1" x14ac:dyDescent="0.25">
      <c r="N4905" t="s">
        <v>715</v>
      </c>
    </row>
    <row r="4906" spans="14:14" ht="15" customHeight="1" x14ac:dyDescent="0.25">
      <c r="N4906" t="s">
        <v>715</v>
      </c>
    </row>
    <row r="4907" spans="14:14" ht="15" customHeight="1" x14ac:dyDescent="0.25">
      <c r="N4907" t="s">
        <v>715</v>
      </c>
    </row>
    <row r="4908" spans="14:14" ht="15" customHeight="1" x14ac:dyDescent="0.25">
      <c r="N4908" t="s">
        <v>715</v>
      </c>
    </row>
    <row r="4909" spans="14:14" ht="15" customHeight="1" x14ac:dyDescent="0.25">
      <c r="N4909" t="s">
        <v>715</v>
      </c>
    </row>
    <row r="4910" spans="14:14" ht="15" customHeight="1" x14ac:dyDescent="0.25">
      <c r="N4910" t="s">
        <v>715</v>
      </c>
    </row>
    <row r="4911" spans="14:14" ht="15" customHeight="1" x14ac:dyDescent="0.25">
      <c r="N4911" t="s">
        <v>715</v>
      </c>
    </row>
    <row r="4912" spans="14:14" ht="15" customHeight="1" x14ac:dyDescent="0.25">
      <c r="N4912" t="s">
        <v>715</v>
      </c>
    </row>
    <row r="4913" spans="14:14" ht="15" customHeight="1" x14ac:dyDescent="0.25">
      <c r="N4913" t="s">
        <v>715</v>
      </c>
    </row>
    <row r="4914" spans="14:14" ht="15" customHeight="1" x14ac:dyDescent="0.25">
      <c r="N4914" t="s">
        <v>715</v>
      </c>
    </row>
    <row r="4915" spans="14:14" ht="15" customHeight="1" x14ac:dyDescent="0.25">
      <c r="N4915" t="s">
        <v>715</v>
      </c>
    </row>
    <row r="4916" spans="14:14" ht="15" customHeight="1" x14ac:dyDescent="0.25">
      <c r="N4916" t="s">
        <v>715</v>
      </c>
    </row>
    <row r="4917" spans="14:14" ht="15" customHeight="1" x14ac:dyDescent="0.25">
      <c r="N4917" t="s">
        <v>715</v>
      </c>
    </row>
    <row r="4918" spans="14:14" ht="15" customHeight="1" x14ac:dyDescent="0.25">
      <c r="N4918" t="s">
        <v>715</v>
      </c>
    </row>
    <row r="4919" spans="14:14" ht="15" customHeight="1" x14ac:dyDescent="0.25">
      <c r="N4919" t="s">
        <v>715</v>
      </c>
    </row>
    <row r="4920" spans="14:14" ht="15" customHeight="1" x14ac:dyDescent="0.25">
      <c r="N4920" t="s">
        <v>715</v>
      </c>
    </row>
    <row r="4921" spans="14:14" ht="15" customHeight="1" x14ac:dyDescent="0.25">
      <c r="N4921" t="s">
        <v>715</v>
      </c>
    </row>
    <row r="4922" spans="14:14" ht="15" customHeight="1" x14ac:dyDescent="0.25">
      <c r="N4922" t="s">
        <v>715</v>
      </c>
    </row>
    <row r="4923" spans="14:14" ht="15" customHeight="1" x14ac:dyDescent="0.25">
      <c r="N4923" t="s">
        <v>715</v>
      </c>
    </row>
    <row r="4924" spans="14:14" ht="15" customHeight="1" x14ac:dyDescent="0.25">
      <c r="N4924" t="s">
        <v>715</v>
      </c>
    </row>
    <row r="4925" spans="14:14" ht="15" customHeight="1" x14ac:dyDescent="0.25">
      <c r="N4925" t="s">
        <v>715</v>
      </c>
    </row>
    <row r="4926" spans="14:14" ht="15" customHeight="1" x14ac:dyDescent="0.25">
      <c r="N4926" t="s">
        <v>715</v>
      </c>
    </row>
    <row r="4927" spans="14:14" ht="15" customHeight="1" x14ac:dyDescent="0.25">
      <c r="N4927" t="s">
        <v>715</v>
      </c>
    </row>
    <row r="4928" spans="14:14" ht="15" customHeight="1" x14ac:dyDescent="0.25">
      <c r="N4928" t="s">
        <v>715</v>
      </c>
    </row>
    <row r="4929" spans="14:14" ht="15" customHeight="1" x14ac:dyDescent="0.25">
      <c r="N4929" t="s">
        <v>715</v>
      </c>
    </row>
    <row r="4930" spans="14:14" ht="15" customHeight="1" x14ac:dyDescent="0.25">
      <c r="N4930" t="s">
        <v>715</v>
      </c>
    </row>
    <row r="4931" spans="14:14" ht="15" customHeight="1" x14ac:dyDescent="0.25">
      <c r="N4931" t="s">
        <v>715</v>
      </c>
    </row>
    <row r="4932" spans="14:14" ht="15" customHeight="1" x14ac:dyDescent="0.25">
      <c r="N4932" t="s">
        <v>715</v>
      </c>
    </row>
    <row r="4933" spans="14:14" ht="15" customHeight="1" x14ac:dyDescent="0.25">
      <c r="N4933" t="s">
        <v>715</v>
      </c>
    </row>
    <row r="4934" spans="14:14" ht="15" customHeight="1" x14ac:dyDescent="0.25">
      <c r="N4934" t="s">
        <v>582</v>
      </c>
    </row>
    <row r="4935" spans="14:14" ht="15" customHeight="1" x14ac:dyDescent="0.25">
      <c r="N4935" t="s">
        <v>698</v>
      </c>
    </row>
    <row r="4936" spans="14:14" ht="15" customHeight="1" x14ac:dyDescent="0.25">
      <c r="N4936" t="s">
        <v>582</v>
      </c>
    </row>
    <row r="4937" spans="14:14" ht="15" customHeight="1" x14ac:dyDescent="0.25">
      <c r="N4937" t="s">
        <v>740</v>
      </c>
    </row>
    <row r="4938" spans="14:14" ht="15" customHeight="1" x14ac:dyDescent="0.25">
      <c r="N4938" t="s">
        <v>655</v>
      </c>
    </row>
    <row r="4939" spans="14:14" ht="15" customHeight="1" x14ac:dyDescent="0.25">
      <c r="N4939" t="s">
        <v>748</v>
      </c>
    </row>
    <row r="4940" spans="14:14" ht="15" customHeight="1" x14ac:dyDescent="0.25">
      <c r="N4940" t="s">
        <v>582</v>
      </c>
    </row>
    <row r="4941" spans="14:14" ht="15" customHeight="1" x14ac:dyDescent="0.25">
      <c r="N4941" t="s">
        <v>582</v>
      </c>
    </row>
    <row r="4942" spans="14:14" ht="15" customHeight="1" x14ac:dyDescent="0.25">
      <c r="N4942" t="s">
        <v>582</v>
      </c>
    </row>
    <row r="4943" spans="14:14" ht="15" customHeight="1" x14ac:dyDescent="0.25">
      <c r="N4943" t="s">
        <v>582</v>
      </c>
    </row>
    <row r="4944" spans="14:14" ht="15" customHeight="1" x14ac:dyDescent="0.25">
      <c r="N4944" t="s">
        <v>582</v>
      </c>
    </row>
    <row r="4945" spans="14:14" ht="15" customHeight="1" x14ac:dyDescent="0.25">
      <c r="N4945" t="s">
        <v>582</v>
      </c>
    </row>
    <row r="4946" spans="14:14" ht="15" customHeight="1" x14ac:dyDescent="0.25">
      <c r="N4946" t="s">
        <v>582</v>
      </c>
    </row>
    <row r="4947" spans="14:14" ht="15" customHeight="1" x14ac:dyDescent="0.25">
      <c r="N4947" t="s">
        <v>735</v>
      </c>
    </row>
    <row r="4948" spans="14:14" ht="15" customHeight="1" x14ac:dyDescent="0.25">
      <c r="N4948" t="s">
        <v>582</v>
      </c>
    </row>
    <row r="4949" spans="14:14" ht="15" customHeight="1" x14ac:dyDescent="0.25">
      <c r="N4949" t="s">
        <v>435</v>
      </c>
    </row>
    <row r="4950" spans="14:14" ht="15" customHeight="1" x14ac:dyDescent="0.25">
      <c r="N4950" t="s">
        <v>715</v>
      </c>
    </row>
    <row r="4951" spans="14:14" ht="15" customHeight="1" x14ac:dyDescent="0.25">
      <c r="N4951" t="s">
        <v>715</v>
      </c>
    </row>
    <row r="4952" spans="14:14" ht="15" customHeight="1" x14ac:dyDescent="0.25">
      <c r="N4952" t="s">
        <v>294</v>
      </c>
    </row>
    <row r="4953" spans="14:14" ht="15" customHeight="1" x14ac:dyDescent="0.25">
      <c r="N4953" t="s">
        <v>294</v>
      </c>
    </row>
    <row r="4954" spans="14:14" ht="15" customHeight="1" x14ac:dyDescent="0.25">
      <c r="N4954" t="s">
        <v>294</v>
      </c>
    </row>
    <row r="4955" spans="14:14" ht="15" customHeight="1" x14ac:dyDescent="0.25">
      <c r="N4955" t="s">
        <v>294</v>
      </c>
    </row>
    <row r="4956" spans="14:14" ht="15" customHeight="1" x14ac:dyDescent="0.25">
      <c r="N4956" t="s">
        <v>715</v>
      </c>
    </row>
    <row r="4957" spans="14:14" ht="15" customHeight="1" x14ac:dyDescent="0.25">
      <c r="N4957" t="s">
        <v>621</v>
      </c>
    </row>
    <row r="4958" spans="14:14" ht="15" customHeight="1" x14ac:dyDescent="0.25">
      <c r="N4958" t="s">
        <v>582</v>
      </c>
    </row>
    <row r="4959" spans="14:14" ht="15" customHeight="1" x14ac:dyDescent="0.25">
      <c r="N4959" t="s">
        <v>643</v>
      </c>
    </row>
    <row r="4960" spans="14:14" ht="15" customHeight="1" x14ac:dyDescent="0.25">
      <c r="N4960" t="s">
        <v>607</v>
      </c>
    </row>
    <row r="4961" spans="14:14" ht="15" customHeight="1" x14ac:dyDescent="0.25">
      <c r="N4961" t="s">
        <v>715</v>
      </c>
    </row>
    <row r="4962" spans="14:14" ht="15" customHeight="1" x14ac:dyDescent="0.25">
      <c r="N4962" t="s">
        <v>713</v>
      </c>
    </row>
    <row r="4963" spans="14:14" ht="15" customHeight="1" x14ac:dyDescent="0.25">
      <c r="N4963" t="s">
        <v>715</v>
      </c>
    </row>
    <row r="4964" spans="14:14" ht="15" customHeight="1" x14ac:dyDescent="0.25">
      <c r="N4964" t="s">
        <v>606</v>
      </c>
    </row>
    <row r="4965" spans="14:14" ht="15" customHeight="1" x14ac:dyDescent="0.25">
      <c r="N4965" t="s">
        <v>408</v>
      </c>
    </row>
    <row r="4966" spans="14:14" ht="15" customHeight="1" x14ac:dyDescent="0.25">
      <c r="N4966" t="s">
        <v>713</v>
      </c>
    </row>
    <row r="4967" spans="14:14" ht="15" customHeight="1" x14ac:dyDescent="0.25">
      <c r="N4967" t="s">
        <v>713</v>
      </c>
    </row>
    <row r="4968" spans="14:14" ht="15" customHeight="1" x14ac:dyDescent="0.25">
      <c r="N4968" t="s">
        <v>713</v>
      </c>
    </row>
    <row r="4969" spans="14:14" ht="15" customHeight="1" x14ac:dyDescent="0.25">
      <c r="N4969" t="s">
        <v>713</v>
      </c>
    </row>
    <row r="4970" spans="14:14" ht="15" customHeight="1" x14ac:dyDescent="0.25">
      <c r="N4970" t="s">
        <v>686</v>
      </c>
    </row>
    <row r="4971" spans="14:14" ht="15" customHeight="1" x14ac:dyDescent="0.25">
      <c r="N4971" t="s">
        <v>558</v>
      </c>
    </row>
    <row r="4972" spans="14:14" ht="15" customHeight="1" x14ac:dyDescent="0.25">
      <c r="N4972" t="s">
        <v>713</v>
      </c>
    </row>
    <row r="4973" spans="14:14" ht="15" customHeight="1" x14ac:dyDescent="0.25">
      <c r="N4973" t="s">
        <v>715</v>
      </c>
    </row>
    <row r="4974" spans="14:14" ht="15" customHeight="1" x14ac:dyDescent="0.25">
      <c r="N4974" t="s">
        <v>555</v>
      </c>
    </row>
    <row r="4975" spans="14:14" ht="15" customHeight="1" x14ac:dyDescent="0.25">
      <c r="N4975" t="s">
        <v>524</v>
      </c>
    </row>
    <row r="4976" spans="14:14" ht="15" customHeight="1" x14ac:dyDescent="0.25">
      <c r="N4976" t="s">
        <v>715</v>
      </c>
    </row>
    <row r="4977" spans="14:14" ht="15" customHeight="1" x14ac:dyDescent="0.25">
      <c r="N4977" t="s">
        <v>689</v>
      </c>
    </row>
    <row r="4978" spans="14:14" ht="15" customHeight="1" x14ac:dyDescent="0.25">
      <c r="N4978" t="s">
        <v>689</v>
      </c>
    </row>
    <row r="4979" spans="14:14" ht="15" customHeight="1" x14ac:dyDescent="0.25">
      <c r="N4979" t="s">
        <v>715</v>
      </c>
    </row>
    <row r="4980" spans="14:14" ht="15" customHeight="1" x14ac:dyDescent="0.25">
      <c r="N4980" t="s">
        <v>689</v>
      </c>
    </row>
    <row r="4981" spans="14:14" ht="15" customHeight="1" x14ac:dyDescent="0.25">
      <c r="N4981" t="s">
        <v>690</v>
      </c>
    </row>
    <row r="4982" spans="14:14" ht="15" customHeight="1" x14ac:dyDescent="0.25">
      <c r="N4982" t="s">
        <v>582</v>
      </c>
    </row>
    <row r="4983" spans="14:14" ht="15" customHeight="1" x14ac:dyDescent="0.25">
      <c r="N4983" t="s">
        <v>317</v>
      </c>
    </row>
    <row r="4984" spans="14:14" ht="15" customHeight="1" x14ac:dyDescent="0.25">
      <c r="N4984" t="s">
        <v>715</v>
      </c>
    </row>
    <row r="4985" spans="14:14" ht="15" customHeight="1" x14ac:dyDescent="0.25">
      <c r="N4985" t="s">
        <v>342</v>
      </c>
    </row>
    <row r="4986" spans="14:14" ht="15" customHeight="1" x14ac:dyDescent="0.25">
      <c r="N4986" t="s">
        <v>715</v>
      </c>
    </row>
    <row r="4987" spans="14:14" ht="15" customHeight="1" x14ac:dyDescent="0.25">
      <c r="N4987" t="s">
        <v>715</v>
      </c>
    </row>
    <row r="4988" spans="14:14" ht="15" customHeight="1" x14ac:dyDescent="0.25">
      <c r="N4988" t="s">
        <v>715</v>
      </c>
    </row>
    <row r="4989" spans="14:14" ht="15" customHeight="1" x14ac:dyDescent="0.25">
      <c r="N4989" t="s">
        <v>715</v>
      </c>
    </row>
    <row r="4990" spans="14:14" ht="15" customHeight="1" x14ac:dyDescent="0.25">
      <c r="N4990" t="s">
        <v>715</v>
      </c>
    </row>
    <row r="4991" spans="14:14" ht="15" customHeight="1" x14ac:dyDescent="0.25">
      <c r="N4991" t="s">
        <v>715</v>
      </c>
    </row>
    <row r="4992" spans="14:14" ht="15" customHeight="1" x14ac:dyDescent="0.25">
      <c r="N4992" t="s">
        <v>715</v>
      </c>
    </row>
    <row r="4993" spans="14:14" ht="15" customHeight="1" x14ac:dyDescent="0.25">
      <c r="N4993" t="s">
        <v>715</v>
      </c>
    </row>
    <row r="4994" spans="14:14" ht="15" customHeight="1" x14ac:dyDescent="0.25">
      <c r="N4994" t="s">
        <v>715</v>
      </c>
    </row>
    <row r="4995" spans="14:14" ht="15" customHeight="1" x14ac:dyDescent="0.25">
      <c r="N4995" t="s">
        <v>715</v>
      </c>
    </row>
    <row r="4996" spans="14:14" ht="15" customHeight="1" x14ac:dyDescent="0.25">
      <c r="N4996" t="s">
        <v>715</v>
      </c>
    </row>
    <row r="4997" spans="14:14" ht="15" customHeight="1" x14ac:dyDescent="0.25">
      <c r="N4997" t="s">
        <v>715</v>
      </c>
    </row>
    <row r="4998" spans="14:14" ht="15" customHeight="1" x14ac:dyDescent="0.25">
      <c r="N4998" t="s">
        <v>715</v>
      </c>
    </row>
    <row r="4999" spans="14:14" ht="15" customHeight="1" x14ac:dyDescent="0.25">
      <c r="N4999" t="s">
        <v>715</v>
      </c>
    </row>
    <row r="5000" spans="14:14" ht="15" customHeight="1" x14ac:dyDescent="0.25">
      <c r="N5000" t="s">
        <v>715</v>
      </c>
    </row>
    <row r="5001" spans="14:14" ht="15" customHeight="1" x14ac:dyDescent="0.25">
      <c r="N5001" t="s">
        <v>715</v>
      </c>
    </row>
    <row r="5002" spans="14:14" ht="15" customHeight="1" x14ac:dyDescent="0.25">
      <c r="N5002" t="s">
        <v>715</v>
      </c>
    </row>
    <row r="5003" spans="14:14" ht="15" customHeight="1" x14ac:dyDescent="0.25">
      <c r="N5003" t="s">
        <v>715</v>
      </c>
    </row>
    <row r="5004" spans="14:14" ht="15" customHeight="1" x14ac:dyDescent="0.25">
      <c r="N5004" t="s">
        <v>715</v>
      </c>
    </row>
    <row r="5005" spans="14:14" ht="15" customHeight="1" x14ac:dyDescent="0.25">
      <c r="N5005" t="s">
        <v>715</v>
      </c>
    </row>
    <row r="5006" spans="14:14" ht="15" customHeight="1" x14ac:dyDescent="0.25">
      <c r="N5006" t="s">
        <v>715</v>
      </c>
    </row>
    <row r="5007" spans="14:14" ht="15" customHeight="1" x14ac:dyDescent="0.25">
      <c r="N5007" t="s">
        <v>715</v>
      </c>
    </row>
    <row r="5008" spans="14:14" ht="15" customHeight="1" x14ac:dyDescent="0.25">
      <c r="N5008" t="s">
        <v>715</v>
      </c>
    </row>
    <row r="5009" spans="14:14" ht="15" customHeight="1" x14ac:dyDescent="0.25">
      <c r="N5009" t="s">
        <v>715</v>
      </c>
    </row>
    <row r="5010" spans="14:14" ht="15" customHeight="1" x14ac:dyDescent="0.25">
      <c r="N5010" t="s">
        <v>715</v>
      </c>
    </row>
    <row r="5011" spans="14:14" ht="15" customHeight="1" x14ac:dyDescent="0.25">
      <c r="N5011" t="s">
        <v>715</v>
      </c>
    </row>
    <row r="5012" spans="14:14" ht="15" customHeight="1" x14ac:dyDescent="0.25">
      <c r="N5012" t="s">
        <v>582</v>
      </c>
    </row>
    <row r="5013" spans="14:14" ht="15" customHeight="1" x14ac:dyDescent="0.25">
      <c r="N5013" t="s">
        <v>698</v>
      </c>
    </row>
    <row r="5014" spans="14:14" ht="15" customHeight="1" x14ac:dyDescent="0.25">
      <c r="N5014" t="s">
        <v>582</v>
      </c>
    </row>
    <row r="5015" spans="14:14" ht="15" customHeight="1" x14ac:dyDescent="0.25">
      <c r="N5015" t="s">
        <v>655</v>
      </c>
    </row>
    <row r="5016" spans="14:14" ht="15" customHeight="1" x14ac:dyDescent="0.25">
      <c r="N5016" t="s">
        <v>320</v>
      </c>
    </row>
    <row r="5017" spans="14:14" ht="15" customHeight="1" x14ac:dyDescent="0.25">
      <c r="N5017" t="s">
        <v>294</v>
      </c>
    </row>
    <row r="5018" spans="14:14" ht="15" customHeight="1" x14ac:dyDescent="0.25">
      <c r="N5018" t="s">
        <v>294</v>
      </c>
    </row>
    <row r="5019" spans="14:14" ht="15" customHeight="1" x14ac:dyDescent="0.25">
      <c r="N5019" t="s">
        <v>294</v>
      </c>
    </row>
    <row r="5020" spans="14:14" ht="15" customHeight="1" x14ac:dyDescent="0.25">
      <c r="N5020" t="s">
        <v>294</v>
      </c>
    </row>
    <row r="5021" spans="14:14" ht="15" customHeight="1" x14ac:dyDescent="0.25">
      <c r="N5021" t="s">
        <v>510</v>
      </c>
    </row>
    <row r="5022" spans="14:14" ht="15" customHeight="1" x14ac:dyDescent="0.25">
      <c r="N5022" t="s">
        <v>593</v>
      </c>
    </row>
    <row r="5023" spans="14:14" ht="15" customHeight="1" x14ac:dyDescent="0.25">
      <c r="N5023" t="s">
        <v>715</v>
      </c>
    </row>
    <row r="5024" spans="14:14" ht="15" customHeight="1" x14ac:dyDescent="0.25">
      <c r="N5024" t="s">
        <v>713</v>
      </c>
    </row>
    <row r="5025" spans="14:14" ht="15" customHeight="1" x14ac:dyDescent="0.25">
      <c r="N5025" t="s">
        <v>715</v>
      </c>
    </row>
    <row r="5026" spans="14:14" ht="15" customHeight="1" x14ac:dyDescent="0.25">
      <c r="N5026" t="s">
        <v>606</v>
      </c>
    </row>
    <row r="5027" spans="14:14" ht="15" customHeight="1" x14ac:dyDescent="0.25">
      <c r="N5027" t="s">
        <v>713</v>
      </c>
    </row>
    <row r="5028" spans="14:14" ht="15" customHeight="1" x14ac:dyDescent="0.25">
      <c r="N5028" t="s">
        <v>713</v>
      </c>
    </row>
    <row r="5029" spans="14:14" ht="15" customHeight="1" x14ac:dyDescent="0.25">
      <c r="N5029" t="s">
        <v>686</v>
      </c>
    </row>
    <row r="5030" spans="14:14" ht="15" customHeight="1" x14ac:dyDescent="0.25">
      <c r="N5030" t="s">
        <v>412</v>
      </c>
    </row>
    <row r="5031" spans="14:14" ht="15" customHeight="1" x14ac:dyDescent="0.25">
      <c r="N5031" t="s">
        <v>603</v>
      </c>
    </row>
    <row r="5032" spans="14:14" ht="15" customHeight="1" x14ac:dyDescent="0.25">
      <c r="N5032" t="s">
        <v>715</v>
      </c>
    </row>
    <row r="5033" spans="14:14" ht="15" customHeight="1" x14ac:dyDescent="0.25">
      <c r="N5033" t="s">
        <v>715</v>
      </c>
    </row>
    <row r="5034" spans="14:14" ht="15" customHeight="1" x14ac:dyDescent="0.25">
      <c r="N5034" t="s">
        <v>733</v>
      </c>
    </row>
    <row r="5035" spans="14:14" ht="15" customHeight="1" x14ac:dyDescent="0.25">
      <c r="N5035" t="s">
        <v>592</v>
      </c>
    </row>
    <row r="5036" spans="14:14" ht="15" customHeight="1" x14ac:dyDescent="0.25">
      <c r="N5036" t="s">
        <v>715</v>
      </c>
    </row>
    <row r="5037" spans="14:14" ht="15" customHeight="1" x14ac:dyDescent="0.25">
      <c r="N5037" t="s">
        <v>698</v>
      </c>
    </row>
    <row r="5038" spans="14:14" ht="15" customHeight="1" x14ac:dyDescent="0.25">
      <c r="N5038" t="s">
        <v>403</v>
      </c>
    </row>
    <row r="5039" spans="14:14" ht="15" customHeight="1" x14ac:dyDescent="0.25">
      <c r="N5039" t="s">
        <v>403</v>
      </c>
    </row>
    <row r="5040" spans="14:14" ht="15" customHeight="1" x14ac:dyDescent="0.25">
      <c r="N5040" t="s">
        <v>403</v>
      </c>
    </row>
    <row r="5041" spans="14:14" ht="15" customHeight="1" x14ac:dyDescent="0.25">
      <c r="N5041" t="s">
        <v>403</v>
      </c>
    </row>
    <row r="5042" spans="14:14" ht="15" customHeight="1" x14ac:dyDescent="0.25">
      <c r="N5042" t="s">
        <v>403</v>
      </c>
    </row>
    <row r="5043" spans="14:14" ht="15" customHeight="1" x14ac:dyDescent="0.25">
      <c r="N5043" t="s">
        <v>403</v>
      </c>
    </row>
    <row r="5044" spans="14:14" ht="15" customHeight="1" x14ac:dyDescent="0.25">
      <c r="N5044" t="s">
        <v>403</v>
      </c>
    </row>
    <row r="5045" spans="14:14" ht="15" customHeight="1" x14ac:dyDescent="0.25">
      <c r="N5045" t="s">
        <v>715</v>
      </c>
    </row>
    <row r="5046" spans="14:14" ht="15" customHeight="1" x14ac:dyDescent="0.25">
      <c r="N5046" t="s">
        <v>582</v>
      </c>
    </row>
    <row r="5047" spans="14:14" ht="15" customHeight="1" x14ac:dyDescent="0.25">
      <c r="N5047" t="s">
        <v>715</v>
      </c>
    </row>
    <row r="5048" spans="14:14" ht="15" customHeight="1" x14ac:dyDescent="0.25">
      <c r="N5048" t="s">
        <v>713</v>
      </c>
    </row>
    <row r="5049" spans="14:14" ht="15" customHeight="1" x14ac:dyDescent="0.25">
      <c r="N5049" t="s">
        <v>411</v>
      </c>
    </row>
    <row r="5050" spans="14:14" ht="15" customHeight="1" x14ac:dyDescent="0.25">
      <c r="N5050" t="s">
        <v>376</v>
      </c>
    </row>
    <row r="5051" spans="14:14" ht="15" customHeight="1" x14ac:dyDescent="0.25">
      <c r="N5051" t="s">
        <v>687</v>
      </c>
    </row>
    <row r="5052" spans="14:14" ht="15" customHeight="1" x14ac:dyDescent="0.25">
      <c r="N5052" t="s">
        <v>689</v>
      </c>
    </row>
    <row r="5053" spans="14:14" ht="15" customHeight="1" x14ac:dyDescent="0.25">
      <c r="N5053" t="s">
        <v>406</v>
      </c>
    </row>
    <row r="5054" spans="14:14" ht="15" customHeight="1" x14ac:dyDescent="0.25">
      <c r="N5054" t="s">
        <v>663</v>
      </c>
    </row>
    <row r="5055" spans="14:14" ht="15" customHeight="1" x14ac:dyDescent="0.25">
      <c r="N5055" t="s">
        <v>655</v>
      </c>
    </row>
    <row r="5056" spans="14:14" ht="15" customHeight="1" x14ac:dyDescent="0.25">
      <c r="N5056" t="s">
        <v>634</v>
      </c>
    </row>
    <row r="5057" spans="14:14" ht="15" customHeight="1" x14ac:dyDescent="0.25">
      <c r="N5057" t="s">
        <v>611</v>
      </c>
    </row>
    <row r="5058" spans="14:14" ht="15" customHeight="1" x14ac:dyDescent="0.25">
      <c r="N5058" t="s">
        <v>643</v>
      </c>
    </row>
    <row r="5059" spans="14:14" ht="15" customHeight="1" x14ac:dyDescent="0.25">
      <c r="N5059" t="s">
        <v>686</v>
      </c>
    </row>
    <row r="5060" spans="14:14" ht="15" customHeight="1" x14ac:dyDescent="0.25">
      <c r="N5060" t="s">
        <v>405</v>
      </c>
    </row>
    <row r="5061" spans="14:14" ht="15" customHeight="1" x14ac:dyDescent="0.25">
      <c r="N5061" t="s">
        <v>687</v>
      </c>
    </row>
    <row r="5062" spans="14:14" ht="15" customHeight="1" x14ac:dyDescent="0.25">
      <c r="N5062" t="s">
        <v>715</v>
      </c>
    </row>
    <row r="5063" spans="14:14" ht="15" customHeight="1" x14ac:dyDescent="0.25">
      <c r="N5063" t="s">
        <v>690</v>
      </c>
    </row>
    <row r="5064" spans="14:14" ht="15" customHeight="1" x14ac:dyDescent="0.25">
      <c r="N5064" t="s">
        <v>732</v>
      </c>
    </row>
    <row r="5065" spans="14:14" ht="15" customHeight="1" x14ac:dyDescent="0.25">
      <c r="N5065" t="s">
        <v>313</v>
      </c>
    </row>
    <row r="5066" spans="14:14" ht="15" customHeight="1" x14ac:dyDescent="0.25">
      <c r="N5066" t="s">
        <v>683</v>
      </c>
    </row>
    <row r="5067" spans="14:14" ht="15" customHeight="1" x14ac:dyDescent="0.25">
      <c r="N5067" t="s">
        <v>655</v>
      </c>
    </row>
    <row r="5068" spans="14:14" ht="15" customHeight="1" x14ac:dyDescent="0.25">
      <c r="N5068" t="s">
        <v>435</v>
      </c>
    </row>
    <row r="5069" spans="14:14" ht="15" customHeight="1" x14ac:dyDescent="0.25">
      <c r="N5069" t="s">
        <v>646</v>
      </c>
    </row>
    <row r="5070" spans="14:14" ht="15" customHeight="1" x14ac:dyDescent="0.25">
      <c r="N5070" t="s">
        <v>294</v>
      </c>
    </row>
    <row r="5071" spans="14:14" ht="15" customHeight="1" x14ac:dyDescent="0.25">
      <c r="N5071" t="s">
        <v>643</v>
      </c>
    </row>
    <row r="5072" spans="14:14" ht="15" customHeight="1" x14ac:dyDescent="0.25">
      <c r="N5072" t="s">
        <v>686</v>
      </c>
    </row>
    <row r="5073" spans="14:14" ht="15" customHeight="1" x14ac:dyDescent="0.25">
      <c r="N5073" t="s">
        <v>686</v>
      </c>
    </row>
    <row r="5074" spans="14:14" ht="15" customHeight="1" x14ac:dyDescent="0.25">
      <c r="N5074" t="s">
        <v>294</v>
      </c>
    </row>
    <row r="5075" spans="14:14" ht="15" customHeight="1" x14ac:dyDescent="0.25">
      <c r="N5075" t="s">
        <v>313</v>
      </c>
    </row>
    <row r="5076" spans="14:14" ht="15" customHeight="1" x14ac:dyDescent="0.25">
      <c r="N5076" t="s">
        <v>690</v>
      </c>
    </row>
    <row r="5077" spans="14:14" ht="15" customHeight="1" x14ac:dyDescent="0.25">
      <c r="N5077" t="s">
        <v>636</v>
      </c>
    </row>
    <row r="5078" spans="14:14" ht="15" customHeight="1" x14ac:dyDescent="0.25">
      <c r="N5078" t="s">
        <v>636</v>
      </c>
    </row>
    <row r="5079" spans="14:14" ht="15" customHeight="1" x14ac:dyDescent="0.25">
      <c r="N5079" t="s">
        <v>636</v>
      </c>
    </row>
    <row r="5080" spans="14:14" ht="15" customHeight="1" x14ac:dyDescent="0.25">
      <c r="N5080" t="s">
        <v>636</v>
      </c>
    </row>
    <row r="5081" spans="14:14" ht="15" customHeight="1" x14ac:dyDescent="0.25">
      <c r="N5081" t="s">
        <v>636</v>
      </c>
    </row>
    <row r="5082" spans="14:14" ht="15" customHeight="1" x14ac:dyDescent="0.25">
      <c r="N5082" t="s">
        <v>636</v>
      </c>
    </row>
    <row r="5083" spans="14:14" ht="15" customHeight="1" x14ac:dyDescent="0.25">
      <c r="N5083" t="s">
        <v>636</v>
      </c>
    </row>
    <row r="5084" spans="14:14" ht="15" customHeight="1" x14ac:dyDescent="0.25">
      <c r="N5084" t="s">
        <v>636</v>
      </c>
    </row>
    <row r="5085" spans="14:14" ht="15" customHeight="1" x14ac:dyDescent="0.25">
      <c r="N5085" t="s">
        <v>582</v>
      </c>
    </row>
    <row r="5086" spans="14:14" ht="15" customHeight="1" x14ac:dyDescent="0.25">
      <c r="N5086" t="s">
        <v>683</v>
      </c>
    </row>
    <row r="5087" spans="14:14" ht="15" customHeight="1" x14ac:dyDescent="0.25">
      <c r="N5087" t="s">
        <v>698</v>
      </c>
    </row>
    <row r="5088" spans="14:14" ht="15" customHeight="1" x14ac:dyDescent="0.25">
      <c r="N5088" t="s">
        <v>646</v>
      </c>
    </row>
    <row r="5089" spans="14:14" ht="15" customHeight="1" x14ac:dyDescent="0.25">
      <c r="N5089" t="s">
        <v>732</v>
      </c>
    </row>
    <row r="5090" spans="14:14" ht="15" customHeight="1" x14ac:dyDescent="0.25">
      <c r="N5090" t="s">
        <v>715</v>
      </c>
    </row>
    <row r="5091" spans="14:14" ht="15" customHeight="1" x14ac:dyDescent="0.25">
      <c r="N5091" t="s">
        <v>582</v>
      </c>
    </row>
    <row r="5092" spans="14:14" ht="15" customHeight="1" x14ac:dyDescent="0.25">
      <c r="N5092" t="s">
        <v>458</v>
      </c>
    </row>
    <row r="5093" spans="14:14" ht="15" customHeight="1" x14ac:dyDescent="0.25">
      <c r="N5093" t="s">
        <v>555</v>
      </c>
    </row>
    <row r="5094" spans="14:14" ht="15" customHeight="1" x14ac:dyDescent="0.25">
      <c r="N5094" t="s">
        <v>294</v>
      </c>
    </row>
    <row r="5095" spans="14:14" ht="15" customHeight="1" x14ac:dyDescent="0.25">
      <c r="N5095" t="s">
        <v>732</v>
      </c>
    </row>
    <row r="5096" spans="14:14" ht="15" customHeight="1" x14ac:dyDescent="0.25">
      <c r="N5096" t="s">
        <v>605</v>
      </c>
    </row>
    <row r="5097" spans="14:14" ht="15" customHeight="1" x14ac:dyDescent="0.25">
      <c r="N5097" t="s">
        <v>698</v>
      </c>
    </row>
    <row r="5098" spans="14:14" ht="15" customHeight="1" x14ac:dyDescent="0.25">
      <c r="N5098" t="s">
        <v>448</v>
      </c>
    </row>
    <row r="5099" spans="14:14" ht="15" customHeight="1" x14ac:dyDescent="0.25">
      <c r="N5099" t="s">
        <v>448</v>
      </c>
    </row>
    <row r="5100" spans="14:14" ht="15" customHeight="1" x14ac:dyDescent="0.25">
      <c r="N5100" t="s">
        <v>448</v>
      </c>
    </row>
    <row r="5101" spans="14:14" ht="15" customHeight="1" x14ac:dyDescent="0.25">
      <c r="N5101" t="s">
        <v>448</v>
      </c>
    </row>
    <row r="5102" spans="14:14" ht="15" customHeight="1" x14ac:dyDescent="0.25">
      <c r="N5102" t="s">
        <v>448</v>
      </c>
    </row>
    <row r="5103" spans="14:14" ht="15" customHeight="1" x14ac:dyDescent="0.25">
      <c r="N5103" t="s">
        <v>448</v>
      </c>
    </row>
    <row r="5104" spans="14:14" ht="15" customHeight="1" x14ac:dyDescent="0.25">
      <c r="N5104" t="s">
        <v>448</v>
      </c>
    </row>
    <row r="5105" spans="14:14" ht="15" customHeight="1" x14ac:dyDescent="0.25">
      <c r="N5105" t="s">
        <v>448</v>
      </c>
    </row>
    <row r="5106" spans="14:14" ht="15" customHeight="1" x14ac:dyDescent="0.25">
      <c r="N5106" t="s">
        <v>448</v>
      </c>
    </row>
    <row r="5107" spans="14:14" ht="15" customHeight="1" x14ac:dyDescent="0.25">
      <c r="N5107" t="s">
        <v>448</v>
      </c>
    </row>
    <row r="5108" spans="14:14" ht="15" customHeight="1" x14ac:dyDescent="0.25">
      <c r="N5108" t="s">
        <v>448</v>
      </c>
    </row>
    <row r="5109" spans="14:14" ht="15" customHeight="1" x14ac:dyDescent="0.25">
      <c r="N5109" t="s">
        <v>448</v>
      </c>
    </row>
    <row r="5110" spans="14:14" ht="15" customHeight="1" x14ac:dyDescent="0.25">
      <c r="N5110" t="s">
        <v>448</v>
      </c>
    </row>
    <row r="5111" spans="14:14" ht="15" customHeight="1" x14ac:dyDescent="0.25">
      <c r="N5111" t="s">
        <v>715</v>
      </c>
    </row>
    <row r="5112" spans="14:14" ht="15" customHeight="1" x14ac:dyDescent="0.25">
      <c r="N5112" t="s">
        <v>636</v>
      </c>
    </row>
    <row r="5113" spans="14:14" ht="15" customHeight="1" x14ac:dyDescent="0.25">
      <c r="N5113" t="s">
        <v>683</v>
      </c>
    </row>
    <row r="5114" spans="14:14" ht="15" customHeight="1" x14ac:dyDescent="0.25">
      <c r="N5114" t="s">
        <v>698</v>
      </c>
    </row>
    <row r="5115" spans="14:14" ht="15" customHeight="1" x14ac:dyDescent="0.25">
      <c r="N5115" t="s">
        <v>350</v>
      </c>
    </row>
    <row r="5116" spans="14:14" ht="15" customHeight="1" x14ac:dyDescent="0.25">
      <c r="N5116" t="s">
        <v>715</v>
      </c>
    </row>
    <row r="5117" spans="14:14" ht="15" customHeight="1" x14ac:dyDescent="0.25">
      <c r="N5117" t="s">
        <v>690</v>
      </c>
    </row>
    <row r="5118" spans="14:14" ht="15" customHeight="1" x14ac:dyDescent="0.25">
      <c r="N5118" t="s">
        <v>732</v>
      </c>
    </row>
    <row r="5119" spans="14:14" ht="15" customHeight="1" x14ac:dyDescent="0.25">
      <c r="N5119" t="s">
        <v>732</v>
      </c>
    </row>
    <row r="5120" spans="14:14" ht="15" customHeight="1" x14ac:dyDescent="0.25">
      <c r="N5120" t="s">
        <v>732</v>
      </c>
    </row>
    <row r="5121" spans="14:14" ht="15" customHeight="1" x14ac:dyDescent="0.25">
      <c r="N5121" t="s">
        <v>732</v>
      </c>
    </row>
    <row r="5122" spans="14:14" ht="15" customHeight="1" x14ac:dyDescent="0.25">
      <c r="N5122" t="s">
        <v>732</v>
      </c>
    </row>
    <row r="5123" spans="14:14" ht="15" customHeight="1" x14ac:dyDescent="0.25">
      <c r="N5123" t="s">
        <v>732</v>
      </c>
    </row>
    <row r="5124" spans="14:14" ht="15" customHeight="1" x14ac:dyDescent="0.25">
      <c r="N5124" t="s">
        <v>732</v>
      </c>
    </row>
    <row r="5125" spans="14:14" ht="15" customHeight="1" x14ac:dyDescent="0.25">
      <c r="N5125" t="s">
        <v>663</v>
      </c>
    </row>
    <row r="5126" spans="14:14" ht="15" customHeight="1" x14ac:dyDescent="0.25">
      <c r="N5126" t="s">
        <v>683</v>
      </c>
    </row>
    <row r="5127" spans="14:14" ht="15" customHeight="1" x14ac:dyDescent="0.25">
      <c r="N5127" t="s">
        <v>698</v>
      </c>
    </row>
    <row r="5128" spans="14:14" ht="15" customHeight="1" x14ac:dyDescent="0.25">
      <c r="N5128" t="s">
        <v>582</v>
      </c>
    </row>
    <row r="5129" spans="14:14" ht="15" customHeight="1" x14ac:dyDescent="0.25">
      <c r="N5129" t="s">
        <v>698</v>
      </c>
    </row>
    <row r="5130" spans="14:14" ht="15" customHeight="1" x14ac:dyDescent="0.25">
      <c r="N5130" t="s">
        <v>582</v>
      </c>
    </row>
    <row r="5131" spans="14:14" ht="15" customHeight="1" x14ac:dyDescent="0.25">
      <c r="N5131" t="s">
        <v>474</v>
      </c>
    </row>
    <row r="5132" spans="14:14" ht="15" customHeight="1" x14ac:dyDescent="0.25">
      <c r="N5132" t="s">
        <v>313</v>
      </c>
    </row>
    <row r="5133" spans="14:14" ht="15" customHeight="1" x14ac:dyDescent="0.25">
      <c r="N5133" t="s">
        <v>313</v>
      </c>
    </row>
    <row r="5134" spans="14:14" ht="15" customHeight="1" x14ac:dyDescent="0.25">
      <c r="N5134" t="s">
        <v>313</v>
      </c>
    </row>
    <row r="5135" spans="14:14" ht="15" customHeight="1" x14ac:dyDescent="0.25">
      <c r="N5135" t="s">
        <v>313</v>
      </c>
    </row>
    <row r="5136" spans="14:14" ht="15" customHeight="1" x14ac:dyDescent="0.25">
      <c r="N5136" t="s">
        <v>313</v>
      </c>
    </row>
    <row r="5137" spans="14:14" ht="15" customHeight="1" x14ac:dyDescent="0.25">
      <c r="N5137" t="s">
        <v>313</v>
      </c>
    </row>
    <row r="5138" spans="14:14" ht="15" customHeight="1" x14ac:dyDescent="0.25">
      <c r="N5138" t="s">
        <v>313</v>
      </c>
    </row>
    <row r="5139" spans="14:14" ht="15" customHeight="1" x14ac:dyDescent="0.25">
      <c r="N5139" t="s">
        <v>683</v>
      </c>
    </row>
    <row r="5140" spans="14:14" ht="15" customHeight="1" x14ac:dyDescent="0.25">
      <c r="N5140" t="s">
        <v>634</v>
      </c>
    </row>
    <row r="5141" spans="14:14" ht="15" customHeight="1" x14ac:dyDescent="0.25">
      <c r="N5141" t="s">
        <v>499</v>
      </c>
    </row>
    <row r="5142" spans="14:14" ht="15" customHeight="1" x14ac:dyDescent="0.25">
      <c r="N5142" t="s">
        <v>611</v>
      </c>
    </row>
    <row r="5143" spans="14:14" ht="15" customHeight="1" x14ac:dyDescent="0.25">
      <c r="N5143" t="s">
        <v>690</v>
      </c>
    </row>
    <row r="5144" spans="14:14" ht="15" customHeight="1" x14ac:dyDescent="0.25">
      <c r="N5144" t="s">
        <v>313</v>
      </c>
    </row>
    <row r="5145" spans="14:14" ht="15" customHeight="1" x14ac:dyDescent="0.25">
      <c r="N5145" t="s">
        <v>636</v>
      </c>
    </row>
    <row r="5146" spans="14:14" ht="15" customHeight="1" x14ac:dyDescent="0.25">
      <c r="N5146" t="s">
        <v>683</v>
      </c>
    </row>
    <row r="5147" spans="14:14" ht="15" customHeight="1" x14ac:dyDescent="0.25">
      <c r="N5147" t="s">
        <v>347</v>
      </c>
    </row>
    <row r="5148" spans="14:14" ht="15" customHeight="1" x14ac:dyDescent="0.25">
      <c r="N5148" t="s">
        <v>663</v>
      </c>
    </row>
    <row r="5149" spans="14:14" ht="15" customHeight="1" x14ac:dyDescent="0.25">
      <c r="N5149" t="s">
        <v>579</v>
      </c>
    </row>
    <row r="5150" spans="14:14" ht="15" customHeight="1" x14ac:dyDescent="0.25">
      <c r="N5150" t="s">
        <v>732</v>
      </c>
    </row>
    <row r="5151" spans="14:14" ht="15" customHeight="1" x14ac:dyDescent="0.25">
      <c r="N5151" t="s">
        <v>313</v>
      </c>
    </row>
    <row r="5152" spans="14:14" ht="15" customHeight="1" x14ac:dyDescent="0.25">
      <c r="N5152" t="s">
        <v>463</v>
      </c>
    </row>
    <row r="5153" spans="14:14" ht="15" customHeight="1" x14ac:dyDescent="0.25">
      <c r="N5153" t="s">
        <v>732</v>
      </c>
    </row>
    <row r="5154" spans="14:14" ht="15" customHeight="1" x14ac:dyDescent="0.25">
      <c r="N5154" t="s">
        <v>313</v>
      </c>
    </row>
    <row r="5155" spans="14:14" ht="15" customHeight="1" x14ac:dyDescent="0.25">
      <c r="N5155" t="s">
        <v>654</v>
      </c>
    </row>
    <row r="5156" spans="14:14" ht="15" customHeight="1" x14ac:dyDescent="0.25">
      <c r="N5156" t="s">
        <v>680</v>
      </c>
    </row>
    <row r="5157" spans="14:14" ht="15" customHeight="1" x14ac:dyDescent="0.25">
      <c r="N5157" t="s">
        <v>313</v>
      </c>
    </row>
    <row r="5158" spans="14:14" ht="15" customHeight="1" x14ac:dyDescent="0.25">
      <c r="N5158" t="s">
        <v>713</v>
      </c>
    </row>
    <row r="5159" spans="14:14" ht="15" customHeight="1" x14ac:dyDescent="0.25">
      <c r="N5159" t="s">
        <v>313</v>
      </c>
    </row>
    <row r="5160" spans="14:14" ht="15" customHeight="1" x14ac:dyDescent="0.25">
      <c r="N5160" t="s">
        <v>663</v>
      </c>
    </row>
    <row r="5161" spans="14:14" ht="15" customHeight="1" x14ac:dyDescent="0.25">
      <c r="N5161" t="s">
        <v>579</v>
      </c>
    </row>
    <row r="5162" spans="14:14" ht="15" customHeight="1" x14ac:dyDescent="0.25">
      <c r="N5162" t="s">
        <v>355</v>
      </c>
    </row>
    <row r="5163" spans="14:14" ht="15" customHeight="1" x14ac:dyDescent="0.25">
      <c r="N5163" t="s">
        <v>313</v>
      </c>
    </row>
    <row r="5164" spans="14:14" ht="15" customHeight="1" x14ac:dyDescent="0.25">
      <c r="N5164" t="s">
        <v>732</v>
      </c>
    </row>
    <row r="5165" spans="14:14" ht="15" customHeight="1" x14ac:dyDescent="0.25">
      <c r="N5165" t="s">
        <v>540</v>
      </c>
    </row>
    <row r="5166" spans="14:14" ht="15" customHeight="1" x14ac:dyDescent="0.25">
      <c r="N5166" t="s">
        <v>732</v>
      </c>
    </row>
    <row r="5167" spans="14:14" ht="15" customHeight="1" x14ac:dyDescent="0.25">
      <c r="N5167" t="s">
        <v>485</v>
      </c>
    </row>
    <row r="5168" spans="14:14" ht="15" customHeight="1" x14ac:dyDescent="0.25">
      <c r="N5168" t="s">
        <v>654</v>
      </c>
    </row>
    <row r="5169" spans="14:14" ht="15" customHeight="1" x14ac:dyDescent="0.25">
      <c r="N5169" t="s">
        <v>363</v>
      </c>
    </row>
    <row r="5170" spans="14:14" ht="15" customHeight="1" x14ac:dyDescent="0.25">
      <c r="N5170" t="s">
        <v>370</v>
      </c>
    </row>
    <row r="5171" spans="14:14" ht="15" customHeight="1" x14ac:dyDescent="0.25">
      <c r="N5171" t="s">
        <v>732</v>
      </c>
    </row>
    <row r="5172" spans="14:14" ht="15" customHeight="1" x14ac:dyDescent="0.25">
      <c r="N5172" t="s">
        <v>732</v>
      </c>
    </row>
    <row r="5173" spans="14:14" ht="15" customHeight="1" x14ac:dyDescent="0.25">
      <c r="N5173" t="s">
        <v>304</v>
      </c>
    </row>
    <row r="5174" spans="14:14" ht="15" customHeight="1" x14ac:dyDescent="0.25">
      <c r="N5174" t="s">
        <v>696</v>
      </c>
    </row>
    <row r="5175" spans="14:14" ht="15" customHeight="1" x14ac:dyDescent="0.25">
      <c r="N5175" t="s">
        <v>313</v>
      </c>
    </row>
    <row r="5176" spans="14:14" ht="15" customHeight="1" x14ac:dyDescent="0.25">
      <c r="N5176" t="s">
        <v>313</v>
      </c>
    </row>
    <row r="5177" spans="14:14" ht="15" customHeight="1" x14ac:dyDescent="0.25">
      <c r="N5177" t="s">
        <v>680</v>
      </c>
    </row>
    <row r="5178" spans="14:14" ht="15" customHeight="1" x14ac:dyDescent="0.25">
      <c r="N5178" t="s">
        <v>582</v>
      </c>
    </row>
    <row r="5179" spans="14:14" ht="15" customHeight="1" x14ac:dyDescent="0.25">
      <c r="N5179" t="s">
        <v>582</v>
      </c>
    </row>
    <row r="5180" spans="14:14" ht="15" customHeight="1" x14ac:dyDescent="0.25">
      <c r="N5180" t="s">
        <v>582</v>
      </c>
    </row>
    <row r="5181" spans="14:14" ht="15" customHeight="1" x14ac:dyDescent="0.25">
      <c r="N5181" t="s">
        <v>582</v>
      </c>
    </row>
    <row r="5182" spans="14:14" ht="15" customHeight="1" x14ac:dyDescent="0.25">
      <c r="N5182" t="s">
        <v>582</v>
      </c>
    </row>
    <row r="5183" spans="14:14" ht="15" customHeight="1" x14ac:dyDescent="0.25">
      <c r="N5183" t="s">
        <v>582</v>
      </c>
    </row>
    <row r="5184" spans="14:14" ht="15" customHeight="1" x14ac:dyDescent="0.25">
      <c r="N5184" t="s">
        <v>582</v>
      </c>
    </row>
    <row r="5185" spans="14:14" ht="15" customHeight="1" x14ac:dyDescent="0.25">
      <c r="N5185" t="s">
        <v>732</v>
      </c>
    </row>
    <row r="5186" spans="14:14" ht="15" customHeight="1" x14ac:dyDescent="0.25">
      <c r="N5186" t="s">
        <v>732</v>
      </c>
    </row>
    <row r="5187" spans="14:14" ht="15" customHeight="1" x14ac:dyDescent="0.25">
      <c r="N5187" t="s">
        <v>732</v>
      </c>
    </row>
    <row r="5188" spans="14:14" ht="15" customHeight="1" x14ac:dyDescent="0.25">
      <c r="N5188" t="s">
        <v>732</v>
      </c>
    </row>
    <row r="5189" spans="14:14" ht="15" customHeight="1" x14ac:dyDescent="0.25">
      <c r="N5189" t="s">
        <v>732</v>
      </c>
    </row>
    <row r="5190" spans="14:14" ht="15" customHeight="1" x14ac:dyDescent="0.25">
      <c r="N5190" t="s">
        <v>732</v>
      </c>
    </row>
    <row r="5191" spans="14:14" ht="15" customHeight="1" x14ac:dyDescent="0.25">
      <c r="N5191" t="s">
        <v>732</v>
      </c>
    </row>
    <row r="5192" spans="14:14" ht="15" customHeight="1" x14ac:dyDescent="0.25">
      <c r="N5192" t="s">
        <v>732</v>
      </c>
    </row>
    <row r="5193" spans="14:14" ht="15" customHeight="1" x14ac:dyDescent="0.25">
      <c r="N5193" t="s">
        <v>732</v>
      </c>
    </row>
    <row r="5194" spans="14:14" ht="15" customHeight="1" x14ac:dyDescent="0.25">
      <c r="N5194" t="s">
        <v>732</v>
      </c>
    </row>
    <row r="5195" spans="14:14" ht="15" customHeight="1" x14ac:dyDescent="0.25">
      <c r="N5195" t="s">
        <v>732</v>
      </c>
    </row>
    <row r="5196" spans="14:14" ht="15" customHeight="1" x14ac:dyDescent="0.25">
      <c r="N5196" t="s">
        <v>732</v>
      </c>
    </row>
    <row r="5197" spans="14:14" ht="15" customHeight="1" x14ac:dyDescent="0.25">
      <c r="N5197" t="s">
        <v>732</v>
      </c>
    </row>
    <row r="5198" spans="14:14" ht="15" customHeight="1" x14ac:dyDescent="0.25">
      <c r="N5198" t="s">
        <v>732</v>
      </c>
    </row>
    <row r="5199" spans="14:14" ht="15" customHeight="1" x14ac:dyDescent="0.25">
      <c r="N5199" t="s">
        <v>732</v>
      </c>
    </row>
    <row r="5200" spans="14:14" ht="15" customHeight="1" x14ac:dyDescent="0.25">
      <c r="N5200" t="s">
        <v>732</v>
      </c>
    </row>
    <row r="5201" spans="14:14" ht="15" customHeight="1" x14ac:dyDescent="0.25">
      <c r="N5201" t="s">
        <v>732</v>
      </c>
    </row>
    <row r="5202" spans="14:14" ht="15" customHeight="1" x14ac:dyDescent="0.25">
      <c r="N5202" t="s">
        <v>732</v>
      </c>
    </row>
    <row r="5203" spans="14:14" ht="15" customHeight="1" x14ac:dyDescent="0.25">
      <c r="N5203" t="s">
        <v>732</v>
      </c>
    </row>
    <row r="5204" spans="14:14" ht="15" customHeight="1" x14ac:dyDescent="0.25">
      <c r="N5204" t="s">
        <v>732</v>
      </c>
    </row>
    <row r="5205" spans="14:14" ht="15" customHeight="1" x14ac:dyDescent="0.25">
      <c r="N5205" t="s">
        <v>732</v>
      </c>
    </row>
    <row r="5206" spans="14:14" ht="15" customHeight="1" x14ac:dyDescent="0.25">
      <c r="N5206" t="s">
        <v>732</v>
      </c>
    </row>
    <row r="5207" spans="14:14" ht="15" customHeight="1" x14ac:dyDescent="0.25">
      <c r="N5207" t="s">
        <v>732</v>
      </c>
    </row>
    <row r="5208" spans="14:14" ht="15" customHeight="1" x14ac:dyDescent="0.25">
      <c r="N5208" t="s">
        <v>732</v>
      </c>
    </row>
    <row r="5209" spans="14:14" ht="15" customHeight="1" x14ac:dyDescent="0.25">
      <c r="N5209" t="s">
        <v>732</v>
      </c>
    </row>
    <row r="5210" spans="14:14" ht="15" customHeight="1" x14ac:dyDescent="0.25">
      <c r="N5210" t="s">
        <v>732</v>
      </c>
    </row>
    <row r="5211" spans="14:14" ht="15" customHeight="1" x14ac:dyDescent="0.25">
      <c r="N5211" t="s">
        <v>732</v>
      </c>
    </row>
    <row r="5212" spans="14:14" ht="15" customHeight="1" x14ac:dyDescent="0.25">
      <c r="N5212" t="s">
        <v>732</v>
      </c>
    </row>
    <row r="5213" spans="14:14" ht="15" customHeight="1" x14ac:dyDescent="0.25">
      <c r="N5213" t="s">
        <v>732</v>
      </c>
    </row>
    <row r="5214" spans="14:14" ht="15" customHeight="1" x14ac:dyDescent="0.25">
      <c r="N5214" t="s">
        <v>732</v>
      </c>
    </row>
    <row r="5215" spans="14:14" ht="15" customHeight="1" x14ac:dyDescent="0.25">
      <c r="N5215" t="s">
        <v>732</v>
      </c>
    </row>
    <row r="5216" spans="14:14" ht="15" customHeight="1" x14ac:dyDescent="0.25">
      <c r="N5216" t="s">
        <v>732</v>
      </c>
    </row>
    <row r="5217" spans="14:14" ht="15" customHeight="1" x14ac:dyDescent="0.25">
      <c r="N5217" t="s">
        <v>732</v>
      </c>
    </row>
    <row r="5218" spans="14:14" ht="15" customHeight="1" x14ac:dyDescent="0.25">
      <c r="N5218" t="s">
        <v>732</v>
      </c>
    </row>
    <row r="5219" spans="14:14" ht="15" customHeight="1" x14ac:dyDescent="0.25">
      <c r="N5219" t="s">
        <v>732</v>
      </c>
    </row>
    <row r="5220" spans="14:14" ht="15" customHeight="1" x14ac:dyDescent="0.25">
      <c r="N5220" t="s">
        <v>732</v>
      </c>
    </row>
    <row r="5221" spans="14:14" ht="15" customHeight="1" x14ac:dyDescent="0.25">
      <c r="N5221" t="s">
        <v>732</v>
      </c>
    </row>
    <row r="5222" spans="14:14" ht="15" customHeight="1" x14ac:dyDescent="0.25">
      <c r="N5222" t="s">
        <v>732</v>
      </c>
    </row>
    <row r="5223" spans="14:14" ht="15" customHeight="1" x14ac:dyDescent="0.25">
      <c r="N5223" t="s">
        <v>732</v>
      </c>
    </row>
    <row r="5224" spans="14:14" ht="15" customHeight="1" x14ac:dyDescent="0.25">
      <c r="N5224" t="s">
        <v>732</v>
      </c>
    </row>
    <row r="5225" spans="14:14" ht="15" customHeight="1" x14ac:dyDescent="0.25">
      <c r="N5225" t="s">
        <v>732</v>
      </c>
    </row>
    <row r="5226" spans="14:14" ht="15" customHeight="1" x14ac:dyDescent="0.25">
      <c r="N5226" t="s">
        <v>732</v>
      </c>
    </row>
    <row r="5227" spans="14:14" ht="15" customHeight="1" x14ac:dyDescent="0.25">
      <c r="N5227" t="s">
        <v>732</v>
      </c>
    </row>
    <row r="5228" spans="14:14" ht="15" customHeight="1" x14ac:dyDescent="0.25">
      <c r="N5228" t="s">
        <v>732</v>
      </c>
    </row>
    <row r="5229" spans="14:14" ht="15" customHeight="1" x14ac:dyDescent="0.25">
      <c r="N5229" t="s">
        <v>732</v>
      </c>
    </row>
    <row r="5230" spans="14:14" ht="15" customHeight="1" x14ac:dyDescent="0.25">
      <c r="N5230" t="s">
        <v>732</v>
      </c>
    </row>
    <row r="5231" spans="14:14" ht="15" customHeight="1" x14ac:dyDescent="0.25">
      <c r="N5231" t="s">
        <v>732</v>
      </c>
    </row>
    <row r="5232" spans="14:14" ht="15" customHeight="1" x14ac:dyDescent="0.25">
      <c r="N5232" t="s">
        <v>313</v>
      </c>
    </row>
    <row r="5233" spans="14:14" ht="15" customHeight="1" x14ac:dyDescent="0.25">
      <c r="N5233" t="s">
        <v>313</v>
      </c>
    </row>
    <row r="5234" spans="14:14" ht="15" customHeight="1" x14ac:dyDescent="0.25">
      <c r="N5234" t="s">
        <v>715</v>
      </c>
    </row>
    <row r="5235" spans="14:14" ht="15" customHeight="1" x14ac:dyDescent="0.25">
      <c r="N5235" t="s">
        <v>698</v>
      </c>
    </row>
    <row r="5236" spans="14:14" ht="15" customHeight="1" x14ac:dyDescent="0.25">
      <c r="N5236" t="s">
        <v>582</v>
      </c>
    </row>
    <row r="5237" spans="14:14" ht="15" customHeight="1" x14ac:dyDescent="0.25">
      <c r="N5237" t="s">
        <v>696</v>
      </c>
    </row>
    <row r="5238" spans="14:14" ht="15" customHeight="1" x14ac:dyDescent="0.25">
      <c r="N5238" t="s">
        <v>582</v>
      </c>
    </row>
    <row r="5239" spans="14:14" ht="15" customHeight="1" x14ac:dyDescent="0.25">
      <c r="N5239" t="s">
        <v>582</v>
      </c>
    </row>
    <row r="5240" spans="14:14" ht="15" customHeight="1" x14ac:dyDescent="0.25">
      <c r="N5240" t="s">
        <v>582</v>
      </c>
    </row>
    <row r="5241" spans="14:14" ht="15" customHeight="1" x14ac:dyDescent="0.25">
      <c r="N5241" t="s">
        <v>582</v>
      </c>
    </row>
    <row r="5242" spans="14:14" ht="15" customHeight="1" x14ac:dyDescent="0.25">
      <c r="N5242" t="s">
        <v>582</v>
      </c>
    </row>
    <row r="5243" spans="14:14" ht="15" customHeight="1" x14ac:dyDescent="0.25">
      <c r="N5243" t="s">
        <v>582</v>
      </c>
    </row>
    <row r="5244" spans="14:14" ht="15" customHeight="1" x14ac:dyDescent="0.25">
      <c r="N5244" t="s">
        <v>582</v>
      </c>
    </row>
    <row r="5245" spans="14:14" ht="15" customHeight="1" x14ac:dyDescent="0.25">
      <c r="N5245" t="s">
        <v>582</v>
      </c>
    </row>
    <row r="5246" spans="14:14" ht="15" customHeight="1" x14ac:dyDescent="0.25">
      <c r="N5246" t="s">
        <v>68</v>
      </c>
    </row>
    <row r="5247" spans="14:14" ht="15" customHeight="1" x14ac:dyDescent="0.25">
      <c r="N5247" t="s">
        <v>685</v>
      </c>
    </row>
    <row r="5248" spans="14:14" ht="15" customHeight="1" x14ac:dyDescent="0.25">
      <c r="N5248" t="s">
        <v>734</v>
      </c>
    </row>
    <row r="5249" spans="14:14" ht="15" customHeight="1" x14ac:dyDescent="0.25">
      <c r="N5249" t="s">
        <v>715</v>
      </c>
    </row>
    <row r="5250" spans="14:14" ht="15" customHeight="1" x14ac:dyDescent="0.25">
      <c r="N5250" t="s">
        <v>732</v>
      </c>
    </row>
    <row r="5251" spans="14:14" ht="15" customHeight="1" x14ac:dyDescent="0.25">
      <c r="N5251" t="s">
        <v>684</v>
      </c>
    </row>
    <row r="5252" spans="14:14" ht="15" customHeight="1" x14ac:dyDescent="0.25">
      <c r="N5252" t="s">
        <v>732</v>
      </c>
    </row>
    <row r="5253" spans="14:14" ht="15" customHeight="1" x14ac:dyDescent="0.25">
      <c r="N5253" t="s">
        <v>582</v>
      </c>
    </row>
    <row r="5254" spans="14:14" ht="15" customHeight="1" x14ac:dyDescent="0.25">
      <c r="N5254" t="s">
        <v>68</v>
      </c>
    </row>
    <row r="5255" spans="14:14" ht="15" customHeight="1" x14ac:dyDescent="0.25">
      <c r="N5255" t="s">
        <v>582</v>
      </c>
    </row>
    <row r="5256" spans="14:14" ht="15" customHeight="1" x14ac:dyDescent="0.25">
      <c r="N5256" t="s">
        <v>68</v>
      </c>
    </row>
    <row r="5257" spans="14:14" ht="15" customHeight="1" x14ac:dyDescent="0.25">
      <c r="N5257" t="s">
        <v>68</v>
      </c>
    </row>
    <row r="5258" spans="14:14" ht="15" customHeight="1" x14ac:dyDescent="0.25">
      <c r="N5258" t="s">
        <v>582</v>
      </c>
    </row>
    <row r="5259" spans="14:14" ht="15" customHeight="1" x14ac:dyDescent="0.25">
      <c r="N5259" t="s">
        <v>713</v>
      </c>
    </row>
    <row r="5260" spans="14:14" ht="15" customHeight="1" x14ac:dyDescent="0.25">
      <c r="N5260" t="s">
        <v>713</v>
      </c>
    </row>
    <row r="5261" spans="14:14" ht="15" customHeight="1" x14ac:dyDescent="0.25">
      <c r="N5261" t="s">
        <v>713</v>
      </c>
    </row>
    <row r="5262" spans="14:14" ht="15" customHeight="1" x14ac:dyDescent="0.25">
      <c r="N5262" t="s">
        <v>685</v>
      </c>
    </row>
    <row r="5263" spans="14:14" ht="15" customHeight="1" x14ac:dyDescent="0.25">
      <c r="N5263" t="s">
        <v>732</v>
      </c>
    </row>
    <row r="5264" spans="14:14" ht="15" customHeight="1" x14ac:dyDescent="0.25">
      <c r="N5264" t="s">
        <v>687</v>
      </c>
    </row>
    <row r="5265" spans="14:14" ht="15" customHeight="1" x14ac:dyDescent="0.25">
      <c r="N5265" t="s">
        <v>313</v>
      </c>
    </row>
    <row r="5266" spans="14:14" ht="15" customHeight="1" x14ac:dyDescent="0.25">
      <c r="N5266" t="s">
        <v>670</v>
      </c>
    </row>
    <row r="5267" spans="14:14" ht="15" customHeight="1" x14ac:dyDescent="0.25">
      <c r="N5267" t="s">
        <v>646</v>
      </c>
    </row>
    <row r="5268" spans="14:14" ht="15" customHeight="1" x14ac:dyDescent="0.25">
      <c r="N5268" t="s">
        <v>304</v>
      </c>
    </row>
    <row r="5269" spans="14:14" ht="15" customHeight="1" x14ac:dyDescent="0.25">
      <c r="N5269" t="s">
        <v>735</v>
      </c>
    </row>
    <row r="5270" spans="14:14" ht="15" customHeight="1" x14ac:dyDescent="0.25">
      <c r="N5270" t="s">
        <v>735</v>
      </c>
    </row>
    <row r="5271" spans="14:14" ht="15" customHeight="1" x14ac:dyDescent="0.25">
      <c r="N5271" t="s">
        <v>735</v>
      </c>
    </row>
    <row r="5272" spans="14:14" ht="15" customHeight="1" x14ac:dyDescent="0.25">
      <c r="N5272" t="s">
        <v>735</v>
      </c>
    </row>
    <row r="5273" spans="14:14" ht="15" customHeight="1" x14ac:dyDescent="0.25">
      <c r="N5273" t="s">
        <v>735</v>
      </c>
    </row>
    <row r="5274" spans="14:14" ht="15" customHeight="1" x14ac:dyDescent="0.25">
      <c r="N5274" t="s">
        <v>313</v>
      </c>
    </row>
    <row r="5275" spans="14:14" ht="15" customHeight="1" x14ac:dyDescent="0.25">
      <c r="N5275" t="s">
        <v>680</v>
      </c>
    </row>
    <row r="5276" spans="14:14" ht="15" customHeight="1" x14ac:dyDescent="0.25">
      <c r="N5276" t="s">
        <v>732</v>
      </c>
    </row>
    <row r="5277" spans="14:14" ht="15" customHeight="1" x14ac:dyDescent="0.25">
      <c r="N5277" t="s">
        <v>732</v>
      </c>
    </row>
    <row r="5278" spans="14:14" ht="15" customHeight="1" x14ac:dyDescent="0.25">
      <c r="N5278" t="s">
        <v>732</v>
      </c>
    </row>
    <row r="5279" spans="14:14" ht="15" customHeight="1" x14ac:dyDescent="0.25">
      <c r="N5279" t="s">
        <v>732</v>
      </c>
    </row>
    <row r="5280" spans="14:14" ht="15" customHeight="1" x14ac:dyDescent="0.25">
      <c r="N5280" t="s">
        <v>732</v>
      </c>
    </row>
    <row r="5281" spans="14:14" ht="15" customHeight="1" x14ac:dyDescent="0.25">
      <c r="N5281" t="s">
        <v>732</v>
      </c>
    </row>
    <row r="5282" spans="14:14" ht="15" customHeight="1" x14ac:dyDescent="0.25">
      <c r="N5282" t="s">
        <v>732</v>
      </c>
    </row>
    <row r="5283" spans="14:14" ht="15" customHeight="1" x14ac:dyDescent="0.25">
      <c r="N5283" t="s">
        <v>732</v>
      </c>
    </row>
    <row r="5284" spans="14:14" ht="15" customHeight="1" x14ac:dyDescent="0.25">
      <c r="N5284" t="s">
        <v>732</v>
      </c>
    </row>
    <row r="5285" spans="14:14" ht="15" customHeight="1" x14ac:dyDescent="0.25">
      <c r="N5285" t="s">
        <v>732</v>
      </c>
    </row>
    <row r="5286" spans="14:14" ht="15" customHeight="1" x14ac:dyDescent="0.25">
      <c r="N5286" t="s">
        <v>732</v>
      </c>
    </row>
    <row r="5287" spans="14:14" ht="15" customHeight="1" x14ac:dyDescent="0.25">
      <c r="N5287" t="s">
        <v>732</v>
      </c>
    </row>
    <row r="5288" spans="14:14" ht="15" customHeight="1" x14ac:dyDescent="0.25">
      <c r="N5288" t="s">
        <v>732</v>
      </c>
    </row>
    <row r="5289" spans="14:14" ht="15" customHeight="1" x14ac:dyDescent="0.25">
      <c r="N5289" t="s">
        <v>732</v>
      </c>
    </row>
    <row r="5290" spans="14:14" ht="15" customHeight="1" x14ac:dyDescent="0.25">
      <c r="N5290" t="s">
        <v>732</v>
      </c>
    </row>
    <row r="5291" spans="14:14" ht="15" customHeight="1" x14ac:dyDescent="0.25">
      <c r="N5291" t="s">
        <v>732</v>
      </c>
    </row>
    <row r="5292" spans="14:14" ht="15" customHeight="1" x14ac:dyDescent="0.25">
      <c r="N5292" t="s">
        <v>732</v>
      </c>
    </row>
    <row r="5293" spans="14:14" ht="15" customHeight="1" x14ac:dyDescent="0.25">
      <c r="N5293" t="s">
        <v>732</v>
      </c>
    </row>
    <row r="5294" spans="14:14" ht="15" customHeight="1" x14ac:dyDescent="0.25">
      <c r="N5294" t="s">
        <v>732</v>
      </c>
    </row>
    <row r="5295" spans="14:14" ht="15" customHeight="1" x14ac:dyDescent="0.25">
      <c r="N5295" t="s">
        <v>732</v>
      </c>
    </row>
    <row r="5296" spans="14:14" ht="15" customHeight="1" x14ac:dyDescent="0.25">
      <c r="N5296" t="s">
        <v>732</v>
      </c>
    </row>
    <row r="5297" spans="14:14" ht="15" customHeight="1" x14ac:dyDescent="0.25">
      <c r="N5297" t="s">
        <v>732</v>
      </c>
    </row>
    <row r="5298" spans="14:14" ht="15" customHeight="1" x14ac:dyDescent="0.25">
      <c r="N5298" t="s">
        <v>732</v>
      </c>
    </row>
    <row r="5299" spans="14:14" ht="15" customHeight="1" x14ac:dyDescent="0.25">
      <c r="N5299" t="s">
        <v>732</v>
      </c>
    </row>
    <row r="5300" spans="14:14" ht="15" customHeight="1" x14ac:dyDescent="0.25">
      <c r="N5300" t="s">
        <v>732</v>
      </c>
    </row>
    <row r="5301" spans="14:14" ht="15" customHeight="1" x14ac:dyDescent="0.25">
      <c r="N5301" t="s">
        <v>732</v>
      </c>
    </row>
    <row r="5302" spans="14:14" ht="15" customHeight="1" x14ac:dyDescent="0.25">
      <c r="N5302" t="s">
        <v>732</v>
      </c>
    </row>
    <row r="5303" spans="14:14" ht="15" customHeight="1" x14ac:dyDescent="0.25">
      <c r="N5303" t="s">
        <v>732</v>
      </c>
    </row>
    <row r="5304" spans="14:14" ht="15" customHeight="1" x14ac:dyDescent="0.25">
      <c r="N5304" t="s">
        <v>732</v>
      </c>
    </row>
    <row r="5305" spans="14:14" ht="15" customHeight="1" x14ac:dyDescent="0.25">
      <c r="N5305" t="s">
        <v>732</v>
      </c>
    </row>
    <row r="5306" spans="14:14" ht="15" customHeight="1" x14ac:dyDescent="0.25">
      <c r="N5306" t="s">
        <v>732</v>
      </c>
    </row>
    <row r="5307" spans="14:14" ht="15" customHeight="1" x14ac:dyDescent="0.25">
      <c r="N5307" t="s">
        <v>732</v>
      </c>
    </row>
    <row r="5308" spans="14:14" ht="15" customHeight="1" x14ac:dyDescent="0.25">
      <c r="N5308" t="s">
        <v>732</v>
      </c>
    </row>
    <row r="5309" spans="14:14" ht="15" customHeight="1" x14ac:dyDescent="0.25">
      <c r="N5309" t="s">
        <v>732</v>
      </c>
    </row>
    <row r="5310" spans="14:14" ht="15" customHeight="1" x14ac:dyDescent="0.25">
      <c r="N5310" t="s">
        <v>732</v>
      </c>
    </row>
    <row r="5311" spans="14:14" ht="15" customHeight="1" x14ac:dyDescent="0.25">
      <c r="N5311" t="s">
        <v>732</v>
      </c>
    </row>
    <row r="5312" spans="14:14" ht="15" customHeight="1" x14ac:dyDescent="0.25">
      <c r="N5312" t="s">
        <v>732</v>
      </c>
    </row>
    <row r="5313" spans="14:14" ht="15" customHeight="1" x14ac:dyDescent="0.25">
      <c r="N5313" t="s">
        <v>732</v>
      </c>
    </row>
    <row r="5314" spans="14:14" ht="15" customHeight="1" x14ac:dyDescent="0.25">
      <c r="N5314" t="s">
        <v>732</v>
      </c>
    </row>
    <row r="5315" spans="14:14" ht="15" customHeight="1" x14ac:dyDescent="0.25">
      <c r="N5315" t="s">
        <v>313</v>
      </c>
    </row>
    <row r="5316" spans="14:14" ht="15" customHeight="1" x14ac:dyDescent="0.25">
      <c r="N5316" t="s">
        <v>68</v>
      </c>
    </row>
    <row r="5317" spans="14:14" ht="15" customHeight="1" x14ac:dyDescent="0.25">
      <c r="N5317" t="s">
        <v>675</v>
      </c>
    </row>
    <row r="5318" spans="14:14" ht="15" customHeight="1" x14ac:dyDescent="0.25">
      <c r="N5318" t="s">
        <v>539</v>
      </c>
    </row>
    <row r="5319" spans="14:14" ht="15" customHeight="1" x14ac:dyDescent="0.25">
      <c r="N5319" t="s">
        <v>68</v>
      </c>
    </row>
    <row r="5320" spans="14:14" ht="15" customHeight="1" x14ac:dyDescent="0.25">
      <c r="N5320" t="s">
        <v>68</v>
      </c>
    </row>
    <row r="5321" spans="14:14" ht="15" customHeight="1" x14ac:dyDescent="0.25">
      <c r="N5321" t="s">
        <v>68</v>
      </c>
    </row>
    <row r="5322" spans="14:14" ht="15" customHeight="1" x14ac:dyDescent="0.25">
      <c r="N5322" t="s">
        <v>68</v>
      </c>
    </row>
    <row r="5323" spans="14:14" ht="15" customHeight="1" x14ac:dyDescent="0.25">
      <c r="N5323" t="s">
        <v>68</v>
      </c>
    </row>
    <row r="5324" spans="14:14" ht="15" customHeight="1" x14ac:dyDescent="0.25">
      <c r="N5324" t="s">
        <v>68</v>
      </c>
    </row>
    <row r="5325" spans="14:14" ht="15" customHeight="1" x14ac:dyDescent="0.25">
      <c r="N5325" t="s">
        <v>68</v>
      </c>
    </row>
    <row r="5326" spans="14:14" ht="15" customHeight="1" x14ac:dyDescent="0.25">
      <c r="N5326" t="s">
        <v>732</v>
      </c>
    </row>
    <row r="5327" spans="14:14" ht="15" customHeight="1" x14ac:dyDescent="0.25">
      <c r="N5327" t="s">
        <v>690</v>
      </c>
    </row>
    <row r="5328" spans="14:14" ht="15" customHeight="1" x14ac:dyDescent="0.25">
      <c r="N5328" t="s">
        <v>690</v>
      </c>
    </row>
    <row r="5329" spans="14:14" ht="15" customHeight="1" x14ac:dyDescent="0.25">
      <c r="N5329" t="s">
        <v>690</v>
      </c>
    </row>
    <row r="5330" spans="14:14" ht="15" customHeight="1" x14ac:dyDescent="0.25">
      <c r="N5330" t="s">
        <v>690</v>
      </c>
    </row>
    <row r="5331" spans="14:14" ht="15" customHeight="1" x14ac:dyDescent="0.25">
      <c r="N5331" t="s">
        <v>684</v>
      </c>
    </row>
    <row r="5332" spans="14:14" ht="15" customHeight="1" x14ac:dyDescent="0.25">
      <c r="N5332" t="s">
        <v>68</v>
      </c>
    </row>
    <row r="5333" spans="14:14" ht="15" customHeight="1" x14ac:dyDescent="0.25">
      <c r="N5333" t="s">
        <v>553</v>
      </c>
    </row>
    <row r="5334" spans="14:14" ht="15" customHeight="1" x14ac:dyDescent="0.25">
      <c r="N5334" t="s">
        <v>68</v>
      </c>
    </row>
    <row r="5335" spans="14:14" ht="15" customHeight="1" x14ac:dyDescent="0.25">
      <c r="N5335" t="s">
        <v>582</v>
      </c>
    </row>
    <row r="5336" spans="14:14" ht="15" customHeight="1" x14ac:dyDescent="0.25">
      <c r="N5336" t="s">
        <v>713</v>
      </c>
    </row>
    <row r="5337" spans="14:14" ht="15" customHeight="1" x14ac:dyDescent="0.25">
      <c r="N5337" t="s">
        <v>732</v>
      </c>
    </row>
    <row r="5338" spans="14:14" ht="15" customHeight="1" x14ac:dyDescent="0.25">
      <c r="N5338" t="s">
        <v>603</v>
      </c>
    </row>
    <row r="5339" spans="14:14" ht="15" customHeight="1" x14ac:dyDescent="0.25">
      <c r="N5339" t="s">
        <v>654</v>
      </c>
    </row>
    <row r="5340" spans="14:14" ht="15" customHeight="1" x14ac:dyDescent="0.25">
      <c r="N5340" t="s">
        <v>685</v>
      </c>
    </row>
    <row r="5341" spans="14:14" ht="15" customHeight="1" x14ac:dyDescent="0.25">
      <c r="N5341" t="s">
        <v>313</v>
      </c>
    </row>
    <row r="5342" spans="14:14" ht="15" customHeight="1" x14ac:dyDescent="0.25">
      <c r="N5342" t="s">
        <v>685</v>
      </c>
    </row>
    <row r="5343" spans="14:14" ht="15" customHeight="1" x14ac:dyDescent="0.25">
      <c r="N5343" t="s">
        <v>696</v>
      </c>
    </row>
    <row r="5344" spans="14:14" ht="15" customHeight="1" x14ac:dyDescent="0.25">
      <c r="N5344" t="s">
        <v>313</v>
      </c>
    </row>
    <row r="5345" spans="14:14" ht="15" customHeight="1" x14ac:dyDescent="0.25">
      <c r="N5345" t="s">
        <v>732</v>
      </c>
    </row>
    <row r="5346" spans="14:14" ht="15" customHeight="1" x14ac:dyDescent="0.25">
      <c r="N5346" t="s">
        <v>732</v>
      </c>
    </row>
    <row r="5347" spans="14:14" ht="15" customHeight="1" x14ac:dyDescent="0.25">
      <c r="N5347" t="s">
        <v>732</v>
      </c>
    </row>
    <row r="5348" spans="14:14" ht="15" customHeight="1" x14ac:dyDescent="0.25">
      <c r="N5348" t="s">
        <v>732</v>
      </c>
    </row>
    <row r="5349" spans="14:14" ht="15" customHeight="1" x14ac:dyDescent="0.25">
      <c r="N5349" t="s">
        <v>732</v>
      </c>
    </row>
    <row r="5350" spans="14:14" ht="15" customHeight="1" x14ac:dyDescent="0.25">
      <c r="N5350" t="s">
        <v>732</v>
      </c>
    </row>
    <row r="5351" spans="14:14" ht="15" customHeight="1" x14ac:dyDescent="0.25">
      <c r="N5351" t="s">
        <v>732</v>
      </c>
    </row>
    <row r="5352" spans="14:14" ht="15" customHeight="1" x14ac:dyDescent="0.25">
      <c r="N5352" t="s">
        <v>732</v>
      </c>
    </row>
    <row r="5353" spans="14:14" ht="15" customHeight="1" x14ac:dyDescent="0.25">
      <c r="N5353" t="s">
        <v>732</v>
      </c>
    </row>
    <row r="5354" spans="14:14" ht="15" customHeight="1" x14ac:dyDescent="0.25">
      <c r="N5354" t="s">
        <v>732</v>
      </c>
    </row>
    <row r="5355" spans="14:14" ht="15" customHeight="1" x14ac:dyDescent="0.25">
      <c r="N5355" t="s">
        <v>732</v>
      </c>
    </row>
    <row r="5356" spans="14:14" ht="15" customHeight="1" x14ac:dyDescent="0.25">
      <c r="N5356" t="s">
        <v>732</v>
      </c>
    </row>
    <row r="5357" spans="14:14" ht="15" customHeight="1" x14ac:dyDescent="0.25">
      <c r="N5357" t="s">
        <v>732</v>
      </c>
    </row>
    <row r="5358" spans="14:14" ht="15" customHeight="1" x14ac:dyDescent="0.25">
      <c r="N5358" t="s">
        <v>732</v>
      </c>
    </row>
    <row r="5359" spans="14:14" ht="15" customHeight="1" x14ac:dyDescent="0.25">
      <c r="N5359" t="s">
        <v>732</v>
      </c>
    </row>
    <row r="5360" spans="14:14" ht="15" customHeight="1" x14ac:dyDescent="0.25">
      <c r="N5360" t="s">
        <v>732</v>
      </c>
    </row>
    <row r="5361" spans="14:14" ht="15" customHeight="1" x14ac:dyDescent="0.25">
      <c r="N5361" t="s">
        <v>732</v>
      </c>
    </row>
    <row r="5362" spans="14:14" ht="15" customHeight="1" x14ac:dyDescent="0.25">
      <c r="N5362" t="s">
        <v>732</v>
      </c>
    </row>
    <row r="5363" spans="14:14" ht="15" customHeight="1" x14ac:dyDescent="0.25">
      <c r="N5363" t="s">
        <v>732</v>
      </c>
    </row>
    <row r="5364" spans="14:14" ht="15" customHeight="1" x14ac:dyDescent="0.25">
      <c r="N5364" t="s">
        <v>732</v>
      </c>
    </row>
    <row r="5365" spans="14:14" ht="15" customHeight="1" x14ac:dyDescent="0.25">
      <c r="N5365" t="s">
        <v>732</v>
      </c>
    </row>
    <row r="5366" spans="14:14" ht="15" customHeight="1" x14ac:dyDescent="0.25">
      <c r="N5366" t="s">
        <v>732</v>
      </c>
    </row>
    <row r="5367" spans="14:14" ht="15" customHeight="1" x14ac:dyDescent="0.25">
      <c r="N5367" t="s">
        <v>732</v>
      </c>
    </row>
    <row r="5368" spans="14:14" ht="15" customHeight="1" x14ac:dyDescent="0.25">
      <c r="N5368" t="s">
        <v>732</v>
      </c>
    </row>
    <row r="5369" spans="14:14" ht="15" customHeight="1" x14ac:dyDescent="0.25">
      <c r="N5369" t="s">
        <v>732</v>
      </c>
    </row>
    <row r="5370" spans="14:14" ht="15" customHeight="1" x14ac:dyDescent="0.25">
      <c r="N5370" t="s">
        <v>732</v>
      </c>
    </row>
    <row r="5371" spans="14:14" ht="15" customHeight="1" x14ac:dyDescent="0.25">
      <c r="N5371" t="s">
        <v>675</v>
      </c>
    </row>
    <row r="5372" spans="14:14" ht="15" customHeight="1" x14ac:dyDescent="0.25">
      <c r="N5372" t="s">
        <v>690</v>
      </c>
    </row>
    <row r="5373" spans="14:14" ht="15" customHeight="1" x14ac:dyDescent="0.25">
      <c r="N5373" t="s">
        <v>690</v>
      </c>
    </row>
    <row r="5374" spans="14:14" ht="15" customHeight="1" x14ac:dyDescent="0.25">
      <c r="N5374" t="s">
        <v>690</v>
      </c>
    </row>
    <row r="5375" spans="14:14" ht="15" customHeight="1" x14ac:dyDescent="0.25">
      <c r="N5375" t="s">
        <v>690</v>
      </c>
    </row>
    <row r="5376" spans="14:14" ht="15" customHeight="1" x14ac:dyDescent="0.25">
      <c r="N5376" t="s">
        <v>582</v>
      </c>
    </row>
    <row r="5377" spans="14:14" ht="15" customHeight="1" x14ac:dyDescent="0.25">
      <c r="N5377" t="s">
        <v>582</v>
      </c>
    </row>
    <row r="5378" spans="14:14" ht="15" customHeight="1" x14ac:dyDescent="0.25">
      <c r="N5378" t="s">
        <v>713</v>
      </c>
    </row>
    <row r="5379" spans="14:14" ht="15" customHeight="1" x14ac:dyDescent="0.25">
      <c r="N5379" t="s">
        <v>558</v>
      </c>
    </row>
    <row r="5380" spans="14:14" ht="15" customHeight="1" x14ac:dyDescent="0.25">
      <c r="N5380" t="s">
        <v>732</v>
      </c>
    </row>
    <row r="5381" spans="14:14" ht="15" customHeight="1" x14ac:dyDescent="0.25">
      <c r="N5381" t="s">
        <v>670</v>
      </c>
    </row>
    <row r="5382" spans="14:14" ht="15" customHeight="1" x14ac:dyDescent="0.25">
      <c r="N5382" t="s">
        <v>670</v>
      </c>
    </row>
    <row r="5383" spans="14:14" ht="15" customHeight="1" x14ac:dyDescent="0.25">
      <c r="N5383" t="s">
        <v>370</v>
      </c>
    </row>
    <row r="5384" spans="14:14" ht="15" customHeight="1" x14ac:dyDescent="0.25">
      <c r="N5384" t="s">
        <v>714</v>
      </c>
    </row>
    <row r="5385" spans="14:14" ht="15" customHeight="1" x14ac:dyDescent="0.25">
      <c r="N5385" t="s">
        <v>685</v>
      </c>
    </row>
    <row r="5386" spans="14:14" ht="15" customHeight="1" x14ac:dyDescent="0.25">
      <c r="N5386" t="s">
        <v>582</v>
      </c>
    </row>
    <row r="5387" spans="14:14" ht="15" customHeight="1" x14ac:dyDescent="0.25">
      <c r="N5387" t="s">
        <v>686</v>
      </c>
    </row>
    <row r="5388" spans="14:14" ht="15" customHeight="1" x14ac:dyDescent="0.25">
      <c r="N5388" t="s">
        <v>670</v>
      </c>
    </row>
    <row r="5389" spans="14:14" ht="15" customHeight="1" x14ac:dyDescent="0.25">
      <c r="N5389" t="s">
        <v>304</v>
      </c>
    </row>
    <row r="5390" spans="14:14" ht="15" customHeight="1" x14ac:dyDescent="0.25">
      <c r="N5390" t="s">
        <v>669</v>
      </c>
    </row>
    <row r="5391" spans="14:14" ht="15" customHeight="1" x14ac:dyDescent="0.25">
      <c r="N5391" t="s">
        <v>553</v>
      </c>
    </row>
    <row r="5392" spans="14:14" ht="15" customHeight="1" x14ac:dyDescent="0.25">
      <c r="N5392" t="s">
        <v>582</v>
      </c>
    </row>
    <row r="5393" spans="14:14" ht="15" customHeight="1" x14ac:dyDescent="0.25">
      <c r="N5393" t="s">
        <v>715</v>
      </c>
    </row>
    <row r="5394" spans="14:14" ht="15" customHeight="1" x14ac:dyDescent="0.25">
      <c r="N5394" t="s">
        <v>714</v>
      </c>
    </row>
    <row r="5395" spans="14:14" ht="15" customHeight="1" x14ac:dyDescent="0.25">
      <c r="N5395" t="s">
        <v>714</v>
      </c>
    </row>
    <row r="5396" spans="14:14" ht="15" customHeight="1" x14ac:dyDescent="0.25">
      <c r="N5396" t="s">
        <v>714</v>
      </c>
    </row>
    <row r="5397" spans="14:14" ht="15" customHeight="1" x14ac:dyDescent="0.25">
      <c r="N5397" t="s">
        <v>714</v>
      </c>
    </row>
    <row r="5398" spans="14:14" ht="15" customHeight="1" x14ac:dyDescent="0.25">
      <c r="N5398" t="s">
        <v>714</v>
      </c>
    </row>
    <row r="5399" spans="14:14" ht="15" customHeight="1" x14ac:dyDescent="0.25">
      <c r="N5399" t="s">
        <v>714</v>
      </c>
    </row>
    <row r="5400" spans="14:14" ht="15" customHeight="1" x14ac:dyDescent="0.25">
      <c r="N5400" t="s">
        <v>714</v>
      </c>
    </row>
    <row r="5401" spans="14:14" ht="15" customHeight="1" x14ac:dyDescent="0.25">
      <c r="N5401" t="s">
        <v>714</v>
      </c>
    </row>
    <row r="5402" spans="14:14" ht="15" customHeight="1" x14ac:dyDescent="0.25">
      <c r="N5402" t="s">
        <v>642</v>
      </c>
    </row>
    <row r="5403" spans="14:14" ht="15" customHeight="1" x14ac:dyDescent="0.25">
      <c r="N5403" t="s">
        <v>690</v>
      </c>
    </row>
    <row r="5404" spans="14:14" ht="15" customHeight="1" x14ac:dyDescent="0.25">
      <c r="N5404" t="s">
        <v>582</v>
      </c>
    </row>
    <row r="5405" spans="14:14" ht="15" customHeight="1" x14ac:dyDescent="0.25">
      <c r="N5405" t="s">
        <v>605</v>
      </c>
    </row>
    <row r="5406" spans="14:14" ht="15" customHeight="1" x14ac:dyDescent="0.25">
      <c r="N5406" t="s">
        <v>732</v>
      </c>
    </row>
    <row r="5407" spans="14:14" ht="15" customHeight="1" x14ac:dyDescent="0.25">
      <c r="N5407" t="s">
        <v>732</v>
      </c>
    </row>
    <row r="5408" spans="14:14" ht="15" customHeight="1" x14ac:dyDescent="0.25">
      <c r="N5408" t="s">
        <v>732</v>
      </c>
    </row>
    <row r="5409" spans="14:14" ht="15" customHeight="1" x14ac:dyDescent="0.25">
      <c r="N5409" t="s">
        <v>732</v>
      </c>
    </row>
    <row r="5410" spans="14:14" ht="15" customHeight="1" x14ac:dyDescent="0.25">
      <c r="N5410" t="s">
        <v>732</v>
      </c>
    </row>
    <row r="5411" spans="14:14" ht="15" customHeight="1" x14ac:dyDescent="0.25">
      <c r="N5411" t="s">
        <v>732</v>
      </c>
    </row>
    <row r="5412" spans="14:14" ht="15" customHeight="1" x14ac:dyDescent="0.25">
      <c r="N5412" t="s">
        <v>732</v>
      </c>
    </row>
    <row r="5413" spans="14:14" ht="15" customHeight="1" x14ac:dyDescent="0.25">
      <c r="N5413" t="s">
        <v>732</v>
      </c>
    </row>
    <row r="5414" spans="14:14" ht="15" customHeight="1" x14ac:dyDescent="0.25">
      <c r="N5414" t="s">
        <v>732</v>
      </c>
    </row>
    <row r="5415" spans="14:14" ht="15" customHeight="1" x14ac:dyDescent="0.25">
      <c r="N5415" t="s">
        <v>732</v>
      </c>
    </row>
    <row r="5416" spans="14:14" ht="15" customHeight="1" x14ac:dyDescent="0.25">
      <c r="N5416" t="s">
        <v>732</v>
      </c>
    </row>
    <row r="5417" spans="14:14" ht="15" customHeight="1" x14ac:dyDescent="0.25">
      <c r="N5417" t="s">
        <v>732</v>
      </c>
    </row>
    <row r="5418" spans="14:14" ht="15" customHeight="1" x14ac:dyDescent="0.25">
      <c r="N5418" t="s">
        <v>732</v>
      </c>
    </row>
    <row r="5419" spans="14:14" ht="15" customHeight="1" x14ac:dyDescent="0.25">
      <c r="N5419" t="s">
        <v>714</v>
      </c>
    </row>
    <row r="5420" spans="14:14" ht="15" customHeight="1" x14ac:dyDescent="0.25">
      <c r="N5420" t="s">
        <v>304</v>
      </c>
    </row>
    <row r="5421" spans="14:14" ht="15" customHeight="1" x14ac:dyDescent="0.25">
      <c r="N5421" t="s">
        <v>642</v>
      </c>
    </row>
    <row r="5422" spans="14:14" ht="15" customHeight="1" x14ac:dyDescent="0.25">
      <c r="N5422" t="s">
        <v>642</v>
      </c>
    </row>
    <row r="5423" spans="14:14" ht="15" customHeight="1" x14ac:dyDescent="0.25">
      <c r="N5423" t="s">
        <v>642</v>
      </c>
    </row>
    <row r="5424" spans="14:14" ht="15" customHeight="1" x14ac:dyDescent="0.25">
      <c r="N5424" t="s">
        <v>642</v>
      </c>
    </row>
    <row r="5425" spans="14:14" ht="15" customHeight="1" x14ac:dyDescent="0.25">
      <c r="N5425" t="s">
        <v>642</v>
      </c>
    </row>
    <row r="5426" spans="14:14" ht="15" customHeight="1" x14ac:dyDescent="0.25">
      <c r="N5426" t="s">
        <v>642</v>
      </c>
    </row>
    <row r="5427" spans="14:14" ht="15" customHeight="1" x14ac:dyDescent="0.25">
      <c r="N5427" t="s">
        <v>642</v>
      </c>
    </row>
    <row r="5428" spans="14:14" ht="15" customHeight="1" x14ac:dyDescent="0.25">
      <c r="N5428" t="s">
        <v>714</v>
      </c>
    </row>
    <row r="5429" spans="14:14" ht="15" customHeight="1" x14ac:dyDescent="0.25">
      <c r="N5429" t="s">
        <v>371</v>
      </c>
    </row>
    <row r="5430" spans="14:14" ht="15" customHeight="1" x14ac:dyDescent="0.25">
      <c r="N5430" t="s">
        <v>425</v>
      </c>
    </row>
    <row r="5431" spans="14:14" ht="15" customHeight="1" x14ac:dyDescent="0.25">
      <c r="N5431" t="s">
        <v>582</v>
      </c>
    </row>
    <row r="5432" spans="14:14" ht="15" customHeight="1" x14ac:dyDescent="0.25">
      <c r="N5432" t="s">
        <v>582</v>
      </c>
    </row>
    <row r="5433" spans="14:14" ht="15" customHeight="1" x14ac:dyDescent="0.25">
      <c r="N5433" t="s">
        <v>582</v>
      </c>
    </row>
    <row r="5434" spans="14:14" ht="15" customHeight="1" x14ac:dyDescent="0.25">
      <c r="N5434" t="s">
        <v>582</v>
      </c>
    </row>
    <row r="5435" spans="14:14" ht="15" customHeight="1" x14ac:dyDescent="0.25">
      <c r="N5435" t="s">
        <v>582</v>
      </c>
    </row>
    <row r="5436" spans="14:14" ht="15" customHeight="1" x14ac:dyDescent="0.25">
      <c r="N5436" t="s">
        <v>582</v>
      </c>
    </row>
    <row r="5437" spans="14:14" ht="15" customHeight="1" x14ac:dyDescent="0.25">
      <c r="N5437" t="s">
        <v>582</v>
      </c>
    </row>
    <row r="5438" spans="14:14" ht="15" customHeight="1" x14ac:dyDescent="0.25">
      <c r="N5438" t="s">
        <v>684</v>
      </c>
    </row>
    <row r="5439" spans="14:14" ht="15" customHeight="1" x14ac:dyDescent="0.25">
      <c r="N5439" t="s">
        <v>685</v>
      </c>
    </row>
    <row r="5440" spans="14:14" ht="15" customHeight="1" x14ac:dyDescent="0.25">
      <c r="N5440" t="s">
        <v>313</v>
      </c>
    </row>
    <row r="5441" spans="14:14" ht="15" customHeight="1" x14ac:dyDescent="0.25">
      <c r="N5441" t="s">
        <v>714</v>
      </c>
    </row>
    <row r="5442" spans="14:14" ht="15" customHeight="1" x14ac:dyDescent="0.25">
      <c r="N5442" t="s">
        <v>687</v>
      </c>
    </row>
    <row r="5443" spans="14:14" ht="15" customHeight="1" x14ac:dyDescent="0.25">
      <c r="N5443" t="s">
        <v>642</v>
      </c>
    </row>
    <row r="5444" spans="14:14" ht="15" customHeight="1" x14ac:dyDescent="0.25">
      <c r="N5444" t="s">
        <v>638</v>
      </c>
    </row>
    <row r="5445" spans="14:14" ht="15" customHeight="1" x14ac:dyDescent="0.25">
      <c r="N5445" t="s">
        <v>582</v>
      </c>
    </row>
    <row r="5446" spans="14:14" ht="15" customHeight="1" x14ac:dyDescent="0.25">
      <c r="N5446" t="s">
        <v>582</v>
      </c>
    </row>
    <row r="5447" spans="14:14" ht="15" customHeight="1" x14ac:dyDescent="0.25">
      <c r="N5447" t="s">
        <v>714</v>
      </c>
    </row>
    <row r="5448" spans="14:14" ht="15" customHeight="1" x14ac:dyDescent="0.25">
      <c r="N5448" t="s">
        <v>714</v>
      </c>
    </row>
    <row r="5449" spans="14:14" ht="15" customHeight="1" x14ac:dyDescent="0.25">
      <c r="N5449" t="s">
        <v>638</v>
      </c>
    </row>
    <row r="5450" spans="14:14" ht="15" customHeight="1" x14ac:dyDescent="0.25">
      <c r="N5450" t="s">
        <v>638</v>
      </c>
    </row>
    <row r="5451" spans="14:14" ht="15" customHeight="1" x14ac:dyDescent="0.25">
      <c r="N5451" t="s">
        <v>582</v>
      </c>
    </row>
    <row r="5452" spans="14:14" ht="15" customHeight="1" x14ac:dyDescent="0.25">
      <c r="N5452" t="s">
        <v>68</v>
      </c>
    </row>
    <row r="5453" spans="14:14" ht="15" customHeight="1" x14ac:dyDescent="0.25">
      <c r="N5453" t="s">
        <v>68</v>
      </c>
    </row>
    <row r="5454" spans="14:14" ht="15" customHeight="1" x14ac:dyDescent="0.25">
      <c r="N5454" t="s">
        <v>68</v>
      </c>
    </row>
    <row r="5455" spans="14:14" ht="15" customHeight="1" x14ac:dyDescent="0.25">
      <c r="N5455" t="s">
        <v>68</v>
      </c>
    </row>
    <row r="5456" spans="14:14" ht="15" customHeight="1" x14ac:dyDescent="0.25">
      <c r="N5456" t="s">
        <v>68</v>
      </c>
    </row>
    <row r="5457" spans="14:14" ht="15" customHeight="1" x14ac:dyDescent="0.25">
      <c r="N5457" t="s">
        <v>68</v>
      </c>
    </row>
    <row r="5458" spans="14:14" ht="15" customHeight="1" x14ac:dyDescent="0.25">
      <c r="N5458" t="s">
        <v>68</v>
      </c>
    </row>
    <row r="5459" spans="14:14" ht="15" customHeight="1" x14ac:dyDescent="0.25">
      <c r="N5459" t="s">
        <v>675</v>
      </c>
    </row>
    <row r="5460" spans="14:14" ht="15" customHeight="1" x14ac:dyDescent="0.25">
      <c r="N5460" t="s">
        <v>675</v>
      </c>
    </row>
    <row r="5461" spans="14:14" ht="15" customHeight="1" x14ac:dyDescent="0.25">
      <c r="N5461" t="s">
        <v>675</v>
      </c>
    </row>
    <row r="5462" spans="14:14" ht="15" customHeight="1" x14ac:dyDescent="0.25">
      <c r="N5462" t="s">
        <v>675</v>
      </c>
    </row>
    <row r="5463" spans="14:14" ht="15" customHeight="1" x14ac:dyDescent="0.25">
      <c r="N5463" t="s">
        <v>675</v>
      </c>
    </row>
    <row r="5464" spans="14:14" ht="15" customHeight="1" x14ac:dyDescent="0.25">
      <c r="N5464" t="s">
        <v>675</v>
      </c>
    </row>
    <row r="5465" spans="14:14" ht="15" customHeight="1" x14ac:dyDescent="0.25">
      <c r="N5465" t="s">
        <v>675</v>
      </c>
    </row>
    <row r="5466" spans="14:14" ht="15" customHeight="1" x14ac:dyDescent="0.25">
      <c r="N5466" t="s">
        <v>675</v>
      </c>
    </row>
    <row r="5467" spans="14:14" ht="15" customHeight="1" x14ac:dyDescent="0.25">
      <c r="N5467" t="s">
        <v>706</v>
      </c>
    </row>
    <row r="5468" spans="14:14" ht="15" customHeight="1" x14ac:dyDescent="0.25">
      <c r="N5468" t="s">
        <v>706</v>
      </c>
    </row>
    <row r="5469" spans="14:14" ht="15" customHeight="1" x14ac:dyDescent="0.25">
      <c r="N5469" t="s">
        <v>706</v>
      </c>
    </row>
    <row r="5470" spans="14:14" ht="15" customHeight="1" x14ac:dyDescent="0.25">
      <c r="N5470" t="s">
        <v>706</v>
      </c>
    </row>
    <row r="5471" spans="14:14" ht="15" customHeight="1" x14ac:dyDescent="0.25">
      <c r="N5471" t="s">
        <v>706</v>
      </c>
    </row>
    <row r="5472" spans="14:14" ht="15" customHeight="1" x14ac:dyDescent="0.25">
      <c r="N5472" t="s">
        <v>706</v>
      </c>
    </row>
    <row r="5473" spans="14:14" ht="15" customHeight="1" x14ac:dyDescent="0.25">
      <c r="N5473" t="s">
        <v>706</v>
      </c>
    </row>
    <row r="5474" spans="14:14" ht="15" customHeight="1" x14ac:dyDescent="0.25">
      <c r="N5474" t="s">
        <v>706</v>
      </c>
    </row>
    <row r="5475" spans="14:14" ht="15" customHeight="1" x14ac:dyDescent="0.25">
      <c r="N5475" t="s">
        <v>706</v>
      </c>
    </row>
    <row r="5476" spans="14:14" ht="15" customHeight="1" x14ac:dyDescent="0.25">
      <c r="N5476" t="s">
        <v>706</v>
      </c>
    </row>
    <row r="5477" spans="14:14" ht="15" customHeight="1" x14ac:dyDescent="0.25">
      <c r="N5477" t="s">
        <v>706</v>
      </c>
    </row>
    <row r="5478" spans="14:14" ht="15" customHeight="1" x14ac:dyDescent="0.25">
      <c r="N5478" t="s">
        <v>706</v>
      </c>
    </row>
    <row r="5479" spans="14:14" ht="15" customHeight="1" x14ac:dyDescent="0.25">
      <c r="N5479" t="s">
        <v>706</v>
      </c>
    </row>
    <row r="5480" spans="14:14" ht="15" customHeight="1" x14ac:dyDescent="0.25">
      <c r="N5480" t="s">
        <v>749</v>
      </c>
    </row>
    <row r="5481" spans="14:14" ht="15" customHeight="1" x14ac:dyDescent="0.25">
      <c r="N5481" t="s">
        <v>749</v>
      </c>
    </row>
    <row r="5482" spans="14:14" ht="15" customHeight="1" x14ac:dyDescent="0.25">
      <c r="N5482" t="s">
        <v>749</v>
      </c>
    </row>
    <row r="5483" spans="14:14" ht="15" customHeight="1" x14ac:dyDescent="0.25">
      <c r="N5483" t="s">
        <v>749</v>
      </c>
    </row>
    <row r="5484" spans="14:14" ht="15" customHeight="1" x14ac:dyDescent="0.25">
      <c r="N5484" t="s">
        <v>749</v>
      </c>
    </row>
    <row r="5485" spans="14:14" ht="15" customHeight="1" x14ac:dyDescent="0.25">
      <c r="N5485" t="s">
        <v>749</v>
      </c>
    </row>
    <row r="5486" spans="14:14" ht="15" customHeight="1" x14ac:dyDescent="0.25">
      <c r="N5486" t="s">
        <v>749</v>
      </c>
    </row>
    <row r="5487" spans="14:14" ht="15" customHeight="1" x14ac:dyDescent="0.25">
      <c r="N5487" t="s">
        <v>749</v>
      </c>
    </row>
    <row r="5488" spans="14:14" ht="15" customHeight="1" x14ac:dyDescent="0.25">
      <c r="N5488" t="s">
        <v>749</v>
      </c>
    </row>
    <row r="5489" spans="14:14" ht="15" customHeight="1" x14ac:dyDescent="0.25">
      <c r="N5489" t="s">
        <v>749</v>
      </c>
    </row>
    <row r="5490" spans="14:14" ht="15" customHeight="1" x14ac:dyDescent="0.25">
      <c r="N5490" t="s">
        <v>749</v>
      </c>
    </row>
    <row r="5491" spans="14:14" ht="15" customHeight="1" x14ac:dyDescent="0.25">
      <c r="N5491" t="s">
        <v>749</v>
      </c>
    </row>
    <row r="5492" spans="14:14" ht="15" customHeight="1" x14ac:dyDescent="0.25">
      <c r="N5492" t="s">
        <v>749</v>
      </c>
    </row>
    <row r="5493" spans="14:14" ht="15" customHeight="1" x14ac:dyDescent="0.25">
      <c r="N5493" t="s">
        <v>749</v>
      </c>
    </row>
    <row r="5494" spans="14:14" ht="15" customHeight="1" x14ac:dyDescent="0.25">
      <c r="N5494" t="s">
        <v>749</v>
      </c>
    </row>
    <row r="5495" spans="14:14" ht="15" customHeight="1" x14ac:dyDescent="0.25">
      <c r="N5495" t="s">
        <v>749</v>
      </c>
    </row>
    <row r="5496" spans="14:14" ht="15" customHeight="1" x14ac:dyDescent="0.25">
      <c r="N5496" t="s">
        <v>749</v>
      </c>
    </row>
    <row r="5497" spans="14:14" ht="15" customHeight="1" x14ac:dyDescent="0.25">
      <c r="N5497" t="s">
        <v>749</v>
      </c>
    </row>
    <row r="5498" spans="14:14" ht="15" customHeight="1" x14ac:dyDescent="0.25">
      <c r="N5498" t="s">
        <v>749</v>
      </c>
    </row>
    <row r="5499" spans="14:14" ht="15" customHeight="1" x14ac:dyDescent="0.25">
      <c r="N5499" t="s">
        <v>749</v>
      </c>
    </row>
    <row r="5500" spans="14:14" ht="15" customHeight="1" x14ac:dyDescent="0.25">
      <c r="N5500" t="s">
        <v>749</v>
      </c>
    </row>
    <row r="5501" spans="14:14" ht="15" customHeight="1" x14ac:dyDescent="0.25">
      <c r="N5501" t="s">
        <v>749</v>
      </c>
    </row>
    <row r="5502" spans="14:14" ht="15" customHeight="1" x14ac:dyDescent="0.25">
      <c r="N5502" t="s">
        <v>749</v>
      </c>
    </row>
    <row r="5503" spans="14:14" ht="15" customHeight="1" x14ac:dyDescent="0.25">
      <c r="N5503" t="s">
        <v>749</v>
      </c>
    </row>
    <row r="5504" spans="14:14" ht="15" customHeight="1" x14ac:dyDescent="0.25">
      <c r="N5504" t="s">
        <v>749</v>
      </c>
    </row>
    <row r="5505" spans="14:14" ht="15" customHeight="1" x14ac:dyDescent="0.25">
      <c r="N5505" t="s">
        <v>749</v>
      </c>
    </row>
    <row r="5506" spans="14:14" ht="15" customHeight="1" x14ac:dyDescent="0.25">
      <c r="N5506" t="s">
        <v>582</v>
      </c>
    </row>
    <row r="5507" spans="14:14" ht="15" customHeight="1" x14ac:dyDescent="0.25">
      <c r="N5507" t="s">
        <v>68</v>
      </c>
    </row>
    <row r="5508" spans="14:14" ht="15" customHeight="1" x14ac:dyDescent="0.25">
      <c r="N5508" t="s">
        <v>622</v>
      </c>
    </row>
    <row r="5509" spans="14:14" ht="15" customHeight="1" x14ac:dyDescent="0.25">
      <c r="N5509" t="s">
        <v>68</v>
      </c>
    </row>
    <row r="5510" spans="14:14" ht="15" customHeight="1" x14ac:dyDescent="0.25">
      <c r="N5510" t="s">
        <v>68</v>
      </c>
    </row>
    <row r="5511" spans="14:14" ht="15" customHeight="1" x14ac:dyDescent="0.25">
      <c r="N5511" t="s">
        <v>68</v>
      </c>
    </row>
    <row r="5512" spans="14:14" ht="15" customHeight="1" x14ac:dyDescent="0.25">
      <c r="N5512" t="s">
        <v>68</v>
      </c>
    </row>
    <row r="5513" spans="14:14" ht="15" customHeight="1" x14ac:dyDescent="0.25">
      <c r="N5513" t="s">
        <v>68</v>
      </c>
    </row>
    <row r="5514" spans="14:14" ht="15" customHeight="1" x14ac:dyDescent="0.25">
      <c r="N5514" t="s">
        <v>68</v>
      </c>
    </row>
    <row r="5515" spans="14:14" ht="15" customHeight="1" x14ac:dyDescent="0.25">
      <c r="N5515" t="s">
        <v>68</v>
      </c>
    </row>
    <row r="5516" spans="14:14" ht="15" customHeight="1" x14ac:dyDescent="0.25">
      <c r="N5516" t="s">
        <v>736</v>
      </c>
    </row>
    <row r="5517" spans="14:14" ht="15" customHeight="1" x14ac:dyDescent="0.25">
      <c r="N5517" t="s">
        <v>68</v>
      </c>
    </row>
    <row r="5518" spans="14:14" ht="15" customHeight="1" x14ac:dyDescent="0.25">
      <c r="N5518" t="s">
        <v>689</v>
      </c>
    </row>
    <row r="5519" spans="14:14" ht="15" customHeight="1" x14ac:dyDescent="0.25">
      <c r="N5519" t="s">
        <v>706</v>
      </c>
    </row>
    <row r="5520" spans="14:14" ht="15" customHeight="1" x14ac:dyDescent="0.25">
      <c r="N5520" t="s">
        <v>706</v>
      </c>
    </row>
    <row r="5521" spans="14:14" ht="15" customHeight="1" x14ac:dyDescent="0.25">
      <c r="N5521" t="s">
        <v>706</v>
      </c>
    </row>
    <row r="5522" spans="14:14" ht="15" customHeight="1" x14ac:dyDescent="0.25">
      <c r="N5522" t="s">
        <v>706</v>
      </c>
    </row>
    <row r="5523" spans="14:14" ht="15" customHeight="1" x14ac:dyDescent="0.25">
      <c r="N5523" t="s">
        <v>706</v>
      </c>
    </row>
    <row r="5524" spans="14:14" ht="15" customHeight="1" x14ac:dyDescent="0.25">
      <c r="N5524" t="s">
        <v>706</v>
      </c>
    </row>
    <row r="5525" spans="14:14" ht="15" customHeight="1" x14ac:dyDescent="0.25">
      <c r="N5525" t="s">
        <v>706</v>
      </c>
    </row>
    <row r="5526" spans="14:14" ht="15" customHeight="1" x14ac:dyDescent="0.25">
      <c r="N5526" t="s">
        <v>706</v>
      </c>
    </row>
    <row r="5527" spans="14:14" ht="15" customHeight="1" x14ac:dyDescent="0.25">
      <c r="N5527" t="s">
        <v>706</v>
      </c>
    </row>
    <row r="5528" spans="14:14" ht="15" customHeight="1" x14ac:dyDescent="0.25">
      <c r="N5528" t="s">
        <v>706</v>
      </c>
    </row>
    <row r="5529" spans="14:14" ht="15" customHeight="1" x14ac:dyDescent="0.25">
      <c r="N5529" t="s">
        <v>706</v>
      </c>
    </row>
    <row r="5530" spans="14:14" ht="15" customHeight="1" x14ac:dyDescent="0.25">
      <c r="N5530" t="s">
        <v>706</v>
      </c>
    </row>
    <row r="5531" spans="14:14" ht="15" customHeight="1" x14ac:dyDescent="0.25">
      <c r="N5531" t="s">
        <v>706</v>
      </c>
    </row>
    <row r="5532" spans="14:14" ht="15" customHeight="1" x14ac:dyDescent="0.25">
      <c r="N5532" t="s">
        <v>750</v>
      </c>
    </row>
    <row r="5533" spans="14:14" ht="15" customHeight="1" x14ac:dyDescent="0.25">
      <c r="N5533" t="s">
        <v>750</v>
      </c>
    </row>
    <row r="5534" spans="14:14" ht="15" customHeight="1" x14ac:dyDescent="0.25">
      <c r="N5534" t="s">
        <v>750</v>
      </c>
    </row>
    <row r="5535" spans="14:14" ht="15" customHeight="1" x14ac:dyDescent="0.25">
      <c r="N5535" t="s">
        <v>750</v>
      </c>
    </row>
    <row r="5536" spans="14:14" ht="15" customHeight="1" x14ac:dyDescent="0.25">
      <c r="N5536" t="s">
        <v>750</v>
      </c>
    </row>
    <row r="5537" spans="14:14" ht="15" customHeight="1" x14ac:dyDescent="0.25">
      <c r="N5537" t="s">
        <v>750</v>
      </c>
    </row>
    <row r="5538" spans="14:14" ht="15" customHeight="1" x14ac:dyDescent="0.25">
      <c r="N5538" t="s">
        <v>750</v>
      </c>
    </row>
    <row r="5539" spans="14:14" ht="15" customHeight="1" x14ac:dyDescent="0.25">
      <c r="N5539" t="s">
        <v>750</v>
      </c>
    </row>
    <row r="5540" spans="14:14" ht="15" customHeight="1" x14ac:dyDescent="0.25">
      <c r="N5540" t="s">
        <v>750</v>
      </c>
    </row>
    <row r="5541" spans="14:14" ht="15" customHeight="1" x14ac:dyDescent="0.25">
      <c r="N5541" t="s">
        <v>750</v>
      </c>
    </row>
    <row r="5542" spans="14:14" ht="15" customHeight="1" x14ac:dyDescent="0.25">
      <c r="N5542" t="s">
        <v>750</v>
      </c>
    </row>
    <row r="5543" spans="14:14" ht="15" customHeight="1" x14ac:dyDescent="0.25">
      <c r="N5543" t="s">
        <v>750</v>
      </c>
    </row>
    <row r="5544" spans="14:14" ht="15" customHeight="1" x14ac:dyDescent="0.25">
      <c r="N5544" t="s">
        <v>750</v>
      </c>
    </row>
    <row r="5545" spans="14:14" ht="15" customHeight="1" x14ac:dyDescent="0.25">
      <c r="N5545" t="s">
        <v>750</v>
      </c>
    </row>
    <row r="5546" spans="14:14" ht="15" customHeight="1" x14ac:dyDescent="0.25">
      <c r="N5546" t="s">
        <v>750</v>
      </c>
    </row>
    <row r="5547" spans="14:14" ht="15" customHeight="1" x14ac:dyDescent="0.25">
      <c r="N5547" t="s">
        <v>750</v>
      </c>
    </row>
    <row r="5548" spans="14:14" ht="15" customHeight="1" x14ac:dyDescent="0.25">
      <c r="N5548" t="s">
        <v>750</v>
      </c>
    </row>
    <row r="5549" spans="14:14" ht="15" customHeight="1" x14ac:dyDescent="0.25">
      <c r="N5549" t="s">
        <v>750</v>
      </c>
    </row>
    <row r="5550" spans="14:14" ht="15" customHeight="1" x14ac:dyDescent="0.25">
      <c r="N5550" t="s">
        <v>750</v>
      </c>
    </row>
    <row r="5551" spans="14:14" ht="15" customHeight="1" x14ac:dyDescent="0.25">
      <c r="N5551" t="s">
        <v>750</v>
      </c>
    </row>
    <row r="5552" spans="14:14" ht="15" customHeight="1" x14ac:dyDescent="0.25">
      <c r="N5552" t="s">
        <v>750</v>
      </c>
    </row>
    <row r="5553" spans="14:14" ht="15" customHeight="1" x14ac:dyDescent="0.25">
      <c r="N5553" t="s">
        <v>750</v>
      </c>
    </row>
    <row r="5554" spans="14:14" ht="15" customHeight="1" x14ac:dyDescent="0.25">
      <c r="N5554" t="s">
        <v>750</v>
      </c>
    </row>
    <row r="5555" spans="14:14" ht="15" customHeight="1" x14ac:dyDescent="0.25">
      <c r="N5555" t="s">
        <v>750</v>
      </c>
    </row>
    <row r="5556" spans="14:14" ht="15" customHeight="1" x14ac:dyDescent="0.25">
      <c r="N5556" t="s">
        <v>750</v>
      </c>
    </row>
    <row r="5557" spans="14:14" ht="15" customHeight="1" x14ac:dyDescent="0.25">
      <c r="N5557" t="s">
        <v>750</v>
      </c>
    </row>
    <row r="5558" spans="14:14" ht="15" customHeight="1" x14ac:dyDescent="0.25">
      <c r="N5558" t="s">
        <v>582</v>
      </c>
    </row>
    <row r="5559" spans="14:14" ht="15" customHeight="1" x14ac:dyDescent="0.25">
      <c r="N5559" t="s">
        <v>715</v>
      </c>
    </row>
    <row r="5560" spans="14:14" ht="15" customHeight="1" x14ac:dyDescent="0.25">
      <c r="N5560" t="s">
        <v>715</v>
      </c>
    </row>
    <row r="5561" spans="14:14" ht="15" customHeight="1" x14ac:dyDescent="0.25">
      <c r="N5561" t="s">
        <v>715</v>
      </c>
    </row>
    <row r="5562" spans="14:14" ht="15" customHeight="1" x14ac:dyDescent="0.25">
      <c r="N5562" t="s">
        <v>715</v>
      </c>
    </row>
    <row r="5563" spans="14:14" ht="15" customHeight="1" x14ac:dyDescent="0.25">
      <c r="N5563" t="s">
        <v>68</v>
      </c>
    </row>
    <row r="5564" spans="14:14" ht="15" customHeight="1" x14ac:dyDescent="0.25">
      <c r="N5564" t="s">
        <v>732</v>
      </c>
    </row>
    <row r="5565" spans="14:14" ht="15" customHeight="1" x14ac:dyDescent="0.25">
      <c r="N5565" t="s">
        <v>496</v>
      </c>
    </row>
    <row r="5566" spans="14:14" ht="15" customHeight="1" x14ac:dyDescent="0.25">
      <c r="N5566" t="s">
        <v>751</v>
      </c>
    </row>
    <row r="5567" spans="14:14" ht="15" customHeight="1" x14ac:dyDescent="0.25">
      <c r="N5567" t="s">
        <v>751</v>
      </c>
    </row>
    <row r="5568" spans="14:14" ht="15" customHeight="1" x14ac:dyDescent="0.25">
      <c r="N5568" t="s">
        <v>751</v>
      </c>
    </row>
    <row r="5569" spans="14:14" ht="15" customHeight="1" x14ac:dyDescent="0.25">
      <c r="N5569" t="s">
        <v>751</v>
      </c>
    </row>
    <row r="5570" spans="14:14" ht="15" customHeight="1" x14ac:dyDescent="0.25">
      <c r="N5570" t="s">
        <v>751</v>
      </c>
    </row>
    <row r="5571" spans="14:14" ht="15" customHeight="1" x14ac:dyDescent="0.25">
      <c r="N5571" t="s">
        <v>751</v>
      </c>
    </row>
    <row r="5572" spans="14:14" ht="15" customHeight="1" x14ac:dyDescent="0.25">
      <c r="N5572" t="s">
        <v>751</v>
      </c>
    </row>
    <row r="5573" spans="14:14" ht="15" customHeight="1" x14ac:dyDescent="0.25">
      <c r="N5573" t="s">
        <v>751</v>
      </c>
    </row>
    <row r="5574" spans="14:14" ht="15" customHeight="1" x14ac:dyDescent="0.25">
      <c r="N5574" t="s">
        <v>751</v>
      </c>
    </row>
    <row r="5575" spans="14:14" ht="15" customHeight="1" x14ac:dyDescent="0.25">
      <c r="N5575" t="s">
        <v>751</v>
      </c>
    </row>
    <row r="5576" spans="14:14" ht="15" customHeight="1" x14ac:dyDescent="0.25">
      <c r="N5576" t="s">
        <v>751</v>
      </c>
    </row>
    <row r="5577" spans="14:14" ht="15" customHeight="1" x14ac:dyDescent="0.25">
      <c r="N5577" t="s">
        <v>751</v>
      </c>
    </row>
    <row r="5578" spans="14:14" ht="15" customHeight="1" x14ac:dyDescent="0.25">
      <c r="N5578" t="s">
        <v>751</v>
      </c>
    </row>
    <row r="5579" spans="14:14" ht="15" customHeight="1" x14ac:dyDescent="0.25">
      <c r="N5579" t="s">
        <v>751</v>
      </c>
    </row>
    <row r="5580" spans="14:14" ht="15" customHeight="1" x14ac:dyDescent="0.25">
      <c r="N5580" t="s">
        <v>751</v>
      </c>
    </row>
    <row r="5581" spans="14:14" ht="15" customHeight="1" x14ac:dyDescent="0.25">
      <c r="N5581" t="s">
        <v>751</v>
      </c>
    </row>
    <row r="5582" spans="14:14" ht="15" customHeight="1" x14ac:dyDescent="0.25">
      <c r="N5582" t="s">
        <v>751</v>
      </c>
    </row>
    <row r="5583" spans="14:14" ht="15" customHeight="1" x14ac:dyDescent="0.25">
      <c r="N5583" t="s">
        <v>751</v>
      </c>
    </row>
    <row r="5584" spans="14:14" ht="15" customHeight="1" x14ac:dyDescent="0.25">
      <c r="N5584" t="s">
        <v>751</v>
      </c>
    </row>
    <row r="5585" spans="14:14" ht="15" customHeight="1" x14ac:dyDescent="0.25">
      <c r="N5585" t="s">
        <v>751</v>
      </c>
    </row>
    <row r="5586" spans="14:14" ht="15" customHeight="1" x14ac:dyDescent="0.25">
      <c r="N5586" t="s">
        <v>751</v>
      </c>
    </row>
    <row r="5587" spans="14:14" ht="15" customHeight="1" x14ac:dyDescent="0.25">
      <c r="N5587" t="s">
        <v>751</v>
      </c>
    </row>
    <row r="5588" spans="14:14" ht="15" customHeight="1" x14ac:dyDescent="0.25">
      <c r="N5588" t="s">
        <v>751</v>
      </c>
    </row>
    <row r="5589" spans="14:14" ht="15" customHeight="1" x14ac:dyDescent="0.25">
      <c r="N5589" t="s">
        <v>751</v>
      </c>
    </row>
    <row r="5590" spans="14:14" ht="15" customHeight="1" x14ac:dyDescent="0.25">
      <c r="N5590" t="s">
        <v>751</v>
      </c>
    </row>
    <row r="5591" spans="14:14" ht="15" customHeight="1" x14ac:dyDescent="0.25">
      <c r="N5591" t="s">
        <v>751</v>
      </c>
    </row>
    <row r="5592" spans="14:14" ht="15" customHeight="1" x14ac:dyDescent="0.25">
      <c r="N5592" t="s">
        <v>715</v>
      </c>
    </row>
    <row r="5593" spans="14:14" ht="15" customHeight="1" x14ac:dyDescent="0.25">
      <c r="N5593" t="s">
        <v>715</v>
      </c>
    </row>
    <row r="5594" spans="14:14" ht="15" customHeight="1" x14ac:dyDescent="0.25">
      <c r="N5594" t="s">
        <v>715</v>
      </c>
    </row>
    <row r="5595" spans="14:14" ht="15" customHeight="1" x14ac:dyDescent="0.25">
      <c r="N5595" t="s">
        <v>715</v>
      </c>
    </row>
    <row r="5596" spans="14:14" ht="15" customHeight="1" x14ac:dyDescent="0.25">
      <c r="N5596" t="s">
        <v>68</v>
      </c>
    </row>
    <row r="5597" spans="14:14" ht="15" customHeight="1" x14ac:dyDescent="0.25">
      <c r="N5597" t="s">
        <v>68</v>
      </c>
    </row>
    <row r="5598" spans="14:14" ht="15" customHeight="1" x14ac:dyDescent="0.25">
      <c r="N5598" t="s">
        <v>689</v>
      </c>
    </row>
    <row r="5599" spans="14:14" ht="15" customHeight="1" x14ac:dyDescent="0.25">
      <c r="N5599" t="s">
        <v>684</v>
      </c>
    </row>
    <row r="5600" spans="14:14" ht="15" customHeight="1" x14ac:dyDescent="0.25">
      <c r="N5600" t="s">
        <v>582</v>
      </c>
    </row>
    <row r="5601" spans="14:14" ht="15" customHeight="1" x14ac:dyDescent="0.25">
      <c r="N5601" t="s">
        <v>68</v>
      </c>
    </row>
    <row r="5602" spans="14:14" ht="15" customHeight="1" x14ac:dyDescent="0.25">
      <c r="N5602" t="s">
        <v>675</v>
      </c>
    </row>
    <row r="5603" spans="14:14" ht="15" customHeight="1" x14ac:dyDescent="0.25">
      <c r="N5603" t="s">
        <v>675</v>
      </c>
    </row>
    <row r="5604" spans="14:14" ht="15" customHeight="1" x14ac:dyDescent="0.25">
      <c r="N5604" t="s">
        <v>675</v>
      </c>
    </row>
    <row r="5605" spans="14:14" ht="15" customHeight="1" x14ac:dyDescent="0.25">
      <c r="N5605" t="s">
        <v>675</v>
      </c>
    </row>
    <row r="5606" spans="14:14" ht="15" customHeight="1" x14ac:dyDescent="0.25">
      <c r="N5606" t="s">
        <v>675</v>
      </c>
    </row>
    <row r="5607" spans="14:14" ht="15" customHeight="1" x14ac:dyDescent="0.25">
      <c r="N5607" t="s">
        <v>675</v>
      </c>
    </row>
    <row r="5608" spans="14:14" ht="15" customHeight="1" x14ac:dyDescent="0.25">
      <c r="N5608" t="s">
        <v>675</v>
      </c>
    </row>
    <row r="5609" spans="14:14" ht="15" customHeight="1" x14ac:dyDescent="0.25">
      <c r="N5609" t="s">
        <v>675</v>
      </c>
    </row>
    <row r="5610" spans="14:14" ht="15" customHeight="1" x14ac:dyDescent="0.25">
      <c r="N5610" t="s">
        <v>68</v>
      </c>
    </row>
    <row r="5611" spans="14:14" ht="15" customHeight="1" x14ac:dyDescent="0.25">
      <c r="N5611" t="s">
        <v>706</v>
      </c>
    </row>
    <row r="5612" spans="14:14" ht="15" customHeight="1" x14ac:dyDescent="0.25">
      <c r="N5612" t="s">
        <v>706</v>
      </c>
    </row>
    <row r="5613" spans="14:14" ht="15" customHeight="1" x14ac:dyDescent="0.25">
      <c r="N5613" t="s">
        <v>706</v>
      </c>
    </row>
    <row r="5614" spans="14:14" ht="15" customHeight="1" x14ac:dyDescent="0.25">
      <c r="N5614" t="s">
        <v>706</v>
      </c>
    </row>
    <row r="5615" spans="14:14" ht="15" customHeight="1" x14ac:dyDescent="0.25">
      <c r="N5615" t="s">
        <v>706</v>
      </c>
    </row>
    <row r="5616" spans="14:14" ht="15" customHeight="1" x14ac:dyDescent="0.25">
      <c r="N5616" t="s">
        <v>706</v>
      </c>
    </row>
    <row r="5617" spans="14:14" ht="15" customHeight="1" x14ac:dyDescent="0.25">
      <c r="N5617" t="s">
        <v>706</v>
      </c>
    </row>
    <row r="5618" spans="14:14" ht="15" customHeight="1" x14ac:dyDescent="0.25">
      <c r="N5618" t="s">
        <v>706</v>
      </c>
    </row>
    <row r="5619" spans="14:14" ht="15" customHeight="1" x14ac:dyDescent="0.25">
      <c r="N5619" t="s">
        <v>706</v>
      </c>
    </row>
    <row r="5620" spans="14:14" ht="15" customHeight="1" x14ac:dyDescent="0.25">
      <c r="N5620" t="s">
        <v>706</v>
      </c>
    </row>
    <row r="5621" spans="14:14" ht="15" customHeight="1" x14ac:dyDescent="0.25">
      <c r="N5621" t="s">
        <v>706</v>
      </c>
    </row>
    <row r="5622" spans="14:14" ht="15" customHeight="1" x14ac:dyDescent="0.25">
      <c r="N5622" t="s">
        <v>706</v>
      </c>
    </row>
    <row r="5623" spans="14:14" ht="15" customHeight="1" x14ac:dyDescent="0.25">
      <c r="N5623" t="s">
        <v>706</v>
      </c>
    </row>
    <row r="5624" spans="14:14" ht="15" customHeight="1" x14ac:dyDescent="0.25">
      <c r="N5624" t="s">
        <v>313</v>
      </c>
    </row>
    <row r="5625" spans="14:14" ht="15" customHeight="1" x14ac:dyDescent="0.25">
      <c r="N5625" t="s">
        <v>313</v>
      </c>
    </row>
    <row r="5626" spans="14:14" ht="15" customHeight="1" x14ac:dyDescent="0.25">
      <c r="N5626" t="s">
        <v>313</v>
      </c>
    </row>
    <row r="5627" spans="14:14" ht="15" customHeight="1" x14ac:dyDescent="0.25">
      <c r="N5627" t="s">
        <v>313</v>
      </c>
    </row>
    <row r="5628" spans="14:14" ht="15" customHeight="1" x14ac:dyDescent="0.25">
      <c r="N5628" t="s">
        <v>313</v>
      </c>
    </row>
    <row r="5629" spans="14:14" ht="15" customHeight="1" x14ac:dyDescent="0.25">
      <c r="N5629" t="s">
        <v>313</v>
      </c>
    </row>
    <row r="5630" spans="14:14" ht="15" customHeight="1" x14ac:dyDescent="0.25">
      <c r="N5630" t="s">
        <v>313</v>
      </c>
    </row>
    <row r="5631" spans="14:14" ht="15" customHeight="1" x14ac:dyDescent="0.25">
      <c r="N5631" t="s">
        <v>621</v>
      </c>
    </row>
    <row r="5632" spans="14:14" ht="15" customHeight="1" x14ac:dyDescent="0.25">
      <c r="N5632" t="s">
        <v>68</v>
      </c>
    </row>
    <row r="5633" spans="14:14" ht="15" customHeight="1" x14ac:dyDescent="0.25">
      <c r="N5633" t="s">
        <v>68</v>
      </c>
    </row>
    <row r="5634" spans="14:14" ht="15" customHeight="1" x14ac:dyDescent="0.25">
      <c r="N5634" t="s">
        <v>68</v>
      </c>
    </row>
    <row r="5635" spans="14:14" ht="15" customHeight="1" x14ac:dyDescent="0.25">
      <c r="N5635" t="s">
        <v>68</v>
      </c>
    </row>
    <row r="5636" spans="14:14" ht="15" customHeight="1" x14ac:dyDescent="0.25">
      <c r="N5636" t="s">
        <v>68</v>
      </c>
    </row>
    <row r="5637" spans="14:14" ht="15" customHeight="1" x14ac:dyDescent="0.25">
      <c r="N5637" t="s">
        <v>68</v>
      </c>
    </row>
    <row r="5638" spans="14:14" ht="15" customHeight="1" x14ac:dyDescent="0.25">
      <c r="N5638" t="s">
        <v>68</v>
      </c>
    </row>
    <row r="5639" spans="14:14" ht="15" customHeight="1" x14ac:dyDescent="0.25">
      <c r="N5639" t="s">
        <v>582</v>
      </c>
    </row>
    <row r="5640" spans="14:14" ht="15" customHeight="1" x14ac:dyDescent="0.25">
      <c r="N5640" t="s">
        <v>313</v>
      </c>
    </row>
    <row r="5641" spans="14:14" ht="15" customHeight="1" x14ac:dyDescent="0.25">
      <c r="N5641" t="s">
        <v>677</v>
      </c>
    </row>
    <row r="5642" spans="14:14" ht="15" customHeight="1" x14ac:dyDescent="0.25">
      <c r="N5642" t="s">
        <v>68</v>
      </c>
    </row>
    <row r="5643" spans="14:14" ht="15" customHeight="1" x14ac:dyDescent="0.25">
      <c r="N5643" t="s">
        <v>68</v>
      </c>
    </row>
    <row r="5644" spans="14:14" ht="15" customHeight="1" x14ac:dyDescent="0.25">
      <c r="N5644" t="s">
        <v>677</v>
      </c>
    </row>
    <row r="5645" spans="14:14" ht="15" customHeight="1" x14ac:dyDescent="0.25">
      <c r="N5645" t="s">
        <v>677</v>
      </c>
    </row>
    <row r="5646" spans="14:14" ht="15" customHeight="1" x14ac:dyDescent="0.25">
      <c r="N5646" t="s">
        <v>752</v>
      </c>
    </row>
    <row r="5647" spans="14:14" ht="15" customHeight="1" x14ac:dyDescent="0.25">
      <c r="N5647" t="s">
        <v>752</v>
      </c>
    </row>
    <row r="5648" spans="14:14" ht="15" customHeight="1" x14ac:dyDescent="0.25">
      <c r="N5648" t="s">
        <v>752</v>
      </c>
    </row>
    <row r="5649" spans="14:14" ht="15" customHeight="1" x14ac:dyDescent="0.25">
      <c r="N5649" t="s">
        <v>752</v>
      </c>
    </row>
    <row r="5650" spans="14:14" ht="15" customHeight="1" x14ac:dyDescent="0.25">
      <c r="N5650" t="s">
        <v>752</v>
      </c>
    </row>
    <row r="5651" spans="14:14" ht="15" customHeight="1" x14ac:dyDescent="0.25">
      <c r="N5651" t="s">
        <v>752</v>
      </c>
    </row>
    <row r="5652" spans="14:14" ht="15" customHeight="1" x14ac:dyDescent="0.25">
      <c r="N5652" t="s">
        <v>752</v>
      </c>
    </row>
    <row r="5653" spans="14:14" ht="15" customHeight="1" x14ac:dyDescent="0.25">
      <c r="N5653" t="s">
        <v>752</v>
      </c>
    </row>
    <row r="5654" spans="14:14" ht="15" customHeight="1" x14ac:dyDescent="0.25">
      <c r="N5654" t="s">
        <v>752</v>
      </c>
    </row>
    <row r="5655" spans="14:14" ht="15" customHeight="1" x14ac:dyDescent="0.25">
      <c r="N5655" t="s">
        <v>752</v>
      </c>
    </row>
    <row r="5656" spans="14:14" ht="15" customHeight="1" x14ac:dyDescent="0.25">
      <c r="N5656" t="s">
        <v>752</v>
      </c>
    </row>
    <row r="5657" spans="14:14" ht="15" customHeight="1" x14ac:dyDescent="0.25">
      <c r="N5657" t="s">
        <v>752</v>
      </c>
    </row>
    <row r="5658" spans="14:14" ht="15" customHeight="1" x14ac:dyDescent="0.25">
      <c r="N5658" t="s">
        <v>752</v>
      </c>
    </row>
    <row r="5659" spans="14:14" ht="15" customHeight="1" x14ac:dyDescent="0.25">
      <c r="N5659" t="s">
        <v>752</v>
      </c>
    </row>
    <row r="5660" spans="14:14" ht="15" customHeight="1" x14ac:dyDescent="0.25">
      <c r="N5660" t="s">
        <v>752</v>
      </c>
    </row>
    <row r="5661" spans="14:14" ht="15" customHeight="1" x14ac:dyDescent="0.25">
      <c r="N5661" t="s">
        <v>752</v>
      </c>
    </row>
    <row r="5662" spans="14:14" ht="15" customHeight="1" x14ac:dyDescent="0.25">
      <c r="N5662" t="s">
        <v>752</v>
      </c>
    </row>
    <row r="5663" spans="14:14" ht="15" customHeight="1" x14ac:dyDescent="0.25">
      <c r="N5663" t="s">
        <v>752</v>
      </c>
    </row>
    <row r="5664" spans="14:14" ht="15" customHeight="1" x14ac:dyDescent="0.25">
      <c r="N5664" t="s">
        <v>752</v>
      </c>
    </row>
    <row r="5665" spans="14:14" ht="15" customHeight="1" x14ac:dyDescent="0.25">
      <c r="N5665" t="s">
        <v>752</v>
      </c>
    </row>
    <row r="5666" spans="14:14" ht="15" customHeight="1" x14ac:dyDescent="0.25">
      <c r="N5666" t="s">
        <v>752</v>
      </c>
    </row>
    <row r="5667" spans="14:14" ht="15" customHeight="1" x14ac:dyDescent="0.25">
      <c r="N5667" t="s">
        <v>752</v>
      </c>
    </row>
    <row r="5668" spans="14:14" ht="15" customHeight="1" x14ac:dyDescent="0.25">
      <c r="N5668" t="s">
        <v>752</v>
      </c>
    </row>
    <row r="5669" spans="14:14" ht="15" customHeight="1" x14ac:dyDescent="0.25">
      <c r="N5669" t="s">
        <v>752</v>
      </c>
    </row>
    <row r="5670" spans="14:14" ht="15" customHeight="1" x14ac:dyDescent="0.25">
      <c r="N5670" t="s">
        <v>752</v>
      </c>
    </row>
    <row r="5671" spans="14:14" ht="15" customHeight="1" x14ac:dyDescent="0.25">
      <c r="N5671" t="s">
        <v>752</v>
      </c>
    </row>
    <row r="5672" spans="14:14" ht="15" customHeight="1" x14ac:dyDescent="0.25">
      <c r="N5672" t="s">
        <v>68</v>
      </c>
    </row>
    <row r="5673" spans="14:14" ht="15" customHeight="1" x14ac:dyDescent="0.25">
      <c r="N5673" t="s">
        <v>752</v>
      </c>
    </row>
    <row r="5674" spans="14:14" ht="15" customHeight="1" x14ac:dyDescent="0.25">
      <c r="N5674" t="s">
        <v>752</v>
      </c>
    </row>
    <row r="5675" spans="14:14" ht="15" customHeight="1" x14ac:dyDescent="0.25">
      <c r="N5675" t="s">
        <v>752</v>
      </c>
    </row>
    <row r="5676" spans="14:14" ht="15" customHeight="1" x14ac:dyDescent="0.25">
      <c r="N5676" t="s">
        <v>752</v>
      </c>
    </row>
    <row r="5677" spans="14:14" ht="15" customHeight="1" x14ac:dyDescent="0.25">
      <c r="N5677" t="s">
        <v>752</v>
      </c>
    </row>
    <row r="5678" spans="14:14" ht="15" customHeight="1" x14ac:dyDescent="0.25">
      <c r="N5678" t="s">
        <v>752</v>
      </c>
    </row>
    <row r="5679" spans="14:14" ht="15" customHeight="1" x14ac:dyDescent="0.25">
      <c r="N5679" t="s">
        <v>752</v>
      </c>
    </row>
    <row r="5680" spans="14:14" ht="15" customHeight="1" x14ac:dyDescent="0.25">
      <c r="N5680" t="s">
        <v>752</v>
      </c>
    </row>
    <row r="5681" spans="14:14" ht="15" customHeight="1" x14ac:dyDescent="0.25">
      <c r="N5681" t="s">
        <v>752</v>
      </c>
    </row>
    <row r="5682" spans="14:14" ht="15" customHeight="1" x14ac:dyDescent="0.25">
      <c r="N5682" t="s">
        <v>752</v>
      </c>
    </row>
    <row r="5683" spans="14:14" ht="15" customHeight="1" x14ac:dyDescent="0.25">
      <c r="N5683" t="s">
        <v>752</v>
      </c>
    </row>
    <row r="5684" spans="14:14" ht="15" customHeight="1" x14ac:dyDescent="0.25">
      <c r="N5684" t="s">
        <v>752</v>
      </c>
    </row>
    <row r="5685" spans="14:14" ht="15" customHeight="1" x14ac:dyDescent="0.25">
      <c r="N5685" t="s">
        <v>752</v>
      </c>
    </row>
    <row r="5686" spans="14:14" ht="15" customHeight="1" x14ac:dyDescent="0.25">
      <c r="N5686" t="s">
        <v>752</v>
      </c>
    </row>
    <row r="5687" spans="14:14" ht="15" customHeight="1" x14ac:dyDescent="0.25">
      <c r="N5687" t="s">
        <v>752</v>
      </c>
    </row>
    <row r="5688" spans="14:14" ht="15" customHeight="1" x14ac:dyDescent="0.25">
      <c r="N5688" t="s">
        <v>752</v>
      </c>
    </row>
    <row r="5689" spans="14:14" ht="15" customHeight="1" x14ac:dyDescent="0.25">
      <c r="N5689" t="s">
        <v>752</v>
      </c>
    </row>
    <row r="5690" spans="14:14" ht="15" customHeight="1" x14ac:dyDescent="0.25">
      <c r="N5690" t="s">
        <v>752</v>
      </c>
    </row>
    <row r="5691" spans="14:14" ht="15" customHeight="1" x14ac:dyDescent="0.25">
      <c r="N5691" t="s">
        <v>752</v>
      </c>
    </row>
    <row r="5692" spans="14:14" ht="15" customHeight="1" x14ac:dyDescent="0.25">
      <c r="N5692" t="s">
        <v>752</v>
      </c>
    </row>
    <row r="5693" spans="14:14" ht="15" customHeight="1" x14ac:dyDescent="0.25">
      <c r="N5693" t="s">
        <v>752</v>
      </c>
    </row>
    <row r="5694" spans="14:14" ht="15" customHeight="1" x14ac:dyDescent="0.25">
      <c r="N5694" t="s">
        <v>752</v>
      </c>
    </row>
    <row r="5695" spans="14:14" ht="15" customHeight="1" x14ac:dyDescent="0.25">
      <c r="N5695" t="s">
        <v>752</v>
      </c>
    </row>
    <row r="5696" spans="14:14" ht="15" customHeight="1" x14ac:dyDescent="0.25">
      <c r="N5696" t="s">
        <v>752</v>
      </c>
    </row>
    <row r="5697" spans="14:14" ht="15" customHeight="1" x14ac:dyDescent="0.25">
      <c r="N5697" t="s">
        <v>752</v>
      </c>
    </row>
    <row r="5698" spans="14:14" ht="15" customHeight="1" x14ac:dyDescent="0.25">
      <c r="N5698" t="s">
        <v>752</v>
      </c>
    </row>
    <row r="5699" spans="14:14" ht="15" customHeight="1" x14ac:dyDescent="0.25">
      <c r="N5699" t="s">
        <v>68</v>
      </c>
    </row>
    <row r="5700" spans="14:14" ht="15" customHeight="1" x14ac:dyDescent="0.25">
      <c r="N5700" t="s">
        <v>687</v>
      </c>
    </row>
    <row r="5701" spans="14:14" ht="15" customHeight="1" x14ac:dyDescent="0.25">
      <c r="N5701" t="s">
        <v>752</v>
      </c>
    </row>
    <row r="5702" spans="14:14" ht="15" customHeight="1" x14ac:dyDescent="0.25">
      <c r="N5702" t="s">
        <v>752</v>
      </c>
    </row>
    <row r="5703" spans="14:14" ht="15" customHeight="1" x14ac:dyDescent="0.25">
      <c r="N5703" t="s">
        <v>752</v>
      </c>
    </row>
    <row r="5704" spans="14:14" ht="15" customHeight="1" x14ac:dyDescent="0.25">
      <c r="N5704" t="s">
        <v>752</v>
      </c>
    </row>
    <row r="5705" spans="14:14" ht="15" customHeight="1" x14ac:dyDescent="0.25">
      <c r="N5705" t="s">
        <v>752</v>
      </c>
    </row>
    <row r="5706" spans="14:14" ht="15" customHeight="1" x14ac:dyDescent="0.25">
      <c r="N5706" t="s">
        <v>752</v>
      </c>
    </row>
    <row r="5707" spans="14:14" ht="15" customHeight="1" x14ac:dyDescent="0.25">
      <c r="N5707" t="s">
        <v>752</v>
      </c>
    </row>
    <row r="5708" spans="14:14" ht="15" customHeight="1" x14ac:dyDescent="0.25">
      <c r="N5708" t="s">
        <v>752</v>
      </c>
    </row>
    <row r="5709" spans="14:14" ht="15" customHeight="1" x14ac:dyDescent="0.25">
      <c r="N5709" t="s">
        <v>752</v>
      </c>
    </row>
    <row r="5710" spans="14:14" ht="15" customHeight="1" x14ac:dyDescent="0.25">
      <c r="N5710" t="s">
        <v>752</v>
      </c>
    </row>
    <row r="5711" spans="14:14" ht="15" customHeight="1" x14ac:dyDescent="0.25">
      <c r="N5711" t="s">
        <v>752</v>
      </c>
    </row>
    <row r="5712" spans="14:14" ht="15" customHeight="1" x14ac:dyDescent="0.25">
      <c r="N5712" t="s">
        <v>752</v>
      </c>
    </row>
    <row r="5713" spans="14:14" ht="15" customHeight="1" x14ac:dyDescent="0.25">
      <c r="N5713" t="s">
        <v>752</v>
      </c>
    </row>
    <row r="5714" spans="14:14" ht="15" customHeight="1" x14ac:dyDescent="0.25">
      <c r="N5714" t="s">
        <v>752</v>
      </c>
    </row>
    <row r="5715" spans="14:14" ht="15" customHeight="1" x14ac:dyDescent="0.25">
      <c r="N5715" t="s">
        <v>752</v>
      </c>
    </row>
    <row r="5716" spans="14:14" ht="15" customHeight="1" x14ac:dyDescent="0.25">
      <c r="N5716" t="s">
        <v>752</v>
      </c>
    </row>
    <row r="5717" spans="14:14" ht="15" customHeight="1" x14ac:dyDescent="0.25">
      <c r="N5717" t="s">
        <v>752</v>
      </c>
    </row>
    <row r="5718" spans="14:14" ht="15" customHeight="1" x14ac:dyDescent="0.25">
      <c r="N5718" t="s">
        <v>752</v>
      </c>
    </row>
    <row r="5719" spans="14:14" ht="15" customHeight="1" x14ac:dyDescent="0.25">
      <c r="N5719" t="s">
        <v>752</v>
      </c>
    </row>
    <row r="5720" spans="14:14" ht="15" customHeight="1" x14ac:dyDescent="0.25">
      <c r="N5720" t="s">
        <v>752</v>
      </c>
    </row>
    <row r="5721" spans="14:14" ht="15" customHeight="1" x14ac:dyDescent="0.25">
      <c r="N5721" t="s">
        <v>752</v>
      </c>
    </row>
    <row r="5722" spans="14:14" ht="15" customHeight="1" x14ac:dyDescent="0.25">
      <c r="N5722" t="s">
        <v>752</v>
      </c>
    </row>
    <row r="5723" spans="14:14" ht="15" customHeight="1" x14ac:dyDescent="0.25">
      <c r="N5723" t="s">
        <v>752</v>
      </c>
    </row>
    <row r="5724" spans="14:14" ht="15" customHeight="1" x14ac:dyDescent="0.25">
      <c r="N5724" t="s">
        <v>752</v>
      </c>
    </row>
    <row r="5725" spans="14:14" ht="15" customHeight="1" x14ac:dyDescent="0.25">
      <c r="N5725" t="s">
        <v>752</v>
      </c>
    </row>
    <row r="5726" spans="14:14" ht="15" customHeight="1" x14ac:dyDescent="0.25">
      <c r="N5726" t="s">
        <v>752</v>
      </c>
    </row>
    <row r="5727" spans="14:14" ht="15" customHeight="1" x14ac:dyDescent="0.25">
      <c r="N5727" t="s">
        <v>304</v>
      </c>
    </row>
    <row r="5728" spans="14:14" ht="15" customHeight="1" x14ac:dyDescent="0.25">
      <c r="N5728" t="s">
        <v>304</v>
      </c>
    </row>
    <row r="5729" spans="14:14" ht="15" customHeight="1" x14ac:dyDescent="0.25">
      <c r="N5729" t="s">
        <v>304</v>
      </c>
    </row>
    <row r="5730" spans="14:14" ht="15" customHeight="1" x14ac:dyDescent="0.25">
      <c r="N5730" t="s">
        <v>304</v>
      </c>
    </row>
    <row r="5731" spans="14:14" ht="15" customHeight="1" x14ac:dyDescent="0.25">
      <c r="N5731" t="s">
        <v>582</v>
      </c>
    </row>
    <row r="5732" spans="14:14" ht="15" customHeight="1" x14ac:dyDescent="0.25">
      <c r="N5732" t="s">
        <v>582</v>
      </c>
    </row>
    <row r="5733" spans="14:14" ht="15" customHeight="1" x14ac:dyDescent="0.25">
      <c r="N5733" t="s">
        <v>582</v>
      </c>
    </row>
    <row r="5734" spans="14:14" ht="15" customHeight="1" x14ac:dyDescent="0.25">
      <c r="N5734" t="s">
        <v>582</v>
      </c>
    </row>
    <row r="5735" spans="14:14" ht="15" customHeight="1" x14ac:dyDescent="0.25">
      <c r="N5735" t="s">
        <v>582</v>
      </c>
    </row>
    <row r="5736" spans="14:14" ht="15" customHeight="1" x14ac:dyDescent="0.25">
      <c r="N5736" t="s">
        <v>582</v>
      </c>
    </row>
    <row r="5737" spans="14:14" ht="15" customHeight="1" x14ac:dyDescent="0.25">
      <c r="N5737" t="s">
        <v>582</v>
      </c>
    </row>
    <row r="5738" spans="14:14" ht="15" customHeight="1" x14ac:dyDescent="0.25">
      <c r="N5738" t="s">
        <v>687</v>
      </c>
    </row>
    <row r="5739" spans="14:14" ht="15" customHeight="1" x14ac:dyDescent="0.25">
      <c r="N5739" t="s">
        <v>68</v>
      </c>
    </row>
    <row r="5740" spans="14:14" ht="15" customHeight="1" x14ac:dyDescent="0.25">
      <c r="N5740" t="s">
        <v>68</v>
      </c>
    </row>
    <row r="5741" spans="14:14" ht="15" customHeight="1" x14ac:dyDescent="0.25">
      <c r="N5741" t="s">
        <v>68</v>
      </c>
    </row>
    <row r="5742" spans="14:14" ht="15" customHeight="1" x14ac:dyDescent="0.25">
      <c r="N5742" t="s">
        <v>68</v>
      </c>
    </row>
    <row r="5743" spans="14:14" ht="15" customHeight="1" x14ac:dyDescent="0.25">
      <c r="N5743" t="s">
        <v>68</v>
      </c>
    </row>
    <row r="5744" spans="14:14" ht="15" customHeight="1" x14ac:dyDescent="0.25">
      <c r="N5744" t="s">
        <v>68</v>
      </c>
    </row>
    <row r="5745" spans="14:14" ht="15" customHeight="1" x14ac:dyDescent="0.25">
      <c r="N5745" t="s">
        <v>68</v>
      </c>
    </row>
    <row r="5746" spans="14:14" ht="15" customHeight="1" x14ac:dyDescent="0.25">
      <c r="N5746" t="s">
        <v>713</v>
      </c>
    </row>
    <row r="5747" spans="14:14" ht="15" customHeight="1" x14ac:dyDescent="0.25">
      <c r="N5747" t="s">
        <v>408</v>
      </c>
    </row>
    <row r="5748" spans="14:14" ht="15" customHeight="1" x14ac:dyDescent="0.25">
      <c r="N5748" t="s">
        <v>713</v>
      </c>
    </row>
    <row r="5749" spans="14:14" ht="15" customHeight="1" x14ac:dyDescent="0.25">
      <c r="N5749" t="s">
        <v>713</v>
      </c>
    </row>
    <row r="5750" spans="14:14" ht="15" customHeight="1" x14ac:dyDescent="0.25">
      <c r="N5750" t="s">
        <v>606</v>
      </c>
    </row>
    <row r="5751" spans="14:14" ht="15" customHeight="1" x14ac:dyDescent="0.25">
      <c r="N5751" t="s">
        <v>458</v>
      </c>
    </row>
    <row r="5752" spans="14:14" ht="15" customHeight="1" x14ac:dyDescent="0.25">
      <c r="N5752" t="s">
        <v>686</v>
      </c>
    </row>
    <row r="5753" spans="14:14" ht="15" customHeight="1" x14ac:dyDescent="0.25">
      <c r="N5753" t="s">
        <v>558</v>
      </c>
    </row>
    <row r="5754" spans="14:14" ht="15" customHeight="1" x14ac:dyDescent="0.25">
      <c r="N5754" t="s">
        <v>715</v>
      </c>
    </row>
    <row r="5755" spans="14:14" ht="15" customHeight="1" x14ac:dyDescent="0.25">
      <c r="N5755" t="s">
        <v>689</v>
      </c>
    </row>
    <row r="5756" spans="14:14" ht="15" customHeight="1" x14ac:dyDescent="0.25">
      <c r="N5756" t="s">
        <v>689</v>
      </c>
    </row>
    <row r="5757" spans="14:14" ht="15" customHeight="1" x14ac:dyDescent="0.25">
      <c r="N5757" t="s">
        <v>715</v>
      </c>
    </row>
    <row r="5758" spans="14:14" ht="15" customHeight="1" x14ac:dyDescent="0.25">
      <c r="N5758" t="s">
        <v>690</v>
      </c>
    </row>
    <row r="5759" spans="14:14" ht="15" customHeight="1" x14ac:dyDescent="0.25">
      <c r="N5759" t="s">
        <v>715</v>
      </c>
    </row>
    <row r="5760" spans="14:14" ht="15" customHeight="1" x14ac:dyDescent="0.25">
      <c r="N5760" t="s">
        <v>696</v>
      </c>
    </row>
    <row r="5761" spans="14:14" ht="15" customHeight="1" x14ac:dyDescent="0.25">
      <c r="N5761" t="s">
        <v>666</v>
      </c>
    </row>
    <row r="5762" spans="14:14" ht="15" customHeight="1" x14ac:dyDescent="0.25">
      <c r="N5762" t="s">
        <v>715</v>
      </c>
    </row>
    <row r="5763" spans="14:14" ht="15" customHeight="1" x14ac:dyDescent="0.25">
      <c r="N5763" t="s">
        <v>592</v>
      </c>
    </row>
    <row r="5764" spans="14:14" ht="15" customHeight="1" x14ac:dyDescent="0.25">
      <c r="N5764" t="s">
        <v>592</v>
      </c>
    </row>
    <row r="5765" spans="14:14" ht="15" customHeight="1" x14ac:dyDescent="0.25">
      <c r="N5765" t="s">
        <v>592</v>
      </c>
    </row>
    <row r="5766" spans="14:14" ht="15" customHeight="1" x14ac:dyDescent="0.25">
      <c r="N5766" t="s">
        <v>592</v>
      </c>
    </row>
    <row r="5767" spans="14:14" ht="15" customHeight="1" x14ac:dyDescent="0.25">
      <c r="N5767" t="s">
        <v>592</v>
      </c>
    </row>
    <row r="5768" spans="14:14" ht="15" customHeight="1" x14ac:dyDescent="0.25">
      <c r="N5768" t="s">
        <v>715</v>
      </c>
    </row>
    <row r="5769" spans="14:14" ht="15" customHeight="1" x14ac:dyDescent="0.25">
      <c r="N5769" t="s">
        <v>317</v>
      </c>
    </row>
    <row r="5770" spans="14:14" ht="15" customHeight="1" x14ac:dyDescent="0.25">
      <c r="N5770" t="s">
        <v>313</v>
      </c>
    </row>
    <row r="5771" spans="14:14" ht="15" customHeight="1" x14ac:dyDescent="0.25">
      <c r="N5771" t="s">
        <v>313</v>
      </c>
    </row>
    <row r="5772" spans="14:14" ht="15" customHeight="1" x14ac:dyDescent="0.25">
      <c r="N5772" t="s">
        <v>313</v>
      </c>
    </row>
    <row r="5773" spans="14:14" ht="15" customHeight="1" x14ac:dyDescent="0.25">
      <c r="N5773" t="s">
        <v>313</v>
      </c>
    </row>
    <row r="5774" spans="14:14" ht="15" customHeight="1" x14ac:dyDescent="0.25">
      <c r="N5774" t="s">
        <v>715</v>
      </c>
    </row>
    <row r="5775" spans="14:14" ht="15" customHeight="1" x14ac:dyDescent="0.25">
      <c r="N5775" t="s">
        <v>715</v>
      </c>
    </row>
    <row r="5776" spans="14:14" ht="15" customHeight="1" x14ac:dyDescent="0.25">
      <c r="N5776" t="s">
        <v>715</v>
      </c>
    </row>
    <row r="5777" spans="14:14" ht="15" customHeight="1" x14ac:dyDescent="0.25">
      <c r="N5777" t="s">
        <v>715</v>
      </c>
    </row>
    <row r="5778" spans="14:14" ht="15" customHeight="1" x14ac:dyDescent="0.25">
      <c r="N5778" t="s">
        <v>715</v>
      </c>
    </row>
    <row r="5779" spans="14:14" ht="15" customHeight="1" x14ac:dyDescent="0.25">
      <c r="N5779" t="s">
        <v>715</v>
      </c>
    </row>
    <row r="5780" spans="14:14" ht="15" customHeight="1" x14ac:dyDescent="0.25">
      <c r="N5780" t="s">
        <v>715</v>
      </c>
    </row>
    <row r="5781" spans="14:14" ht="15" customHeight="1" x14ac:dyDescent="0.25">
      <c r="N5781" t="s">
        <v>715</v>
      </c>
    </row>
    <row r="5782" spans="14:14" ht="15" customHeight="1" x14ac:dyDescent="0.25">
      <c r="N5782" t="s">
        <v>715</v>
      </c>
    </row>
    <row r="5783" spans="14:14" ht="15" customHeight="1" x14ac:dyDescent="0.25">
      <c r="N5783" t="s">
        <v>715</v>
      </c>
    </row>
    <row r="5784" spans="14:14" ht="15" customHeight="1" x14ac:dyDescent="0.25">
      <c r="N5784" t="s">
        <v>715</v>
      </c>
    </row>
    <row r="5785" spans="14:14" ht="15" customHeight="1" x14ac:dyDescent="0.25">
      <c r="N5785" t="s">
        <v>715</v>
      </c>
    </row>
    <row r="5786" spans="14:14" ht="15" customHeight="1" x14ac:dyDescent="0.25">
      <c r="N5786" t="s">
        <v>715</v>
      </c>
    </row>
    <row r="5787" spans="14:14" ht="15" customHeight="1" x14ac:dyDescent="0.25">
      <c r="N5787" t="s">
        <v>715</v>
      </c>
    </row>
    <row r="5788" spans="14:14" ht="15" customHeight="1" x14ac:dyDescent="0.25">
      <c r="N5788" t="s">
        <v>715</v>
      </c>
    </row>
    <row r="5789" spans="14:14" ht="15" customHeight="1" x14ac:dyDescent="0.25">
      <c r="N5789" t="s">
        <v>715</v>
      </c>
    </row>
    <row r="5790" spans="14:14" ht="15" customHeight="1" x14ac:dyDescent="0.25">
      <c r="N5790" t="s">
        <v>715</v>
      </c>
    </row>
    <row r="5791" spans="14:14" ht="15" customHeight="1" x14ac:dyDescent="0.25">
      <c r="N5791" t="s">
        <v>715</v>
      </c>
    </row>
    <row r="5792" spans="14:14" ht="15" customHeight="1" x14ac:dyDescent="0.25">
      <c r="N5792" t="s">
        <v>715</v>
      </c>
    </row>
    <row r="5793" spans="14:14" ht="15" customHeight="1" x14ac:dyDescent="0.25">
      <c r="N5793" t="s">
        <v>715</v>
      </c>
    </row>
    <row r="5794" spans="14:14" ht="15" customHeight="1" x14ac:dyDescent="0.25">
      <c r="N5794" t="s">
        <v>715</v>
      </c>
    </row>
    <row r="5795" spans="14:14" ht="15" customHeight="1" x14ac:dyDescent="0.25">
      <c r="N5795" t="s">
        <v>715</v>
      </c>
    </row>
    <row r="5796" spans="14:14" ht="15" customHeight="1" x14ac:dyDescent="0.25">
      <c r="N5796" t="s">
        <v>715</v>
      </c>
    </row>
    <row r="5797" spans="14:14" ht="15" customHeight="1" x14ac:dyDescent="0.25">
      <c r="N5797" t="s">
        <v>715</v>
      </c>
    </row>
    <row r="5798" spans="14:14" ht="15" customHeight="1" x14ac:dyDescent="0.25">
      <c r="N5798" t="s">
        <v>715</v>
      </c>
    </row>
    <row r="5799" spans="14:14" ht="15" customHeight="1" x14ac:dyDescent="0.25">
      <c r="N5799" t="s">
        <v>715</v>
      </c>
    </row>
    <row r="5800" spans="14:14" ht="15" customHeight="1" x14ac:dyDescent="0.25">
      <c r="N5800" t="s">
        <v>715</v>
      </c>
    </row>
    <row r="5801" spans="14:14" ht="15" customHeight="1" x14ac:dyDescent="0.25">
      <c r="N5801" t="s">
        <v>715</v>
      </c>
    </row>
    <row r="5802" spans="14:14" ht="15" customHeight="1" x14ac:dyDescent="0.25">
      <c r="N5802" t="s">
        <v>715</v>
      </c>
    </row>
    <row r="5803" spans="14:14" ht="15" customHeight="1" x14ac:dyDescent="0.25">
      <c r="N5803" t="s">
        <v>715</v>
      </c>
    </row>
    <row r="5804" spans="14:14" ht="15" customHeight="1" x14ac:dyDescent="0.25">
      <c r="N5804" t="s">
        <v>715</v>
      </c>
    </row>
    <row r="5805" spans="14:14" ht="15" customHeight="1" x14ac:dyDescent="0.25">
      <c r="N5805" t="s">
        <v>715</v>
      </c>
    </row>
    <row r="5806" spans="14:14" ht="15" customHeight="1" x14ac:dyDescent="0.25">
      <c r="N5806" t="s">
        <v>669</v>
      </c>
    </row>
    <row r="5807" spans="14:14" ht="15" customHeight="1" x14ac:dyDescent="0.25">
      <c r="N5807" t="s">
        <v>739</v>
      </c>
    </row>
    <row r="5808" spans="14:14" ht="15" customHeight="1" x14ac:dyDescent="0.25">
      <c r="N5808" t="s">
        <v>611</v>
      </c>
    </row>
    <row r="5809" spans="14:14" ht="15" customHeight="1" x14ac:dyDescent="0.25">
      <c r="N5809" t="s">
        <v>740</v>
      </c>
    </row>
    <row r="5810" spans="14:14" ht="15" customHeight="1" x14ac:dyDescent="0.25">
      <c r="N5810" t="s">
        <v>675</v>
      </c>
    </row>
    <row r="5811" spans="14:14" ht="15" customHeight="1" x14ac:dyDescent="0.25">
      <c r="N5811" t="s">
        <v>741</v>
      </c>
    </row>
    <row r="5812" spans="14:14" ht="15" customHeight="1" x14ac:dyDescent="0.25">
      <c r="N5812" t="s">
        <v>742</v>
      </c>
    </row>
    <row r="5813" spans="14:14" ht="15" customHeight="1" x14ac:dyDescent="0.25">
      <c r="N5813" t="s">
        <v>403</v>
      </c>
    </row>
    <row r="5814" spans="14:14" ht="15" customHeight="1" x14ac:dyDescent="0.25">
      <c r="N5814" t="s">
        <v>403</v>
      </c>
    </row>
    <row r="5815" spans="14:14" ht="15" customHeight="1" x14ac:dyDescent="0.25">
      <c r="N5815" t="s">
        <v>403</v>
      </c>
    </row>
    <row r="5816" spans="14:14" ht="15" customHeight="1" x14ac:dyDescent="0.25">
      <c r="N5816" t="s">
        <v>403</v>
      </c>
    </row>
    <row r="5817" spans="14:14" ht="15" customHeight="1" x14ac:dyDescent="0.25">
      <c r="N5817" t="s">
        <v>403</v>
      </c>
    </row>
    <row r="5818" spans="14:14" ht="15" customHeight="1" x14ac:dyDescent="0.25">
      <c r="N5818" t="s">
        <v>403</v>
      </c>
    </row>
    <row r="5819" spans="14:14" ht="15" customHeight="1" x14ac:dyDescent="0.25">
      <c r="N5819" t="s">
        <v>403</v>
      </c>
    </row>
    <row r="5820" spans="14:14" ht="15" customHeight="1" x14ac:dyDescent="0.25">
      <c r="N5820" t="s">
        <v>582</v>
      </c>
    </row>
    <row r="5821" spans="14:14" ht="15" customHeight="1" x14ac:dyDescent="0.25">
      <c r="N5821" t="s">
        <v>696</v>
      </c>
    </row>
    <row r="5822" spans="14:14" ht="15" customHeight="1" x14ac:dyDescent="0.25">
      <c r="N5822" t="s">
        <v>743</v>
      </c>
    </row>
    <row r="5823" spans="14:14" ht="15" customHeight="1" x14ac:dyDescent="0.25">
      <c r="N5823" t="s">
        <v>714</v>
      </c>
    </row>
    <row r="5824" spans="14:14" ht="15" customHeight="1" x14ac:dyDescent="0.25">
      <c r="N5824" t="s">
        <v>744</v>
      </c>
    </row>
    <row r="5825" spans="14:14" ht="15" customHeight="1" x14ac:dyDescent="0.25">
      <c r="N5825" t="s">
        <v>463</v>
      </c>
    </row>
    <row r="5826" spans="14:14" ht="15" customHeight="1" x14ac:dyDescent="0.25">
      <c r="N5826" t="s">
        <v>696</v>
      </c>
    </row>
    <row r="5827" spans="14:14" ht="15" customHeight="1" x14ac:dyDescent="0.25">
      <c r="N5827" t="s">
        <v>715</v>
      </c>
    </row>
    <row r="5828" spans="14:14" ht="15" customHeight="1" x14ac:dyDescent="0.25">
      <c r="N5828" t="s">
        <v>690</v>
      </c>
    </row>
    <row r="5829" spans="14:14" ht="15" customHeight="1" x14ac:dyDescent="0.25">
      <c r="N5829" t="s">
        <v>690</v>
      </c>
    </row>
    <row r="5830" spans="14:14" ht="15" customHeight="1" x14ac:dyDescent="0.25">
      <c r="N5830" t="s">
        <v>690</v>
      </c>
    </row>
    <row r="5831" spans="14:14" ht="15" customHeight="1" x14ac:dyDescent="0.25">
      <c r="N5831" t="s">
        <v>690</v>
      </c>
    </row>
    <row r="5832" spans="14:14" ht="15" customHeight="1" x14ac:dyDescent="0.25">
      <c r="N5832" t="s">
        <v>732</v>
      </c>
    </row>
    <row r="5833" spans="14:14" ht="15" customHeight="1" x14ac:dyDescent="0.25">
      <c r="N5833" t="s">
        <v>715</v>
      </c>
    </row>
    <row r="5834" spans="14:14" ht="15" customHeight="1" x14ac:dyDescent="0.25">
      <c r="N5834" t="s">
        <v>715</v>
      </c>
    </row>
    <row r="5835" spans="14:14" ht="15" customHeight="1" x14ac:dyDescent="0.25">
      <c r="N5835" t="s">
        <v>715</v>
      </c>
    </row>
    <row r="5836" spans="14:14" ht="15" customHeight="1" x14ac:dyDescent="0.25">
      <c r="N5836" t="s">
        <v>715</v>
      </c>
    </row>
    <row r="5837" spans="14:14" ht="15" customHeight="1" x14ac:dyDescent="0.25">
      <c r="N5837" t="s">
        <v>715</v>
      </c>
    </row>
    <row r="5838" spans="14:14" ht="15" customHeight="1" x14ac:dyDescent="0.25">
      <c r="N5838" t="s">
        <v>715</v>
      </c>
    </row>
    <row r="5839" spans="14:14" ht="15" customHeight="1" x14ac:dyDescent="0.25">
      <c r="N5839" t="s">
        <v>715</v>
      </c>
    </row>
    <row r="5840" spans="14:14" ht="15" customHeight="1" x14ac:dyDescent="0.25">
      <c r="N5840" t="s">
        <v>715</v>
      </c>
    </row>
    <row r="5841" spans="14:14" ht="15" customHeight="1" x14ac:dyDescent="0.25">
      <c r="N5841" t="s">
        <v>715</v>
      </c>
    </row>
    <row r="5842" spans="14:14" ht="15" customHeight="1" x14ac:dyDescent="0.25">
      <c r="N5842" t="s">
        <v>715</v>
      </c>
    </row>
    <row r="5843" spans="14:14" ht="15" customHeight="1" x14ac:dyDescent="0.25">
      <c r="N5843" t="s">
        <v>715</v>
      </c>
    </row>
    <row r="5844" spans="14:14" ht="15" customHeight="1" x14ac:dyDescent="0.25">
      <c r="N5844" t="s">
        <v>715</v>
      </c>
    </row>
    <row r="5845" spans="14:14" ht="15" customHeight="1" x14ac:dyDescent="0.25">
      <c r="N5845" t="s">
        <v>715</v>
      </c>
    </row>
    <row r="5846" spans="14:14" ht="15" customHeight="1" x14ac:dyDescent="0.25">
      <c r="N5846" t="s">
        <v>715</v>
      </c>
    </row>
    <row r="5847" spans="14:14" ht="15" customHeight="1" x14ac:dyDescent="0.25">
      <c r="N5847" t="s">
        <v>715</v>
      </c>
    </row>
    <row r="5848" spans="14:14" ht="15" customHeight="1" x14ac:dyDescent="0.25">
      <c r="N5848" t="s">
        <v>715</v>
      </c>
    </row>
    <row r="5849" spans="14:14" ht="15" customHeight="1" x14ac:dyDescent="0.25">
      <c r="N5849" t="s">
        <v>715</v>
      </c>
    </row>
    <row r="5850" spans="14:14" ht="15" customHeight="1" x14ac:dyDescent="0.25">
      <c r="N5850" t="s">
        <v>715</v>
      </c>
    </row>
    <row r="5851" spans="14:14" ht="15" customHeight="1" x14ac:dyDescent="0.25">
      <c r="N5851" t="s">
        <v>715</v>
      </c>
    </row>
    <row r="5852" spans="14:14" ht="15" customHeight="1" x14ac:dyDescent="0.25">
      <c r="N5852" t="s">
        <v>715</v>
      </c>
    </row>
    <row r="5853" spans="14:14" ht="15" customHeight="1" x14ac:dyDescent="0.25">
      <c r="N5853" t="s">
        <v>715</v>
      </c>
    </row>
    <row r="5854" spans="14:14" ht="15" customHeight="1" x14ac:dyDescent="0.25">
      <c r="N5854" t="s">
        <v>715</v>
      </c>
    </row>
    <row r="5855" spans="14:14" ht="15" customHeight="1" x14ac:dyDescent="0.25">
      <c r="N5855" t="s">
        <v>715</v>
      </c>
    </row>
    <row r="5856" spans="14:14" ht="15" customHeight="1" x14ac:dyDescent="0.25">
      <c r="N5856" t="s">
        <v>715</v>
      </c>
    </row>
    <row r="5857" spans="14:14" ht="15" customHeight="1" x14ac:dyDescent="0.25">
      <c r="N5857" t="s">
        <v>715</v>
      </c>
    </row>
    <row r="5858" spans="14:14" ht="15" customHeight="1" x14ac:dyDescent="0.25">
      <c r="N5858" t="s">
        <v>715</v>
      </c>
    </row>
    <row r="5859" spans="14:14" ht="15" customHeight="1" x14ac:dyDescent="0.25">
      <c r="N5859" t="s">
        <v>715</v>
      </c>
    </row>
    <row r="5860" spans="14:14" ht="15" customHeight="1" x14ac:dyDescent="0.25">
      <c r="N5860" t="s">
        <v>715</v>
      </c>
    </row>
    <row r="5861" spans="14:14" ht="15" customHeight="1" x14ac:dyDescent="0.25">
      <c r="N5861" t="s">
        <v>715</v>
      </c>
    </row>
    <row r="5862" spans="14:14" ht="15" customHeight="1" x14ac:dyDescent="0.25">
      <c r="N5862" t="s">
        <v>715</v>
      </c>
    </row>
    <row r="5863" spans="14:14" ht="15" customHeight="1" x14ac:dyDescent="0.25">
      <c r="N5863" t="s">
        <v>606</v>
      </c>
    </row>
    <row r="5864" spans="14:14" ht="15" customHeight="1" x14ac:dyDescent="0.25">
      <c r="N5864" t="s">
        <v>408</v>
      </c>
    </row>
    <row r="5865" spans="14:14" ht="15" customHeight="1" x14ac:dyDescent="0.25">
      <c r="N5865" t="s">
        <v>713</v>
      </c>
    </row>
    <row r="5866" spans="14:14" ht="15" customHeight="1" x14ac:dyDescent="0.25">
      <c r="N5866" t="s">
        <v>713</v>
      </c>
    </row>
    <row r="5867" spans="14:14" ht="15" customHeight="1" x14ac:dyDescent="0.25">
      <c r="N5867" t="s">
        <v>713</v>
      </c>
    </row>
    <row r="5868" spans="14:14" ht="15" customHeight="1" x14ac:dyDescent="0.25">
      <c r="N5868" t="s">
        <v>713</v>
      </c>
    </row>
    <row r="5869" spans="14:14" ht="15" customHeight="1" x14ac:dyDescent="0.25">
      <c r="N5869" t="s">
        <v>686</v>
      </c>
    </row>
    <row r="5870" spans="14:14" ht="15" customHeight="1" x14ac:dyDescent="0.25">
      <c r="N5870" t="s">
        <v>558</v>
      </c>
    </row>
    <row r="5871" spans="14:14" ht="15" customHeight="1" x14ac:dyDescent="0.25">
      <c r="N5871" t="s">
        <v>715</v>
      </c>
    </row>
    <row r="5872" spans="14:14" ht="15" customHeight="1" x14ac:dyDescent="0.25">
      <c r="N5872" t="s">
        <v>555</v>
      </c>
    </row>
    <row r="5873" spans="14:14" ht="15" customHeight="1" x14ac:dyDescent="0.25">
      <c r="N5873" t="s">
        <v>524</v>
      </c>
    </row>
    <row r="5874" spans="14:14" ht="15" customHeight="1" x14ac:dyDescent="0.25">
      <c r="N5874" t="s">
        <v>715</v>
      </c>
    </row>
    <row r="5875" spans="14:14" ht="15" customHeight="1" x14ac:dyDescent="0.25">
      <c r="N5875" t="s">
        <v>689</v>
      </c>
    </row>
    <row r="5876" spans="14:14" ht="15" customHeight="1" x14ac:dyDescent="0.25">
      <c r="N5876" t="s">
        <v>689</v>
      </c>
    </row>
    <row r="5877" spans="14:14" ht="15" customHeight="1" x14ac:dyDescent="0.25">
      <c r="N5877" t="s">
        <v>715</v>
      </c>
    </row>
    <row r="5878" spans="14:14" ht="15" customHeight="1" x14ac:dyDescent="0.25">
      <c r="N5878" t="s">
        <v>689</v>
      </c>
    </row>
    <row r="5879" spans="14:14" ht="15" customHeight="1" x14ac:dyDescent="0.25">
      <c r="N5879" t="s">
        <v>690</v>
      </c>
    </row>
    <row r="5880" spans="14:14" ht="15" customHeight="1" x14ac:dyDescent="0.25">
      <c r="N5880" t="s">
        <v>746</v>
      </c>
    </row>
    <row r="5881" spans="14:14" ht="15" customHeight="1" x14ac:dyDescent="0.25">
      <c r="N5881" t="s">
        <v>715</v>
      </c>
    </row>
    <row r="5882" spans="14:14" ht="15" customHeight="1" x14ac:dyDescent="0.25">
      <c r="N5882" t="s">
        <v>747</v>
      </c>
    </row>
    <row r="5883" spans="14:14" ht="15" customHeight="1" x14ac:dyDescent="0.25">
      <c r="N5883" t="s">
        <v>747</v>
      </c>
    </row>
    <row r="5884" spans="14:14" ht="15" customHeight="1" x14ac:dyDescent="0.25">
      <c r="N5884" t="s">
        <v>747</v>
      </c>
    </row>
    <row r="5885" spans="14:14" ht="15" customHeight="1" x14ac:dyDescent="0.25">
      <c r="N5885" t="s">
        <v>747</v>
      </c>
    </row>
    <row r="5886" spans="14:14" ht="15" customHeight="1" x14ac:dyDescent="0.25">
      <c r="N5886" t="s">
        <v>747</v>
      </c>
    </row>
    <row r="5887" spans="14:14" ht="15" customHeight="1" x14ac:dyDescent="0.25">
      <c r="N5887" t="s">
        <v>715</v>
      </c>
    </row>
    <row r="5888" spans="14:14" ht="15" customHeight="1" x14ac:dyDescent="0.25">
      <c r="N5888" t="s">
        <v>341</v>
      </c>
    </row>
    <row r="5889" spans="14:14" ht="15" customHeight="1" x14ac:dyDescent="0.25">
      <c r="N5889" t="s">
        <v>709</v>
      </c>
    </row>
    <row r="5890" spans="14:14" ht="15" customHeight="1" x14ac:dyDescent="0.25">
      <c r="N5890" t="s">
        <v>709</v>
      </c>
    </row>
    <row r="5891" spans="14:14" ht="15" customHeight="1" x14ac:dyDescent="0.25">
      <c r="N5891" t="s">
        <v>709</v>
      </c>
    </row>
    <row r="5892" spans="14:14" ht="15" customHeight="1" x14ac:dyDescent="0.25">
      <c r="N5892" t="s">
        <v>709</v>
      </c>
    </row>
    <row r="5893" spans="14:14" ht="15" customHeight="1" x14ac:dyDescent="0.25">
      <c r="N5893" t="s">
        <v>715</v>
      </c>
    </row>
    <row r="5894" spans="14:14" ht="15" customHeight="1" x14ac:dyDescent="0.25">
      <c r="N5894" t="s">
        <v>715</v>
      </c>
    </row>
    <row r="5895" spans="14:14" ht="15" customHeight="1" x14ac:dyDescent="0.25">
      <c r="N5895" t="s">
        <v>715</v>
      </c>
    </row>
    <row r="5896" spans="14:14" ht="15" customHeight="1" x14ac:dyDescent="0.25">
      <c r="N5896" t="s">
        <v>715</v>
      </c>
    </row>
    <row r="5897" spans="14:14" ht="15" customHeight="1" x14ac:dyDescent="0.25">
      <c r="N5897" t="s">
        <v>715</v>
      </c>
    </row>
    <row r="5898" spans="14:14" ht="15" customHeight="1" x14ac:dyDescent="0.25">
      <c r="N5898" t="s">
        <v>715</v>
      </c>
    </row>
    <row r="5899" spans="14:14" ht="15" customHeight="1" x14ac:dyDescent="0.25">
      <c r="N5899" t="s">
        <v>715</v>
      </c>
    </row>
    <row r="5900" spans="14:14" ht="15" customHeight="1" x14ac:dyDescent="0.25">
      <c r="N5900" t="s">
        <v>715</v>
      </c>
    </row>
    <row r="5901" spans="14:14" ht="15" customHeight="1" x14ac:dyDescent="0.25">
      <c r="N5901" t="s">
        <v>715</v>
      </c>
    </row>
    <row r="5902" spans="14:14" ht="15" customHeight="1" x14ac:dyDescent="0.25">
      <c r="N5902" t="s">
        <v>715</v>
      </c>
    </row>
    <row r="5903" spans="14:14" ht="15" customHeight="1" x14ac:dyDescent="0.25">
      <c r="N5903" t="s">
        <v>715</v>
      </c>
    </row>
    <row r="5904" spans="14:14" ht="15" customHeight="1" x14ac:dyDescent="0.25">
      <c r="N5904" t="s">
        <v>715</v>
      </c>
    </row>
    <row r="5905" spans="14:14" ht="15" customHeight="1" x14ac:dyDescent="0.25">
      <c r="N5905" t="s">
        <v>715</v>
      </c>
    </row>
    <row r="5906" spans="14:14" ht="15" customHeight="1" x14ac:dyDescent="0.25">
      <c r="N5906" t="s">
        <v>715</v>
      </c>
    </row>
    <row r="5907" spans="14:14" ht="15" customHeight="1" x14ac:dyDescent="0.25">
      <c r="N5907" t="s">
        <v>582</v>
      </c>
    </row>
    <row r="5908" spans="14:14" ht="15" customHeight="1" x14ac:dyDescent="0.25">
      <c r="N5908" t="s">
        <v>698</v>
      </c>
    </row>
    <row r="5909" spans="14:14" ht="15" customHeight="1" x14ac:dyDescent="0.25">
      <c r="N5909" t="s">
        <v>582</v>
      </c>
    </row>
    <row r="5910" spans="14:14" ht="15" customHeight="1" x14ac:dyDescent="0.25">
      <c r="N5910" t="s">
        <v>740</v>
      </c>
    </row>
    <row r="5911" spans="14:14" ht="15" customHeight="1" x14ac:dyDescent="0.25">
      <c r="N5911" t="s">
        <v>655</v>
      </c>
    </row>
    <row r="5912" spans="14:14" ht="15" customHeight="1" x14ac:dyDescent="0.25">
      <c r="N5912" t="s">
        <v>748</v>
      </c>
    </row>
    <row r="5913" spans="14:14" ht="15" customHeight="1" x14ac:dyDescent="0.25">
      <c r="N5913" t="s">
        <v>582</v>
      </c>
    </row>
    <row r="5914" spans="14:14" ht="15" customHeight="1" x14ac:dyDescent="0.25">
      <c r="N5914" t="s">
        <v>582</v>
      </c>
    </row>
    <row r="5915" spans="14:14" ht="15" customHeight="1" x14ac:dyDescent="0.25">
      <c r="N5915" t="s">
        <v>582</v>
      </c>
    </row>
    <row r="5916" spans="14:14" ht="15" customHeight="1" x14ac:dyDescent="0.25">
      <c r="N5916" t="s">
        <v>582</v>
      </c>
    </row>
    <row r="5917" spans="14:14" ht="15" customHeight="1" x14ac:dyDescent="0.25">
      <c r="N5917" t="s">
        <v>582</v>
      </c>
    </row>
    <row r="5918" spans="14:14" ht="15" customHeight="1" x14ac:dyDescent="0.25">
      <c r="N5918" t="s">
        <v>582</v>
      </c>
    </row>
    <row r="5919" spans="14:14" ht="15" customHeight="1" x14ac:dyDescent="0.25">
      <c r="N5919" t="s">
        <v>582</v>
      </c>
    </row>
    <row r="5920" spans="14:14" ht="15" customHeight="1" x14ac:dyDescent="0.25">
      <c r="N5920" t="s">
        <v>735</v>
      </c>
    </row>
    <row r="5921" spans="14:14" ht="15" customHeight="1" x14ac:dyDescent="0.25">
      <c r="N5921" t="s">
        <v>435</v>
      </c>
    </row>
    <row r="5922" spans="14:14" ht="15" customHeight="1" x14ac:dyDescent="0.25">
      <c r="N5922" t="s">
        <v>715</v>
      </c>
    </row>
    <row r="5923" spans="14:14" ht="15" customHeight="1" x14ac:dyDescent="0.25">
      <c r="N5923" t="s">
        <v>715</v>
      </c>
    </row>
    <row r="5924" spans="14:14" ht="15" customHeight="1" x14ac:dyDescent="0.25">
      <c r="N5924" t="s">
        <v>294</v>
      </c>
    </row>
    <row r="5925" spans="14:14" ht="15" customHeight="1" x14ac:dyDescent="0.25">
      <c r="N5925" t="s">
        <v>294</v>
      </c>
    </row>
    <row r="5926" spans="14:14" ht="15" customHeight="1" x14ac:dyDescent="0.25">
      <c r="N5926" t="s">
        <v>294</v>
      </c>
    </row>
    <row r="5927" spans="14:14" ht="15" customHeight="1" x14ac:dyDescent="0.25">
      <c r="N5927" t="s">
        <v>294</v>
      </c>
    </row>
    <row r="5928" spans="14:14" ht="15" customHeight="1" x14ac:dyDescent="0.25">
      <c r="N5928" t="s">
        <v>715</v>
      </c>
    </row>
    <row r="5929" spans="14:14" ht="15" customHeight="1" x14ac:dyDescent="0.25">
      <c r="N5929" t="s">
        <v>715</v>
      </c>
    </row>
    <row r="5930" spans="14:14" ht="15" customHeight="1" x14ac:dyDescent="0.25">
      <c r="N5930" t="s">
        <v>715</v>
      </c>
    </row>
    <row r="5931" spans="14:14" ht="15" customHeight="1" x14ac:dyDescent="0.25">
      <c r="N5931" t="s">
        <v>715</v>
      </c>
    </row>
    <row r="5932" spans="14:14" ht="15" customHeight="1" x14ac:dyDescent="0.25">
      <c r="N5932" t="s">
        <v>715</v>
      </c>
    </row>
    <row r="5933" spans="14:14" ht="15" customHeight="1" x14ac:dyDescent="0.25">
      <c r="N5933" t="s">
        <v>715</v>
      </c>
    </row>
    <row r="5934" spans="14:14" ht="15" customHeight="1" x14ac:dyDescent="0.25">
      <c r="N5934" t="s">
        <v>715</v>
      </c>
    </row>
    <row r="5935" spans="14:14" ht="15" customHeight="1" x14ac:dyDescent="0.25">
      <c r="N5935" t="s">
        <v>715</v>
      </c>
    </row>
    <row r="5936" spans="14:14" ht="15" customHeight="1" x14ac:dyDescent="0.25">
      <c r="N5936" t="s">
        <v>715</v>
      </c>
    </row>
    <row r="5937" spans="14:14" ht="15" customHeight="1" x14ac:dyDescent="0.25">
      <c r="N5937" t="s">
        <v>715</v>
      </c>
    </row>
    <row r="5938" spans="14:14" ht="15" customHeight="1" x14ac:dyDescent="0.25">
      <c r="N5938" t="s">
        <v>715</v>
      </c>
    </row>
    <row r="5939" spans="14:14" ht="15" customHeight="1" x14ac:dyDescent="0.25">
      <c r="N5939" t="s">
        <v>715</v>
      </c>
    </row>
    <row r="5940" spans="14:14" ht="15" customHeight="1" x14ac:dyDescent="0.25">
      <c r="N5940" t="s">
        <v>715</v>
      </c>
    </row>
    <row r="5941" spans="14:14" ht="15" customHeight="1" x14ac:dyDescent="0.25">
      <c r="N5941" t="s">
        <v>715</v>
      </c>
    </row>
    <row r="5942" spans="14:14" ht="15" customHeight="1" x14ac:dyDescent="0.25">
      <c r="N5942" t="s">
        <v>715</v>
      </c>
    </row>
    <row r="5943" spans="14:14" ht="15" customHeight="1" x14ac:dyDescent="0.25">
      <c r="N5943" t="s">
        <v>715</v>
      </c>
    </row>
    <row r="5944" spans="14:14" ht="15" customHeight="1" x14ac:dyDescent="0.25">
      <c r="N5944" t="s">
        <v>715</v>
      </c>
    </row>
    <row r="5945" spans="14:14" ht="15" customHeight="1" x14ac:dyDescent="0.25">
      <c r="N5945" t="s">
        <v>715</v>
      </c>
    </row>
    <row r="5946" spans="14:14" ht="15" customHeight="1" x14ac:dyDescent="0.25">
      <c r="N5946" t="s">
        <v>715</v>
      </c>
    </row>
    <row r="5947" spans="14:14" ht="15" customHeight="1" x14ac:dyDescent="0.25">
      <c r="N5947" t="s">
        <v>715</v>
      </c>
    </row>
    <row r="5948" spans="14:14" ht="15" customHeight="1" x14ac:dyDescent="0.25">
      <c r="N5948" t="s">
        <v>715</v>
      </c>
    </row>
    <row r="5949" spans="14:14" ht="15" customHeight="1" x14ac:dyDescent="0.25">
      <c r="N5949" t="s">
        <v>715</v>
      </c>
    </row>
    <row r="5950" spans="14:14" ht="15" customHeight="1" x14ac:dyDescent="0.25">
      <c r="N5950" t="s">
        <v>715</v>
      </c>
    </row>
    <row r="5951" spans="14:14" ht="15" customHeight="1" x14ac:dyDescent="0.25">
      <c r="N5951" t="s">
        <v>715</v>
      </c>
    </row>
    <row r="5952" spans="14:14" ht="15" customHeight="1" x14ac:dyDescent="0.25">
      <c r="N5952" t="s">
        <v>715</v>
      </c>
    </row>
    <row r="5953" spans="14:14" ht="15" customHeight="1" x14ac:dyDescent="0.25">
      <c r="N5953" t="s">
        <v>715</v>
      </c>
    </row>
    <row r="5954" spans="14:14" ht="15" customHeight="1" x14ac:dyDescent="0.25">
      <c r="N5954" t="s">
        <v>715</v>
      </c>
    </row>
    <row r="5955" spans="14:14" ht="15" customHeight="1" x14ac:dyDescent="0.25">
      <c r="N5955" t="s">
        <v>715</v>
      </c>
    </row>
    <row r="5956" spans="14:14" ht="15" customHeight="1" x14ac:dyDescent="0.25">
      <c r="N5956" t="s">
        <v>592</v>
      </c>
    </row>
    <row r="5957" spans="14:14" ht="15" customHeight="1" x14ac:dyDescent="0.25">
      <c r="N5957" t="s">
        <v>606</v>
      </c>
    </row>
    <row r="5958" spans="14:14" ht="15" customHeight="1" x14ac:dyDescent="0.25">
      <c r="N5958" t="s">
        <v>713</v>
      </c>
    </row>
    <row r="5959" spans="14:14" ht="15" customHeight="1" x14ac:dyDescent="0.25">
      <c r="N5959" t="s">
        <v>713</v>
      </c>
    </row>
    <row r="5960" spans="14:14" ht="15" customHeight="1" x14ac:dyDescent="0.25">
      <c r="N5960" t="s">
        <v>686</v>
      </c>
    </row>
    <row r="5961" spans="14:14" ht="15" customHeight="1" x14ac:dyDescent="0.25">
      <c r="N5961" t="s">
        <v>412</v>
      </c>
    </row>
    <row r="5962" spans="14:14" ht="15" customHeight="1" x14ac:dyDescent="0.25">
      <c r="N5962" t="s">
        <v>603</v>
      </c>
    </row>
    <row r="5963" spans="14:14" ht="15" customHeight="1" x14ac:dyDescent="0.25">
      <c r="N5963" t="s">
        <v>715</v>
      </c>
    </row>
    <row r="5964" spans="14:14" ht="15" customHeight="1" x14ac:dyDescent="0.25">
      <c r="N5964" t="s">
        <v>715</v>
      </c>
    </row>
    <row r="5965" spans="14:14" ht="15" customHeight="1" x14ac:dyDescent="0.25">
      <c r="N5965" t="s">
        <v>690</v>
      </c>
    </row>
    <row r="5966" spans="14:14" ht="15" customHeight="1" x14ac:dyDescent="0.25">
      <c r="N5966" t="s">
        <v>582</v>
      </c>
    </row>
    <row r="5967" spans="14:14" ht="15" customHeight="1" x14ac:dyDescent="0.25">
      <c r="N5967" t="s">
        <v>715</v>
      </c>
    </row>
    <row r="5968" spans="14:14" ht="15" customHeight="1" x14ac:dyDescent="0.25">
      <c r="N5968" t="s">
        <v>342</v>
      </c>
    </row>
    <row r="5969" spans="14:14" ht="15" customHeight="1" x14ac:dyDescent="0.25">
      <c r="N5969" t="s">
        <v>582</v>
      </c>
    </row>
    <row r="5970" spans="14:14" ht="15" customHeight="1" x14ac:dyDescent="0.25">
      <c r="N5970" t="s">
        <v>698</v>
      </c>
    </row>
    <row r="5971" spans="14:14" ht="15" customHeight="1" x14ac:dyDescent="0.25">
      <c r="N5971" t="s">
        <v>582</v>
      </c>
    </row>
    <row r="5972" spans="14:14" ht="15" customHeight="1" x14ac:dyDescent="0.25">
      <c r="N5972" t="s">
        <v>655</v>
      </c>
    </row>
    <row r="5973" spans="14:14" ht="15" customHeight="1" x14ac:dyDescent="0.25">
      <c r="N5973" t="s">
        <v>320</v>
      </c>
    </row>
    <row r="5974" spans="14:14" ht="15" customHeight="1" x14ac:dyDescent="0.25">
      <c r="N5974" t="s">
        <v>294</v>
      </c>
    </row>
    <row r="5975" spans="14:14" ht="15" customHeight="1" x14ac:dyDescent="0.25">
      <c r="N5975" t="s">
        <v>294</v>
      </c>
    </row>
    <row r="5976" spans="14:14" ht="15" customHeight="1" x14ac:dyDescent="0.25">
      <c r="N5976" t="s">
        <v>294</v>
      </c>
    </row>
    <row r="5977" spans="14:14" ht="15" customHeight="1" x14ac:dyDescent="0.25">
      <c r="N5977" t="s">
        <v>294</v>
      </c>
    </row>
    <row r="5978" spans="14:14" ht="15" customHeight="1" x14ac:dyDescent="0.25">
      <c r="N5978" t="s">
        <v>715</v>
      </c>
    </row>
    <row r="5979" spans="14:14" ht="15" customHeight="1" x14ac:dyDescent="0.25">
      <c r="N5979" t="s">
        <v>715</v>
      </c>
    </row>
    <row r="5980" spans="14:14" ht="15" customHeight="1" x14ac:dyDescent="0.25">
      <c r="N5980" t="s">
        <v>715</v>
      </c>
    </row>
    <row r="5981" spans="14:14" ht="15" customHeight="1" x14ac:dyDescent="0.25">
      <c r="N5981" t="s">
        <v>715</v>
      </c>
    </row>
    <row r="5982" spans="14:14" ht="15" customHeight="1" x14ac:dyDescent="0.25">
      <c r="N5982" t="s">
        <v>715</v>
      </c>
    </row>
    <row r="5983" spans="14:14" ht="15" customHeight="1" x14ac:dyDescent="0.25">
      <c r="N5983" t="s">
        <v>715</v>
      </c>
    </row>
    <row r="5984" spans="14:14" ht="15" customHeight="1" x14ac:dyDescent="0.25">
      <c r="N5984" t="s">
        <v>715</v>
      </c>
    </row>
    <row r="5985" spans="14:14" ht="15" customHeight="1" x14ac:dyDescent="0.25">
      <c r="N5985" t="s">
        <v>715</v>
      </c>
    </row>
    <row r="5986" spans="14:14" ht="15" customHeight="1" x14ac:dyDescent="0.25">
      <c r="N5986" t="s">
        <v>715</v>
      </c>
    </row>
    <row r="5987" spans="14:14" ht="15" customHeight="1" x14ac:dyDescent="0.25">
      <c r="N5987" t="s">
        <v>715</v>
      </c>
    </row>
    <row r="5988" spans="14:14" ht="15" customHeight="1" x14ac:dyDescent="0.25">
      <c r="N5988" t="s">
        <v>715</v>
      </c>
    </row>
    <row r="5989" spans="14:14" ht="15" customHeight="1" x14ac:dyDescent="0.25">
      <c r="N5989" t="s">
        <v>715</v>
      </c>
    </row>
    <row r="5990" spans="14:14" ht="15" customHeight="1" x14ac:dyDescent="0.25">
      <c r="N5990" t="s">
        <v>715</v>
      </c>
    </row>
    <row r="5991" spans="14:14" ht="15" customHeight="1" x14ac:dyDescent="0.25">
      <c r="N5991" t="s">
        <v>715</v>
      </c>
    </row>
    <row r="5992" spans="14:14" ht="15" customHeight="1" x14ac:dyDescent="0.25">
      <c r="N5992" t="s">
        <v>715</v>
      </c>
    </row>
    <row r="5993" spans="14:14" ht="15" customHeight="1" x14ac:dyDescent="0.25">
      <c r="N5993" t="s">
        <v>715</v>
      </c>
    </row>
    <row r="5994" spans="14:14" ht="15" customHeight="1" x14ac:dyDescent="0.25">
      <c r="N5994" t="s">
        <v>715</v>
      </c>
    </row>
    <row r="5995" spans="14:14" ht="15" customHeight="1" x14ac:dyDescent="0.25">
      <c r="N5995" t="s">
        <v>715</v>
      </c>
    </row>
    <row r="5996" spans="14:14" ht="15" customHeight="1" x14ac:dyDescent="0.25">
      <c r="N5996" t="s">
        <v>715</v>
      </c>
    </row>
    <row r="5997" spans="14:14" ht="15" customHeight="1" x14ac:dyDescent="0.25">
      <c r="N5997" t="s">
        <v>715</v>
      </c>
    </row>
    <row r="5998" spans="14:14" ht="15" customHeight="1" x14ac:dyDescent="0.25">
      <c r="N5998" t="s">
        <v>715</v>
      </c>
    </row>
    <row r="5999" spans="14:14" ht="15" customHeight="1" x14ac:dyDescent="0.25">
      <c r="N5999" t="s">
        <v>715</v>
      </c>
    </row>
    <row r="6000" spans="14:14" ht="15" customHeight="1" x14ac:dyDescent="0.25">
      <c r="N6000" t="s">
        <v>715</v>
      </c>
    </row>
    <row r="6001" spans="14:14" ht="15" customHeight="1" x14ac:dyDescent="0.25">
      <c r="N6001" t="s">
        <v>715</v>
      </c>
    </row>
    <row r="6002" spans="14:14" ht="15" customHeight="1" x14ac:dyDescent="0.25">
      <c r="N6002" t="s">
        <v>715</v>
      </c>
    </row>
    <row r="6003" spans="14:14" ht="15" customHeight="1" x14ac:dyDescent="0.25">
      <c r="N6003" t="s">
        <v>715</v>
      </c>
    </row>
    <row r="6004" spans="14:14" ht="15" customHeight="1" x14ac:dyDescent="0.25">
      <c r="N6004" t="s">
        <v>715</v>
      </c>
    </row>
    <row r="6005" spans="14:14" ht="15" customHeight="1" x14ac:dyDescent="0.25">
      <c r="N6005" t="s">
        <v>769</v>
      </c>
    </row>
    <row r="6006" spans="14:14" ht="15" customHeight="1" x14ac:dyDescent="0.25">
      <c r="N6006" t="s">
        <v>713</v>
      </c>
    </row>
    <row r="6007" spans="14:14" ht="15" customHeight="1" x14ac:dyDescent="0.25">
      <c r="N6007" t="s">
        <v>411</v>
      </c>
    </row>
    <row r="6008" spans="14:14" ht="15" customHeight="1" x14ac:dyDescent="0.25">
      <c r="N6008" t="s">
        <v>376</v>
      </c>
    </row>
    <row r="6009" spans="14:14" ht="15" customHeight="1" x14ac:dyDescent="0.25">
      <c r="N6009" t="s">
        <v>687</v>
      </c>
    </row>
    <row r="6010" spans="14:14" ht="15" customHeight="1" x14ac:dyDescent="0.25">
      <c r="N6010" t="s">
        <v>689</v>
      </c>
    </row>
    <row r="6011" spans="14:14" ht="15" customHeight="1" x14ac:dyDescent="0.25">
      <c r="N6011" t="s">
        <v>733</v>
      </c>
    </row>
    <row r="6012" spans="14:14" ht="15" customHeight="1" x14ac:dyDescent="0.25">
      <c r="N6012" t="s">
        <v>715</v>
      </c>
    </row>
    <row r="6013" spans="14:14" ht="15" customHeight="1" x14ac:dyDescent="0.25">
      <c r="N6013" t="s">
        <v>698</v>
      </c>
    </row>
    <row r="6014" spans="14:14" ht="15" customHeight="1" x14ac:dyDescent="0.25">
      <c r="N6014" t="s">
        <v>403</v>
      </c>
    </row>
    <row r="6015" spans="14:14" ht="15" customHeight="1" x14ac:dyDescent="0.25">
      <c r="N6015" t="s">
        <v>403</v>
      </c>
    </row>
    <row r="6016" spans="14:14" ht="15" customHeight="1" x14ac:dyDescent="0.25">
      <c r="N6016" t="s">
        <v>403</v>
      </c>
    </row>
    <row r="6017" spans="14:14" ht="15" customHeight="1" x14ac:dyDescent="0.25">
      <c r="N6017" t="s">
        <v>403</v>
      </c>
    </row>
    <row r="6018" spans="14:14" ht="15" customHeight="1" x14ac:dyDescent="0.25">
      <c r="N6018" t="s">
        <v>403</v>
      </c>
    </row>
    <row r="6019" spans="14:14" ht="15" customHeight="1" x14ac:dyDescent="0.25">
      <c r="N6019" t="s">
        <v>403</v>
      </c>
    </row>
    <row r="6020" spans="14:14" ht="15" customHeight="1" x14ac:dyDescent="0.25">
      <c r="N6020" t="s">
        <v>403</v>
      </c>
    </row>
    <row r="6021" spans="14:14" ht="15" customHeight="1" x14ac:dyDescent="0.25">
      <c r="N6021" t="s">
        <v>715</v>
      </c>
    </row>
    <row r="6022" spans="14:14" ht="15" customHeight="1" x14ac:dyDescent="0.25">
      <c r="N6022" t="s">
        <v>747</v>
      </c>
    </row>
    <row r="6023" spans="14:14" ht="15" customHeight="1" x14ac:dyDescent="0.25">
      <c r="N6023" t="s">
        <v>686</v>
      </c>
    </row>
    <row r="6024" spans="14:14" ht="15" customHeight="1" x14ac:dyDescent="0.25">
      <c r="N6024" t="s">
        <v>405</v>
      </c>
    </row>
    <row r="6025" spans="14:14" ht="15" customHeight="1" x14ac:dyDescent="0.25">
      <c r="N6025" t="s">
        <v>687</v>
      </c>
    </row>
    <row r="6026" spans="14:14" ht="15" customHeight="1" x14ac:dyDescent="0.25">
      <c r="N6026" t="s">
        <v>715</v>
      </c>
    </row>
    <row r="6027" spans="14:14" ht="15" customHeight="1" x14ac:dyDescent="0.25">
      <c r="N6027" t="s">
        <v>406</v>
      </c>
    </row>
    <row r="6028" spans="14:14" ht="15" customHeight="1" x14ac:dyDescent="0.25">
      <c r="N6028" t="s">
        <v>655</v>
      </c>
    </row>
    <row r="6029" spans="14:14" ht="15" customHeight="1" x14ac:dyDescent="0.25">
      <c r="N6029" t="s">
        <v>634</v>
      </c>
    </row>
    <row r="6030" spans="14:14" ht="15" customHeight="1" x14ac:dyDescent="0.25">
      <c r="N6030" t="s">
        <v>686</v>
      </c>
    </row>
    <row r="6031" spans="14:14" ht="15" customHeight="1" x14ac:dyDescent="0.25">
      <c r="N6031" t="s">
        <v>686</v>
      </c>
    </row>
    <row r="6032" spans="14:14" ht="15" customHeight="1" x14ac:dyDescent="0.25">
      <c r="N6032" t="s">
        <v>690</v>
      </c>
    </row>
    <row r="6033" spans="14:14" ht="15" customHeight="1" x14ac:dyDescent="0.25">
      <c r="N6033" t="s">
        <v>732</v>
      </c>
    </row>
    <row r="6034" spans="14:14" ht="15" customHeight="1" x14ac:dyDescent="0.25">
      <c r="N6034" t="s">
        <v>313</v>
      </c>
    </row>
    <row r="6035" spans="14:14" ht="15" customHeight="1" x14ac:dyDescent="0.25">
      <c r="N6035" t="s">
        <v>683</v>
      </c>
    </row>
    <row r="6036" spans="14:14" ht="15" customHeight="1" x14ac:dyDescent="0.25">
      <c r="N6036" t="s">
        <v>655</v>
      </c>
    </row>
    <row r="6037" spans="14:14" ht="15" customHeight="1" x14ac:dyDescent="0.25">
      <c r="N6037" t="s">
        <v>435</v>
      </c>
    </row>
    <row r="6038" spans="14:14" ht="15" customHeight="1" x14ac:dyDescent="0.25">
      <c r="N6038" t="s">
        <v>646</v>
      </c>
    </row>
    <row r="6039" spans="14:14" ht="15" customHeight="1" x14ac:dyDescent="0.25">
      <c r="N6039" t="s">
        <v>458</v>
      </c>
    </row>
    <row r="6040" spans="14:14" ht="15" customHeight="1" x14ac:dyDescent="0.25">
      <c r="N6040" t="s">
        <v>555</v>
      </c>
    </row>
    <row r="6041" spans="14:14" ht="15" customHeight="1" x14ac:dyDescent="0.25">
      <c r="N6041" t="s">
        <v>294</v>
      </c>
    </row>
    <row r="6042" spans="14:14" ht="15" customHeight="1" x14ac:dyDescent="0.25">
      <c r="N6042" t="s">
        <v>313</v>
      </c>
    </row>
    <row r="6043" spans="14:14" ht="15" customHeight="1" x14ac:dyDescent="0.25">
      <c r="N6043" t="s">
        <v>690</v>
      </c>
    </row>
    <row r="6044" spans="14:14" ht="15" customHeight="1" x14ac:dyDescent="0.25">
      <c r="N6044" t="s">
        <v>636</v>
      </c>
    </row>
    <row r="6045" spans="14:14" ht="15" customHeight="1" x14ac:dyDescent="0.25">
      <c r="N6045" t="s">
        <v>636</v>
      </c>
    </row>
    <row r="6046" spans="14:14" ht="15" customHeight="1" x14ac:dyDescent="0.25">
      <c r="N6046" t="s">
        <v>636</v>
      </c>
    </row>
    <row r="6047" spans="14:14" ht="15" customHeight="1" x14ac:dyDescent="0.25">
      <c r="N6047" t="s">
        <v>636</v>
      </c>
    </row>
    <row r="6048" spans="14:14" ht="15" customHeight="1" x14ac:dyDescent="0.25">
      <c r="N6048" t="s">
        <v>636</v>
      </c>
    </row>
    <row r="6049" spans="14:14" ht="15" customHeight="1" x14ac:dyDescent="0.25">
      <c r="N6049" t="s">
        <v>636</v>
      </c>
    </row>
    <row r="6050" spans="14:14" ht="15" customHeight="1" x14ac:dyDescent="0.25">
      <c r="N6050" t="s">
        <v>636</v>
      </c>
    </row>
    <row r="6051" spans="14:14" ht="15" customHeight="1" x14ac:dyDescent="0.25">
      <c r="N6051" t="s">
        <v>636</v>
      </c>
    </row>
    <row r="6052" spans="14:14" ht="15" customHeight="1" x14ac:dyDescent="0.25">
      <c r="N6052" t="s">
        <v>582</v>
      </c>
    </row>
    <row r="6053" spans="14:14" ht="15" customHeight="1" x14ac:dyDescent="0.25">
      <c r="N6053" t="s">
        <v>683</v>
      </c>
    </row>
    <row r="6054" spans="14:14" ht="15" customHeight="1" x14ac:dyDescent="0.25">
      <c r="N6054" t="s">
        <v>698</v>
      </c>
    </row>
    <row r="6055" spans="14:14" ht="15" customHeight="1" x14ac:dyDescent="0.25">
      <c r="N6055" t="s">
        <v>646</v>
      </c>
    </row>
    <row r="6056" spans="14:14" ht="15" customHeight="1" x14ac:dyDescent="0.25">
      <c r="N6056" t="s">
        <v>636</v>
      </c>
    </row>
    <row r="6057" spans="14:14" ht="15" customHeight="1" x14ac:dyDescent="0.25">
      <c r="N6057" t="s">
        <v>294</v>
      </c>
    </row>
    <row r="6058" spans="14:14" ht="15" customHeight="1" x14ac:dyDescent="0.25">
      <c r="N6058" t="s">
        <v>605</v>
      </c>
    </row>
    <row r="6059" spans="14:14" ht="15" customHeight="1" x14ac:dyDescent="0.25">
      <c r="N6059" t="s">
        <v>698</v>
      </c>
    </row>
    <row r="6060" spans="14:14" ht="15" customHeight="1" x14ac:dyDescent="0.25">
      <c r="N6060" t="s">
        <v>448</v>
      </c>
    </row>
    <row r="6061" spans="14:14" ht="15" customHeight="1" x14ac:dyDescent="0.25">
      <c r="N6061" t="s">
        <v>448</v>
      </c>
    </row>
    <row r="6062" spans="14:14" ht="15" customHeight="1" x14ac:dyDescent="0.25">
      <c r="N6062" t="s">
        <v>448</v>
      </c>
    </row>
    <row r="6063" spans="14:14" ht="15" customHeight="1" x14ac:dyDescent="0.25">
      <c r="N6063" t="s">
        <v>448</v>
      </c>
    </row>
    <row r="6064" spans="14:14" ht="15" customHeight="1" x14ac:dyDescent="0.25">
      <c r="N6064" t="s">
        <v>448</v>
      </c>
    </row>
    <row r="6065" spans="14:14" ht="15" customHeight="1" x14ac:dyDescent="0.25">
      <c r="N6065" t="s">
        <v>448</v>
      </c>
    </row>
    <row r="6066" spans="14:14" ht="15" customHeight="1" x14ac:dyDescent="0.25">
      <c r="N6066" t="s">
        <v>448</v>
      </c>
    </row>
    <row r="6067" spans="14:14" ht="15" customHeight="1" x14ac:dyDescent="0.25">
      <c r="N6067" t="s">
        <v>448</v>
      </c>
    </row>
    <row r="6068" spans="14:14" ht="15" customHeight="1" x14ac:dyDescent="0.25">
      <c r="N6068" t="s">
        <v>448</v>
      </c>
    </row>
    <row r="6069" spans="14:14" ht="15" customHeight="1" x14ac:dyDescent="0.25">
      <c r="N6069" t="s">
        <v>448</v>
      </c>
    </row>
    <row r="6070" spans="14:14" ht="15" customHeight="1" x14ac:dyDescent="0.25">
      <c r="N6070" t="s">
        <v>448</v>
      </c>
    </row>
    <row r="6071" spans="14:14" ht="15" customHeight="1" x14ac:dyDescent="0.25">
      <c r="N6071" t="s">
        <v>448</v>
      </c>
    </row>
    <row r="6072" spans="14:14" ht="15" customHeight="1" x14ac:dyDescent="0.25">
      <c r="N6072" t="s">
        <v>448</v>
      </c>
    </row>
    <row r="6073" spans="14:14" ht="15" customHeight="1" x14ac:dyDescent="0.25">
      <c r="N6073" t="s">
        <v>715</v>
      </c>
    </row>
    <row r="6074" spans="14:14" ht="15" customHeight="1" x14ac:dyDescent="0.25">
      <c r="N6074" t="s">
        <v>636</v>
      </c>
    </row>
    <row r="6075" spans="14:14" ht="15" customHeight="1" x14ac:dyDescent="0.25">
      <c r="N6075" t="s">
        <v>683</v>
      </c>
    </row>
    <row r="6076" spans="14:14" ht="15" customHeight="1" x14ac:dyDescent="0.25">
      <c r="N6076" t="s">
        <v>698</v>
      </c>
    </row>
    <row r="6077" spans="14:14" ht="15" customHeight="1" x14ac:dyDescent="0.25">
      <c r="N6077" t="s">
        <v>350</v>
      </c>
    </row>
    <row r="6078" spans="14:14" ht="15" customHeight="1" x14ac:dyDescent="0.25">
      <c r="N6078" t="s">
        <v>690</v>
      </c>
    </row>
    <row r="6079" spans="14:14" ht="15" customHeight="1" x14ac:dyDescent="0.25">
      <c r="N6079" t="s">
        <v>732</v>
      </c>
    </row>
    <row r="6080" spans="14:14" ht="15" customHeight="1" x14ac:dyDescent="0.25">
      <c r="N6080" t="s">
        <v>732</v>
      </c>
    </row>
    <row r="6081" spans="14:14" ht="15" customHeight="1" x14ac:dyDescent="0.25">
      <c r="N6081" t="s">
        <v>732</v>
      </c>
    </row>
    <row r="6082" spans="14:14" ht="15" customHeight="1" x14ac:dyDescent="0.25">
      <c r="N6082" t="s">
        <v>732</v>
      </c>
    </row>
    <row r="6083" spans="14:14" ht="15" customHeight="1" x14ac:dyDescent="0.25">
      <c r="N6083" t="s">
        <v>732</v>
      </c>
    </row>
    <row r="6084" spans="14:14" ht="15" customHeight="1" x14ac:dyDescent="0.25">
      <c r="N6084" t="s">
        <v>732</v>
      </c>
    </row>
    <row r="6085" spans="14:14" ht="15" customHeight="1" x14ac:dyDescent="0.25">
      <c r="N6085" t="s">
        <v>732</v>
      </c>
    </row>
    <row r="6086" spans="14:14" ht="15" customHeight="1" x14ac:dyDescent="0.25">
      <c r="N6086" t="s">
        <v>663</v>
      </c>
    </row>
    <row r="6087" spans="14:14" ht="15" customHeight="1" x14ac:dyDescent="0.25">
      <c r="N6087" t="s">
        <v>683</v>
      </c>
    </row>
    <row r="6088" spans="14:14" ht="15" customHeight="1" x14ac:dyDescent="0.25">
      <c r="N6088" t="s">
        <v>698</v>
      </c>
    </row>
    <row r="6089" spans="14:14" ht="15" customHeight="1" x14ac:dyDescent="0.25">
      <c r="N6089" t="s">
        <v>732</v>
      </c>
    </row>
    <row r="6090" spans="14:14" ht="15" customHeight="1" x14ac:dyDescent="0.25">
      <c r="N6090" t="s">
        <v>732</v>
      </c>
    </row>
    <row r="6091" spans="14:14" ht="15" customHeight="1" x14ac:dyDescent="0.25">
      <c r="N6091" t="s">
        <v>313</v>
      </c>
    </row>
    <row r="6092" spans="14:14" ht="15" customHeight="1" x14ac:dyDescent="0.25">
      <c r="N6092" t="s">
        <v>313</v>
      </c>
    </row>
    <row r="6093" spans="14:14" ht="15" customHeight="1" x14ac:dyDescent="0.25">
      <c r="N6093" t="s">
        <v>313</v>
      </c>
    </row>
    <row r="6094" spans="14:14" ht="15" customHeight="1" x14ac:dyDescent="0.25">
      <c r="N6094" t="s">
        <v>313</v>
      </c>
    </row>
    <row r="6095" spans="14:14" ht="15" customHeight="1" x14ac:dyDescent="0.25">
      <c r="N6095" t="s">
        <v>313</v>
      </c>
    </row>
    <row r="6096" spans="14:14" ht="15" customHeight="1" x14ac:dyDescent="0.25">
      <c r="N6096" t="s">
        <v>313</v>
      </c>
    </row>
    <row r="6097" spans="14:14" ht="15" customHeight="1" x14ac:dyDescent="0.25">
      <c r="N6097" t="s">
        <v>313</v>
      </c>
    </row>
    <row r="6098" spans="14:14" ht="15" customHeight="1" x14ac:dyDescent="0.25">
      <c r="N6098" t="s">
        <v>683</v>
      </c>
    </row>
    <row r="6099" spans="14:14" ht="15" customHeight="1" x14ac:dyDescent="0.25">
      <c r="N6099" t="s">
        <v>634</v>
      </c>
    </row>
    <row r="6100" spans="14:14" ht="15" customHeight="1" x14ac:dyDescent="0.25">
      <c r="N6100" t="s">
        <v>499</v>
      </c>
    </row>
    <row r="6101" spans="14:14" ht="15" customHeight="1" x14ac:dyDescent="0.25">
      <c r="N6101" t="s">
        <v>313</v>
      </c>
    </row>
    <row r="6102" spans="14:14" ht="15" customHeight="1" x14ac:dyDescent="0.25">
      <c r="N6102" t="s">
        <v>313</v>
      </c>
    </row>
    <row r="6103" spans="14:14" ht="15" customHeight="1" x14ac:dyDescent="0.25">
      <c r="N6103" t="s">
        <v>313</v>
      </c>
    </row>
    <row r="6104" spans="14:14" ht="15" customHeight="1" x14ac:dyDescent="0.25">
      <c r="N6104" t="s">
        <v>636</v>
      </c>
    </row>
    <row r="6105" spans="14:14" ht="15" customHeight="1" x14ac:dyDescent="0.25">
      <c r="N6105" t="s">
        <v>683</v>
      </c>
    </row>
    <row r="6106" spans="14:14" ht="15" customHeight="1" x14ac:dyDescent="0.25">
      <c r="N6106" t="s">
        <v>579</v>
      </c>
    </row>
    <row r="6107" spans="14:14" ht="15" customHeight="1" x14ac:dyDescent="0.25">
      <c r="N6107" t="s">
        <v>663</v>
      </c>
    </row>
    <row r="6108" spans="14:14" ht="15" customHeight="1" x14ac:dyDescent="0.25">
      <c r="N6108" t="s">
        <v>732</v>
      </c>
    </row>
    <row r="6109" spans="14:14" ht="15" customHeight="1" x14ac:dyDescent="0.25">
      <c r="N6109" t="s">
        <v>732</v>
      </c>
    </row>
    <row r="6110" spans="14:14" ht="15" customHeight="1" x14ac:dyDescent="0.25">
      <c r="N6110" t="s">
        <v>313</v>
      </c>
    </row>
    <row r="6111" spans="14:14" ht="15" customHeight="1" x14ac:dyDescent="0.25">
      <c r="N6111" t="s">
        <v>463</v>
      </c>
    </row>
    <row r="6112" spans="14:14" ht="15" customHeight="1" x14ac:dyDescent="0.25">
      <c r="N6112" t="s">
        <v>654</v>
      </c>
    </row>
    <row r="6113" spans="14:14" ht="15" customHeight="1" x14ac:dyDescent="0.25">
      <c r="N6113" t="s">
        <v>313</v>
      </c>
    </row>
    <row r="6114" spans="14:14" ht="15" customHeight="1" x14ac:dyDescent="0.25">
      <c r="N6114" t="s">
        <v>713</v>
      </c>
    </row>
    <row r="6115" spans="14:14" ht="15" customHeight="1" x14ac:dyDescent="0.25">
      <c r="N6115" t="s">
        <v>579</v>
      </c>
    </row>
    <row r="6116" spans="14:14" ht="15" customHeight="1" x14ac:dyDescent="0.25">
      <c r="N6116" t="s">
        <v>663</v>
      </c>
    </row>
    <row r="6117" spans="14:14" ht="15" customHeight="1" x14ac:dyDescent="0.25">
      <c r="N6117" t="s">
        <v>732</v>
      </c>
    </row>
    <row r="6118" spans="14:14" ht="15" customHeight="1" x14ac:dyDescent="0.25">
      <c r="N6118" t="s">
        <v>355</v>
      </c>
    </row>
    <row r="6119" spans="14:14" ht="15" customHeight="1" x14ac:dyDescent="0.25">
      <c r="N6119" t="s">
        <v>732</v>
      </c>
    </row>
    <row r="6120" spans="14:14" ht="15" customHeight="1" x14ac:dyDescent="0.25">
      <c r="N6120" t="s">
        <v>654</v>
      </c>
    </row>
    <row r="6121" spans="14:14" ht="15" customHeight="1" x14ac:dyDescent="0.25">
      <c r="N6121" t="s">
        <v>485</v>
      </c>
    </row>
    <row r="6122" spans="14:14" ht="15" customHeight="1" x14ac:dyDescent="0.25">
      <c r="N6122" t="s">
        <v>363</v>
      </c>
    </row>
    <row r="6123" spans="14:14" ht="15" customHeight="1" x14ac:dyDescent="0.25">
      <c r="N6123" t="s">
        <v>713</v>
      </c>
    </row>
    <row r="6124" spans="14:14" ht="15" customHeight="1" x14ac:dyDescent="0.25">
      <c r="N6124" t="s">
        <v>713</v>
      </c>
    </row>
    <row r="6125" spans="14:14" ht="15" customHeight="1" x14ac:dyDescent="0.25">
      <c r="N6125" t="s">
        <v>685</v>
      </c>
    </row>
    <row r="6126" spans="14:14" ht="15" customHeight="1" x14ac:dyDescent="0.25">
      <c r="N6126" t="s">
        <v>732</v>
      </c>
    </row>
    <row r="6127" spans="14:14" ht="15" customHeight="1" x14ac:dyDescent="0.25">
      <c r="N6127" t="s">
        <v>687</v>
      </c>
    </row>
    <row r="6128" spans="14:14" ht="15" customHeight="1" x14ac:dyDescent="0.25">
      <c r="N6128" t="s">
        <v>313</v>
      </c>
    </row>
    <row r="6129" spans="14:14" ht="15" customHeight="1" x14ac:dyDescent="0.25">
      <c r="N6129" t="s">
        <v>670</v>
      </c>
    </row>
    <row r="6130" spans="14:14" ht="15" customHeight="1" x14ac:dyDescent="0.25">
      <c r="N6130" t="s">
        <v>370</v>
      </c>
    </row>
    <row r="6131" spans="14:14" ht="15" customHeight="1" x14ac:dyDescent="0.25">
      <c r="N6131" t="s">
        <v>732</v>
      </c>
    </row>
    <row r="6132" spans="14:14" ht="15" customHeight="1" x14ac:dyDescent="0.25">
      <c r="N6132" t="s">
        <v>304</v>
      </c>
    </row>
    <row r="6133" spans="14:14" ht="15" customHeight="1" x14ac:dyDescent="0.25">
      <c r="N6133" t="s">
        <v>313</v>
      </c>
    </row>
    <row r="6134" spans="14:14" ht="15" customHeight="1" x14ac:dyDescent="0.25">
      <c r="N6134" t="s">
        <v>582</v>
      </c>
    </row>
    <row r="6135" spans="14:14" ht="15" customHeight="1" x14ac:dyDescent="0.25">
      <c r="N6135" t="s">
        <v>582</v>
      </c>
    </row>
    <row r="6136" spans="14:14" ht="15" customHeight="1" x14ac:dyDescent="0.25">
      <c r="N6136" t="s">
        <v>582</v>
      </c>
    </row>
    <row r="6137" spans="14:14" ht="15" customHeight="1" x14ac:dyDescent="0.25">
      <c r="N6137" t="s">
        <v>582</v>
      </c>
    </row>
    <row r="6138" spans="14:14" ht="15" customHeight="1" x14ac:dyDescent="0.25">
      <c r="N6138" t="s">
        <v>582</v>
      </c>
    </row>
    <row r="6139" spans="14:14" ht="15" customHeight="1" x14ac:dyDescent="0.25">
      <c r="N6139" t="s">
        <v>582</v>
      </c>
    </row>
    <row r="6140" spans="14:14" ht="15" customHeight="1" x14ac:dyDescent="0.25">
      <c r="N6140" t="s">
        <v>582</v>
      </c>
    </row>
    <row r="6141" spans="14:14" ht="15" customHeight="1" x14ac:dyDescent="0.25">
      <c r="N6141" t="s">
        <v>732</v>
      </c>
    </row>
    <row r="6142" spans="14:14" ht="15" customHeight="1" x14ac:dyDescent="0.25">
      <c r="N6142" t="s">
        <v>732</v>
      </c>
    </row>
    <row r="6143" spans="14:14" ht="15" customHeight="1" x14ac:dyDescent="0.25">
      <c r="N6143" t="s">
        <v>732</v>
      </c>
    </row>
    <row r="6144" spans="14:14" ht="15" customHeight="1" x14ac:dyDescent="0.25">
      <c r="N6144" t="s">
        <v>732</v>
      </c>
    </row>
    <row r="6145" spans="14:14" ht="15" customHeight="1" x14ac:dyDescent="0.25">
      <c r="N6145" t="s">
        <v>732</v>
      </c>
    </row>
    <row r="6146" spans="14:14" ht="15" customHeight="1" x14ac:dyDescent="0.25">
      <c r="N6146" t="s">
        <v>732</v>
      </c>
    </row>
    <row r="6147" spans="14:14" ht="15" customHeight="1" x14ac:dyDescent="0.25">
      <c r="N6147" t="s">
        <v>732</v>
      </c>
    </row>
    <row r="6148" spans="14:14" ht="15" customHeight="1" x14ac:dyDescent="0.25">
      <c r="N6148" t="s">
        <v>732</v>
      </c>
    </row>
    <row r="6149" spans="14:14" ht="15" customHeight="1" x14ac:dyDescent="0.25">
      <c r="N6149" t="s">
        <v>732</v>
      </c>
    </row>
    <row r="6150" spans="14:14" ht="15" customHeight="1" x14ac:dyDescent="0.25">
      <c r="N6150" t="s">
        <v>732</v>
      </c>
    </row>
    <row r="6151" spans="14:14" ht="15" customHeight="1" x14ac:dyDescent="0.25">
      <c r="N6151" t="s">
        <v>732</v>
      </c>
    </row>
    <row r="6152" spans="14:14" ht="15" customHeight="1" x14ac:dyDescent="0.25">
      <c r="N6152" t="s">
        <v>732</v>
      </c>
    </row>
    <row r="6153" spans="14:14" ht="15" customHeight="1" x14ac:dyDescent="0.25">
      <c r="N6153" t="s">
        <v>732</v>
      </c>
    </row>
    <row r="6154" spans="14:14" ht="15" customHeight="1" x14ac:dyDescent="0.25">
      <c r="N6154" t="s">
        <v>732</v>
      </c>
    </row>
    <row r="6155" spans="14:14" ht="15" customHeight="1" x14ac:dyDescent="0.25">
      <c r="N6155" t="s">
        <v>732</v>
      </c>
    </row>
    <row r="6156" spans="14:14" ht="15" customHeight="1" x14ac:dyDescent="0.25">
      <c r="N6156" t="s">
        <v>732</v>
      </c>
    </row>
    <row r="6157" spans="14:14" ht="15" customHeight="1" x14ac:dyDescent="0.25">
      <c r="N6157" t="s">
        <v>732</v>
      </c>
    </row>
    <row r="6158" spans="14:14" ht="15" customHeight="1" x14ac:dyDescent="0.25">
      <c r="N6158" t="s">
        <v>732</v>
      </c>
    </row>
    <row r="6159" spans="14:14" ht="15" customHeight="1" x14ac:dyDescent="0.25">
      <c r="N6159" t="s">
        <v>732</v>
      </c>
    </row>
    <row r="6160" spans="14:14" ht="15" customHeight="1" x14ac:dyDescent="0.25">
      <c r="N6160" t="s">
        <v>732</v>
      </c>
    </row>
    <row r="6161" spans="14:14" ht="15" customHeight="1" x14ac:dyDescent="0.25">
      <c r="N6161" t="s">
        <v>732</v>
      </c>
    </row>
    <row r="6162" spans="14:14" ht="15" customHeight="1" x14ac:dyDescent="0.25">
      <c r="N6162" t="s">
        <v>313</v>
      </c>
    </row>
    <row r="6163" spans="14:14" ht="15" customHeight="1" x14ac:dyDescent="0.25">
      <c r="N6163" t="s">
        <v>313</v>
      </c>
    </row>
    <row r="6164" spans="14:14" ht="15" customHeight="1" x14ac:dyDescent="0.25">
      <c r="N6164" t="s">
        <v>698</v>
      </c>
    </row>
    <row r="6165" spans="14:14" ht="15" customHeight="1" x14ac:dyDescent="0.25">
      <c r="N6165" t="s">
        <v>582</v>
      </c>
    </row>
    <row r="6166" spans="14:14" ht="15" customHeight="1" x14ac:dyDescent="0.25">
      <c r="N6166" t="s">
        <v>696</v>
      </c>
    </row>
    <row r="6167" spans="14:14" ht="15" customHeight="1" x14ac:dyDescent="0.25">
      <c r="N6167" t="s">
        <v>582</v>
      </c>
    </row>
    <row r="6168" spans="14:14" ht="15" customHeight="1" x14ac:dyDescent="0.25">
      <c r="N6168" t="s">
        <v>582</v>
      </c>
    </row>
    <row r="6169" spans="14:14" ht="15" customHeight="1" x14ac:dyDescent="0.25">
      <c r="N6169" t="s">
        <v>582</v>
      </c>
    </row>
    <row r="6170" spans="14:14" ht="15" customHeight="1" x14ac:dyDescent="0.25">
      <c r="N6170" t="s">
        <v>582</v>
      </c>
    </row>
    <row r="6171" spans="14:14" ht="15" customHeight="1" x14ac:dyDescent="0.25">
      <c r="N6171" t="s">
        <v>582</v>
      </c>
    </row>
    <row r="6172" spans="14:14" ht="15" customHeight="1" x14ac:dyDescent="0.25">
      <c r="N6172" t="s">
        <v>582</v>
      </c>
    </row>
    <row r="6173" spans="14:14" ht="15" customHeight="1" x14ac:dyDescent="0.25">
      <c r="N6173" t="s">
        <v>582</v>
      </c>
    </row>
    <row r="6174" spans="14:14" ht="15" customHeight="1" x14ac:dyDescent="0.25">
      <c r="N6174" t="s">
        <v>582</v>
      </c>
    </row>
    <row r="6175" spans="14:14" ht="15" customHeight="1" x14ac:dyDescent="0.25">
      <c r="N6175" t="s">
        <v>68</v>
      </c>
    </row>
    <row r="6176" spans="14:14" ht="15" customHeight="1" x14ac:dyDescent="0.25">
      <c r="N6176" t="s">
        <v>685</v>
      </c>
    </row>
    <row r="6177" spans="14:14" ht="15" customHeight="1" x14ac:dyDescent="0.25">
      <c r="N6177" t="s">
        <v>734</v>
      </c>
    </row>
    <row r="6178" spans="14:14" ht="15" customHeight="1" x14ac:dyDescent="0.25">
      <c r="N6178" t="s">
        <v>715</v>
      </c>
    </row>
    <row r="6179" spans="14:14" ht="15" customHeight="1" x14ac:dyDescent="0.25">
      <c r="N6179" t="s">
        <v>732</v>
      </c>
    </row>
    <row r="6180" spans="14:14" ht="15" customHeight="1" x14ac:dyDescent="0.25">
      <c r="N6180" t="s">
        <v>684</v>
      </c>
    </row>
    <row r="6181" spans="14:14" ht="15" customHeight="1" x14ac:dyDescent="0.25">
      <c r="N6181" t="s">
        <v>732</v>
      </c>
    </row>
    <row r="6182" spans="14:14" ht="15" customHeight="1" x14ac:dyDescent="0.25">
      <c r="N6182" t="s">
        <v>732</v>
      </c>
    </row>
    <row r="6183" spans="14:14" ht="15" customHeight="1" x14ac:dyDescent="0.25">
      <c r="N6183" t="s">
        <v>732</v>
      </c>
    </row>
    <row r="6184" spans="14:14" ht="15" customHeight="1" x14ac:dyDescent="0.25">
      <c r="N6184" t="s">
        <v>732</v>
      </c>
    </row>
    <row r="6185" spans="14:14" ht="15" customHeight="1" x14ac:dyDescent="0.25">
      <c r="N6185" t="s">
        <v>732</v>
      </c>
    </row>
    <row r="6186" spans="14:14" ht="15" customHeight="1" x14ac:dyDescent="0.25">
      <c r="N6186" t="s">
        <v>732</v>
      </c>
    </row>
    <row r="6187" spans="14:14" ht="15" customHeight="1" x14ac:dyDescent="0.25">
      <c r="N6187" t="s">
        <v>732</v>
      </c>
    </row>
    <row r="6188" spans="14:14" ht="15" customHeight="1" x14ac:dyDescent="0.25">
      <c r="N6188" t="s">
        <v>732</v>
      </c>
    </row>
    <row r="6189" spans="14:14" ht="15" customHeight="1" x14ac:dyDescent="0.25">
      <c r="N6189" t="s">
        <v>732</v>
      </c>
    </row>
    <row r="6190" spans="14:14" ht="15" customHeight="1" x14ac:dyDescent="0.25">
      <c r="N6190" t="s">
        <v>732</v>
      </c>
    </row>
    <row r="6191" spans="14:14" ht="15" customHeight="1" x14ac:dyDescent="0.25">
      <c r="N6191" t="s">
        <v>732</v>
      </c>
    </row>
    <row r="6192" spans="14:14" ht="15" customHeight="1" x14ac:dyDescent="0.25">
      <c r="N6192" t="s">
        <v>732</v>
      </c>
    </row>
    <row r="6193" spans="14:14" ht="15" customHeight="1" x14ac:dyDescent="0.25">
      <c r="N6193" t="s">
        <v>732</v>
      </c>
    </row>
    <row r="6194" spans="14:14" ht="15" customHeight="1" x14ac:dyDescent="0.25">
      <c r="N6194" t="s">
        <v>732</v>
      </c>
    </row>
    <row r="6195" spans="14:14" ht="15" customHeight="1" x14ac:dyDescent="0.25">
      <c r="N6195" t="s">
        <v>732</v>
      </c>
    </row>
    <row r="6196" spans="14:14" ht="15" customHeight="1" x14ac:dyDescent="0.25">
      <c r="N6196" t="s">
        <v>732</v>
      </c>
    </row>
    <row r="6197" spans="14:14" ht="15" customHeight="1" x14ac:dyDescent="0.25">
      <c r="N6197" t="s">
        <v>732</v>
      </c>
    </row>
    <row r="6198" spans="14:14" ht="15" customHeight="1" x14ac:dyDescent="0.25">
      <c r="N6198" t="s">
        <v>732</v>
      </c>
    </row>
    <row r="6199" spans="14:14" ht="15" customHeight="1" x14ac:dyDescent="0.25">
      <c r="N6199" t="s">
        <v>732</v>
      </c>
    </row>
    <row r="6200" spans="14:14" ht="15" customHeight="1" x14ac:dyDescent="0.25">
      <c r="N6200" t="s">
        <v>732</v>
      </c>
    </row>
    <row r="6201" spans="14:14" ht="15" customHeight="1" x14ac:dyDescent="0.25">
      <c r="N6201" t="s">
        <v>732</v>
      </c>
    </row>
    <row r="6202" spans="14:14" ht="15" customHeight="1" x14ac:dyDescent="0.25">
      <c r="N6202" t="s">
        <v>732</v>
      </c>
    </row>
    <row r="6203" spans="14:14" ht="15" customHeight="1" x14ac:dyDescent="0.25">
      <c r="N6203" t="s">
        <v>732</v>
      </c>
    </row>
    <row r="6204" spans="14:14" ht="15" customHeight="1" x14ac:dyDescent="0.25">
      <c r="N6204" t="s">
        <v>732</v>
      </c>
    </row>
    <row r="6205" spans="14:14" ht="15" customHeight="1" x14ac:dyDescent="0.25">
      <c r="N6205" t="s">
        <v>732</v>
      </c>
    </row>
    <row r="6206" spans="14:14" ht="15" customHeight="1" x14ac:dyDescent="0.25">
      <c r="N6206" t="s">
        <v>732</v>
      </c>
    </row>
    <row r="6207" spans="14:14" ht="15" customHeight="1" x14ac:dyDescent="0.25">
      <c r="N6207" t="s">
        <v>582</v>
      </c>
    </row>
    <row r="6208" spans="14:14" ht="15" customHeight="1" x14ac:dyDescent="0.25">
      <c r="N6208" t="s">
        <v>732</v>
      </c>
    </row>
    <row r="6209" spans="14:14" ht="15" customHeight="1" x14ac:dyDescent="0.25">
      <c r="N6209" t="s">
        <v>732</v>
      </c>
    </row>
    <row r="6210" spans="14:14" ht="15" customHeight="1" x14ac:dyDescent="0.25">
      <c r="N6210" t="s">
        <v>582</v>
      </c>
    </row>
    <row r="6211" spans="14:14" ht="15" customHeight="1" x14ac:dyDescent="0.25">
      <c r="N6211" t="s">
        <v>732</v>
      </c>
    </row>
    <row r="6212" spans="14:14" ht="15" customHeight="1" x14ac:dyDescent="0.25">
      <c r="N6212" t="s">
        <v>603</v>
      </c>
    </row>
    <row r="6213" spans="14:14" ht="15" customHeight="1" x14ac:dyDescent="0.25">
      <c r="N6213" t="s">
        <v>654</v>
      </c>
    </row>
    <row r="6214" spans="14:14" ht="15" customHeight="1" x14ac:dyDescent="0.25">
      <c r="N6214" t="s">
        <v>685</v>
      </c>
    </row>
    <row r="6215" spans="14:14" ht="15" customHeight="1" x14ac:dyDescent="0.25">
      <c r="N6215" t="s">
        <v>313</v>
      </c>
    </row>
    <row r="6216" spans="14:14" ht="15" customHeight="1" x14ac:dyDescent="0.25">
      <c r="N6216" t="s">
        <v>685</v>
      </c>
    </row>
    <row r="6217" spans="14:14" ht="15" customHeight="1" x14ac:dyDescent="0.25">
      <c r="N6217" t="s">
        <v>646</v>
      </c>
    </row>
    <row r="6218" spans="14:14" ht="15" customHeight="1" x14ac:dyDescent="0.25">
      <c r="N6218" t="s">
        <v>304</v>
      </c>
    </row>
    <row r="6219" spans="14:14" ht="15" customHeight="1" x14ac:dyDescent="0.25">
      <c r="N6219" t="s">
        <v>735</v>
      </c>
    </row>
    <row r="6220" spans="14:14" ht="15" customHeight="1" x14ac:dyDescent="0.25">
      <c r="N6220" t="s">
        <v>735</v>
      </c>
    </row>
    <row r="6221" spans="14:14" ht="15" customHeight="1" x14ac:dyDescent="0.25">
      <c r="N6221" t="s">
        <v>735</v>
      </c>
    </row>
    <row r="6222" spans="14:14" ht="15" customHeight="1" x14ac:dyDescent="0.25">
      <c r="N6222" t="s">
        <v>735</v>
      </c>
    </row>
    <row r="6223" spans="14:14" ht="15" customHeight="1" x14ac:dyDescent="0.25">
      <c r="N6223" t="s">
        <v>735</v>
      </c>
    </row>
    <row r="6224" spans="14:14" ht="15" customHeight="1" x14ac:dyDescent="0.25">
      <c r="N6224" t="s">
        <v>313</v>
      </c>
    </row>
    <row r="6225" spans="14:14" ht="15" customHeight="1" x14ac:dyDescent="0.25">
      <c r="N6225" t="s">
        <v>732</v>
      </c>
    </row>
    <row r="6226" spans="14:14" ht="15" customHeight="1" x14ac:dyDescent="0.25">
      <c r="N6226" t="s">
        <v>732</v>
      </c>
    </row>
    <row r="6227" spans="14:14" ht="15" customHeight="1" x14ac:dyDescent="0.25">
      <c r="N6227" t="s">
        <v>732</v>
      </c>
    </row>
    <row r="6228" spans="14:14" ht="15" customHeight="1" x14ac:dyDescent="0.25">
      <c r="N6228" t="s">
        <v>732</v>
      </c>
    </row>
    <row r="6229" spans="14:14" ht="15" customHeight="1" x14ac:dyDescent="0.25">
      <c r="N6229" t="s">
        <v>732</v>
      </c>
    </row>
    <row r="6230" spans="14:14" ht="15" customHeight="1" x14ac:dyDescent="0.25">
      <c r="N6230" t="s">
        <v>732</v>
      </c>
    </row>
    <row r="6231" spans="14:14" ht="15" customHeight="1" x14ac:dyDescent="0.25">
      <c r="N6231" t="s">
        <v>732</v>
      </c>
    </row>
    <row r="6232" spans="14:14" ht="15" customHeight="1" x14ac:dyDescent="0.25">
      <c r="N6232" t="s">
        <v>732</v>
      </c>
    </row>
    <row r="6233" spans="14:14" ht="15" customHeight="1" x14ac:dyDescent="0.25">
      <c r="N6233" t="s">
        <v>732</v>
      </c>
    </row>
    <row r="6234" spans="14:14" ht="15" customHeight="1" x14ac:dyDescent="0.25">
      <c r="N6234" t="s">
        <v>732</v>
      </c>
    </row>
    <row r="6235" spans="14:14" ht="15" customHeight="1" x14ac:dyDescent="0.25">
      <c r="N6235" t="s">
        <v>732</v>
      </c>
    </row>
    <row r="6236" spans="14:14" ht="15" customHeight="1" x14ac:dyDescent="0.25">
      <c r="N6236" t="s">
        <v>732</v>
      </c>
    </row>
    <row r="6237" spans="14:14" ht="15" customHeight="1" x14ac:dyDescent="0.25">
      <c r="N6237" t="s">
        <v>732</v>
      </c>
    </row>
    <row r="6238" spans="14:14" ht="15" customHeight="1" x14ac:dyDescent="0.25">
      <c r="N6238" t="s">
        <v>313</v>
      </c>
    </row>
    <row r="6239" spans="14:14" ht="15" customHeight="1" x14ac:dyDescent="0.25">
      <c r="N6239" t="s">
        <v>68</v>
      </c>
    </row>
    <row r="6240" spans="14:14" ht="15" customHeight="1" x14ac:dyDescent="0.25">
      <c r="N6240" t="s">
        <v>675</v>
      </c>
    </row>
    <row r="6241" spans="14:14" ht="15" customHeight="1" x14ac:dyDescent="0.25">
      <c r="N6241" t="s">
        <v>539</v>
      </c>
    </row>
    <row r="6242" spans="14:14" ht="15" customHeight="1" x14ac:dyDescent="0.25">
      <c r="N6242" t="s">
        <v>68</v>
      </c>
    </row>
    <row r="6243" spans="14:14" ht="15" customHeight="1" x14ac:dyDescent="0.25">
      <c r="N6243" t="s">
        <v>68</v>
      </c>
    </row>
    <row r="6244" spans="14:14" ht="15" customHeight="1" x14ac:dyDescent="0.25">
      <c r="N6244" t="s">
        <v>68</v>
      </c>
    </row>
    <row r="6245" spans="14:14" ht="15" customHeight="1" x14ac:dyDescent="0.25">
      <c r="N6245" t="s">
        <v>68</v>
      </c>
    </row>
    <row r="6246" spans="14:14" ht="15" customHeight="1" x14ac:dyDescent="0.25">
      <c r="N6246" t="s">
        <v>68</v>
      </c>
    </row>
    <row r="6247" spans="14:14" ht="15" customHeight="1" x14ac:dyDescent="0.25">
      <c r="N6247" t="s">
        <v>68</v>
      </c>
    </row>
    <row r="6248" spans="14:14" ht="15" customHeight="1" x14ac:dyDescent="0.25">
      <c r="N6248" t="s">
        <v>68</v>
      </c>
    </row>
    <row r="6249" spans="14:14" ht="15" customHeight="1" x14ac:dyDescent="0.25">
      <c r="N6249" t="s">
        <v>732</v>
      </c>
    </row>
    <row r="6250" spans="14:14" ht="15" customHeight="1" x14ac:dyDescent="0.25">
      <c r="N6250" t="s">
        <v>690</v>
      </c>
    </row>
    <row r="6251" spans="14:14" ht="15" customHeight="1" x14ac:dyDescent="0.25">
      <c r="N6251" t="s">
        <v>690</v>
      </c>
    </row>
    <row r="6252" spans="14:14" ht="15" customHeight="1" x14ac:dyDescent="0.25">
      <c r="N6252" t="s">
        <v>690</v>
      </c>
    </row>
    <row r="6253" spans="14:14" ht="15" customHeight="1" x14ac:dyDescent="0.25">
      <c r="N6253" t="s">
        <v>690</v>
      </c>
    </row>
    <row r="6254" spans="14:14" ht="15" customHeight="1" x14ac:dyDescent="0.25">
      <c r="N6254" t="s">
        <v>684</v>
      </c>
    </row>
    <row r="6255" spans="14:14" ht="15" customHeight="1" x14ac:dyDescent="0.25">
      <c r="N6255" t="s">
        <v>732</v>
      </c>
    </row>
    <row r="6256" spans="14:14" ht="15" customHeight="1" x14ac:dyDescent="0.25">
      <c r="N6256" t="s">
        <v>732</v>
      </c>
    </row>
    <row r="6257" spans="14:14" ht="15" customHeight="1" x14ac:dyDescent="0.25">
      <c r="N6257" t="s">
        <v>732</v>
      </c>
    </row>
    <row r="6258" spans="14:14" ht="15" customHeight="1" x14ac:dyDescent="0.25">
      <c r="N6258" t="s">
        <v>732</v>
      </c>
    </row>
    <row r="6259" spans="14:14" ht="15" customHeight="1" x14ac:dyDescent="0.25">
      <c r="N6259" t="s">
        <v>732</v>
      </c>
    </row>
    <row r="6260" spans="14:14" ht="15" customHeight="1" x14ac:dyDescent="0.25">
      <c r="N6260" t="s">
        <v>732</v>
      </c>
    </row>
    <row r="6261" spans="14:14" ht="15" customHeight="1" x14ac:dyDescent="0.25">
      <c r="N6261" t="s">
        <v>732</v>
      </c>
    </row>
    <row r="6262" spans="14:14" ht="15" customHeight="1" x14ac:dyDescent="0.25">
      <c r="N6262" t="s">
        <v>732</v>
      </c>
    </row>
    <row r="6263" spans="14:14" ht="15" customHeight="1" x14ac:dyDescent="0.25">
      <c r="N6263" t="s">
        <v>732</v>
      </c>
    </row>
    <row r="6264" spans="14:14" ht="15" customHeight="1" x14ac:dyDescent="0.25">
      <c r="N6264" t="s">
        <v>732</v>
      </c>
    </row>
    <row r="6265" spans="14:14" ht="15" customHeight="1" x14ac:dyDescent="0.25">
      <c r="N6265" t="s">
        <v>732</v>
      </c>
    </row>
    <row r="6266" spans="14:14" ht="15" customHeight="1" x14ac:dyDescent="0.25">
      <c r="N6266" t="s">
        <v>732</v>
      </c>
    </row>
    <row r="6267" spans="14:14" ht="15" customHeight="1" x14ac:dyDescent="0.25">
      <c r="N6267" t="s">
        <v>732</v>
      </c>
    </row>
    <row r="6268" spans="14:14" ht="15" customHeight="1" x14ac:dyDescent="0.25">
      <c r="N6268" t="s">
        <v>732</v>
      </c>
    </row>
    <row r="6269" spans="14:14" ht="15" customHeight="1" x14ac:dyDescent="0.25">
      <c r="N6269" t="s">
        <v>732</v>
      </c>
    </row>
    <row r="6270" spans="14:14" ht="15" customHeight="1" x14ac:dyDescent="0.25">
      <c r="N6270" t="s">
        <v>732</v>
      </c>
    </row>
    <row r="6271" spans="14:14" ht="15" customHeight="1" x14ac:dyDescent="0.25">
      <c r="N6271" t="s">
        <v>732</v>
      </c>
    </row>
    <row r="6272" spans="14:14" ht="15" customHeight="1" x14ac:dyDescent="0.25">
      <c r="N6272" t="s">
        <v>732</v>
      </c>
    </row>
    <row r="6273" spans="14:14" ht="15" customHeight="1" x14ac:dyDescent="0.25">
      <c r="N6273" t="s">
        <v>732</v>
      </c>
    </row>
    <row r="6274" spans="14:14" ht="15" customHeight="1" x14ac:dyDescent="0.25">
      <c r="N6274" t="s">
        <v>732</v>
      </c>
    </row>
    <row r="6275" spans="14:14" ht="15" customHeight="1" x14ac:dyDescent="0.25">
      <c r="N6275" t="s">
        <v>732</v>
      </c>
    </row>
    <row r="6276" spans="14:14" ht="15" customHeight="1" x14ac:dyDescent="0.25">
      <c r="N6276" t="s">
        <v>732</v>
      </c>
    </row>
    <row r="6277" spans="14:14" ht="15" customHeight="1" x14ac:dyDescent="0.25">
      <c r="N6277" t="s">
        <v>732</v>
      </c>
    </row>
    <row r="6278" spans="14:14" ht="15" customHeight="1" x14ac:dyDescent="0.25">
      <c r="N6278" t="s">
        <v>732</v>
      </c>
    </row>
    <row r="6279" spans="14:14" ht="15" customHeight="1" x14ac:dyDescent="0.25">
      <c r="N6279" t="s">
        <v>732</v>
      </c>
    </row>
    <row r="6280" spans="14:14" ht="15" customHeight="1" x14ac:dyDescent="0.25">
      <c r="N6280" t="s">
        <v>732</v>
      </c>
    </row>
    <row r="6281" spans="14:14" ht="15" customHeight="1" x14ac:dyDescent="0.25">
      <c r="N6281" t="s">
        <v>732</v>
      </c>
    </row>
    <row r="6282" spans="14:14" ht="15" customHeight="1" x14ac:dyDescent="0.25">
      <c r="N6282" t="s">
        <v>558</v>
      </c>
    </row>
    <row r="6283" spans="14:14" ht="15" customHeight="1" x14ac:dyDescent="0.25">
      <c r="N6283" t="s">
        <v>732</v>
      </c>
    </row>
    <row r="6284" spans="14:14" ht="15" customHeight="1" x14ac:dyDescent="0.25">
      <c r="N6284" t="s">
        <v>670</v>
      </c>
    </row>
    <row r="6285" spans="14:14" ht="15" customHeight="1" x14ac:dyDescent="0.25">
      <c r="N6285" t="s">
        <v>313</v>
      </c>
    </row>
    <row r="6286" spans="14:14" ht="15" customHeight="1" x14ac:dyDescent="0.25">
      <c r="N6286" t="s">
        <v>675</v>
      </c>
    </row>
    <row r="6287" spans="14:14" ht="15" customHeight="1" x14ac:dyDescent="0.25">
      <c r="N6287" t="s">
        <v>690</v>
      </c>
    </row>
    <row r="6288" spans="14:14" ht="15" customHeight="1" x14ac:dyDescent="0.25">
      <c r="N6288" t="s">
        <v>690</v>
      </c>
    </row>
    <row r="6289" spans="14:14" ht="15" customHeight="1" x14ac:dyDescent="0.25">
      <c r="N6289" t="s">
        <v>690</v>
      </c>
    </row>
    <row r="6290" spans="14:14" ht="15" customHeight="1" x14ac:dyDescent="0.25">
      <c r="N6290" t="s">
        <v>690</v>
      </c>
    </row>
    <row r="6291" spans="14:14" ht="15" customHeight="1" x14ac:dyDescent="0.25">
      <c r="N6291" t="s">
        <v>732</v>
      </c>
    </row>
    <row r="6292" spans="14:14" ht="15" customHeight="1" x14ac:dyDescent="0.25">
      <c r="N6292" t="s">
        <v>732</v>
      </c>
    </row>
    <row r="6293" spans="14:14" ht="15" customHeight="1" x14ac:dyDescent="0.25">
      <c r="N6293" t="s">
        <v>732</v>
      </c>
    </row>
    <row r="6294" spans="14:14" ht="15" customHeight="1" x14ac:dyDescent="0.25">
      <c r="N6294" t="s">
        <v>732</v>
      </c>
    </row>
    <row r="6295" spans="14:14" ht="15" customHeight="1" x14ac:dyDescent="0.25">
      <c r="N6295" t="s">
        <v>732</v>
      </c>
    </row>
    <row r="6296" spans="14:14" ht="15" customHeight="1" x14ac:dyDescent="0.25">
      <c r="N6296" t="s">
        <v>732</v>
      </c>
    </row>
    <row r="6297" spans="14:14" ht="15" customHeight="1" x14ac:dyDescent="0.25">
      <c r="N6297" t="s">
        <v>732</v>
      </c>
    </row>
    <row r="6298" spans="14:14" ht="15" customHeight="1" x14ac:dyDescent="0.25">
      <c r="N6298" t="s">
        <v>732</v>
      </c>
    </row>
    <row r="6299" spans="14:14" ht="15" customHeight="1" x14ac:dyDescent="0.25">
      <c r="N6299" t="s">
        <v>732</v>
      </c>
    </row>
    <row r="6300" spans="14:14" ht="15" customHeight="1" x14ac:dyDescent="0.25">
      <c r="N6300" t="s">
        <v>732</v>
      </c>
    </row>
    <row r="6301" spans="14:14" ht="15" customHeight="1" x14ac:dyDescent="0.25">
      <c r="N6301" t="s">
        <v>732</v>
      </c>
    </row>
    <row r="6302" spans="14:14" ht="15" customHeight="1" x14ac:dyDescent="0.25">
      <c r="N6302" t="s">
        <v>732</v>
      </c>
    </row>
    <row r="6303" spans="14:14" ht="15" customHeight="1" x14ac:dyDescent="0.25">
      <c r="N6303" t="s">
        <v>732</v>
      </c>
    </row>
    <row r="6304" spans="14:14" ht="15" customHeight="1" x14ac:dyDescent="0.25">
      <c r="N6304" t="s">
        <v>732</v>
      </c>
    </row>
    <row r="6305" spans="14:14" ht="15" customHeight="1" x14ac:dyDescent="0.25">
      <c r="N6305" t="s">
        <v>732</v>
      </c>
    </row>
    <row r="6306" spans="14:14" ht="15" customHeight="1" x14ac:dyDescent="0.25">
      <c r="N6306" t="s">
        <v>732</v>
      </c>
    </row>
    <row r="6307" spans="14:14" ht="15" customHeight="1" x14ac:dyDescent="0.25">
      <c r="N6307" t="s">
        <v>732</v>
      </c>
    </row>
    <row r="6308" spans="14:14" ht="15" customHeight="1" x14ac:dyDescent="0.25">
      <c r="N6308" t="s">
        <v>732</v>
      </c>
    </row>
    <row r="6309" spans="14:14" ht="15" customHeight="1" x14ac:dyDescent="0.25">
      <c r="N6309" t="s">
        <v>732</v>
      </c>
    </row>
    <row r="6310" spans="14:14" ht="15" customHeight="1" x14ac:dyDescent="0.25">
      <c r="N6310" t="s">
        <v>732</v>
      </c>
    </row>
    <row r="6311" spans="14:14" ht="15" customHeight="1" x14ac:dyDescent="0.25">
      <c r="N6311" t="s">
        <v>732</v>
      </c>
    </row>
    <row r="6312" spans="14:14" ht="15" customHeight="1" x14ac:dyDescent="0.25">
      <c r="N6312" t="s">
        <v>732</v>
      </c>
    </row>
    <row r="6313" spans="14:14" ht="15" customHeight="1" x14ac:dyDescent="0.25">
      <c r="N6313" t="s">
        <v>732</v>
      </c>
    </row>
    <row r="6314" spans="14:14" ht="15" customHeight="1" x14ac:dyDescent="0.25">
      <c r="N6314" t="s">
        <v>732</v>
      </c>
    </row>
    <row r="6315" spans="14:14" ht="15" customHeight="1" x14ac:dyDescent="0.25">
      <c r="N6315" t="s">
        <v>732</v>
      </c>
    </row>
    <row r="6316" spans="14:14" ht="15" customHeight="1" x14ac:dyDescent="0.25">
      <c r="N6316" t="s">
        <v>732</v>
      </c>
    </row>
    <row r="6317" spans="14:14" ht="15" customHeight="1" x14ac:dyDescent="0.25">
      <c r="N6317" t="s">
        <v>732</v>
      </c>
    </row>
    <row r="6318" spans="14:14" ht="15" customHeight="1" x14ac:dyDescent="0.25">
      <c r="N6318" t="s">
        <v>770</v>
      </c>
    </row>
    <row r="6319" spans="14:14" ht="15" customHeight="1" x14ac:dyDescent="0.25">
      <c r="N6319" t="s">
        <v>670</v>
      </c>
    </row>
    <row r="6320" spans="14:14" ht="15" customHeight="1" x14ac:dyDescent="0.25">
      <c r="N6320" t="s">
        <v>735</v>
      </c>
    </row>
    <row r="6321" spans="14:14" ht="15" customHeight="1" x14ac:dyDescent="0.25">
      <c r="N6321" t="s">
        <v>686</v>
      </c>
    </row>
    <row r="6322" spans="14:14" ht="15" customHeight="1" x14ac:dyDescent="0.25">
      <c r="N6322" t="s">
        <v>670</v>
      </c>
    </row>
    <row r="6323" spans="14:14" ht="15" customHeight="1" x14ac:dyDescent="0.25">
      <c r="N6323" t="s">
        <v>370</v>
      </c>
    </row>
    <row r="6324" spans="14:14" ht="15" customHeight="1" x14ac:dyDescent="0.25">
      <c r="N6324" t="s">
        <v>304</v>
      </c>
    </row>
    <row r="6325" spans="14:14" ht="15" customHeight="1" x14ac:dyDescent="0.25">
      <c r="N6325" t="s">
        <v>669</v>
      </c>
    </row>
    <row r="6326" spans="14:14" ht="15" customHeight="1" x14ac:dyDescent="0.25">
      <c r="N6326" t="s">
        <v>582</v>
      </c>
    </row>
    <row r="6327" spans="14:14" ht="15" customHeight="1" x14ac:dyDescent="0.25">
      <c r="N6327" t="s">
        <v>715</v>
      </c>
    </row>
    <row r="6328" spans="14:14" ht="15" customHeight="1" x14ac:dyDescent="0.25">
      <c r="N6328" t="s">
        <v>714</v>
      </c>
    </row>
    <row r="6329" spans="14:14" ht="15" customHeight="1" x14ac:dyDescent="0.25">
      <c r="N6329" t="s">
        <v>714</v>
      </c>
    </row>
    <row r="6330" spans="14:14" ht="15" customHeight="1" x14ac:dyDescent="0.25">
      <c r="N6330" t="s">
        <v>714</v>
      </c>
    </row>
    <row r="6331" spans="14:14" ht="15" customHeight="1" x14ac:dyDescent="0.25">
      <c r="N6331" t="s">
        <v>714</v>
      </c>
    </row>
    <row r="6332" spans="14:14" ht="15" customHeight="1" x14ac:dyDescent="0.25">
      <c r="N6332" t="s">
        <v>714</v>
      </c>
    </row>
    <row r="6333" spans="14:14" ht="15" customHeight="1" x14ac:dyDescent="0.25">
      <c r="N6333" t="s">
        <v>714</v>
      </c>
    </row>
    <row r="6334" spans="14:14" ht="15" customHeight="1" x14ac:dyDescent="0.25">
      <c r="N6334" t="s">
        <v>714</v>
      </c>
    </row>
    <row r="6335" spans="14:14" ht="15" customHeight="1" x14ac:dyDescent="0.25">
      <c r="N6335" t="s">
        <v>714</v>
      </c>
    </row>
    <row r="6336" spans="14:14" ht="15" customHeight="1" x14ac:dyDescent="0.25">
      <c r="N6336" t="s">
        <v>714</v>
      </c>
    </row>
    <row r="6337" spans="14:14" ht="15" customHeight="1" x14ac:dyDescent="0.25">
      <c r="N6337" t="s">
        <v>690</v>
      </c>
    </row>
    <row r="6338" spans="14:14" ht="15" customHeight="1" x14ac:dyDescent="0.25">
      <c r="N6338" t="s">
        <v>605</v>
      </c>
    </row>
    <row r="6339" spans="14:14" ht="15" customHeight="1" x14ac:dyDescent="0.25">
      <c r="N6339" t="s">
        <v>732</v>
      </c>
    </row>
    <row r="6340" spans="14:14" ht="15" customHeight="1" x14ac:dyDescent="0.25">
      <c r="N6340" t="s">
        <v>732</v>
      </c>
    </row>
    <row r="6341" spans="14:14" ht="15" customHeight="1" x14ac:dyDescent="0.25">
      <c r="N6341" t="s">
        <v>732</v>
      </c>
    </row>
    <row r="6342" spans="14:14" ht="15" customHeight="1" x14ac:dyDescent="0.25">
      <c r="N6342" t="s">
        <v>732</v>
      </c>
    </row>
    <row r="6343" spans="14:14" ht="15" customHeight="1" x14ac:dyDescent="0.25">
      <c r="N6343" t="s">
        <v>732</v>
      </c>
    </row>
    <row r="6344" spans="14:14" ht="15" customHeight="1" x14ac:dyDescent="0.25">
      <c r="N6344" t="s">
        <v>732</v>
      </c>
    </row>
    <row r="6345" spans="14:14" ht="15" customHeight="1" x14ac:dyDescent="0.25">
      <c r="N6345" t="s">
        <v>732</v>
      </c>
    </row>
    <row r="6346" spans="14:14" ht="15" customHeight="1" x14ac:dyDescent="0.25">
      <c r="N6346" t="s">
        <v>732</v>
      </c>
    </row>
    <row r="6347" spans="14:14" ht="15" customHeight="1" x14ac:dyDescent="0.25">
      <c r="N6347" t="s">
        <v>732</v>
      </c>
    </row>
    <row r="6348" spans="14:14" ht="15" customHeight="1" x14ac:dyDescent="0.25">
      <c r="N6348" t="s">
        <v>732</v>
      </c>
    </row>
    <row r="6349" spans="14:14" ht="15" customHeight="1" x14ac:dyDescent="0.25">
      <c r="N6349" t="s">
        <v>732</v>
      </c>
    </row>
    <row r="6350" spans="14:14" ht="15" customHeight="1" x14ac:dyDescent="0.25">
      <c r="N6350" t="s">
        <v>732</v>
      </c>
    </row>
    <row r="6351" spans="14:14" ht="15" customHeight="1" x14ac:dyDescent="0.25">
      <c r="N6351" t="s">
        <v>732</v>
      </c>
    </row>
    <row r="6352" spans="14:14" ht="15" customHeight="1" x14ac:dyDescent="0.25">
      <c r="N6352" t="s">
        <v>714</v>
      </c>
    </row>
    <row r="6353" spans="14:14" ht="15" customHeight="1" x14ac:dyDescent="0.25">
      <c r="N6353" t="s">
        <v>304</v>
      </c>
    </row>
    <row r="6354" spans="14:14" ht="15" customHeight="1" x14ac:dyDescent="0.25">
      <c r="N6354" t="s">
        <v>642</v>
      </c>
    </row>
    <row r="6355" spans="14:14" ht="15" customHeight="1" x14ac:dyDescent="0.25">
      <c r="N6355" t="s">
        <v>642</v>
      </c>
    </row>
    <row r="6356" spans="14:14" ht="15" customHeight="1" x14ac:dyDescent="0.25">
      <c r="N6356" t="s">
        <v>642</v>
      </c>
    </row>
    <row r="6357" spans="14:14" ht="15" customHeight="1" x14ac:dyDescent="0.25">
      <c r="N6357" t="s">
        <v>642</v>
      </c>
    </row>
    <row r="6358" spans="14:14" ht="15" customHeight="1" x14ac:dyDescent="0.25">
      <c r="N6358" t="s">
        <v>642</v>
      </c>
    </row>
    <row r="6359" spans="14:14" ht="15" customHeight="1" x14ac:dyDescent="0.25">
      <c r="N6359" t="s">
        <v>642</v>
      </c>
    </row>
    <row r="6360" spans="14:14" ht="15" customHeight="1" x14ac:dyDescent="0.25">
      <c r="N6360" t="s">
        <v>642</v>
      </c>
    </row>
    <row r="6361" spans="14:14" ht="15" customHeight="1" x14ac:dyDescent="0.25">
      <c r="N6361" t="s">
        <v>714</v>
      </c>
    </row>
    <row r="6362" spans="14:14" ht="15" customHeight="1" x14ac:dyDescent="0.25">
      <c r="N6362" t="s">
        <v>642</v>
      </c>
    </row>
    <row r="6363" spans="14:14" ht="15" customHeight="1" x14ac:dyDescent="0.25">
      <c r="N6363" t="s">
        <v>642</v>
      </c>
    </row>
    <row r="6364" spans="14:14" ht="15" customHeight="1" x14ac:dyDescent="0.25">
      <c r="N6364" t="s">
        <v>582</v>
      </c>
    </row>
    <row r="6365" spans="14:14" ht="15" customHeight="1" x14ac:dyDescent="0.25">
      <c r="N6365" t="s">
        <v>582</v>
      </c>
    </row>
    <row r="6366" spans="14:14" ht="15" customHeight="1" x14ac:dyDescent="0.25">
      <c r="N6366" t="s">
        <v>582</v>
      </c>
    </row>
    <row r="6367" spans="14:14" ht="15" customHeight="1" x14ac:dyDescent="0.25">
      <c r="N6367" t="s">
        <v>582</v>
      </c>
    </row>
    <row r="6368" spans="14:14" ht="15" customHeight="1" x14ac:dyDescent="0.25">
      <c r="N6368" t="s">
        <v>582</v>
      </c>
    </row>
    <row r="6369" spans="14:14" ht="15" customHeight="1" x14ac:dyDescent="0.25">
      <c r="N6369" t="s">
        <v>582</v>
      </c>
    </row>
    <row r="6370" spans="14:14" ht="15" customHeight="1" x14ac:dyDescent="0.25">
      <c r="N6370" t="s">
        <v>582</v>
      </c>
    </row>
    <row r="6371" spans="14:14" ht="15" customHeight="1" x14ac:dyDescent="0.25">
      <c r="N6371" t="s">
        <v>684</v>
      </c>
    </row>
    <row r="6372" spans="14:14" ht="15" customHeight="1" x14ac:dyDescent="0.25">
      <c r="N6372" t="s">
        <v>582</v>
      </c>
    </row>
    <row r="6373" spans="14:14" ht="15" customHeight="1" x14ac:dyDescent="0.25">
      <c r="N6373" t="s">
        <v>582</v>
      </c>
    </row>
    <row r="6374" spans="14:14" ht="15" customHeight="1" x14ac:dyDescent="0.25">
      <c r="N6374" t="s">
        <v>714</v>
      </c>
    </row>
    <row r="6375" spans="14:14" ht="15" customHeight="1" x14ac:dyDescent="0.25">
      <c r="N6375" t="s">
        <v>687</v>
      </c>
    </row>
    <row r="6376" spans="14:14" ht="15" customHeight="1" x14ac:dyDescent="0.25">
      <c r="N6376" t="s">
        <v>638</v>
      </c>
    </row>
    <row r="6377" spans="14:14" ht="15" customHeight="1" x14ac:dyDescent="0.25">
      <c r="N6377" t="s">
        <v>642</v>
      </c>
    </row>
    <row r="6378" spans="14:14" ht="15" customHeight="1" x14ac:dyDescent="0.25">
      <c r="N6378" t="s">
        <v>714</v>
      </c>
    </row>
    <row r="6379" spans="14:14" ht="15" customHeight="1" x14ac:dyDescent="0.25">
      <c r="N6379" t="s">
        <v>638</v>
      </c>
    </row>
    <row r="6380" spans="14:14" ht="15" customHeight="1" x14ac:dyDescent="0.25">
      <c r="N6380" t="s">
        <v>714</v>
      </c>
    </row>
    <row r="6381" spans="14:14" ht="15" customHeight="1" x14ac:dyDescent="0.25">
      <c r="N6381" t="s">
        <v>638</v>
      </c>
    </row>
    <row r="6382" spans="14:14" ht="15" customHeight="1" x14ac:dyDescent="0.25">
      <c r="N6382" t="s">
        <v>689</v>
      </c>
    </row>
    <row r="6383" spans="14:14" ht="15" customHeight="1" x14ac:dyDescent="0.25">
      <c r="N6383" t="s">
        <v>68</v>
      </c>
    </row>
    <row r="6384" spans="14:14" ht="15" customHeight="1" x14ac:dyDescent="0.25">
      <c r="N6384" t="s">
        <v>68</v>
      </c>
    </row>
    <row r="6385" spans="14:14" ht="15" customHeight="1" x14ac:dyDescent="0.25">
      <c r="N6385" t="s">
        <v>68</v>
      </c>
    </row>
    <row r="6386" spans="14:14" ht="15" customHeight="1" x14ac:dyDescent="0.25">
      <c r="N6386" t="s">
        <v>68</v>
      </c>
    </row>
    <row r="6387" spans="14:14" ht="15" customHeight="1" x14ac:dyDescent="0.25">
      <c r="N6387" t="s">
        <v>68</v>
      </c>
    </row>
    <row r="6388" spans="14:14" ht="15" customHeight="1" x14ac:dyDescent="0.25">
      <c r="N6388" t="s">
        <v>68</v>
      </c>
    </row>
    <row r="6389" spans="14:14" ht="15" customHeight="1" x14ac:dyDescent="0.25">
      <c r="N6389" t="s">
        <v>68</v>
      </c>
    </row>
    <row r="6390" spans="14:14" ht="15" customHeight="1" x14ac:dyDescent="0.25">
      <c r="N6390" t="s">
        <v>675</v>
      </c>
    </row>
    <row r="6391" spans="14:14" ht="15" customHeight="1" x14ac:dyDescent="0.25">
      <c r="N6391" t="s">
        <v>675</v>
      </c>
    </row>
    <row r="6392" spans="14:14" ht="15" customHeight="1" x14ac:dyDescent="0.25">
      <c r="N6392" t="s">
        <v>675</v>
      </c>
    </row>
    <row r="6393" spans="14:14" ht="15" customHeight="1" x14ac:dyDescent="0.25">
      <c r="N6393" t="s">
        <v>675</v>
      </c>
    </row>
    <row r="6394" spans="14:14" ht="15" customHeight="1" x14ac:dyDescent="0.25">
      <c r="N6394" t="s">
        <v>675</v>
      </c>
    </row>
    <row r="6395" spans="14:14" ht="15" customHeight="1" x14ac:dyDescent="0.25">
      <c r="N6395" t="s">
        <v>675</v>
      </c>
    </row>
    <row r="6396" spans="14:14" ht="15" customHeight="1" x14ac:dyDescent="0.25">
      <c r="N6396" t="s">
        <v>675</v>
      </c>
    </row>
    <row r="6397" spans="14:14" ht="15" customHeight="1" x14ac:dyDescent="0.25">
      <c r="N6397" t="s">
        <v>675</v>
      </c>
    </row>
    <row r="6398" spans="14:14" ht="15" customHeight="1" x14ac:dyDescent="0.25">
      <c r="N6398" t="s">
        <v>706</v>
      </c>
    </row>
    <row r="6399" spans="14:14" ht="15" customHeight="1" x14ac:dyDescent="0.25">
      <c r="N6399" t="s">
        <v>706</v>
      </c>
    </row>
    <row r="6400" spans="14:14" ht="15" customHeight="1" x14ac:dyDescent="0.25">
      <c r="N6400" t="s">
        <v>706</v>
      </c>
    </row>
    <row r="6401" spans="14:14" ht="15" customHeight="1" x14ac:dyDescent="0.25">
      <c r="N6401" t="s">
        <v>706</v>
      </c>
    </row>
    <row r="6402" spans="14:14" ht="15" customHeight="1" x14ac:dyDescent="0.25">
      <c r="N6402" t="s">
        <v>706</v>
      </c>
    </row>
    <row r="6403" spans="14:14" ht="15" customHeight="1" x14ac:dyDescent="0.25">
      <c r="N6403" t="s">
        <v>706</v>
      </c>
    </row>
    <row r="6404" spans="14:14" ht="15" customHeight="1" x14ac:dyDescent="0.25">
      <c r="N6404" t="s">
        <v>706</v>
      </c>
    </row>
    <row r="6405" spans="14:14" ht="15" customHeight="1" x14ac:dyDescent="0.25">
      <c r="N6405" t="s">
        <v>706</v>
      </c>
    </row>
    <row r="6406" spans="14:14" ht="15" customHeight="1" x14ac:dyDescent="0.25">
      <c r="N6406" t="s">
        <v>706</v>
      </c>
    </row>
    <row r="6407" spans="14:14" ht="15" customHeight="1" x14ac:dyDescent="0.25">
      <c r="N6407" t="s">
        <v>706</v>
      </c>
    </row>
    <row r="6408" spans="14:14" ht="15" customHeight="1" x14ac:dyDescent="0.25">
      <c r="N6408" t="s">
        <v>706</v>
      </c>
    </row>
    <row r="6409" spans="14:14" ht="15" customHeight="1" x14ac:dyDescent="0.25">
      <c r="N6409" t="s">
        <v>706</v>
      </c>
    </row>
    <row r="6410" spans="14:14" ht="15" customHeight="1" x14ac:dyDescent="0.25">
      <c r="N6410" t="s">
        <v>706</v>
      </c>
    </row>
    <row r="6411" spans="14:14" ht="15" customHeight="1" x14ac:dyDescent="0.25">
      <c r="N6411" t="s">
        <v>582</v>
      </c>
    </row>
    <row r="6412" spans="14:14" ht="15" customHeight="1" x14ac:dyDescent="0.25">
      <c r="N6412" t="s">
        <v>68</v>
      </c>
    </row>
    <row r="6413" spans="14:14" ht="15" customHeight="1" x14ac:dyDescent="0.25">
      <c r="N6413" t="s">
        <v>622</v>
      </c>
    </row>
    <row r="6414" spans="14:14" ht="15" customHeight="1" x14ac:dyDescent="0.25">
      <c r="N6414" t="s">
        <v>68</v>
      </c>
    </row>
    <row r="6415" spans="14:14" ht="15" customHeight="1" x14ac:dyDescent="0.25">
      <c r="N6415" t="s">
        <v>68</v>
      </c>
    </row>
    <row r="6416" spans="14:14" ht="15" customHeight="1" x14ac:dyDescent="0.25">
      <c r="N6416" t="s">
        <v>68</v>
      </c>
    </row>
    <row r="6417" spans="14:14" ht="15" customHeight="1" x14ac:dyDescent="0.25">
      <c r="N6417" t="s">
        <v>68</v>
      </c>
    </row>
    <row r="6418" spans="14:14" ht="15" customHeight="1" x14ac:dyDescent="0.25">
      <c r="N6418" t="s">
        <v>68</v>
      </c>
    </row>
    <row r="6419" spans="14:14" ht="15" customHeight="1" x14ac:dyDescent="0.25">
      <c r="N6419" t="s">
        <v>68</v>
      </c>
    </row>
    <row r="6420" spans="14:14" ht="15" customHeight="1" x14ac:dyDescent="0.25">
      <c r="N6420" t="s">
        <v>68</v>
      </c>
    </row>
    <row r="6421" spans="14:14" ht="15" customHeight="1" x14ac:dyDescent="0.25">
      <c r="N6421" t="s">
        <v>736</v>
      </c>
    </row>
    <row r="6422" spans="14:14" ht="15" customHeight="1" x14ac:dyDescent="0.25">
      <c r="N6422" t="s">
        <v>749</v>
      </c>
    </row>
    <row r="6423" spans="14:14" ht="15" customHeight="1" x14ac:dyDescent="0.25">
      <c r="N6423" t="s">
        <v>749</v>
      </c>
    </row>
    <row r="6424" spans="14:14" ht="15" customHeight="1" x14ac:dyDescent="0.25">
      <c r="N6424" t="s">
        <v>749</v>
      </c>
    </row>
    <row r="6425" spans="14:14" ht="15" customHeight="1" x14ac:dyDescent="0.25">
      <c r="N6425" t="s">
        <v>749</v>
      </c>
    </row>
    <row r="6426" spans="14:14" ht="15" customHeight="1" x14ac:dyDescent="0.25">
      <c r="N6426" t="s">
        <v>749</v>
      </c>
    </row>
    <row r="6427" spans="14:14" ht="15" customHeight="1" x14ac:dyDescent="0.25">
      <c r="N6427" t="s">
        <v>749</v>
      </c>
    </row>
    <row r="6428" spans="14:14" ht="15" customHeight="1" x14ac:dyDescent="0.25">
      <c r="N6428" t="s">
        <v>749</v>
      </c>
    </row>
    <row r="6429" spans="14:14" ht="15" customHeight="1" x14ac:dyDescent="0.25">
      <c r="N6429" t="s">
        <v>749</v>
      </c>
    </row>
    <row r="6430" spans="14:14" ht="15" customHeight="1" x14ac:dyDescent="0.25">
      <c r="N6430" t="s">
        <v>749</v>
      </c>
    </row>
    <row r="6431" spans="14:14" ht="15" customHeight="1" x14ac:dyDescent="0.25">
      <c r="N6431" t="s">
        <v>749</v>
      </c>
    </row>
    <row r="6432" spans="14:14" ht="15" customHeight="1" x14ac:dyDescent="0.25">
      <c r="N6432" t="s">
        <v>749</v>
      </c>
    </row>
    <row r="6433" spans="14:14" ht="15" customHeight="1" x14ac:dyDescent="0.25">
      <c r="N6433" t="s">
        <v>749</v>
      </c>
    </row>
    <row r="6434" spans="14:14" ht="15" customHeight="1" x14ac:dyDescent="0.25">
      <c r="N6434" t="s">
        <v>749</v>
      </c>
    </row>
    <row r="6435" spans="14:14" ht="15" customHeight="1" x14ac:dyDescent="0.25">
      <c r="N6435" t="s">
        <v>749</v>
      </c>
    </row>
    <row r="6436" spans="14:14" ht="15" customHeight="1" x14ac:dyDescent="0.25">
      <c r="N6436" t="s">
        <v>749</v>
      </c>
    </row>
    <row r="6437" spans="14:14" ht="15" customHeight="1" x14ac:dyDescent="0.25">
      <c r="N6437" t="s">
        <v>749</v>
      </c>
    </row>
    <row r="6438" spans="14:14" ht="15" customHeight="1" x14ac:dyDescent="0.25">
      <c r="N6438" t="s">
        <v>749</v>
      </c>
    </row>
    <row r="6439" spans="14:14" ht="15" customHeight="1" x14ac:dyDescent="0.25">
      <c r="N6439" t="s">
        <v>749</v>
      </c>
    </row>
    <row r="6440" spans="14:14" ht="15" customHeight="1" x14ac:dyDescent="0.25">
      <c r="N6440" t="s">
        <v>749</v>
      </c>
    </row>
    <row r="6441" spans="14:14" ht="15" customHeight="1" x14ac:dyDescent="0.25">
      <c r="N6441" t="s">
        <v>749</v>
      </c>
    </row>
    <row r="6442" spans="14:14" ht="15" customHeight="1" x14ac:dyDescent="0.25">
      <c r="N6442" t="s">
        <v>749</v>
      </c>
    </row>
    <row r="6443" spans="14:14" ht="15" customHeight="1" x14ac:dyDescent="0.25">
      <c r="N6443" t="s">
        <v>749</v>
      </c>
    </row>
    <row r="6444" spans="14:14" ht="15" customHeight="1" x14ac:dyDescent="0.25">
      <c r="N6444" t="s">
        <v>749</v>
      </c>
    </row>
    <row r="6445" spans="14:14" ht="15" customHeight="1" x14ac:dyDescent="0.25">
      <c r="N6445" t="s">
        <v>749</v>
      </c>
    </row>
    <row r="6446" spans="14:14" ht="15" customHeight="1" x14ac:dyDescent="0.25">
      <c r="N6446" t="s">
        <v>749</v>
      </c>
    </row>
    <row r="6447" spans="14:14" ht="15" customHeight="1" x14ac:dyDescent="0.25">
      <c r="N6447" t="s">
        <v>749</v>
      </c>
    </row>
    <row r="6448" spans="14:14" ht="15" customHeight="1" x14ac:dyDescent="0.25">
      <c r="N6448" t="s">
        <v>68</v>
      </c>
    </row>
    <row r="6449" spans="14:14" ht="15" customHeight="1" x14ac:dyDescent="0.25">
      <c r="N6449" t="s">
        <v>749</v>
      </c>
    </row>
    <row r="6450" spans="14:14" ht="15" customHeight="1" x14ac:dyDescent="0.25">
      <c r="N6450" t="s">
        <v>675</v>
      </c>
    </row>
    <row r="6451" spans="14:14" ht="15" customHeight="1" x14ac:dyDescent="0.25">
      <c r="N6451" t="s">
        <v>68</v>
      </c>
    </row>
    <row r="6452" spans="14:14" ht="15" customHeight="1" x14ac:dyDescent="0.25">
      <c r="N6452" t="s">
        <v>732</v>
      </c>
    </row>
    <row r="6453" spans="14:14" ht="15" customHeight="1" x14ac:dyDescent="0.25">
      <c r="N6453" t="s">
        <v>496</v>
      </c>
    </row>
    <row r="6454" spans="14:14" ht="15" customHeight="1" x14ac:dyDescent="0.25">
      <c r="N6454" t="s">
        <v>706</v>
      </c>
    </row>
    <row r="6455" spans="14:14" ht="15" customHeight="1" x14ac:dyDescent="0.25">
      <c r="N6455" t="s">
        <v>706</v>
      </c>
    </row>
    <row r="6456" spans="14:14" ht="15" customHeight="1" x14ac:dyDescent="0.25">
      <c r="N6456" t="s">
        <v>706</v>
      </c>
    </row>
    <row r="6457" spans="14:14" ht="15" customHeight="1" x14ac:dyDescent="0.25">
      <c r="N6457" t="s">
        <v>706</v>
      </c>
    </row>
    <row r="6458" spans="14:14" ht="15" customHeight="1" x14ac:dyDescent="0.25">
      <c r="N6458" t="s">
        <v>706</v>
      </c>
    </row>
    <row r="6459" spans="14:14" ht="15" customHeight="1" x14ac:dyDescent="0.25">
      <c r="N6459" t="s">
        <v>706</v>
      </c>
    </row>
    <row r="6460" spans="14:14" ht="15" customHeight="1" x14ac:dyDescent="0.25">
      <c r="N6460" t="s">
        <v>706</v>
      </c>
    </row>
    <row r="6461" spans="14:14" ht="15" customHeight="1" x14ac:dyDescent="0.25">
      <c r="N6461" t="s">
        <v>706</v>
      </c>
    </row>
    <row r="6462" spans="14:14" ht="15" customHeight="1" x14ac:dyDescent="0.25">
      <c r="N6462" t="s">
        <v>706</v>
      </c>
    </row>
    <row r="6463" spans="14:14" ht="15" customHeight="1" x14ac:dyDescent="0.25">
      <c r="N6463" t="s">
        <v>706</v>
      </c>
    </row>
    <row r="6464" spans="14:14" ht="15" customHeight="1" x14ac:dyDescent="0.25">
      <c r="N6464" t="s">
        <v>706</v>
      </c>
    </row>
    <row r="6465" spans="14:14" ht="15" customHeight="1" x14ac:dyDescent="0.25">
      <c r="N6465" t="s">
        <v>706</v>
      </c>
    </row>
    <row r="6466" spans="14:14" ht="15" customHeight="1" x14ac:dyDescent="0.25">
      <c r="N6466" t="s">
        <v>706</v>
      </c>
    </row>
    <row r="6467" spans="14:14" ht="15" customHeight="1" x14ac:dyDescent="0.25">
      <c r="N6467" t="s">
        <v>582</v>
      </c>
    </row>
    <row r="6468" spans="14:14" ht="15" customHeight="1" x14ac:dyDescent="0.25">
      <c r="N6468" t="s">
        <v>715</v>
      </c>
    </row>
    <row r="6469" spans="14:14" ht="15" customHeight="1" x14ac:dyDescent="0.25">
      <c r="N6469" t="s">
        <v>715</v>
      </c>
    </row>
    <row r="6470" spans="14:14" ht="15" customHeight="1" x14ac:dyDescent="0.25">
      <c r="N6470" t="s">
        <v>715</v>
      </c>
    </row>
    <row r="6471" spans="14:14" ht="15" customHeight="1" x14ac:dyDescent="0.25">
      <c r="N6471" t="s">
        <v>715</v>
      </c>
    </row>
    <row r="6472" spans="14:14" ht="15" customHeight="1" x14ac:dyDescent="0.25">
      <c r="N6472" t="s">
        <v>750</v>
      </c>
    </row>
    <row r="6473" spans="14:14" ht="15" customHeight="1" x14ac:dyDescent="0.25">
      <c r="N6473" t="s">
        <v>750</v>
      </c>
    </row>
    <row r="6474" spans="14:14" ht="15" customHeight="1" x14ac:dyDescent="0.25">
      <c r="N6474" t="s">
        <v>750</v>
      </c>
    </row>
    <row r="6475" spans="14:14" ht="15" customHeight="1" x14ac:dyDescent="0.25">
      <c r="N6475" t="s">
        <v>750</v>
      </c>
    </row>
    <row r="6476" spans="14:14" ht="15" customHeight="1" x14ac:dyDescent="0.25">
      <c r="N6476" t="s">
        <v>750</v>
      </c>
    </row>
    <row r="6477" spans="14:14" ht="15" customHeight="1" x14ac:dyDescent="0.25">
      <c r="N6477" t="s">
        <v>750</v>
      </c>
    </row>
    <row r="6478" spans="14:14" ht="15" customHeight="1" x14ac:dyDescent="0.25">
      <c r="N6478" t="s">
        <v>750</v>
      </c>
    </row>
    <row r="6479" spans="14:14" ht="15" customHeight="1" x14ac:dyDescent="0.25">
      <c r="N6479" t="s">
        <v>750</v>
      </c>
    </row>
    <row r="6480" spans="14:14" ht="15" customHeight="1" x14ac:dyDescent="0.25">
      <c r="N6480" t="s">
        <v>750</v>
      </c>
    </row>
    <row r="6481" spans="14:14" ht="15" customHeight="1" x14ac:dyDescent="0.25">
      <c r="N6481" t="s">
        <v>750</v>
      </c>
    </row>
    <row r="6482" spans="14:14" ht="15" customHeight="1" x14ac:dyDescent="0.25">
      <c r="N6482" t="s">
        <v>750</v>
      </c>
    </row>
    <row r="6483" spans="14:14" ht="15" customHeight="1" x14ac:dyDescent="0.25">
      <c r="N6483" t="s">
        <v>750</v>
      </c>
    </row>
    <row r="6484" spans="14:14" ht="15" customHeight="1" x14ac:dyDescent="0.25">
      <c r="N6484" t="s">
        <v>750</v>
      </c>
    </row>
    <row r="6485" spans="14:14" ht="15" customHeight="1" x14ac:dyDescent="0.25">
      <c r="N6485" t="s">
        <v>750</v>
      </c>
    </row>
    <row r="6486" spans="14:14" ht="15" customHeight="1" x14ac:dyDescent="0.25">
      <c r="N6486" t="s">
        <v>750</v>
      </c>
    </row>
    <row r="6487" spans="14:14" ht="15" customHeight="1" x14ac:dyDescent="0.25">
      <c r="N6487" t="s">
        <v>750</v>
      </c>
    </row>
    <row r="6488" spans="14:14" ht="15" customHeight="1" x14ac:dyDescent="0.25">
      <c r="N6488" t="s">
        <v>750</v>
      </c>
    </row>
    <row r="6489" spans="14:14" ht="15" customHeight="1" x14ac:dyDescent="0.25">
      <c r="N6489" t="s">
        <v>750</v>
      </c>
    </row>
    <row r="6490" spans="14:14" ht="15" customHeight="1" x14ac:dyDescent="0.25">
      <c r="N6490" t="s">
        <v>750</v>
      </c>
    </row>
    <row r="6491" spans="14:14" ht="15" customHeight="1" x14ac:dyDescent="0.25">
      <c r="N6491" t="s">
        <v>750</v>
      </c>
    </row>
    <row r="6492" spans="14:14" ht="15" customHeight="1" x14ac:dyDescent="0.25">
      <c r="N6492" t="s">
        <v>750</v>
      </c>
    </row>
    <row r="6493" spans="14:14" ht="15" customHeight="1" x14ac:dyDescent="0.25">
      <c r="N6493" t="s">
        <v>750</v>
      </c>
    </row>
    <row r="6494" spans="14:14" ht="15" customHeight="1" x14ac:dyDescent="0.25">
      <c r="N6494" t="s">
        <v>750</v>
      </c>
    </row>
    <row r="6495" spans="14:14" ht="15" customHeight="1" x14ac:dyDescent="0.25">
      <c r="N6495" t="s">
        <v>750</v>
      </c>
    </row>
    <row r="6496" spans="14:14" ht="15" customHeight="1" x14ac:dyDescent="0.25">
      <c r="N6496" t="s">
        <v>750</v>
      </c>
    </row>
    <row r="6497" spans="14:14" ht="15" customHeight="1" x14ac:dyDescent="0.25">
      <c r="N6497" t="s">
        <v>750</v>
      </c>
    </row>
    <row r="6498" spans="14:14" ht="15" customHeight="1" x14ac:dyDescent="0.25">
      <c r="N6498" t="s">
        <v>750</v>
      </c>
    </row>
    <row r="6499" spans="14:14" ht="15" customHeight="1" x14ac:dyDescent="0.25">
      <c r="N6499" t="s">
        <v>689</v>
      </c>
    </row>
    <row r="6500" spans="14:14" ht="15" customHeight="1" x14ac:dyDescent="0.25">
      <c r="N6500" t="s">
        <v>715</v>
      </c>
    </row>
    <row r="6501" spans="14:14" ht="15" customHeight="1" x14ac:dyDescent="0.25">
      <c r="N6501" t="s">
        <v>715</v>
      </c>
    </row>
    <row r="6502" spans="14:14" ht="15" customHeight="1" x14ac:dyDescent="0.25">
      <c r="N6502" t="s">
        <v>715</v>
      </c>
    </row>
    <row r="6503" spans="14:14" ht="15" customHeight="1" x14ac:dyDescent="0.25">
      <c r="N6503" t="s">
        <v>715</v>
      </c>
    </row>
    <row r="6504" spans="14:14" ht="15" customHeight="1" x14ac:dyDescent="0.25">
      <c r="N6504" t="s">
        <v>751</v>
      </c>
    </row>
    <row r="6505" spans="14:14" ht="15" customHeight="1" x14ac:dyDescent="0.25">
      <c r="N6505" t="s">
        <v>751</v>
      </c>
    </row>
    <row r="6506" spans="14:14" ht="15" customHeight="1" x14ac:dyDescent="0.25">
      <c r="N6506" t="s">
        <v>751</v>
      </c>
    </row>
    <row r="6507" spans="14:14" ht="15" customHeight="1" x14ac:dyDescent="0.25">
      <c r="N6507" t="s">
        <v>751</v>
      </c>
    </row>
    <row r="6508" spans="14:14" ht="15" customHeight="1" x14ac:dyDescent="0.25">
      <c r="N6508" t="s">
        <v>751</v>
      </c>
    </row>
    <row r="6509" spans="14:14" ht="15" customHeight="1" x14ac:dyDescent="0.25">
      <c r="N6509" t="s">
        <v>751</v>
      </c>
    </row>
    <row r="6510" spans="14:14" ht="15" customHeight="1" x14ac:dyDescent="0.25">
      <c r="N6510" t="s">
        <v>751</v>
      </c>
    </row>
    <row r="6511" spans="14:14" ht="15" customHeight="1" x14ac:dyDescent="0.25">
      <c r="N6511" t="s">
        <v>751</v>
      </c>
    </row>
    <row r="6512" spans="14:14" ht="15" customHeight="1" x14ac:dyDescent="0.25">
      <c r="N6512" t="s">
        <v>751</v>
      </c>
    </row>
    <row r="6513" spans="14:14" ht="15" customHeight="1" x14ac:dyDescent="0.25">
      <c r="N6513" t="s">
        <v>751</v>
      </c>
    </row>
    <row r="6514" spans="14:14" ht="15" customHeight="1" x14ac:dyDescent="0.25">
      <c r="N6514" t="s">
        <v>751</v>
      </c>
    </row>
    <row r="6515" spans="14:14" ht="15" customHeight="1" x14ac:dyDescent="0.25">
      <c r="N6515" t="s">
        <v>751</v>
      </c>
    </row>
    <row r="6516" spans="14:14" ht="15" customHeight="1" x14ac:dyDescent="0.25">
      <c r="N6516" t="s">
        <v>751</v>
      </c>
    </row>
    <row r="6517" spans="14:14" ht="15" customHeight="1" x14ac:dyDescent="0.25">
      <c r="N6517" t="s">
        <v>751</v>
      </c>
    </row>
    <row r="6518" spans="14:14" ht="15" customHeight="1" x14ac:dyDescent="0.25">
      <c r="N6518" t="s">
        <v>751</v>
      </c>
    </row>
    <row r="6519" spans="14:14" ht="15" customHeight="1" x14ac:dyDescent="0.25">
      <c r="N6519" t="s">
        <v>751</v>
      </c>
    </row>
    <row r="6520" spans="14:14" ht="15" customHeight="1" x14ac:dyDescent="0.25">
      <c r="N6520" t="s">
        <v>751</v>
      </c>
    </row>
    <row r="6521" spans="14:14" ht="15" customHeight="1" x14ac:dyDescent="0.25">
      <c r="N6521" t="s">
        <v>751</v>
      </c>
    </row>
    <row r="6522" spans="14:14" ht="15" customHeight="1" x14ac:dyDescent="0.25">
      <c r="N6522" t="s">
        <v>751</v>
      </c>
    </row>
    <row r="6523" spans="14:14" ht="15" customHeight="1" x14ac:dyDescent="0.25">
      <c r="N6523" t="s">
        <v>751</v>
      </c>
    </row>
    <row r="6524" spans="14:14" ht="15" customHeight="1" x14ac:dyDescent="0.25">
      <c r="N6524" t="s">
        <v>751</v>
      </c>
    </row>
    <row r="6525" spans="14:14" ht="15" customHeight="1" x14ac:dyDescent="0.25">
      <c r="N6525" t="s">
        <v>751</v>
      </c>
    </row>
    <row r="6526" spans="14:14" ht="15" customHeight="1" x14ac:dyDescent="0.25">
      <c r="N6526" t="s">
        <v>751</v>
      </c>
    </row>
    <row r="6527" spans="14:14" ht="15" customHeight="1" x14ac:dyDescent="0.25">
      <c r="N6527" t="s">
        <v>751</v>
      </c>
    </row>
    <row r="6528" spans="14:14" ht="15" customHeight="1" x14ac:dyDescent="0.25">
      <c r="N6528" t="s">
        <v>751</v>
      </c>
    </row>
    <row r="6529" spans="14:14" ht="15" customHeight="1" x14ac:dyDescent="0.25">
      <c r="N6529" t="s">
        <v>751</v>
      </c>
    </row>
    <row r="6530" spans="14:14" ht="15" customHeight="1" x14ac:dyDescent="0.25">
      <c r="N6530" t="s">
        <v>751</v>
      </c>
    </row>
    <row r="6531" spans="14:14" ht="15" customHeight="1" x14ac:dyDescent="0.25">
      <c r="N6531" t="s">
        <v>68</v>
      </c>
    </row>
    <row r="6532" spans="14:14" ht="15" customHeight="1" x14ac:dyDescent="0.25">
      <c r="N6532" t="s">
        <v>675</v>
      </c>
    </row>
    <row r="6533" spans="14:14" ht="15" customHeight="1" x14ac:dyDescent="0.25">
      <c r="N6533" t="s">
        <v>675</v>
      </c>
    </row>
    <row r="6534" spans="14:14" ht="15" customHeight="1" x14ac:dyDescent="0.25">
      <c r="N6534" t="s">
        <v>675</v>
      </c>
    </row>
    <row r="6535" spans="14:14" ht="15" customHeight="1" x14ac:dyDescent="0.25">
      <c r="N6535" t="s">
        <v>675</v>
      </c>
    </row>
    <row r="6536" spans="14:14" ht="15" customHeight="1" x14ac:dyDescent="0.25">
      <c r="N6536" t="s">
        <v>675</v>
      </c>
    </row>
    <row r="6537" spans="14:14" ht="15" customHeight="1" x14ac:dyDescent="0.25">
      <c r="N6537" t="s">
        <v>675</v>
      </c>
    </row>
    <row r="6538" spans="14:14" ht="15" customHeight="1" x14ac:dyDescent="0.25">
      <c r="N6538" t="s">
        <v>675</v>
      </c>
    </row>
    <row r="6539" spans="14:14" ht="15" customHeight="1" x14ac:dyDescent="0.25">
      <c r="N6539" t="s">
        <v>675</v>
      </c>
    </row>
    <row r="6540" spans="14:14" ht="15" customHeight="1" x14ac:dyDescent="0.25">
      <c r="N6540" t="s">
        <v>675</v>
      </c>
    </row>
    <row r="6541" spans="14:14" ht="15" customHeight="1" x14ac:dyDescent="0.25">
      <c r="N6541" t="s">
        <v>706</v>
      </c>
    </row>
    <row r="6542" spans="14:14" ht="15" customHeight="1" x14ac:dyDescent="0.25">
      <c r="N6542" t="s">
        <v>706</v>
      </c>
    </row>
    <row r="6543" spans="14:14" ht="15" customHeight="1" x14ac:dyDescent="0.25">
      <c r="N6543" t="s">
        <v>706</v>
      </c>
    </row>
    <row r="6544" spans="14:14" ht="15" customHeight="1" x14ac:dyDescent="0.25">
      <c r="N6544" t="s">
        <v>706</v>
      </c>
    </row>
    <row r="6545" spans="14:14" ht="15" customHeight="1" x14ac:dyDescent="0.25">
      <c r="N6545" t="s">
        <v>706</v>
      </c>
    </row>
    <row r="6546" spans="14:14" ht="15" customHeight="1" x14ac:dyDescent="0.25">
      <c r="N6546" t="s">
        <v>706</v>
      </c>
    </row>
    <row r="6547" spans="14:14" ht="15" customHeight="1" x14ac:dyDescent="0.25">
      <c r="N6547" t="s">
        <v>706</v>
      </c>
    </row>
    <row r="6548" spans="14:14" ht="15" customHeight="1" x14ac:dyDescent="0.25">
      <c r="N6548" t="s">
        <v>706</v>
      </c>
    </row>
    <row r="6549" spans="14:14" ht="15" customHeight="1" x14ac:dyDescent="0.25">
      <c r="N6549" t="s">
        <v>706</v>
      </c>
    </row>
    <row r="6550" spans="14:14" ht="15" customHeight="1" x14ac:dyDescent="0.25">
      <c r="N6550" t="s">
        <v>706</v>
      </c>
    </row>
    <row r="6551" spans="14:14" ht="15" customHeight="1" x14ac:dyDescent="0.25">
      <c r="N6551" t="s">
        <v>706</v>
      </c>
    </row>
    <row r="6552" spans="14:14" ht="15" customHeight="1" x14ac:dyDescent="0.25">
      <c r="N6552" t="s">
        <v>706</v>
      </c>
    </row>
    <row r="6553" spans="14:14" ht="15" customHeight="1" x14ac:dyDescent="0.25">
      <c r="N6553" t="s">
        <v>706</v>
      </c>
    </row>
    <row r="6554" spans="14:14" ht="15" customHeight="1" x14ac:dyDescent="0.25">
      <c r="N6554" t="s">
        <v>313</v>
      </c>
    </row>
    <row r="6555" spans="14:14" ht="15" customHeight="1" x14ac:dyDescent="0.25">
      <c r="N6555" t="s">
        <v>313</v>
      </c>
    </row>
    <row r="6556" spans="14:14" ht="15" customHeight="1" x14ac:dyDescent="0.25">
      <c r="N6556" t="s">
        <v>313</v>
      </c>
    </row>
    <row r="6557" spans="14:14" ht="15" customHeight="1" x14ac:dyDescent="0.25">
      <c r="N6557" t="s">
        <v>313</v>
      </c>
    </row>
    <row r="6558" spans="14:14" ht="15" customHeight="1" x14ac:dyDescent="0.25">
      <c r="N6558" t="s">
        <v>313</v>
      </c>
    </row>
    <row r="6559" spans="14:14" ht="15" customHeight="1" x14ac:dyDescent="0.25">
      <c r="N6559" t="s">
        <v>313</v>
      </c>
    </row>
    <row r="6560" spans="14:14" ht="15" customHeight="1" x14ac:dyDescent="0.25">
      <c r="N6560" t="s">
        <v>313</v>
      </c>
    </row>
    <row r="6561" spans="14:14" ht="15" customHeight="1" x14ac:dyDescent="0.25">
      <c r="N6561" t="s">
        <v>313</v>
      </c>
    </row>
    <row r="6562" spans="14:14" ht="15" customHeight="1" x14ac:dyDescent="0.25">
      <c r="N6562" t="s">
        <v>313</v>
      </c>
    </row>
    <row r="6563" spans="14:14" ht="15" customHeight="1" x14ac:dyDescent="0.25">
      <c r="N6563" t="s">
        <v>68</v>
      </c>
    </row>
    <row r="6564" spans="14:14" ht="15" customHeight="1" x14ac:dyDescent="0.25">
      <c r="N6564" t="s">
        <v>68</v>
      </c>
    </row>
    <row r="6565" spans="14:14" ht="15" customHeight="1" x14ac:dyDescent="0.25">
      <c r="N6565" t="s">
        <v>68</v>
      </c>
    </row>
    <row r="6566" spans="14:14" ht="15" customHeight="1" x14ac:dyDescent="0.25">
      <c r="N6566" t="s">
        <v>68</v>
      </c>
    </row>
    <row r="6567" spans="14:14" ht="15" customHeight="1" x14ac:dyDescent="0.25">
      <c r="N6567" t="s">
        <v>68</v>
      </c>
    </row>
    <row r="6568" spans="14:14" ht="15" customHeight="1" x14ac:dyDescent="0.25">
      <c r="N6568" t="s">
        <v>68</v>
      </c>
    </row>
    <row r="6569" spans="14:14" ht="15" customHeight="1" x14ac:dyDescent="0.25">
      <c r="N6569" t="s">
        <v>68</v>
      </c>
    </row>
    <row r="6570" spans="14:14" ht="15" customHeight="1" x14ac:dyDescent="0.25">
      <c r="N6570" t="s">
        <v>68</v>
      </c>
    </row>
    <row r="6571" spans="14:14" ht="15" customHeight="1" x14ac:dyDescent="0.25">
      <c r="N6571" t="s">
        <v>68</v>
      </c>
    </row>
    <row r="6572" spans="14:14" ht="15" customHeight="1" x14ac:dyDescent="0.25">
      <c r="N6572" t="s">
        <v>677</v>
      </c>
    </row>
    <row r="6573" spans="14:14" ht="15" customHeight="1" x14ac:dyDescent="0.25">
      <c r="N6573" t="s">
        <v>313</v>
      </c>
    </row>
    <row r="6574" spans="14:14" ht="15" customHeight="1" x14ac:dyDescent="0.25">
      <c r="N6574" t="s">
        <v>677</v>
      </c>
    </row>
    <row r="6575" spans="14:14" ht="15" customHeight="1" x14ac:dyDescent="0.25">
      <c r="N6575" t="s">
        <v>677</v>
      </c>
    </row>
    <row r="6576" spans="14:14" ht="15" customHeight="1" x14ac:dyDescent="0.25">
      <c r="N6576" t="s">
        <v>68</v>
      </c>
    </row>
    <row r="6577" spans="14:14" ht="15" customHeight="1" x14ac:dyDescent="0.25">
      <c r="N6577" t="s">
        <v>752</v>
      </c>
    </row>
    <row r="6578" spans="14:14" ht="15" customHeight="1" x14ac:dyDescent="0.25">
      <c r="N6578" t="s">
        <v>752</v>
      </c>
    </row>
    <row r="6579" spans="14:14" ht="15" customHeight="1" x14ac:dyDescent="0.25">
      <c r="N6579" t="s">
        <v>752</v>
      </c>
    </row>
    <row r="6580" spans="14:14" ht="15" customHeight="1" x14ac:dyDescent="0.25">
      <c r="N6580" t="s">
        <v>752</v>
      </c>
    </row>
    <row r="6581" spans="14:14" ht="15" customHeight="1" x14ac:dyDescent="0.25">
      <c r="N6581" t="s">
        <v>752</v>
      </c>
    </row>
    <row r="6582" spans="14:14" ht="15" customHeight="1" x14ac:dyDescent="0.25">
      <c r="N6582" t="s">
        <v>752</v>
      </c>
    </row>
    <row r="6583" spans="14:14" ht="15" customHeight="1" x14ac:dyDescent="0.25">
      <c r="N6583" t="s">
        <v>752</v>
      </c>
    </row>
    <row r="6584" spans="14:14" ht="15" customHeight="1" x14ac:dyDescent="0.25">
      <c r="N6584" t="s">
        <v>752</v>
      </c>
    </row>
    <row r="6585" spans="14:14" ht="15" customHeight="1" x14ac:dyDescent="0.25">
      <c r="N6585" t="s">
        <v>752</v>
      </c>
    </row>
    <row r="6586" spans="14:14" ht="15" customHeight="1" x14ac:dyDescent="0.25">
      <c r="N6586" t="s">
        <v>752</v>
      </c>
    </row>
    <row r="6587" spans="14:14" ht="15" customHeight="1" x14ac:dyDescent="0.25">
      <c r="N6587" t="s">
        <v>752</v>
      </c>
    </row>
    <row r="6588" spans="14:14" ht="15" customHeight="1" x14ac:dyDescent="0.25">
      <c r="N6588" t="s">
        <v>752</v>
      </c>
    </row>
    <row r="6589" spans="14:14" ht="15" customHeight="1" x14ac:dyDescent="0.25">
      <c r="N6589" t="s">
        <v>752</v>
      </c>
    </row>
    <row r="6590" spans="14:14" ht="15" customHeight="1" x14ac:dyDescent="0.25">
      <c r="N6590" t="s">
        <v>752</v>
      </c>
    </row>
    <row r="6591" spans="14:14" ht="15" customHeight="1" x14ac:dyDescent="0.25">
      <c r="N6591" t="s">
        <v>752</v>
      </c>
    </row>
    <row r="6592" spans="14:14" ht="15" customHeight="1" x14ac:dyDescent="0.25">
      <c r="N6592" t="s">
        <v>752</v>
      </c>
    </row>
    <row r="6593" spans="14:14" ht="15" customHeight="1" x14ac:dyDescent="0.25">
      <c r="N6593" t="s">
        <v>752</v>
      </c>
    </row>
    <row r="6594" spans="14:14" ht="15" customHeight="1" x14ac:dyDescent="0.25">
      <c r="N6594" t="s">
        <v>752</v>
      </c>
    </row>
    <row r="6595" spans="14:14" ht="15" customHeight="1" x14ac:dyDescent="0.25">
      <c r="N6595" t="s">
        <v>752</v>
      </c>
    </row>
    <row r="6596" spans="14:14" ht="15" customHeight="1" x14ac:dyDescent="0.25">
      <c r="N6596" t="s">
        <v>752</v>
      </c>
    </row>
    <row r="6597" spans="14:14" ht="15" customHeight="1" x14ac:dyDescent="0.25">
      <c r="N6597" t="s">
        <v>752</v>
      </c>
    </row>
    <row r="6598" spans="14:14" ht="15" customHeight="1" x14ac:dyDescent="0.25">
      <c r="N6598" t="s">
        <v>752</v>
      </c>
    </row>
    <row r="6599" spans="14:14" ht="15" customHeight="1" x14ac:dyDescent="0.25">
      <c r="N6599" t="s">
        <v>752</v>
      </c>
    </row>
    <row r="6600" spans="14:14" ht="15" customHeight="1" x14ac:dyDescent="0.25">
      <c r="N6600" t="s">
        <v>752</v>
      </c>
    </row>
    <row r="6601" spans="14:14" ht="15" customHeight="1" x14ac:dyDescent="0.25">
      <c r="N6601" t="s">
        <v>752</v>
      </c>
    </row>
    <row r="6602" spans="14:14" ht="15" customHeight="1" x14ac:dyDescent="0.25">
      <c r="N6602" t="s">
        <v>752</v>
      </c>
    </row>
    <row r="6603" spans="14:14" ht="15" customHeight="1" x14ac:dyDescent="0.25">
      <c r="N6603" t="s">
        <v>752</v>
      </c>
    </row>
    <row r="6604" spans="14:14" ht="15" customHeight="1" x14ac:dyDescent="0.25">
      <c r="N6604" t="s">
        <v>687</v>
      </c>
    </row>
    <row r="6605" spans="14:14" ht="15" customHeight="1" x14ac:dyDescent="0.25">
      <c r="N6605" t="s">
        <v>68</v>
      </c>
    </row>
    <row r="6606" spans="14:14" ht="15" customHeight="1" x14ac:dyDescent="0.25">
      <c r="N6606" t="s">
        <v>752</v>
      </c>
    </row>
    <row r="6607" spans="14:14" ht="15" customHeight="1" x14ac:dyDescent="0.25">
      <c r="N6607" t="s">
        <v>752</v>
      </c>
    </row>
    <row r="6608" spans="14:14" ht="15" customHeight="1" x14ac:dyDescent="0.25">
      <c r="N6608" t="s">
        <v>752</v>
      </c>
    </row>
    <row r="6609" spans="14:14" ht="15" customHeight="1" x14ac:dyDescent="0.25">
      <c r="N6609" t="s">
        <v>752</v>
      </c>
    </row>
    <row r="6610" spans="14:14" ht="15" customHeight="1" x14ac:dyDescent="0.25">
      <c r="N6610" t="s">
        <v>752</v>
      </c>
    </row>
    <row r="6611" spans="14:14" ht="15" customHeight="1" x14ac:dyDescent="0.25">
      <c r="N6611" t="s">
        <v>752</v>
      </c>
    </row>
    <row r="6612" spans="14:14" ht="15" customHeight="1" x14ac:dyDescent="0.25">
      <c r="N6612" t="s">
        <v>752</v>
      </c>
    </row>
    <row r="6613" spans="14:14" ht="15" customHeight="1" x14ac:dyDescent="0.25">
      <c r="N6613" t="s">
        <v>752</v>
      </c>
    </row>
    <row r="6614" spans="14:14" ht="15" customHeight="1" x14ac:dyDescent="0.25">
      <c r="N6614" t="s">
        <v>752</v>
      </c>
    </row>
    <row r="6615" spans="14:14" ht="15" customHeight="1" x14ac:dyDescent="0.25">
      <c r="N6615" t="s">
        <v>752</v>
      </c>
    </row>
    <row r="6616" spans="14:14" ht="15" customHeight="1" x14ac:dyDescent="0.25">
      <c r="N6616" t="s">
        <v>752</v>
      </c>
    </row>
    <row r="6617" spans="14:14" ht="15" customHeight="1" x14ac:dyDescent="0.25">
      <c r="N6617" t="s">
        <v>752</v>
      </c>
    </row>
    <row r="6618" spans="14:14" ht="15" customHeight="1" x14ac:dyDescent="0.25">
      <c r="N6618" t="s">
        <v>752</v>
      </c>
    </row>
    <row r="6619" spans="14:14" ht="15" customHeight="1" x14ac:dyDescent="0.25">
      <c r="N6619" t="s">
        <v>752</v>
      </c>
    </row>
    <row r="6620" spans="14:14" ht="15" customHeight="1" x14ac:dyDescent="0.25">
      <c r="N6620" t="s">
        <v>752</v>
      </c>
    </row>
    <row r="6621" spans="14:14" ht="15" customHeight="1" x14ac:dyDescent="0.25">
      <c r="N6621" t="s">
        <v>752</v>
      </c>
    </row>
    <row r="6622" spans="14:14" ht="15" customHeight="1" x14ac:dyDescent="0.25">
      <c r="N6622" t="s">
        <v>752</v>
      </c>
    </row>
    <row r="6623" spans="14:14" ht="15" customHeight="1" x14ac:dyDescent="0.25">
      <c r="N6623" t="s">
        <v>752</v>
      </c>
    </row>
    <row r="6624" spans="14:14" ht="15" customHeight="1" x14ac:dyDescent="0.25">
      <c r="N6624" t="s">
        <v>752</v>
      </c>
    </row>
    <row r="6625" spans="14:14" ht="15" customHeight="1" x14ac:dyDescent="0.25">
      <c r="N6625" t="s">
        <v>752</v>
      </c>
    </row>
    <row r="6626" spans="14:14" ht="15" customHeight="1" x14ac:dyDescent="0.25">
      <c r="N6626" t="s">
        <v>752</v>
      </c>
    </row>
    <row r="6627" spans="14:14" ht="15" customHeight="1" x14ac:dyDescent="0.25">
      <c r="N6627" t="s">
        <v>752</v>
      </c>
    </row>
    <row r="6628" spans="14:14" ht="15" customHeight="1" x14ac:dyDescent="0.25">
      <c r="N6628" t="s">
        <v>752</v>
      </c>
    </row>
    <row r="6629" spans="14:14" ht="15" customHeight="1" x14ac:dyDescent="0.25">
      <c r="N6629" t="s">
        <v>752</v>
      </c>
    </row>
    <row r="6630" spans="14:14" ht="15" customHeight="1" x14ac:dyDescent="0.25">
      <c r="N6630" t="s">
        <v>752</v>
      </c>
    </row>
    <row r="6631" spans="14:14" ht="15" customHeight="1" x14ac:dyDescent="0.25">
      <c r="N6631" t="s">
        <v>752</v>
      </c>
    </row>
    <row r="6632" spans="14:14" ht="15" customHeight="1" x14ac:dyDescent="0.25">
      <c r="N6632" t="s">
        <v>752</v>
      </c>
    </row>
    <row r="6633" spans="14:14" ht="15" customHeight="1" x14ac:dyDescent="0.25">
      <c r="N6633" t="s">
        <v>304</v>
      </c>
    </row>
    <row r="6634" spans="14:14" ht="15" customHeight="1" x14ac:dyDescent="0.25">
      <c r="N6634" t="s">
        <v>304</v>
      </c>
    </row>
    <row r="6635" spans="14:14" ht="15" customHeight="1" x14ac:dyDescent="0.25">
      <c r="N6635" t="s">
        <v>304</v>
      </c>
    </row>
    <row r="6636" spans="14:14" ht="15" customHeight="1" x14ac:dyDescent="0.25">
      <c r="N6636" t="s">
        <v>304</v>
      </c>
    </row>
    <row r="6637" spans="14:14" ht="15" customHeight="1" x14ac:dyDescent="0.25">
      <c r="N6637" t="s">
        <v>752</v>
      </c>
    </row>
    <row r="6638" spans="14:14" ht="15" customHeight="1" x14ac:dyDescent="0.25">
      <c r="N6638" t="s">
        <v>752</v>
      </c>
    </row>
    <row r="6639" spans="14:14" ht="15" customHeight="1" x14ac:dyDescent="0.25">
      <c r="N6639" t="s">
        <v>752</v>
      </c>
    </row>
    <row r="6640" spans="14:14" ht="15" customHeight="1" x14ac:dyDescent="0.25">
      <c r="N6640" t="s">
        <v>752</v>
      </c>
    </row>
    <row r="6641" spans="14:14" ht="15" customHeight="1" x14ac:dyDescent="0.25">
      <c r="N6641" t="s">
        <v>752</v>
      </c>
    </row>
    <row r="6642" spans="14:14" ht="15" customHeight="1" x14ac:dyDescent="0.25">
      <c r="N6642" t="s">
        <v>752</v>
      </c>
    </row>
    <row r="6643" spans="14:14" ht="15" customHeight="1" x14ac:dyDescent="0.25">
      <c r="N6643" t="s">
        <v>752</v>
      </c>
    </row>
    <row r="6644" spans="14:14" ht="15" customHeight="1" x14ac:dyDescent="0.25">
      <c r="N6644" t="s">
        <v>752</v>
      </c>
    </row>
    <row r="6645" spans="14:14" ht="15" customHeight="1" x14ac:dyDescent="0.25">
      <c r="N6645" t="s">
        <v>752</v>
      </c>
    </row>
    <row r="6646" spans="14:14" ht="15" customHeight="1" x14ac:dyDescent="0.25">
      <c r="N6646" t="s">
        <v>752</v>
      </c>
    </row>
    <row r="6647" spans="14:14" ht="15" customHeight="1" x14ac:dyDescent="0.25">
      <c r="N6647" t="s">
        <v>752</v>
      </c>
    </row>
    <row r="6648" spans="14:14" ht="15" customHeight="1" x14ac:dyDescent="0.25">
      <c r="N6648" t="s">
        <v>752</v>
      </c>
    </row>
    <row r="6649" spans="14:14" ht="15" customHeight="1" x14ac:dyDescent="0.25">
      <c r="N6649" t="s">
        <v>752</v>
      </c>
    </row>
    <row r="6650" spans="14:14" ht="15" customHeight="1" x14ac:dyDescent="0.25">
      <c r="N6650" t="s">
        <v>752</v>
      </c>
    </row>
    <row r="6651" spans="14:14" ht="15" customHeight="1" x14ac:dyDescent="0.25">
      <c r="N6651" t="s">
        <v>752</v>
      </c>
    </row>
    <row r="6652" spans="14:14" ht="15" customHeight="1" x14ac:dyDescent="0.25">
      <c r="N6652" t="s">
        <v>752</v>
      </c>
    </row>
    <row r="6653" spans="14:14" ht="15" customHeight="1" x14ac:dyDescent="0.25">
      <c r="N6653" t="s">
        <v>752</v>
      </c>
    </row>
    <row r="6654" spans="14:14" ht="15" customHeight="1" x14ac:dyDescent="0.25">
      <c r="N6654" t="s">
        <v>752</v>
      </c>
    </row>
    <row r="6655" spans="14:14" ht="15" customHeight="1" x14ac:dyDescent="0.25">
      <c r="N6655" t="s">
        <v>752</v>
      </c>
    </row>
    <row r="6656" spans="14:14" ht="15" customHeight="1" x14ac:dyDescent="0.25">
      <c r="N6656" t="s">
        <v>752</v>
      </c>
    </row>
    <row r="6657" spans="14:14" ht="15" customHeight="1" x14ac:dyDescent="0.25">
      <c r="N6657" t="s">
        <v>752</v>
      </c>
    </row>
    <row r="6658" spans="14:14" ht="15" customHeight="1" x14ac:dyDescent="0.25">
      <c r="N6658" t="s">
        <v>752</v>
      </c>
    </row>
    <row r="6659" spans="14:14" ht="15" customHeight="1" x14ac:dyDescent="0.25">
      <c r="N6659" t="s">
        <v>752</v>
      </c>
    </row>
    <row r="6660" spans="14:14" ht="15" customHeight="1" x14ac:dyDescent="0.25">
      <c r="N6660" t="s">
        <v>752</v>
      </c>
    </row>
    <row r="6661" spans="14:14" ht="15" customHeight="1" x14ac:dyDescent="0.25">
      <c r="N6661" t="s">
        <v>752</v>
      </c>
    </row>
    <row r="6662" spans="14:14" ht="15" customHeight="1" x14ac:dyDescent="0.25">
      <c r="N6662" t="s">
        <v>752</v>
      </c>
    </row>
    <row r="6663" spans="14:14" ht="15" customHeight="1" x14ac:dyDescent="0.25">
      <c r="N6663" t="s">
        <v>752</v>
      </c>
    </row>
    <row r="6664" spans="14:14" ht="15" customHeight="1" x14ac:dyDescent="0.25">
      <c r="N6664" t="s">
        <v>582</v>
      </c>
    </row>
    <row r="6665" spans="14:14" ht="15" customHeight="1" x14ac:dyDescent="0.25">
      <c r="N6665" t="s">
        <v>582</v>
      </c>
    </row>
    <row r="6666" spans="14:14" ht="15" customHeight="1" x14ac:dyDescent="0.25">
      <c r="N6666" t="s">
        <v>582</v>
      </c>
    </row>
    <row r="6667" spans="14:14" ht="15" customHeight="1" x14ac:dyDescent="0.25">
      <c r="N6667" t="s">
        <v>582</v>
      </c>
    </row>
    <row r="6668" spans="14:14" ht="15" customHeight="1" x14ac:dyDescent="0.25">
      <c r="N6668" t="s">
        <v>582</v>
      </c>
    </row>
    <row r="6669" spans="14:14" ht="15" customHeight="1" x14ac:dyDescent="0.25">
      <c r="N6669" t="s">
        <v>582</v>
      </c>
    </row>
    <row r="6670" spans="14:14" ht="15" customHeight="1" x14ac:dyDescent="0.25">
      <c r="N6670" t="s">
        <v>582</v>
      </c>
    </row>
    <row r="6671" spans="14:14" ht="15" customHeight="1" x14ac:dyDescent="0.25">
      <c r="N6671" t="s">
        <v>582</v>
      </c>
    </row>
    <row r="6672" spans="14:14" ht="15" customHeight="1" x14ac:dyDescent="0.25">
      <c r="N6672" t="s">
        <v>582</v>
      </c>
    </row>
    <row r="6673" spans="14:14" ht="15" customHeight="1" x14ac:dyDescent="0.25">
      <c r="N6673" t="s">
        <v>687</v>
      </c>
    </row>
    <row r="6674" spans="14:14" ht="15" customHeight="1" x14ac:dyDescent="0.25">
      <c r="N6674" t="s">
        <v>68</v>
      </c>
    </row>
    <row r="6675" spans="14:14" ht="15" customHeight="1" x14ac:dyDescent="0.25">
      <c r="N6675" t="s">
        <v>68</v>
      </c>
    </row>
    <row r="6676" spans="14:14" ht="15" customHeight="1" x14ac:dyDescent="0.25">
      <c r="N6676" t="s">
        <v>68</v>
      </c>
    </row>
    <row r="6677" spans="14:14" ht="15" customHeight="1" x14ac:dyDescent="0.25">
      <c r="N6677" t="s">
        <v>68</v>
      </c>
    </row>
    <row r="6678" spans="14:14" ht="15" customHeight="1" x14ac:dyDescent="0.25">
      <c r="N6678" t="s">
        <v>68</v>
      </c>
    </row>
    <row r="6679" spans="14:14" ht="15" customHeight="1" x14ac:dyDescent="0.25">
      <c r="N6679" t="s">
        <v>68</v>
      </c>
    </row>
    <row r="6680" spans="14:14" ht="15" customHeight="1" x14ac:dyDescent="0.25">
      <c r="N6680" t="s">
        <v>68</v>
      </c>
    </row>
    <row r="6681" spans="14:14" ht="15" customHeight="1" x14ac:dyDescent="0.25">
      <c r="N6681" t="s">
        <v>68</v>
      </c>
    </row>
    <row r="6682" spans="14:14" ht="15" customHeight="1" x14ac:dyDescent="0.25">
      <c r="N6682" t="s">
        <v>68</v>
      </c>
    </row>
    <row r="6683" spans="14:14" ht="15" customHeight="1" x14ac:dyDescent="0.25">
      <c r="N6683" t="s">
        <v>713</v>
      </c>
    </row>
    <row r="6684" spans="14:14" ht="15" customHeight="1" x14ac:dyDescent="0.25">
      <c r="N6684" t="s">
        <v>408</v>
      </c>
    </row>
    <row r="6685" spans="14:14" ht="15" customHeight="1" x14ac:dyDescent="0.25">
      <c r="N6685" t="s">
        <v>713</v>
      </c>
    </row>
    <row r="6686" spans="14:14" ht="15" customHeight="1" x14ac:dyDescent="0.25">
      <c r="N6686" t="s">
        <v>713</v>
      </c>
    </row>
    <row r="6687" spans="14:14" ht="15" customHeight="1" x14ac:dyDescent="0.25">
      <c r="N6687" t="s">
        <v>606</v>
      </c>
    </row>
    <row r="6688" spans="14:14" ht="15" customHeight="1" x14ac:dyDescent="0.25">
      <c r="N6688" t="s">
        <v>458</v>
      </c>
    </row>
    <row r="6689" spans="14:14" ht="15" customHeight="1" x14ac:dyDescent="0.25">
      <c r="N6689" t="s">
        <v>686</v>
      </c>
    </row>
    <row r="6690" spans="14:14" ht="15" customHeight="1" x14ac:dyDescent="0.25">
      <c r="N6690" t="s">
        <v>558</v>
      </c>
    </row>
    <row r="6691" spans="14:14" ht="15" customHeight="1" x14ac:dyDescent="0.25">
      <c r="N6691" t="s">
        <v>715</v>
      </c>
    </row>
    <row r="6692" spans="14:14" ht="15" customHeight="1" x14ac:dyDescent="0.25">
      <c r="N6692" t="s">
        <v>689</v>
      </c>
    </row>
    <row r="6693" spans="14:14" ht="15" customHeight="1" x14ac:dyDescent="0.25">
      <c r="N6693" t="s">
        <v>689</v>
      </c>
    </row>
    <row r="6694" spans="14:14" ht="15" customHeight="1" x14ac:dyDescent="0.25">
      <c r="N6694" t="s">
        <v>715</v>
      </c>
    </row>
    <row r="6695" spans="14:14" ht="15" customHeight="1" x14ac:dyDescent="0.25">
      <c r="N6695" t="s">
        <v>690</v>
      </c>
    </row>
    <row r="6696" spans="14:14" ht="15" customHeight="1" x14ac:dyDescent="0.25">
      <c r="N6696" t="s">
        <v>715</v>
      </c>
    </row>
    <row r="6697" spans="14:14" ht="15" customHeight="1" x14ac:dyDescent="0.25">
      <c r="N6697" t="s">
        <v>696</v>
      </c>
    </row>
    <row r="6698" spans="14:14" ht="15" customHeight="1" x14ac:dyDescent="0.25">
      <c r="N6698" t="s">
        <v>666</v>
      </c>
    </row>
    <row r="6699" spans="14:14" ht="15" customHeight="1" x14ac:dyDescent="0.25">
      <c r="N6699" t="s">
        <v>715</v>
      </c>
    </row>
    <row r="6700" spans="14:14" ht="15" customHeight="1" x14ac:dyDescent="0.25">
      <c r="N6700" t="s">
        <v>592</v>
      </c>
    </row>
    <row r="6701" spans="14:14" ht="15" customHeight="1" x14ac:dyDescent="0.25">
      <c r="N6701" t="s">
        <v>592</v>
      </c>
    </row>
    <row r="6702" spans="14:14" ht="15" customHeight="1" x14ac:dyDescent="0.25">
      <c r="N6702" t="s">
        <v>592</v>
      </c>
    </row>
    <row r="6703" spans="14:14" ht="15" customHeight="1" x14ac:dyDescent="0.25">
      <c r="N6703" t="s">
        <v>592</v>
      </c>
    </row>
    <row r="6704" spans="14:14" ht="15" customHeight="1" x14ac:dyDescent="0.25">
      <c r="N6704" t="s">
        <v>592</v>
      </c>
    </row>
    <row r="6705" spans="14:14" ht="15" customHeight="1" x14ac:dyDescent="0.25">
      <c r="N6705" t="s">
        <v>715</v>
      </c>
    </row>
    <row r="6706" spans="14:14" ht="15" customHeight="1" x14ac:dyDescent="0.25">
      <c r="N6706" t="s">
        <v>317</v>
      </c>
    </row>
    <row r="6707" spans="14:14" ht="15" customHeight="1" x14ac:dyDescent="0.25">
      <c r="N6707" t="s">
        <v>313</v>
      </c>
    </row>
    <row r="6708" spans="14:14" ht="15" customHeight="1" x14ac:dyDescent="0.25">
      <c r="N6708" t="s">
        <v>313</v>
      </c>
    </row>
    <row r="6709" spans="14:14" ht="15" customHeight="1" x14ac:dyDescent="0.25">
      <c r="N6709" t="s">
        <v>313</v>
      </c>
    </row>
    <row r="6710" spans="14:14" ht="15" customHeight="1" x14ac:dyDescent="0.25">
      <c r="N6710" t="s">
        <v>313</v>
      </c>
    </row>
    <row r="6711" spans="14:14" ht="15" customHeight="1" x14ac:dyDescent="0.25">
      <c r="N6711" t="s">
        <v>715</v>
      </c>
    </row>
    <row r="6712" spans="14:14" ht="15" customHeight="1" x14ac:dyDescent="0.25">
      <c r="N6712" t="s">
        <v>715</v>
      </c>
    </row>
    <row r="6713" spans="14:14" ht="15" customHeight="1" x14ac:dyDescent="0.25">
      <c r="N6713" t="s">
        <v>715</v>
      </c>
    </row>
    <row r="6714" spans="14:14" ht="15" customHeight="1" x14ac:dyDescent="0.25">
      <c r="N6714" t="s">
        <v>715</v>
      </c>
    </row>
    <row r="6715" spans="14:14" ht="15" customHeight="1" x14ac:dyDescent="0.25">
      <c r="N6715" t="s">
        <v>715</v>
      </c>
    </row>
    <row r="6716" spans="14:14" ht="15" customHeight="1" x14ac:dyDescent="0.25">
      <c r="N6716" t="s">
        <v>715</v>
      </c>
    </row>
    <row r="6717" spans="14:14" ht="15" customHeight="1" x14ac:dyDescent="0.25">
      <c r="N6717" t="s">
        <v>715</v>
      </c>
    </row>
    <row r="6718" spans="14:14" ht="15" customHeight="1" x14ac:dyDescent="0.25">
      <c r="N6718" t="s">
        <v>715</v>
      </c>
    </row>
    <row r="6719" spans="14:14" ht="15" customHeight="1" x14ac:dyDescent="0.25">
      <c r="N6719" t="s">
        <v>715</v>
      </c>
    </row>
    <row r="6720" spans="14:14" ht="15" customHeight="1" x14ac:dyDescent="0.25">
      <c r="N6720" t="s">
        <v>715</v>
      </c>
    </row>
    <row r="6721" spans="14:14" ht="15" customHeight="1" x14ac:dyDescent="0.25">
      <c r="N6721" t="s">
        <v>715</v>
      </c>
    </row>
    <row r="6722" spans="14:14" ht="15" customHeight="1" x14ac:dyDescent="0.25">
      <c r="N6722" t="s">
        <v>715</v>
      </c>
    </row>
    <row r="6723" spans="14:14" ht="15" customHeight="1" x14ac:dyDescent="0.25">
      <c r="N6723" t="s">
        <v>715</v>
      </c>
    </row>
    <row r="6724" spans="14:14" ht="15" customHeight="1" x14ac:dyDescent="0.25">
      <c r="N6724" t="s">
        <v>715</v>
      </c>
    </row>
    <row r="6725" spans="14:14" ht="15" customHeight="1" x14ac:dyDescent="0.25">
      <c r="N6725" t="s">
        <v>715</v>
      </c>
    </row>
    <row r="6726" spans="14:14" ht="15" customHeight="1" x14ac:dyDescent="0.25">
      <c r="N6726" t="s">
        <v>715</v>
      </c>
    </row>
    <row r="6727" spans="14:14" ht="15" customHeight="1" x14ac:dyDescent="0.25">
      <c r="N6727" t="s">
        <v>715</v>
      </c>
    </row>
    <row r="6728" spans="14:14" ht="15" customHeight="1" x14ac:dyDescent="0.25">
      <c r="N6728" t="s">
        <v>715</v>
      </c>
    </row>
    <row r="6729" spans="14:14" ht="15" customHeight="1" x14ac:dyDescent="0.25">
      <c r="N6729" t="s">
        <v>715</v>
      </c>
    </row>
    <row r="6730" spans="14:14" ht="15" customHeight="1" x14ac:dyDescent="0.25">
      <c r="N6730" t="s">
        <v>715</v>
      </c>
    </row>
    <row r="6731" spans="14:14" ht="15" customHeight="1" x14ac:dyDescent="0.25">
      <c r="N6731" t="s">
        <v>715</v>
      </c>
    </row>
    <row r="6732" spans="14:14" ht="15" customHeight="1" x14ac:dyDescent="0.25">
      <c r="N6732" t="s">
        <v>715</v>
      </c>
    </row>
    <row r="6733" spans="14:14" ht="15" customHeight="1" x14ac:dyDescent="0.25">
      <c r="N6733" t="s">
        <v>715</v>
      </c>
    </row>
    <row r="6734" spans="14:14" ht="15" customHeight="1" x14ac:dyDescent="0.25">
      <c r="N6734" t="s">
        <v>715</v>
      </c>
    </row>
    <row r="6735" spans="14:14" ht="15" customHeight="1" x14ac:dyDescent="0.25">
      <c r="N6735" t="s">
        <v>715</v>
      </c>
    </row>
    <row r="6736" spans="14:14" ht="15" customHeight="1" x14ac:dyDescent="0.25">
      <c r="N6736" t="s">
        <v>715</v>
      </c>
    </row>
    <row r="6737" spans="14:14" ht="15" customHeight="1" x14ac:dyDescent="0.25">
      <c r="N6737" t="s">
        <v>715</v>
      </c>
    </row>
    <row r="6738" spans="14:14" ht="15" customHeight="1" x14ac:dyDescent="0.25">
      <c r="N6738" t="s">
        <v>715</v>
      </c>
    </row>
    <row r="6739" spans="14:14" ht="15" customHeight="1" x14ac:dyDescent="0.25">
      <c r="N6739" t="s">
        <v>715</v>
      </c>
    </row>
    <row r="6740" spans="14:14" ht="15" customHeight="1" x14ac:dyDescent="0.25">
      <c r="N6740" t="s">
        <v>715</v>
      </c>
    </row>
    <row r="6741" spans="14:14" ht="15" customHeight="1" x14ac:dyDescent="0.25">
      <c r="N6741" t="s">
        <v>715</v>
      </c>
    </row>
    <row r="6742" spans="14:14" ht="15" customHeight="1" x14ac:dyDescent="0.25">
      <c r="N6742" t="s">
        <v>715</v>
      </c>
    </row>
    <row r="6743" spans="14:14" ht="15" customHeight="1" x14ac:dyDescent="0.25">
      <c r="N6743" t="s">
        <v>669</v>
      </c>
    </row>
    <row r="6744" spans="14:14" ht="15" customHeight="1" x14ac:dyDescent="0.25">
      <c r="N6744" t="s">
        <v>739</v>
      </c>
    </row>
    <row r="6745" spans="14:14" ht="15" customHeight="1" x14ac:dyDescent="0.25">
      <c r="N6745" t="s">
        <v>611</v>
      </c>
    </row>
    <row r="6746" spans="14:14" ht="15" customHeight="1" x14ac:dyDescent="0.25">
      <c r="N6746" t="s">
        <v>740</v>
      </c>
    </row>
    <row r="6747" spans="14:14" ht="15" customHeight="1" x14ac:dyDescent="0.25">
      <c r="N6747" t="s">
        <v>675</v>
      </c>
    </row>
    <row r="6748" spans="14:14" ht="15" customHeight="1" x14ac:dyDescent="0.25">
      <c r="N6748" t="s">
        <v>741</v>
      </c>
    </row>
    <row r="6749" spans="14:14" ht="15" customHeight="1" x14ac:dyDescent="0.25">
      <c r="N6749" t="s">
        <v>742</v>
      </c>
    </row>
    <row r="6750" spans="14:14" ht="15" customHeight="1" x14ac:dyDescent="0.25">
      <c r="N6750" t="s">
        <v>403</v>
      </c>
    </row>
    <row r="6751" spans="14:14" ht="15" customHeight="1" x14ac:dyDescent="0.25">
      <c r="N6751" t="s">
        <v>403</v>
      </c>
    </row>
    <row r="6752" spans="14:14" ht="15" customHeight="1" x14ac:dyDescent="0.25">
      <c r="N6752" t="s">
        <v>403</v>
      </c>
    </row>
    <row r="6753" spans="14:14" ht="15" customHeight="1" x14ac:dyDescent="0.25">
      <c r="N6753" t="s">
        <v>403</v>
      </c>
    </row>
    <row r="6754" spans="14:14" ht="15" customHeight="1" x14ac:dyDescent="0.25">
      <c r="N6754" t="s">
        <v>403</v>
      </c>
    </row>
    <row r="6755" spans="14:14" ht="15" customHeight="1" x14ac:dyDescent="0.25">
      <c r="N6755" t="s">
        <v>403</v>
      </c>
    </row>
    <row r="6756" spans="14:14" ht="15" customHeight="1" x14ac:dyDescent="0.25">
      <c r="N6756" t="s">
        <v>403</v>
      </c>
    </row>
    <row r="6757" spans="14:14" ht="15" customHeight="1" x14ac:dyDescent="0.25">
      <c r="N6757" t="s">
        <v>582</v>
      </c>
    </row>
    <row r="6758" spans="14:14" ht="15" customHeight="1" x14ac:dyDescent="0.25">
      <c r="N6758" t="s">
        <v>696</v>
      </c>
    </row>
    <row r="6759" spans="14:14" ht="15" customHeight="1" x14ac:dyDescent="0.25">
      <c r="N6759" t="s">
        <v>743</v>
      </c>
    </row>
    <row r="6760" spans="14:14" ht="15" customHeight="1" x14ac:dyDescent="0.25">
      <c r="N6760" t="s">
        <v>714</v>
      </c>
    </row>
    <row r="6761" spans="14:14" ht="15" customHeight="1" x14ac:dyDescent="0.25">
      <c r="N6761" t="s">
        <v>744</v>
      </c>
    </row>
    <row r="6762" spans="14:14" ht="15" customHeight="1" x14ac:dyDescent="0.25">
      <c r="N6762" t="s">
        <v>463</v>
      </c>
    </row>
    <row r="6763" spans="14:14" ht="15" customHeight="1" x14ac:dyDescent="0.25">
      <c r="N6763" t="s">
        <v>696</v>
      </c>
    </row>
    <row r="6764" spans="14:14" ht="15" customHeight="1" x14ac:dyDescent="0.25">
      <c r="N6764" t="s">
        <v>715</v>
      </c>
    </row>
    <row r="6765" spans="14:14" ht="15" customHeight="1" x14ac:dyDescent="0.25">
      <c r="N6765" t="s">
        <v>690</v>
      </c>
    </row>
    <row r="6766" spans="14:14" ht="15" customHeight="1" x14ac:dyDescent="0.25">
      <c r="N6766" t="s">
        <v>690</v>
      </c>
    </row>
    <row r="6767" spans="14:14" ht="15" customHeight="1" x14ac:dyDescent="0.25">
      <c r="N6767" t="s">
        <v>690</v>
      </c>
    </row>
    <row r="6768" spans="14:14" ht="15" customHeight="1" x14ac:dyDescent="0.25">
      <c r="N6768" t="s">
        <v>690</v>
      </c>
    </row>
    <row r="6769" spans="14:14" ht="15" customHeight="1" x14ac:dyDescent="0.25">
      <c r="N6769" t="s">
        <v>732</v>
      </c>
    </row>
    <row r="6770" spans="14:14" ht="15" customHeight="1" x14ac:dyDescent="0.25">
      <c r="N6770" t="s">
        <v>715</v>
      </c>
    </row>
    <row r="6771" spans="14:14" ht="15" customHeight="1" x14ac:dyDescent="0.25">
      <c r="N6771" t="s">
        <v>715</v>
      </c>
    </row>
    <row r="6772" spans="14:14" ht="15" customHeight="1" x14ac:dyDescent="0.25">
      <c r="N6772" t="s">
        <v>715</v>
      </c>
    </row>
    <row r="6773" spans="14:14" ht="15" customHeight="1" x14ac:dyDescent="0.25">
      <c r="N6773" t="s">
        <v>715</v>
      </c>
    </row>
    <row r="6774" spans="14:14" ht="15" customHeight="1" x14ac:dyDescent="0.25">
      <c r="N6774" t="s">
        <v>715</v>
      </c>
    </row>
    <row r="6775" spans="14:14" ht="15" customHeight="1" x14ac:dyDescent="0.25">
      <c r="N6775" t="s">
        <v>715</v>
      </c>
    </row>
    <row r="6776" spans="14:14" ht="15" customHeight="1" x14ac:dyDescent="0.25">
      <c r="N6776" t="s">
        <v>715</v>
      </c>
    </row>
    <row r="6777" spans="14:14" ht="15" customHeight="1" x14ac:dyDescent="0.25">
      <c r="N6777" t="s">
        <v>715</v>
      </c>
    </row>
    <row r="6778" spans="14:14" ht="15" customHeight="1" x14ac:dyDescent="0.25">
      <c r="N6778" t="s">
        <v>715</v>
      </c>
    </row>
    <row r="6779" spans="14:14" ht="15" customHeight="1" x14ac:dyDescent="0.25">
      <c r="N6779" t="s">
        <v>715</v>
      </c>
    </row>
    <row r="6780" spans="14:14" ht="15" customHeight="1" x14ac:dyDescent="0.25">
      <c r="N6780" t="s">
        <v>715</v>
      </c>
    </row>
    <row r="6781" spans="14:14" ht="15" customHeight="1" x14ac:dyDescent="0.25">
      <c r="N6781" t="s">
        <v>715</v>
      </c>
    </row>
    <row r="6782" spans="14:14" ht="15" customHeight="1" x14ac:dyDescent="0.25">
      <c r="N6782" t="s">
        <v>715</v>
      </c>
    </row>
    <row r="6783" spans="14:14" ht="15" customHeight="1" x14ac:dyDescent="0.25">
      <c r="N6783" t="s">
        <v>715</v>
      </c>
    </row>
    <row r="6784" spans="14:14" ht="15" customHeight="1" x14ac:dyDescent="0.25">
      <c r="N6784" t="s">
        <v>715</v>
      </c>
    </row>
    <row r="6785" spans="14:14" ht="15" customHeight="1" x14ac:dyDescent="0.25">
      <c r="N6785" t="s">
        <v>715</v>
      </c>
    </row>
    <row r="6786" spans="14:14" ht="15" customHeight="1" x14ac:dyDescent="0.25">
      <c r="N6786" t="s">
        <v>715</v>
      </c>
    </row>
    <row r="6787" spans="14:14" ht="15" customHeight="1" x14ac:dyDescent="0.25">
      <c r="N6787" t="s">
        <v>715</v>
      </c>
    </row>
    <row r="6788" spans="14:14" ht="15" customHeight="1" x14ac:dyDescent="0.25">
      <c r="N6788" t="s">
        <v>715</v>
      </c>
    </row>
    <row r="6789" spans="14:14" ht="15" customHeight="1" x14ac:dyDescent="0.25">
      <c r="N6789" t="s">
        <v>715</v>
      </c>
    </row>
    <row r="6790" spans="14:14" ht="15" customHeight="1" x14ac:dyDescent="0.25">
      <c r="N6790" t="s">
        <v>715</v>
      </c>
    </row>
    <row r="6791" spans="14:14" ht="15" customHeight="1" x14ac:dyDescent="0.25">
      <c r="N6791" t="s">
        <v>715</v>
      </c>
    </row>
    <row r="6792" spans="14:14" ht="15" customHeight="1" x14ac:dyDescent="0.25">
      <c r="N6792" t="s">
        <v>715</v>
      </c>
    </row>
    <row r="6793" spans="14:14" ht="15" customHeight="1" x14ac:dyDescent="0.25">
      <c r="N6793" t="s">
        <v>715</v>
      </c>
    </row>
    <row r="6794" spans="14:14" ht="15" customHeight="1" x14ac:dyDescent="0.25">
      <c r="N6794" t="s">
        <v>715</v>
      </c>
    </row>
    <row r="6795" spans="14:14" ht="15" customHeight="1" x14ac:dyDescent="0.25">
      <c r="N6795" t="s">
        <v>715</v>
      </c>
    </row>
    <row r="6796" spans="14:14" ht="15" customHeight="1" x14ac:dyDescent="0.25">
      <c r="N6796" t="s">
        <v>606</v>
      </c>
    </row>
    <row r="6797" spans="14:14" ht="15" customHeight="1" x14ac:dyDescent="0.25">
      <c r="N6797" t="s">
        <v>408</v>
      </c>
    </row>
    <row r="6798" spans="14:14" ht="15" customHeight="1" x14ac:dyDescent="0.25">
      <c r="N6798" t="s">
        <v>713</v>
      </c>
    </row>
    <row r="6799" spans="14:14" ht="15" customHeight="1" x14ac:dyDescent="0.25">
      <c r="N6799" t="s">
        <v>713</v>
      </c>
    </row>
    <row r="6800" spans="14:14" ht="15" customHeight="1" x14ac:dyDescent="0.25">
      <c r="N6800" t="s">
        <v>713</v>
      </c>
    </row>
    <row r="6801" spans="14:14" ht="15" customHeight="1" x14ac:dyDescent="0.25">
      <c r="N6801" t="s">
        <v>713</v>
      </c>
    </row>
    <row r="6802" spans="14:14" ht="15" customHeight="1" x14ac:dyDescent="0.25">
      <c r="N6802" t="s">
        <v>686</v>
      </c>
    </row>
    <row r="6803" spans="14:14" ht="15" customHeight="1" x14ac:dyDescent="0.25">
      <c r="N6803" t="s">
        <v>558</v>
      </c>
    </row>
    <row r="6804" spans="14:14" ht="15" customHeight="1" x14ac:dyDescent="0.25">
      <c r="N6804" t="s">
        <v>715</v>
      </c>
    </row>
    <row r="6805" spans="14:14" ht="15" customHeight="1" x14ac:dyDescent="0.25">
      <c r="N6805" t="s">
        <v>555</v>
      </c>
    </row>
    <row r="6806" spans="14:14" ht="15" customHeight="1" x14ac:dyDescent="0.25">
      <c r="N6806" t="s">
        <v>524</v>
      </c>
    </row>
    <row r="6807" spans="14:14" ht="15" customHeight="1" x14ac:dyDescent="0.25">
      <c r="N6807" t="s">
        <v>715</v>
      </c>
    </row>
    <row r="6808" spans="14:14" ht="15" customHeight="1" x14ac:dyDescent="0.25">
      <c r="N6808" t="s">
        <v>689</v>
      </c>
    </row>
    <row r="6809" spans="14:14" ht="15" customHeight="1" x14ac:dyDescent="0.25">
      <c r="N6809" t="s">
        <v>689</v>
      </c>
    </row>
    <row r="6810" spans="14:14" ht="15" customHeight="1" x14ac:dyDescent="0.25">
      <c r="N6810" t="s">
        <v>715</v>
      </c>
    </row>
    <row r="6811" spans="14:14" ht="15" customHeight="1" x14ac:dyDescent="0.25">
      <c r="N6811" t="s">
        <v>689</v>
      </c>
    </row>
    <row r="6812" spans="14:14" ht="15" customHeight="1" x14ac:dyDescent="0.25">
      <c r="N6812" t="s">
        <v>690</v>
      </c>
    </row>
    <row r="6813" spans="14:14" ht="15" customHeight="1" x14ac:dyDescent="0.25">
      <c r="N6813" t="s">
        <v>746</v>
      </c>
    </row>
    <row r="6814" spans="14:14" ht="15" customHeight="1" x14ac:dyDescent="0.25">
      <c r="N6814" t="s">
        <v>715</v>
      </c>
    </row>
    <row r="6815" spans="14:14" ht="15" customHeight="1" x14ac:dyDescent="0.25">
      <c r="N6815" t="s">
        <v>747</v>
      </c>
    </row>
    <row r="6816" spans="14:14" ht="15" customHeight="1" x14ac:dyDescent="0.25">
      <c r="N6816" t="s">
        <v>747</v>
      </c>
    </row>
    <row r="6817" spans="14:14" ht="15" customHeight="1" x14ac:dyDescent="0.25">
      <c r="N6817" t="s">
        <v>747</v>
      </c>
    </row>
    <row r="6818" spans="14:14" ht="15" customHeight="1" x14ac:dyDescent="0.25">
      <c r="N6818" t="s">
        <v>747</v>
      </c>
    </row>
    <row r="6819" spans="14:14" ht="15" customHeight="1" x14ac:dyDescent="0.25">
      <c r="N6819" t="s">
        <v>747</v>
      </c>
    </row>
    <row r="6820" spans="14:14" ht="15" customHeight="1" x14ac:dyDescent="0.25">
      <c r="N6820" t="s">
        <v>715</v>
      </c>
    </row>
    <row r="6821" spans="14:14" ht="15" customHeight="1" x14ac:dyDescent="0.25">
      <c r="N6821" t="s">
        <v>341</v>
      </c>
    </row>
    <row r="6822" spans="14:14" ht="15" customHeight="1" x14ac:dyDescent="0.25">
      <c r="N6822" t="s">
        <v>709</v>
      </c>
    </row>
    <row r="6823" spans="14:14" ht="15" customHeight="1" x14ac:dyDescent="0.25">
      <c r="N6823" t="s">
        <v>709</v>
      </c>
    </row>
    <row r="6824" spans="14:14" ht="15" customHeight="1" x14ac:dyDescent="0.25">
      <c r="N6824" t="s">
        <v>709</v>
      </c>
    </row>
    <row r="6825" spans="14:14" ht="15" customHeight="1" x14ac:dyDescent="0.25">
      <c r="N6825" t="s">
        <v>709</v>
      </c>
    </row>
    <row r="6826" spans="14:14" ht="15" customHeight="1" x14ac:dyDescent="0.25">
      <c r="N6826" t="s">
        <v>715</v>
      </c>
    </row>
    <row r="6827" spans="14:14" ht="15" customHeight="1" x14ac:dyDescent="0.25">
      <c r="N6827" t="s">
        <v>715</v>
      </c>
    </row>
    <row r="6828" spans="14:14" ht="15" customHeight="1" x14ac:dyDescent="0.25">
      <c r="N6828" t="s">
        <v>715</v>
      </c>
    </row>
    <row r="6829" spans="14:14" ht="15" customHeight="1" x14ac:dyDescent="0.25">
      <c r="N6829" t="s">
        <v>715</v>
      </c>
    </row>
    <row r="6830" spans="14:14" ht="15" customHeight="1" x14ac:dyDescent="0.25">
      <c r="N6830" t="s">
        <v>715</v>
      </c>
    </row>
    <row r="6831" spans="14:14" ht="15" customHeight="1" x14ac:dyDescent="0.25">
      <c r="N6831" t="s">
        <v>715</v>
      </c>
    </row>
    <row r="6832" spans="14:14" ht="15" customHeight="1" x14ac:dyDescent="0.25">
      <c r="N6832" t="s">
        <v>715</v>
      </c>
    </row>
    <row r="6833" spans="14:14" ht="15" customHeight="1" x14ac:dyDescent="0.25">
      <c r="N6833" t="s">
        <v>715</v>
      </c>
    </row>
    <row r="6834" spans="14:14" ht="15" customHeight="1" x14ac:dyDescent="0.25">
      <c r="N6834" t="s">
        <v>715</v>
      </c>
    </row>
    <row r="6835" spans="14:14" ht="15" customHeight="1" x14ac:dyDescent="0.25">
      <c r="N6835" t="s">
        <v>715</v>
      </c>
    </row>
    <row r="6836" spans="14:14" ht="15" customHeight="1" x14ac:dyDescent="0.25">
      <c r="N6836" t="s">
        <v>715</v>
      </c>
    </row>
    <row r="6837" spans="14:14" ht="15" customHeight="1" x14ac:dyDescent="0.25">
      <c r="N6837" t="s">
        <v>715</v>
      </c>
    </row>
    <row r="6838" spans="14:14" ht="15" customHeight="1" x14ac:dyDescent="0.25">
      <c r="N6838" t="s">
        <v>715</v>
      </c>
    </row>
    <row r="6839" spans="14:14" ht="15" customHeight="1" x14ac:dyDescent="0.25">
      <c r="N6839" t="s">
        <v>715</v>
      </c>
    </row>
    <row r="6840" spans="14:14" ht="15" customHeight="1" x14ac:dyDescent="0.25">
      <c r="N6840" t="s">
        <v>582</v>
      </c>
    </row>
    <row r="6841" spans="14:14" ht="15" customHeight="1" x14ac:dyDescent="0.25">
      <c r="N6841" t="s">
        <v>698</v>
      </c>
    </row>
    <row r="6842" spans="14:14" ht="15" customHeight="1" x14ac:dyDescent="0.25">
      <c r="N6842" t="s">
        <v>582</v>
      </c>
    </row>
    <row r="6843" spans="14:14" ht="15" customHeight="1" x14ac:dyDescent="0.25">
      <c r="N6843" t="s">
        <v>740</v>
      </c>
    </row>
    <row r="6844" spans="14:14" ht="15" customHeight="1" x14ac:dyDescent="0.25">
      <c r="N6844" t="s">
        <v>655</v>
      </c>
    </row>
    <row r="6845" spans="14:14" ht="15" customHeight="1" x14ac:dyDescent="0.25">
      <c r="N6845" t="s">
        <v>748</v>
      </c>
    </row>
    <row r="6846" spans="14:14" ht="15" customHeight="1" x14ac:dyDescent="0.25">
      <c r="N6846" t="s">
        <v>582</v>
      </c>
    </row>
    <row r="6847" spans="14:14" ht="15" customHeight="1" x14ac:dyDescent="0.25">
      <c r="N6847" t="s">
        <v>582</v>
      </c>
    </row>
    <row r="6848" spans="14:14" ht="15" customHeight="1" x14ac:dyDescent="0.25">
      <c r="N6848" t="s">
        <v>582</v>
      </c>
    </row>
    <row r="6849" spans="14:14" ht="15" customHeight="1" x14ac:dyDescent="0.25">
      <c r="N6849" t="s">
        <v>582</v>
      </c>
    </row>
    <row r="6850" spans="14:14" ht="15" customHeight="1" x14ac:dyDescent="0.25">
      <c r="N6850" t="s">
        <v>582</v>
      </c>
    </row>
    <row r="6851" spans="14:14" ht="15" customHeight="1" x14ac:dyDescent="0.25">
      <c r="N6851" t="s">
        <v>582</v>
      </c>
    </row>
    <row r="6852" spans="14:14" ht="15" customHeight="1" x14ac:dyDescent="0.25">
      <c r="N6852" t="s">
        <v>582</v>
      </c>
    </row>
    <row r="6853" spans="14:14" ht="15" customHeight="1" x14ac:dyDescent="0.25">
      <c r="N6853" t="s">
        <v>735</v>
      </c>
    </row>
    <row r="6854" spans="14:14" ht="15" customHeight="1" x14ac:dyDescent="0.25">
      <c r="N6854" t="s">
        <v>435</v>
      </c>
    </row>
    <row r="6855" spans="14:14" ht="15" customHeight="1" x14ac:dyDescent="0.25">
      <c r="N6855" t="s">
        <v>715</v>
      </c>
    </row>
    <row r="6856" spans="14:14" ht="15" customHeight="1" x14ac:dyDescent="0.25">
      <c r="N6856" t="s">
        <v>715</v>
      </c>
    </row>
    <row r="6857" spans="14:14" ht="15" customHeight="1" x14ac:dyDescent="0.25">
      <c r="N6857" t="s">
        <v>294</v>
      </c>
    </row>
    <row r="6858" spans="14:14" ht="15" customHeight="1" x14ac:dyDescent="0.25">
      <c r="N6858" t="s">
        <v>294</v>
      </c>
    </row>
    <row r="6859" spans="14:14" ht="15" customHeight="1" x14ac:dyDescent="0.25">
      <c r="N6859" t="s">
        <v>294</v>
      </c>
    </row>
    <row r="6860" spans="14:14" ht="15" customHeight="1" x14ac:dyDescent="0.25">
      <c r="N6860" t="s">
        <v>294</v>
      </c>
    </row>
    <row r="6861" spans="14:14" ht="15" customHeight="1" x14ac:dyDescent="0.25">
      <c r="N6861" t="s">
        <v>715</v>
      </c>
    </row>
    <row r="6862" spans="14:14" ht="15" customHeight="1" x14ac:dyDescent="0.25">
      <c r="N6862" t="s">
        <v>715</v>
      </c>
    </row>
    <row r="6863" spans="14:14" ht="15" customHeight="1" x14ac:dyDescent="0.25">
      <c r="N6863" t="s">
        <v>715</v>
      </c>
    </row>
    <row r="6864" spans="14:14" ht="15" customHeight="1" x14ac:dyDescent="0.25">
      <c r="N6864" t="s">
        <v>715</v>
      </c>
    </row>
    <row r="6865" spans="14:14" ht="15" customHeight="1" x14ac:dyDescent="0.25">
      <c r="N6865" t="s">
        <v>715</v>
      </c>
    </row>
    <row r="6866" spans="14:14" ht="15" customHeight="1" x14ac:dyDescent="0.25">
      <c r="N6866" t="s">
        <v>715</v>
      </c>
    </row>
    <row r="6867" spans="14:14" ht="15" customHeight="1" x14ac:dyDescent="0.25">
      <c r="N6867" t="s">
        <v>715</v>
      </c>
    </row>
    <row r="6868" spans="14:14" ht="15" customHeight="1" x14ac:dyDescent="0.25">
      <c r="N6868" t="s">
        <v>715</v>
      </c>
    </row>
    <row r="6869" spans="14:14" ht="15" customHeight="1" x14ac:dyDescent="0.25">
      <c r="N6869" t="s">
        <v>715</v>
      </c>
    </row>
    <row r="6870" spans="14:14" ht="15" customHeight="1" x14ac:dyDescent="0.25">
      <c r="N6870" t="s">
        <v>715</v>
      </c>
    </row>
    <row r="6871" spans="14:14" ht="15" customHeight="1" x14ac:dyDescent="0.25">
      <c r="N6871" t="s">
        <v>715</v>
      </c>
    </row>
    <row r="6872" spans="14:14" ht="15" customHeight="1" x14ac:dyDescent="0.25">
      <c r="N6872" t="s">
        <v>715</v>
      </c>
    </row>
    <row r="6873" spans="14:14" ht="15" customHeight="1" x14ac:dyDescent="0.25">
      <c r="N6873" t="s">
        <v>715</v>
      </c>
    </row>
    <row r="6874" spans="14:14" ht="15" customHeight="1" x14ac:dyDescent="0.25">
      <c r="N6874" t="s">
        <v>715</v>
      </c>
    </row>
    <row r="6875" spans="14:14" ht="15" customHeight="1" x14ac:dyDescent="0.25">
      <c r="N6875" t="s">
        <v>715</v>
      </c>
    </row>
    <row r="6876" spans="14:14" ht="15" customHeight="1" x14ac:dyDescent="0.25">
      <c r="N6876" t="s">
        <v>715</v>
      </c>
    </row>
    <row r="6877" spans="14:14" ht="15" customHeight="1" x14ac:dyDescent="0.25">
      <c r="N6877" t="s">
        <v>715</v>
      </c>
    </row>
    <row r="6878" spans="14:14" ht="15" customHeight="1" x14ac:dyDescent="0.25">
      <c r="N6878" t="s">
        <v>715</v>
      </c>
    </row>
    <row r="6879" spans="14:14" ht="15" customHeight="1" x14ac:dyDescent="0.25">
      <c r="N6879" t="s">
        <v>715</v>
      </c>
    </row>
    <row r="6880" spans="14:14" ht="15" customHeight="1" x14ac:dyDescent="0.25">
      <c r="N6880" t="s">
        <v>715</v>
      </c>
    </row>
    <row r="6881" spans="14:14" ht="15" customHeight="1" x14ac:dyDescent="0.25">
      <c r="N6881" t="s">
        <v>715</v>
      </c>
    </row>
    <row r="6882" spans="14:14" ht="15" customHeight="1" x14ac:dyDescent="0.25">
      <c r="N6882" t="s">
        <v>715</v>
      </c>
    </row>
    <row r="6883" spans="14:14" ht="15" customHeight="1" x14ac:dyDescent="0.25">
      <c r="N6883" t="s">
        <v>715</v>
      </c>
    </row>
    <row r="6884" spans="14:14" ht="15" customHeight="1" x14ac:dyDescent="0.25">
      <c r="N6884" t="s">
        <v>715</v>
      </c>
    </row>
    <row r="6885" spans="14:14" ht="15" customHeight="1" x14ac:dyDescent="0.25">
      <c r="N6885" t="s">
        <v>715</v>
      </c>
    </row>
    <row r="6886" spans="14:14" ht="15" customHeight="1" x14ac:dyDescent="0.25">
      <c r="N6886" t="s">
        <v>715</v>
      </c>
    </row>
    <row r="6887" spans="14:14" ht="15" customHeight="1" x14ac:dyDescent="0.25">
      <c r="N6887" t="s">
        <v>715</v>
      </c>
    </row>
    <row r="6888" spans="14:14" ht="15" customHeight="1" x14ac:dyDescent="0.25">
      <c r="N6888" t="s">
        <v>606</v>
      </c>
    </row>
    <row r="6889" spans="14:14" ht="15" customHeight="1" x14ac:dyDescent="0.25">
      <c r="N6889" t="s">
        <v>713</v>
      </c>
    </row>
    <row r="6890" spans="14:14" ht="15" customHeight="1" x14ac:dyDescent="0.25">
      <c r="N6890" t="s">
        <v>713</v>
      </c>
    </row>
    <row r="6891" spans="14:14" ht="15" customHeight="1" x14ac:dyDescent="0.25">
      <c r="N6891" t="s">
        <v>686</v>
      </c>
    </row>
    <row r="6892" spans="14:14" ht="15" customHeight="1" x14ac:dyDescent="0.25">
      <c r="N6892" t="s">
        <v>412</v>
      </c>
    </row>
    <row r="6893" spans="14:14" ht="15" customHeight="1" x14ac:dyDescent="0.25">
      <c r="N6893" t="s">
        <v>603</v>
      </c>
    </row>
    <row r="6894" spans="14:14" ht="15" customHeight="1" x14ac:dyDescent="0.25">
      <c r="N6894" t="s">
        <v>715</v>
      </c>
    </row>
    <row r="6895" spans="14:14" ht="15" customHeight="1" x14ac:dyDescent="0.25">
      <c r="N6895" t="s">
        <v>715</v>
      </c>
    </row>
    <row r="6896" spans="14:14" ht="15" customHeight="1" x14ac:dyDescent="0.25">
      <c r="N6896" t="s">
        <v>690</v>
      </c>
    </row>
    <row r="6897" spans="14:14" ht="15" customHeight="1" x14ac:dyDescent="0.25">
      <c r="N6897" t="s">
        <v>582</v>
      </c>
    </row>
    <row r="6898" spans="14:14" ht="15" customHeight="1" x14ac:dyDescent="0.25">
      <c r="N6898" t="s">
        <v>715</v>
      </c>
    </row>
    <row r="6899" spans="14:14" ht="15" customHeight="1" x14ac:dyDescent="0.25">
      <c r="N6899" t="s">
        <v>342</v>
      </c>
    </row>
    <row r="6900" spans="14:14" ht="15" customHeight="1" x14ac:dyDescent="0.25">
      <c r="N6900" t="s">
        <v>582</v>
      </c>
    </row>
    <row r="6901" spans="14:14" ht="15" customHeight="1" x14ac:dyDescent="0.25">
      <c r="N6901" t="s">
        <v>698</v>
      </c>
    </row>
    <row r="6902" spans="14:14" ht="15" customHeight="1" x14ac:dyDescent="0.25">
      <c r="N6902" t="s">
        <v>582</v>
      </c>
    </row>
    <row r="6903" spans="14:14" ht="15" customHeight="1" x14ac:dyDescent="0.25">
      <c r="N6903" t="s">
        <v>655</v>
      </c>
    </row>
    <row r="6904" spans="14:14" ht="15" customHeight="1" x14ac:dyDescent="0.25">
      <c r="N6904" t="s">
        <v>320</v>
      </c>
    </row>
    <row r="6905" spans="14:14" ht="15" customHeight="1" x14ac:dyDescent="0.25">
      <c r="N6905" t="s">
        <v>294</v>
      </c>
    </row>
    <row r="6906" spans="14:14" ht="15" customHeight="1" x14ac:dyDescent="0.25">
      <c r="N6906" t="s">
        <v>294</v>
      </c>
    </row>
    <row r="6907" spans="14:14" ht="15" customHeight="1" x14ac:dyDescent="0.25">
      <c r="N6907" t="s">
        <v>294</v>
      </c>
    </row>
    <row r="6908" spans="14:14" ht="15" customHeight="1" x14ac:dyDescent="0.25">
      <c r="N6908" t="s">
        <v>294</v>
      </c>
    </row>
    <row r="6909" spans="14:14" ht="15" customHeight="1" x14ac:dyDescent="0.25">
      <c r="N6909" t="s">
        <v>715</v>
      </c>
    </row>
    <row r="6910" spans="14:14" ht="15" customHeight="1" x14ac:dyDescent="0.25">
      <c r="N6910" t="s">
        <v>715</v>
      </c>
    </row>
    <row r="6911" spans="14:14" ht="15" customHeight="1" x14ac:dyDescent="0.25">
      <c r="N6911" t="s">
        <v>715</v>
      </c>
    </row>
    <row r="6912" spans="14:14" ht="15" customHeight="1" x14ac:dyDescent="0.25">
      <c r="N6912" t="s">
        <v>715</v>
      </c>
    </row>
    <row r="6913" spans="14:14" ht="15" customHeight="1" x14ac:dyDescent="0.25">
      <c r="N6913" t="s">
        <v>715</v>
      </c>
    </row>
    <row r="6914" spans="14:14" ht="15" customHeight="1" x14ac:dyDescent="0.25">
      <c r="N6914" t="s">
        <v>715</v>
      </c>
    </row>
    <row r="6915" spans="14:14" ht="15" customHeight="1" x14ac:dyDescent="0.25">
      <c r="N6915" t="s">
        <v>715</v>
      </c>
    </row>
    <row r="6916" spans="14:14" ht="15" customHeight="1" x14ac:dyDescent="0.25">
      <c r="N6916" t="s">
        <v>715</v>
      </c>
    </row>
    <row r="6917" spans="14:14" ht="15" customHeight="1" x14ac:dyDescent="0.25">
      <c r="N6917" t="s">
        <v>715</v>
      </c>
    </row>
    <row r="6918" spans="14:14" ht="15" customHeight="1" x14ac:dyDescent="0.25">
      <c r="N6918" t="s">
        <v>715</v>
      </c>
    </row>
    <row r="6919" spans="14:14" ht="15" customHeight="1" x14ac:dyDescent="0.25">
      <c r="N6919" t="s">
        <v>715</v>
      </c>
    </row>
    <row r="6920" spans="14:14" ht="15" customHeight="1" x14ac:dyDescent="0.25">
      <c r="N6920" t="s">
        <v>715</v>
      </c>
    </row>
    <row r="6921" spans="14:14" ht="15" customHeight="1" x14ac:dyDescent="0.25">
      <c r="N6921" t="s">
        <v>715</v>
      </c>
    </row>
    <row r="6922" spans="14:14" ht="15" customHeight="1" x14ac:dyDescent="0.25">
      <c r="N6922" t="s">
        <v>715</v>
      </c>
    </row>
    <row r="6923" spans="14:14" ht="15" customHeight="1" x14ac:dyDescent="0.25">
      <c r="N6923" t="s">
        <v>715</v>
      </c>
    </row>
    <row r="6924" spans="14:14" ht="15" customHeight="1" x14ac:dyDescent="0.25">
      <c r="N6924" t="s">
        <v>715</v>
      </c>
    </row>
    <row r="6925" spans="14:14" ht="15" customHeight="1" x14ac:dyDescent="0.25">
      <c r="N6925" t="s">
        <v>715</v>
      </c>
    </row>
    <row r="6926" spans="14:14" ht="15" customHeight="1" x14ac:dyDescent="0.25">
      <c r="N6926" t="s">
        <v>715</v>
      </c>
    </row>
    <row r="6927" spans="14:14" ht="15" customHeight="1" x14ac:dyDescent="0.25">
      <c r="N6927" t="s">
        <v>715</v>
      </c>
    </row>
    <row r="6928" spans="14:14" ht="15" customHeight="1" x14ac:dyDescent="0.25">
      <c r="N6928" t="s">
        <v>715</v>
      </c>
    </row>
    <row r="6929" spans="14:14" ht="15" customHeight="1" x14ac:dyDescent="0.25">
      <c r="N6929" t="s">
        <v>715</v>
      </c>
    </row>
    <row r="6930" spans="14:14" ht="15" customHeight="1" x14ac:dyDescent="0.25">
      <c r="N6930" t="s">
        <v>715</v>
      </c>
    </row>
    <row r="6931" spans="14:14" ht="15" customHeight="1" x14ac:dyDescent="0.25">
      <c r="N6931" t="s">
        <v>715</v>
      </c>
    </row>
    <row r="6932" spans="14:14" ht="15" customHeight="1" x14ac:dyDescent="0.25">
      <c r="N6932" t="s">
        <v>715</v>
      </c>
    </row>
    <row r="6933" spans="14:14" ht="15" customHeight="1" x14ac:dyDescent="0.25">
      <c r="N6933" t="s">
        <v>715</v>
      </c>
    </row>
    <row r="6934" spans="14:14" ht="15" customHeight="1" x14ac:dyDescent="0.25">
      <c r="N6934" t="s">
        <v>715</v>
      </c>
    </row>
    <row r="6935" spans="14:14" ht="15" customHeight="1" x14ac:dyDescent="0.25">
      <c r="N6935" t="s">
        <v>715</v>
      </c>
    </row>
    <row r="6936" spans="14:14" ht="15" customHeight="1" x14ac:dyDescent="0.25">
      <c r="N6936" t="s">
        <v>715</v>
      </c>
    </row>
    <row r="6937" spans="14:14" ht="15" customHeight="1" x14ac:dyDescent="0.25">
      <c r="N6937" t="s">
        <v>715</v>
      </c>
    </row>
    <row r="6938" spans="14:14" ht="15" customHeight="1" x14ac:dyDescent="0.25">
      <c r="N6938" t="s">
        <v>715</v>
      </c>
    </row>
    <row r="6939" spans="14:14" ht="15" customHeight="1" x14ac:dyDescent="0.25">
      <c r="N6939" t="s">
        <v>713</v>
      </c>
    </row>
    <row r="6940" spans="14:14" ht="15" customHeight="1" x14ac:dyDescent="0.25">
      <c r="N6940" t="s">
        <v>411</v>
      </c>
    </row>
    <row r="6941" spans="14:14" ht="15" customHeight="1" x14ac:dyDescent="0.25">
      <c r="N6941" t="s">
        <v>376</v>
      </c>
    </row>
    <row r="6942" spans="14:14" ht="15" customHeight="1" x14ac:dyDescent="0.25">
      <c r="N6942" t="s">
        <v>687</v>
      </c>
    </row>
    <row r="6943" spans="14:14" ht="15" customHeight="1" x14ac:dyDescent="0.25">
      <c r="N6943" t="s">
        <v>689</v>
      </c>
    </row>
    <row r="6944" spans="14:14" ht="15" customHeight="1" x14ac:dyDescent="0.25">
      <c r="N6944" t="s">
        <v>733</v>
      </c>
    </row>
    <row r="6945" spans="14:14" ht="15" customHeight="1" x14ac:dyDescent="0.25">
      <c r="N6945" t="s">
        <v>715</v>
      </c>
    </row>
    <row r="6946" spans="14:14" ht="15" customHeight="1" x14ac:dyDescent="0.25">
      <c r="N6946" t="s">
        <v>698</v>
      </c>
    </row>
    <row r="6947" spans="14:14" ht="15" customHeight="1" x14ac:dyDescent="0.25">
      <c r="N6947" t="s">
        <v>403</v>
      </c>
    </row>
    <row r="6948" spans="14:14" ht="15" customHeight="1" x14ac:dyDescent="0.25">
      <c r="N6948" t="s">
        <v>403</v>
      </c>
    </row>
    <row r="6949" spans="14:14" ht="15" customHeight="1" x14ac:dyDescent="0.25">
      <c r="N6949" t="s">
        <v>403</v>
      </c>
    </row>
    <row r="6950" spans="14:14" ht="15" customHeight="1" x14ac:dyDescent="0.25">
      <c r="N6950" t="s">
        <v>403</v>
      </c>
    </row>
    <row r="6951" spans="14:14" ht="15" customHeight="1" x14ac:dyDescent="0.25">
      <c r="N6951" t="s">
        <v>403</v>
      </c>
    </row>
    <row r="6952" spans="14:14" ht="15" customHeight="1" x14ac:dyDescent="0.25">
      <c r="N6952" t="s">
        <v>403</v>
      </c>
    </row>
    <row r="6953" spans="14:14" ht="15" customHeight="1" x14ac:dyDescent="0.25">
      <c r="N6953" t="s">
        <v>403</v>
      </c>
    </row>
    <row r="6954" spans="14:14" ht="15" customHeight="1" x14ac:dyDescent="0.25">
      <c r="N6954" t="s">
        <v>715</v>
      </c>
    </row>
    <row r="6955" spans="14:14" ht="15" customHeight="1" x14ac:dyDescent="0.25">
      <c r="N6955" t="s">
        <v>715</v>
      </c>
    </row>
    <row r="6956" spans="14:14" ht="15" customHeight="1" x14ac:dyDescent="0.25">
      <c r="N6956" t="s">
        <v>715</v>
      </c>
    </row>
    <row r="6957" spans="14:14" ht="15" customHeight="1" x14ac:dyDescent="0.25">
      <c r="N6957" t="s">
        <v>715</v>
      </c>
    </row>
    <row r="6958" spans="14:14" ht="15" customHeight="1" x14ac:dyDescent="0.25">
      <c r="N6958" t="s">
        <v>715</v>
      </c>
    </row>
    <row r="6959" spans="14:14" ht="15" customHeight="1" x14ac:dyDescent="0.25">
      <c r="N6959" t="s">
        <v>686</v>
      </c>
    </row>
    <row r="6960" spans="14:14" ht="15" customHeight="1" x14ac:dyDescent="0.25">
      <c r="N6960" t="s">
        <v>405</v>
      </c>
    </row>
    <row r="6961" spans="14:14" ht="15" customHeight="1" x14ac:dyDescent="0.25">
      <c r="N6961" t="s">
        <v>687</v>
      </c>
    </row>
    <row r="6962" spans="14:14" ht="15" customHeight="1" x14ac:dyDescent="0.25">
      <c r="N6962" t="s">
        <v>715</v>
      </c>
    </row>
    <row r="6963" spans="14:14" ht="15" customHeight="1" x14ac:dyDescent="0.25">
      <c r="N6963" t="s">
        <v>406</v>
      </c>
    </row>
    <row r="6964" spans="14:14" ht="15" customHeight="1" x14ac:dyDescent="0.25">
      <c r="N6964" t="s">
        <v>655</v>
      </c>
    </row>
    <row r="6965" spans="14:14" ht="15" customHeight="1" x14ac:dyDescent="0.25">
      <c r="N6965" t="s">
        <v>634</v>
      </c>
    </row>
    <row r="6966" spans="14:14" ht="15" customHeight="1" x14ac:dyDescent="0.25">
      <c r="N6966" t="s">
        <v>686</v>
      </c>
    </row>
    <row r="6967" spans="14:14" ht="15" customHeight="1" x14ac:dyDescent="0.25">
      <c r="N6967" t="s">
        <v>686</v>
      </c>
    </row>
    <row r="6968" spans="14:14" ht="15" customHeight="1" x14ac:dyDescent="0.25">
      <c r="N6968" t="s">
        <v>690</v>
      </c>
    </row>
    <row r="6969" spans="14:14" ht="15" customHeight="1" x14ac:dyDescent="0.25">
      <c r="N6969" t="s">
        <v>732</v>
      </c>
    </row>
    <row r="6970" spans="14:14" ht="15" customHeight="1" x14ac:dyDescent="0.25">
      <c r="N6970" t="s">
        <v>313</v>
      </c>
    </row>
    <row r="6971" spans="14:14" ht="15" customHeight="1" x14ac:dyDescent="0.25">
      <c r="N6971" t="s">
        <v>683</v>
      </c>
    </row>
    <row r="6972" spans="14:14" ht="15" customHeight="1" x14ac:dyDescent="0.25">
      <c r="N6972" t="s">
        <v>655</v>
      </c>
    </row>
    <row r="6973" spans="14:14" ht="15" customHeight="1" x14ac:dyDescent="0.25">
      <c r="N6973" t="s">
        <v>435</v>
      </c>
    </row>
    <row r="6974" spans="14:14" ht="15" customHeight="1" x14ac:dyDescent="0.25">
      <c r="N6974" t="s">
        <v>646</v>
      </c>
    </row>
    <row r="6975" spans="14:14" ht="15" customHeight="1" x14ac:dyDescent="0.25">
      <c r="N6975" t="s">
        <v>458</v>
      </c>
    </row>
    <row r="6976" spans="14:14" ht="15" customHeight="1" x14ac:dyDescent="0.25">
      <c r="N6976" t="s">
        <v>555</v>
      </c>
    </row>
    <row r="6977" spans="14:14" ht="15" customHeight="1" x14ac:dyDescent="0.25">
      <c r="N6977" t="s">
        <v>294</v>
      </c>
    </row>
    <row r="6978" spans="14:14" ht="15" customHeight="1" x14ac:dyDescent="0.25">
      <c r="N6978" t="s">
        <v>313</v>
      </c>
    </row>
    <row r="6979" spans="14:14" ht="15" customHeight="1" x14ac:dyDescent="0.25">
      <c r="N6979" t="s">
        <v>690</v>
      </c>
    </row>
    <row r="6980" spans="14:14" ht="15" customHeight="1" x14ac:dyDescent="0.25">
      <c r="N6980" t="s">
        <v>636</v>
      </c>
    </row>
    <row r="6981" spans="14:14" ht="15" customHeight="1" x14ac:dyDescent="0.25">
      <c r="N6981" t="s">
        <v>636</v>
      </c>
    </row>
    <row r="6982" spans="14:14" ht="15" customHeight="1" x14ac:dyDescent="0.25">
      <c r="N6982" t="s">
        <v>636</v>
      </c>
    </row>
    <row r="6983" spans="14:14" ht="15" customHeight="1" x14ac:dyDescent="0.25">
      <c r="N6983" t="s">
        <v>636</v>
      </c>
    </row>
    <row r="6984" spans="14:14" ht="15" customHeight="1" x14ac:dyDescent="0.25">
      <c r="N6984" t="s">
        <v>636</v>
      </c>
    </row>
    <row r="6985" spans="14:14" ht="15" customHeight="1" x14ac:dyDescent="0.25">
      <c r="N6985" t="s">
        <v>636</v>
      </c>
    </row>
    <row r="6986" spans="14:14" ht="15" customHeight="1" x14ac:dyDescent="0.25">
      <c r="N6986" t="s">
        <v>636</v>
      </c>
    </row>
    <row r="6987" spans="14:14" ht="15" customHeight="1" x14ac:dyDescent="0.25">
      <c r="N6987" t="s">
        <v>636</v>
      </c>
    </row>
    <row r="6988" spans="14:14" ht="15" customHeight="1" x14ac:dyDescent="0.25">
      <c r="N6988" t="s">
        <v>582</v>
      </c>
    </row>
    <row r="6989" spans="14:14" ht="15" customHeight="1" x14ac:dyDescent="0.25">
      <c r="N6989" t="s">
        <v>683</v>
      </c>
    </row>
    <row r="6990" spans="14:14" ht="15" customHeight="1" x14ac:dyDescent="0.25">
      <c r="N6990" t="s">
        <v>698</v>
      </c>
    </row>
    <row r="6991" spans="14:14" ht="15" customHeight="1" x14ac:dyDescent="0.25">
      <c r="N6991" t="s">
        <v>646</v>
      </c>
    </row>
    <row r="6992" spans="14:14" ht="15" customHeight="1" x14ac:dyDescent="0.25">
      <c r="N6992" t="s">
        <v>294</v>
      </c>
    </row>
    <row r="6993" spans="14:14" ht="15" customHeight="1" x14ac:dyDescent="0.25">
      <c r="N6993" t="s">
        <v>605</v>
      </c>
    </row>
    <row r="6994" spans="14:14" ht="15" customHeight="1" x14ac:dyDescent="0.25">
      <c r="N6994" t="s">
        <v>698</v>
      </c>
    </row>
    <row r="6995" spans="14:14" ht="15" customHeight="1" x14ac:dyDescent="0.25">
      <c r="N6995" t="s">
        <v>448</v>
      </c>
    </row>
    <row r="6996" spans="14:14" ht="15" customHeight="1" x14ac:dyDescent="0.25">
      <c r="N6996" t="s">
        <v>448</v>
      </c>
    </row>
    <row r="6997" spans="14:14" ht="15" customHeight="1" x14ac:dyDescent="0.25">
      <c r="N6997" t="s">
        <v>448</v>
      </c>
    </row>
    <row r="6998" spans="14:14" ht="15" customHeight="1" x14ac:dyDescent="0.25">
      <c r="N6998" t="s">
        <v>448</v>
      </c>
    </row>
    <row r="6999" spans="14:14" ht="15" customHeight="1" x14ac:dyDescent="0.25">
      <c r="N6999" t="s">
        <v>448</v>
      </c>
    </row>
    <row r="7000" spans="14:14" ht="15" customHeight="1" x14ac:dyDescent="0.25">
      <c r="N7000" t="s">
        <v>448</v>
      </c>
    </row>
    <row r="7001" spans="14:14" ht="15" customHeight="1" x14ac:dyDescent="0.25">
      <c r="N7001" t="s">
        <v>448</v>
      </c>
    </row>
    <row r="7002" spans="14:14" ht="15" customHeight="1" x14ac:dyDescent="0.25">
      <c r="N7002" t="s">
        <v>448</v>
      </c>
    </row>
    <row r="7003" spans="14:14" ht="15" customHeight="1" x14ac:dyDescent="0.25">
      <c r="N7003" t="s">
        <v>448</v>
      </c>
    </row>
    <row r="7004" spans="14:14" ht="15" customHeight="1" x14ac:dyDescent="0.25">
      <c r="N7004" t="s">
        <v>448</v>
      </c>
    </row>
    <row r="7005" spans="14:14" ht="15" customHeight="1" x14ac:dyDescent="0.25">
      <c r="N7005" t="s">
        <v>448</v>
      </c>
    </row>
    <row r="7006" spans="14:14" ht="15" customHeight="1" x14ac:dyDescent="0.25">
      <c r="N7006" t="s">
        <v>448</v>
      </c>
    </row>
    <row r="7007" spans="14:14" ht="15" customHeight="1" x14ac:dyDescent="0.25">
      <c r="N7007" t="s">
        <v>448</v>
      </c>
    </row>
    <row r="7008" spans="14:14" ht="15" customHeight="1" x14ac:dyDescent="0.25">
      <c r="N7008" t="s">
        <v>715</v>
      </c>
    </row>
    <row r="7009" spans="14:14" ht="15" customHeight="1" x14ac:dyDescent="0.25">
      <c r="N7009" t="s">
        <v>636</v>
      </c>
    </row>
    <row r="7010" spans="14:14" ht="15" customHeight="1" x14ac:dyDescent="0.25">
      <c r="N7010" t="s">
        <v>683</v>
      </c>
    </row>
    <row r="7011" spans="14:14" ht="15" customHeight="1" x14ac:dyDescent="0.25">
      <c r="N7011" t="s">
        <v>698</v>
      </c>
    </row>
    <row r="7012" spans="14:14" ht="15" customHeight="1" x14ac:dyDescent="0.25">
      <c r="N7012" t="s">
        <v>350</v>
      </c>
    </row>
    <row r="7013" spans="14:14" ht="15" customHeight="1" x14ac:dyDescent="0.25">
      <c r="N7013" t="s">
        <v>690</v>
      </c>
    </row>
    <row r="7014" spans="14:14" ht="15" customHeight="1" x14ac:dyDescent="0.25">
      <c r="N7014" t="s">
        <v>732</v>
      </c>
    </row>
    <row r="7015" spans="14:14" ht="15" customHeight="1" x14ac:dyDescent="0.25">
      <c r="N7015" t="s">
        <v>732</v>
      </c>
    </row>
    <row r="7016" spans="14:14" ht="15" customHeight="1" x14ac:dyDescent="0.25">
      <c r="N7016" t="s">
        <v>732</v>
      </c>
    </row>
    <row r="7017" spans="14:14" ht="15" customHeight="1" x14ac:dyDescent="0.25">
      <c r="N7017" t="s">
        <v>732</v>
      </c>
    </row>
    <row r="7018" spans="14:14" ht="15" customHeight="1" x14ac:dyDescent="0.25">
      <c r="N7018" t="s">
        <v>732</v>
      </c>
    </row>
    <row r="7019" spans="14:14" ht="15" customHeight="1" x14ac:dyDescent="0.25">
      <c r="N7019" t="s">
        <v>732</v>
      </c>
    </row>
    <row r="7020" spans="14:14" ht="15" customHeight="1" x14ac:dyDescent="0.25">
      <c r="N7020" t="s">
        <v>732</v>
      </c>
    </row>
    <row r="7021" spans="14:14" ht="15" customHeight="1" x14ac:dyDescent="0.25">
      <c r="N7021" t="s">
        <v>663</v>
      </c>
    </row>
    <row r="7022" spans="14:14" ht="15" customHeight="1" x14ac:dyDescent="0.25">
      <c r="N7022" t="s">
        <v>683</v>
      </c>
    </row>
    <row r="7023" spans="14:14" ht="15" customHeight="1" x14ac:dyDescent="0.25">
      <c r="N7023" t="s">
        <v>698</v>
      </c>
    </row>
    <row r="7024" spans="14:14" ht="15" customHeight="1" x14ac:dyDescent="0.25">
      <c r="N7024" t="s">
        <v>313</v>
      </c>
    </row>
    <row r="7025" spans="14:14" ht="15" customHeight="1" x14ac:dyDescent="0.25">
      <c r="N7025" t="s">
        <v>313</v>
      </c>
    </row>
    <row r="7026" spans="14:14" ht="15" customHeight="1" x14ac:dyDescent="0.25">
      <c r="N7026" t="s">
        <v>313</v>
      </c>
    </row>
    <row r="7027" spans="14:14" ht="15" customHeight="1" x14ac:dyDescent="0.25">
      <c r="N7027" t="s">
        <v>313</v>
      </c>
    </row>
    <row r="7028" spans="14:14" ht="15" customHeight="1" x14ac:dyDescent="0.25">
      <c r="N7028" t="s">
        <v>313</v>
      </c>
    </row>
    <row r="7029" spans="14:14" ht="15" customHeight="1" x14ac:dyDescent="0.25">
      <c r="N7029" t="s">
        <v>313</v>
      </c>
    </row>
    <row r="7030" spans="14:14" ht="15" customHeight="1" x14ac:dyDescent="0.25">
      <c r="N7030" t="s">
        <v>313</v>
      </c>
    </row>
    <row r="7031" spans="14:14" ht="15" customHeight="1" x14ac:dyDescent="0.25">
      <c r="N7031" t="s">
        <v>683</v>
      </c>
    </row>
    <row r="7032" spans="14:14" ht="15" customHeight="1" x14ac:dyDescent="0.25">
      <c r="N7032" t="s">
        <v>634</v>
      </c>
    </row>
    <row r="7033" spans="14:14" ht="15" customHeight="1" x14ac:dyDescent="0.25">
      <c r="N7033" t="s">
        <v>499</v>
      </c>
    </row>
    <row r="7034" spans="14:14" ht="15" customHeight="1" x14ac:dyDescent="0.25">
      <c r="N7034" t="s">
        <v>313</v>
      </c>
    </row>
    <row r="7035" spans="14:14" ht="15" customHeight="1" x14ac:dyDescent="0.25">
      <c r="N7035" t="s">
        <v>636</v>
      </c>
    </row>
    <row r="7036" spans="14:14" ht="15" customHeight="1" x14ac:dyDescent="0.25">
      <c r="N7036" t="s">
        <v>683</v>
      </c>
    </row>
    <row r="7037" spans="14:14" ht="15" customHeight="1" x14ac:dyDescent="0.25">
      <c r="N7037" t="s">
        <v>579</v>
      </c>
    </row>
    <row r="7038" spans="14:14" ht="15" customHeight="1" x14ac:dyDescent="0.25">
      <c r="N7038" t="s">
        <v>663</v>
      </c>
    </row>
    <row r="7039" spans="14:14" ht="15" customHeight="1" x14ac:dyDescent="0.25">
      <c r="N7039" t="s">
        <v>732</v>
      </c>
    </row>
    <row r="7040" spans="14:14" ht="15" customHeight="1" x14ac:dyDescent="0.25">
      <c r="N7040" t="s">
        <v>732</v>
      </c>
    </row>
    <row r="7041" spans="14:14" ht="15" customHeight="1" x14ac:dyDescent="0.25">
      <c r="N7041" t="s">
        <v>313</v>
      </c>
    </row>
    <row r="7042" spans="14:14" ht="15" customHeight="1" x14ac:dyDescent="0.25">
      <c r="N7042" t="s">
        <v>463</v>
      </c>
    </row>
    <row r="7043" spans="14:14" ht="15" customHeight="1" x14ac:dyDescent="0.25">
      <c r="N7043" t="s">
        <v>654</v>
      </c>
    </row>
    <row r="7044" spans="14:14" ht="15" customHeight="1" x14ac:dyDescent="0.25">
      <c r="N7044" t="s">
        <v>313</v>
      </c>
    </row>
    <row r="7045" spans="14:14" ht="15" customHeight="1" x14ac:dyDescent="0.25">
      <c r="N7045" t="s">
        <v>713</v>
      </c>
    </row>
    <row r="7046" spans="14:14" ht="15" customHeight="1" x14ac:dyDescent="0.25">
      <c r="N7046" t="s">
        <v>579</v>
      </c>
    </row>
    <row r="7047" spans="14:14" ht="15" customHeight="1" x14ac:dyDescent="0.25">
      <c r="N7047" t="s">
        <v>663</v>
      </c>
    </row>
    <row r="7048" spans="14:14" ht="15" customHeight="1" x14ac:dyDescent="0.25">
      <c r="N7048" t="s">
        <v>732</v>
      </c>
    </row>
    <row r="7049" spans="14:14" ht="15" customHeight="1" x14ac:dyDescent="0.25">
      <c r="N7049" t="s">
        <v>355</v>
      </c>
    </row>
    <row r="7050" spans="14:14" ht="15" customHeight="1" x14ac:dyDescent="0.25">
      <c r="N7050" t="s">
        <v>732</v>
      </c>
    </row>
    <row r="7051" spans="14:14" ht="15" customHeight="1" x14ac:dyDescent="0.25">
      <c r="N7051" t="s">
        <v>654</v>
      </c>
    </row>
    <row r="7052" spans="14:14" ht="15" customHeight="1" x14ac:dyDescent="0.25">
      <c r="N7052" t="s">
        <v>485</v>
      </c>
    </row>
    <row r="7053" spans="14:14" ht="15" customHeight="1" x14ac:dyDescent="0.25">
      <c r="N7053" t="s">
        <v>363</v>
      </c>
    </row>
    <row r="7054" spans="14:14" ht="15" customHeight="1" x14ac:dyDescent="0.25">
      <c r="N7054" t="s">
        <v>713</v>
      </c>
    </row>
    <row r="7055" spans="14:14" ht="15" customHeight="1" x14ac:dyDescent="0.25">
      <c r="N7055" t="s">
        <v>713</v>
      </c>
    </row>
    <row r="7056" spans="14:14" ht="15" customHeight="1" x14ac:dyDescent="0.25">
      <c r="N7056" t="s">
        <v>685</v>
      </c>
    </row>
    <row r="7057" spans="14:14" ht="15" customHeight="1" x14ac:dyDescent="0.25">
      <c r="N7057" t="s">
        <v>732</v>
      </c>
    </row>
    <row r="7058" spans="14:14" ht="15" customHeight="1" x14ac:dyDescent="0.25">
      <c r="N7058" t="s">
        <v>687</v>
      </c>
    </row>
    <row r="7059" spans="14:14" ht="15" customHeight="1" x14ac:dyDescent="0.25">
      <c r="N7059" t="s">
        <v>313</v>
      </c>
    </row>
    <row r="7060" spans="14:14" ht="15" customHeight="1" x14ac:dyDescent="0.25">
      <c r="N7060" t="s">
        <v>670</v>
      </c>
    </row>
    <row r="7061" spans="14:14" ht="15" customHeight="1" x14ac:dyDescent="0.25">
      <c r="N7061" t="s">
        <v>370</v>
      </c>
    </row>
    <row r="7062" spans="14:14" ht="15" customHeight="1" x14ac:dyDescent="0.25">
      <c r="N7062" t="s">
        <v>732</v>
      </c>
    </row>
    <row r="7063" spans="14:14" ht="15" customHeight="1" x14ac:dyDescent="0.25">
      <c r="N7063" t="s">
        <v>304</v>
      </c>
    </row>
    <row r="7064" spans="14:14" ht="15" customHeight="1" x14ac:dyDescent="0.25">
      <c r="N7064" t="s">
        <v>313</v>
      </c>
    </row>
    <row r="7065" spans="14:14" ht="15" customHeight="1" x14ac:dyDescent="0.25">
      <c r="N7065" t="s">
        <v>582</v>
      </c>
    </row>
    <row r="7066" spans="14:14" ht="15" customHeight="1" x14ac:dyDescent="0.25">
      <c r="N7066" t="s">
        <v>582</v>
      </c>
    </row>
    <row r="7067" spans="14:14" ht="15" customHeight="1" x14ac:dyDescent="0.25">
      <c r="N7067" t="s">
        <v>582</v>
      </c>
    </row>
    <row r="7068" spans="14:14" ht="15" customHeight="1" x14ac:dyDescent="0.25">
      <c r="N7068" t="s">
        <v>582</v>
      </c>
    </row>
    <row r="7069" spans="14:14" ht="15" customHeight="1" x14ac:dyDescent="0.25">
      <c r="N7069" t="s">
        <v>582</v>
      </c>
    </row>
    <row r="7070" spans="14:14" ht="15" customHeight="1" x14ac:dyDescent="0.25">
      <c r="N7070" t="s">
        <v>582</v>
      </c>
    </row>
    <row r="7071" spans="14:14" ht="15" customHeight="1" x14ac:dyDescent="0.25">
      <c r="N7071" t="s">
        <v>582</v>
      </c>
    </row>
    <row r="7072" spans="14:14" ht="15" customHeight="1" x14ac:dyDescent="0.25">
      <c r="N7072" t="s">
        <v>732</v>
      </c>
    </row>
    <row r="7073" spans="14:14" ht="15" customHeight="1" x14ac:dyDescent="0.25">
      <c r="N7073" t="s">
        <v>732</v>
      </c>
    </row>
    <row r="7074" spans="14:14" ht="15" customHeight="1" x14ac:dyDescent="0.25">
      <c r="N7074" t="s">
        <v>732</v>
      </c>
    </row>
    <row r="7075" spans="14:14" ht="15" customHeight="1" x14ac:dyDescent="0.25">
      <c r="N7075" t="s">
        <v>732</v>
      </c>
    </row>
    <row r="7076" spans="14:14" ht="15" customHeight="1" x14ac:dyDescent="0.25">
      <c r="N7076" t="s">
        <v>732</v>
      </c>
    </row>
    <row r="7077" spans="14:14" ht="15" customHeight="1" x14ac:dyDescent="0.25">
      <c r="N7077" t="s">
        <v>732</v>
      </c>
    </row>
    <row r="7078" spans="14:14" ht="15" customHeight="1" x14ac:dyDescent="0.25">
      <c r="N7078" t="s">
        <v>732</v>
      </c>
    </row>
    <row r="7079" spans="14:14" ht="15" customHeight="1" x14ac:dyDescent="0.25">
      <c r="N7079" t="s">
        <v>732</v>
      </c>
    </row>
    <row r="7080" spans="14:14" ht="15" customHeight="1" x14ac:dyDescent="0.25">
      <c r="N7080" t="s">
        <v>732</v>
      </c>
    </row>
    <row r="7081" spans="14:14" ht="15" customHeight="1" x14ac:dyDescent="0.25">
      <c r="N7081" t="s">
        <v>732</v>
      </c>
    </row>
    <row r="7082" spans="14:14" ht="15" customHeight="1" x14ac:dyDescent="0.25">
      <c r="N7082" t="s">
        <v>732</v>
      </c>
    </row>
    <row r="7083" spans="14:14" ht="15" customHeight="1" x14ac:dyDescent="0.25">
      <c r="N7083" t="s">
        <v>732</v>
      </c>
    </row>
    <row r="7084" spans="14:14" ht="15" customHeight="1" x14ac:dyDescent="0.25">
      <c r="N7084" t="s">
        <v>732</v>
      </c>
    </row>
    <row r="7085" spans="14:14" ht="15" customHeight="1" x14ac:dyDescent="0.25">
      <c r="N7085" t="s">
        <v>732</v>
      </c>
    </row>
    <row r="7086" spans="14:14" ht="15" customHeight="1" x14ac:dyDescent="0.25">
      <c r="N7086" t="s">
        <v>732</v>
      </c>
    </row>
    <row r="7087" spans="14:14" ht="15" customHeight="1" x14ac:dyDescent="0.25">
      <c r="N7087" t="s">
        <v>732</v>
      </c>
    </row>
    <row r="7088" spans="14:14" ht="15" customHeight="1" x14ac:dyDescent="0.25">
      <c r="N7088" t="s">
        <v>732</v>
      </c>
    </row>
    <row r="7089" spans="14:14" ht="15" customHeight="1" x14ac:dyDescent="0.25">
      <c r="N7089" t="s">
        <v>732</v>
      </c>
    </row>
    <row r="7090" spans="14:14" ht="15" customHeight="1" x14ac:dyDescent="0.25">
      <c r="N7090" t="s">
        <v>732</v>
      </c>
    </row>
    <row r="7091" spans="14:14" ht="15" customHeight="1" x14ac:dyDescent="0.25">
      <c r="N7091" t="s">
        <v>732</v>
      </c>
    </row>
    <row r="7092" spans="14:14" ht="15" customHeight="1" x14ac:dyDescent="0.25">
      <c r="N7092" t="s">
        <v>732</v>
      </c>
    </row>
    <row r="7093" spans="14:14" ht="15" customHeight="1" x14ac:dyDescent="0.25">
      <c r="N7093" t="s">
        <v>313</v>
      </c>
    </row>
    <row r="7094" spans="14:14" ht="15" customHeight="1" x14ac:dyDescent="0.25">
      <c r="N7094" t="s">
        <v>313</v>
      </c>
    </row>
    <row r="7095" spans="14:14" ht="15" customHeight="1" x14ac:dyDescent="0.25">
      <c r="N7095" t="s">
        <v>698</v>
      </c>
    </row>
    <row r="7096" spans="14:14" ht="15" customHeight="1" x14ac:dyDescent="0.25">
      <c r="N7096" t="s">
        <v>582</v>
      </c>
    </row>
    <row r="7097" spans="14:14" ht="15" customHeight="1" x14ac:dyDescent="0.25">
      <c r="N7097" t="s">
        <v>696</v>
      </c>
    </row>
    <row r="7098" spans="14:14" ht="15" customHeight="1" x14ac:dyDescent="0.25">
      <c r="N7098" t="s">
        <v>582</v>
      </c>
    </row>
    <row r="7099" spans="14:14" ht="15" customHeight="1" x14ac:dyDescent="0.25">
      <c r="N7099" t="s">
        <v>582</v>
      </c>
    </row>
    <row r="7100" spans="14:14" ht="15" customHeight="1" x14ac:dyDescent="0.25">
      <c r="N7100" t="s">
        <v>582</v>
      </c>
    </row>
    <row r="7101" spans="14:14" ht="15" customHeight="1" x14ac:dyDescent="0.25">
      <c r="N7101" t="s">
        <v>582</v>
      </c>
    </row>
    <row r="7102" spans="14:14" ht="15" customHeight="1" x14ac:dyDescent="0.25">
      <c r="N7102" t="s">
        <v>582</v>
      </c>
    </row>
    <row r="7103" spans="14:14" ht="15" customHeight="1" x14ac:dyDescent="0.25">
      <c r="N7103" t="s">
        <v>582</v>
      </c>
    </row>
    <row r="7104" spans="14:14" ht="15" customHeight="1" x14ac:dyDescent="0.25">
      <c r="N7104" t="s">
        <v>582</v>
      </c>
    </row>
    <row r="7105" spans="14:14" ht="15" customHeight="1" x14ac:dyDescent="0.25">
      <c r="N7105" t="s">
        <v>582</v>
      </c>
    </row>
    <row r="7106" spans="14:14" ht="15" customHeight="1" x14ac:dyDescent="0.25">
      <c r="N7106" t="s">
        <v>68</v>
      </c>
    </row>
    <row r="7107" spans="14:14" ht="15" customHeight="1" x14ac:dyDescent="0.25">
      <c r="N7107" t="s">
        <v>685</v>
      </c>
    </row>
    <row r="7108" spans="14:14" ht="15" customHeight="1" x14ac:dyDescent="0.25">
      <c r="N7108" t="s">
        <v>734</v>
      </c>
    </row>
    <row r="7109" spans="14:14" ht="15" customHeight="1" x14ac:dyDescent="0.25">
      <c r="N7109" t="s">
        <v>715</v>
      </c>
    </row>
    <row r="7110" spans="14:14" ht="15" customHeight="1" x14ac:dyDescent="0.25">
      <c r="N7110" t="s">
        <v>732</v>
      </c>
    </row>
    <row r="7111" spans="14:14" ht="15" customHeight="1" x14ac:dyDescent="0.25">
      <c r="N7111" t="s">
        <v>684</v>
      </c>
    </row>
    <row r="7112" spans="14:14" ht="15" customHeight="1" x14ac:dyDescent="0.25">
      <c r="N7112" t="s">
        <v>732</v>
      </c>
    </row>
    <row r="7113" spans="14:14" ht="15" customHeight="1" x14ac:dyDescent="0.25">
      <c r="N7113" t="s">
        <v>732</v>
      </c>
    </row>
    <row r="7114" spans="14:14" ht="15" customHeight="1" x14ac:dyDescent="0.25">
      <c r="N7114" t="s">
        <v>732</v>
      </c>
    </row>
    <row r="7115" spans="14:14" ht="15" customHeight="1" x14ac:dyDescent="0.25">
      <c r="N7115" t="s">
        <v>732</v>
      </c>
    </row>
    <row r="7116" spans="14:14" ht="15" customHeight="1" x14ac:dyDescent="0.25">
      <c r="N7116" t="s">
        <v>732</v>
      </c>
    </row>
    <row r="7117" spans="14:14" ht="15" customHeight="1" x14ac:dyDescent="0.25">
      <c r="N7117" t="s">
        <v>732</v>
      </c>
    </row>
    <row r="7118" spans="14:14" ht="15" customHeight="1" x14ac:dyDescent="0.25">
      <c r="N7118" t="s">
        <v>732</v>
      </c>
    </row>
    <row r="7119" spans="14:14" ht="15" customHeight="1" x14ac:dyDescent="0.25">
      <c r="N7119" t="s">
        <v>732</v>
      </c>
    </row>
    <row r="7120" spans="14:14" ht="15" customHeight="1" x14ac:dyDescent="0.25">
      <c r="N7120" t="s">
        <v>732</v>
      </c>
    </row>
    <row r="7121" spans="14:14" ht="15" customHeight="1" x14ac:dyDescent="0.25">
      <c r="N7121" t="s">
        <v>732</v>
      </c>
    </row>
    <row r="7122" spans="14:14" ht="15" customHeight="1" x14ac:dyDescent="0.25">
      <c r="N7122" t="s">
        <v>732</v>
      </c>
    </row>
    <row r="7123" spans="14:14" ht="15" customHeight="1" x14ac:dyDescent="0.25">
      <c r="N7123" t="s">
        <v>732</v>
      </c>
    </row>
    <row r="7124" spans="14:14" ht="15" customHeight="1" x14ac:dyDescent="0.25">
      <c r="N7124" t="s">
        <v>732</v>
      </c>
    </row>
    <row r="7125" spans="14:14" ht="15" customHeight="1" x14ac:dyDescent="0.25">
      <c r="N7125" t="s">
        <v>732</v>
      </c>
    </row>
    <row r="7126" spans="14:14" ht="15" customHeight="1" x14ac:dyDescent="0.25">
      <c r="N7126" t="s">
        <v>732</v>
      </c>
    </row>
    <row r="7127" spans="14:14" ht="15" customHeight="1" x14ac:dyDescent="0.25">
      <c r="N7127" t="s">
        <v>732</v>
      </c>
    </row>
    <row r="7128" spans="14:14" ht="15" customHeight="1" x14ac:dyDescent="0.25">
      <c r="N7128" t="s">
        <v>732</v>
      </c>
    </row>
    <row r="7129" spans="14:14" ht="15" customHeight="1" x14ac:dyDescent="0.25">
      <c r="N7129" t="s">
        <v>732</v>
      </c>
    </row>
    <row r="7130" spans="14:14" ht="15" customHeight="1" x14ac:dyDescent="0.25">
      <c r="N7130" t="s">
        <v>732</v>
      </c>
    </row>
    <row r="7131" spans="14:14" ht="15" customHeight="1" x14ac:dyDescent="0.25">
      <c r="N7131" t="s">
        <v>732</v>
      </c>
    </row>
    <row r="7132" spans="14:14" ht="15" customHeight="1" x14ac:dyDescent="0.25">
      <c r="N7132" t="s">
        <v>732</v>
      </c>
    </row>
    <row r="7133" spans="14:14" ht="15" customHeight="1" x14ac:dyDescent="0.25">
      <c r="N7133" t="s">
        <v>732</v>
      </c>
    </row>
    <row r="7134" spans="14:14" ht="15" customHeight="1" x14ac:dyDescent="0.25">
      <c r="N7134" t="s">
        <v>732</v>
      </c>
    </row>
    <row r="7135" spans="14:14" ht="15" customHeight="1" x14ac:dyDescent="0.25">
      <c r="N7135" t="s">
        <v>732</v>
      </c>
    </row>
    <row r="7136" spans="14:14" ht="15" customHeight="1" x14ac:dyDescent="0.25">
      <c r="N7136" t="s">
        <v>732</v>
      </c>
    </row>
    <row r="7137" spans="14:14" ht="15" customHeight="1" x14ac:dyDescent="0.25">
      <c r="N7137" t="s">
        <v>732</v>
      </c>
    </row>
    <row r="7138" spans="14:14" ht="15" customHeight="1" x14ac:dyDescent="0.25">
      <c r="N7138" t="s">
        <v>732</v>
      </c>
    </row>
    <row r="7139" spans="14:14" ht="15" customHeight="1" x14ac:dyDescent="0.25">
      <c r="N7139" t="s">
        <v>603</v>
      </c>
    </row>
    <row r="7140" spans="14:14" ht="15" customHeight="1" x14ac:dyDescent="0.25">
      <c r="N7140" t="s">
        <v>654</v>
      </c>
    </row>
    <row r="7141" spans="14:14" ht="15" customHeight="1" x14ac:dyDescent="0.25">
      <c r="N7141" t="s">
        <v>685</v>
      </c>
    </row>
    <row r="7142" spans="14:14" ht="15" customHeight="1" x14ac:dyDescent="0.25">
      <c r="N7142" t="s">
        <v>313</v>
      </c>
    </row>
    <row r="7143" spans="14:14" ht="15" customHeight="1" x14ac:dyDescent="0.25">
      <c r="N7143" t="s">
        <v>685</v>
      </c>
    </row>
    <row r="7144" spans="14:14" ht="15" customHeight="1" x14ac:dyDescent="0.25">
      <c r="N7144" t="s">
        <v>646</v>
      </c>
    </row>
    <row r="7145" spans="14:14" ht="15" customHeight="1" x14ac:dyDescent="0.25">
      <c r="N7145" t="s">
        <v>304</v>
      </c>
    </row>
    <row r="7146" spans="14:14" ht="15" customHeight="1" x14ac:dyDescent="0.25">
      <c r="N7146" t="s">
        <v>735</v>
      </c>
    </row>
    <row r="7147" spans="14:14" ht="15" customHeight="1" x14ac:dyDescent="0.25">
      <c r="N7147" t="s">
        <v>735</v>
      </c>
    </row>
    <row r="7148" spans="14:14" ht="15" customHeight="1" x14ac:dyDescent="0.25">
      <c r="N7148" t="s">
        <v>735</v>
      </c>
    </row>
    <row r="7149" spans="14:14" ht="15" customHeight="1" x14ac:dyDescent="0.25">
      <c r="N7149" t="s">
        <v>735</v>
      </c>
    </row>
    <row r="7150" spans="14:14" ht="15" customHeight="1" x14ac:dyDescent="0.25">
      <c r="N7150" t="s">
        <v>735</v>
      </c>
    </row>
    <row r="7151" spans="14:14" ht="15" customHeight="1" x14ac:dyDescent="0.25">
      <c r="N7151" t="s">
        <v>313</v>
      </c>
    </row>
    <row r="7152" spans="14:14" ht="15" customHeight="1" x14ac:dyDescent="0.25">
      <c r="N7152" t="s">
        <v>732</v>
      </c>
    </row>
    <row r="7153" spans="14:14" ht="15" customHeight="1" x14ac:dyDescent="0.25">
      <c r="N7153" t="s">
        <v>732</v>
      </c>
    </row>
    <row r="7154" spans="14:14" ht="15" customHeight="1" x14ac:dyDescent="0.25">
      <c r="N7154" t="s">
        <v>732</v>
      </c>
    </row>
    <row r="7155" spans="14:14" ht="15" customHeight="1" x14ac:dyDescent="0.25">
      <c r="N7155" t="s">
        <v>732</v>
      </c>
    </row>
    <row r="7156" spans="14:14" ht="15" customHeight="1" x14ac:dyDescent="0.25">
      <c r="N7156" t="s">
        <v>732</v>
      </c>
    </row>
    <row r="7157" spans="14:14" ht="15" customHeight="1" x14ac:dyDescent="0.25">
      <c r="N7157" t="s">
        <v>732</v>
      </c>
    </row>
    <row r="7158" spans="14:14" ht="15" customHeight="1" x14ac:dyDescent="0.25">
      <c r="N7158" t="s">
        <v>732</v>
      </c>
    </row>
    <row r="7159" spans="14:14" ht="15" customHeight="1" x14ac:dyDescent="0.25">
      <c r="N7159" t="s">
        <v>732</v>
      </c>
    </row>
    <row r="7160" spans="14:14" ht="15" customHeight="1" x14ac:dyDescent="0.25">
      <c r="N7160" t="s">
        <v>732</v>
      </c>
    </row>
    <row r="7161" spans="14:14" ht="15" customHeight="1" x14ac:dyDescent="0.25">
      <c r="N7161" t="s">
        <v>732</v>
      </c>
    </row>
    <row r="7162" spans="14:14" ht="15" customHeight="1" x14ac:dyDescent="0.25">
      <c r="N7162" t="s">
        <v>732</v>
      </c>
    </row>
    <row r="7163" spans="14:14" ht="15" customHeight="1" x14ac:dyDescent="0.25">
      <c r="N7163" t="s">
        <v>732</v>
      </c>
    </row>
    <row r="7164" spans="14:14" ht="15" customHeight="1" x14ac:dyDescent="0.25">
      <c r="N7164" t="s">
        <v>732</v>
      </c>
    </row>
    <row r="7165" spans="14:14" ht="15" customHeight="1" x14ac:dyDescent="0.25">
      <c r="N7165" t="s">
        <v>313</v>
      </c>
    </row>
    <row r="7166" spans="14:14" ht="15" customHeight="1" x14ac:dyDescent="0.25">
      <c r="N7166" t="s">
        <v>68</v>
      </c>
    </row>
    <row r="7167" spans="14:14" ht="15" customHeight="1" x14ac:dyDescent="0.25">
      <c r="N7167" t="s">
        <v>675</v>
      </c>
    </row>
    <row r="7168" spans="14:14" ht="15" customHeight="1" x14ac:dyDescent="0.25">
      <c r="N7168" t="s">
        <v>539</v>
      </c>
    </row>
    <row r="7169" spans="14:14" ht="15" customHeight="1" x14ac:dyDescent="0.25">
      <c r="N7169" t="s">
        <v>68</v>
      </c>
    </row>
    <row r="7170" spans="14:14" ht="15" customHeight="1" x14ac:dyDescent="0.25">
      <c r="N7170" t="s">
        <v>68</v>
      </c>
    </row>
    <row r="7171" spans="14:14" ht="15" customHeight="1" x14ac:dyDescent="0.25">
      <c r="N7171" t="s">
        <v>68</v>
      </c>
    </row>
    <row r="7172" spans="14:14" ht="15" customHeight="1" x14ac:dyDescent="0.25">
      <c r="N7172" t="s">
        <v>68</v>
      </c>
    </row>
    <row r="7173" spans="14:14" ht="15" customHeight="1" x14ac:dyDescent="0.25">
      <c r="N7173" t="s">
        <v>68</v>
      </c>
    </row>
    <row r="7174" spans="14:14" ht="15" customHeight="1" x14ac:dyDescent="0.25">
      <c r="N7174" t="s">
        <v>68</v>
      </c>
    </row>
    <row r="7175" spans="14:14" ht="15" customHeight="1" x14ac:dyDescent="0.25">
      <c r="N7175" t="s">
        <v>68</v>
      </c>
    </row>
    <row r="7176" spans="14:14" ht="15" customHeight="1" x14ac:dyDescent="0.25">
      <c r="N7176" t="s">
        <v>732</v>
      </c>
    </row>
    <row r="7177" spans="14:14" ht="15" customHeight="1" x14ac:dyDescent="0.25">
      <c r="N7177" t="s">
        <v>690</v>
      </c>
    </row>
    <row r="7178" spans="14:14" ht="15" customHeight="1" x14ac:dyDescent="0.25">
      <c r="N7178" t="s">
        <v>690</v>
      </c>
    </row>
    <row r="7179" spans="14:14" ht="15" customHeight="1" x14ac:dyDescent="0.25">
      <c r="N7179" t="s">
        <v>690</v>
      </c>
    </row>
    <row r="7180" spans="14:14" ht="15" customHeight="1" x14ac:dyDescent="0.25">
      <c r="N7180" t="s">
        <v>690</v>
      </c>
    </row>
    <row r="7181" spans="14:14" ht="15" customHeight="1" x14ac:dyDescent="0.25">
      <c r="N7181" t="s">
        <v>684</v>
      </c>
    </row>
    <row r="7182" spans="14:14" ht="15" customHeight="1" x14ac:dyDescent="0.25">
      <c r="N7182" t="s">
        <v>732</v>
      </c>
    </row>
    <row r="7183" spans="14:14" ht="15" customHeight="1" x14ac:dyDescent="0.25">
      <c r="N7183" t="s">
        <v>732</v>
      </c>
    </row>
    <row r="7184" spans="14:14" ht="15" customHeight="1" x14ac:dyDescent="0.25">
      <c r="N7184" t="s">
        <v>732</v>
      </c>
    </row>
    <row r="7185" spans="14:14" ht="15" customHeight="1" x14ac:dyDescent="0.25">
      <c r="N7185" t="s">
        <v>732</v>
      </c>
    </row>
    <row r="7186" spans="14:14" ht="15" customHeight="1" x14ac:dyDescent="0.25">
      <c r="N7186" t="s">
        <v>732</v>
      </c>
    </row>
    <row r="7187" spans="14:14" ht="15" customHeight="1" x14ac:dyDescent="0.25">
      <c r="N7187" t="s">
        <v>732</v>
      </c>
    </row>
    <row r="7188" spans="14:14" ht="15" customHeight="1" x14ac:dyDescent="0.25">
      <c r="N7188" t="s">
        <v>732</v>
      </c>
    </row>
    <row r="7189" spans="14:14" ht="15" customHeight="1" x14ac:dyDescent="0.25">
      <c r="N7189" t="s">
        <v>732</v>
      </c>
    </row>
    <row r="7190" spans="14:14" ht="15" customHeight="1" x14ac:dyDescent="0.25">
      <c r="N7190" t="s">
        <v>732</v>
      </c>
    </row>
    <row r="7191" spans="14:14" ht="15" customHeight="1" x14ac:dyDescent="0.25">
      <c r="N7191" t="s">
        <v>732</v>
      </c>
    </row>
    <row r="7192" spans="14:14" ht="15" customHeight="1" x14ac:dyDescent="0.25">
      <c r="N7192" t="s">
        <v>732</v>
      </c>
    </row>
    <row r="7193" spans="14:14" ht="15" customHeight="1" x14ac:dyDescent="0.25">
      <c r="N7193" t="s">
        <v>732</v>
      </c>
    </row>
    <row r="7194" spans="14:14" ht="15" customHeight="1" x14ac:dyDescent="0.25">
      <c r="N7194" t="s">
        <v>732</v>
      </c>
    </row>
    <row r="7195" spans="14:14" ht="15" customHeight="1" x14ac:dyDescent="0.25">
      <c r="N7195" t="s">
        <v>732</v>
      </c>
    </row>
    <row r="7196" spans="14:14" ht="15" customHeight="1" x14ac:dyDescent="0.25">
      <c r="N7196" t="s">
        <v>732</v>
      </c>
    </row>
    <row r="7197" spans="14:14" ht="15" customHeight="1" x14ac:dyDescent="0.25">
      <c r="N7197" t="s">
        <v>732</v>
      </c>
    </row>
    <row r="7198" spans="14:14" ht="15" customHeight="1" x14ac:dyDescent="0.25">
      <c r="N7198" t="s">
        <v>732</v>
      </c>
    </row>
    <row r="7199" spans="14:14" ht="15" customHeight="1" x14ac:dyDescent="0.25">
      <c r="N7199" t="s">
        <v>732</v>
      </c>
    </row>
    <row r="7200" spans="14:14" ht="15" customHeight="1" x14ac:dyDescent="0.25">
      <c r="N7200" t="s">
        <v>732</v>
      </c>
    </row>
    <row r="7201" spans="14:14" ht="15" customHeight="1" x14ac:dyDescent="0.25">
      <c r="N7201" t="s">
        <v>732</v>
      </c>
    </row>
    <row r="7202" spans="14:14" ht="15" customHeight="1" x14ac:dyDescent="0.25">
      <c r="N7202" t="s">
        <v>732</v>
      </c>
    </row>
    <row r="7203" spans="14:14" ht="15" customHeight="1" x14ac:dyDescent="0.25">
      <c r="N7203" t="s">
        <v>732</v>
      </c>
    </row>
    <row r="7204" spans="14:14" ht="15" customHeight="1" x14ac:dyDescent="0.25">
      <c r="N7204" t="s">
        <v>732</v>
      </c>
    </row>
    <row r="7205" spans="14:14" ht="15" customHeight="1" x14ac:dyDescent="0.25">
      <c r="N7205" t="s">
        <v>732</v>
      </c>
    </row>
    <row r="7206" spans="14:14" ht="15" customHeight="1" x14ac:dyDescent="0.25">
      <c r="N7206" t="s">
        <v>732</v>
      </c>
    </row>
    <row r="7207" spans="14:14" ht="15" customHeight="1" x14ac:dyDescent="0.25">
      <c r="N7207" t="s">
        <v>732</v>
      </c>
    </row>
    <row r="7208" spans="14:14" ht="15" customHeight="1" x14ac:dyDescent="0.25">
      <c r="N7208" t="s">
        <v>558</v>
      </c>
    </row>
    <row r="7209" spans="14:14" ht="15" customHeight="1" x14ac:dyDescent="0.25">
      <c r="N7209" t="s">
        <v>732</v>
      </c>
    </row>
    <row r="7210" spans="14:14" ht="15" customHeight="1" x14ac:dyDescent="0.25">
      <c r="N7210" t="s">
        <v>670</v>
      </c>
    </row>
    <row r="7211" spans="14:14" ht="15" customHeight="1" x14ac:dyDescent="0.25">
      <c r="N7211" t="s">
        <v>313</v>
      </c>
    </row>
    <row r="7212" spans="14:14" ht="15" customHeight="1" x14ac:dyDescent="0.25">
      <c r="N7212" t="s">
        <v>675</v>
      </c>
    </row>
    <row r="7213" spans="14:14" ht="15" customHeight="1" x14ac:dyDescent="0.25">
      <c r="N7213" t="s">
        <v>690</v>
      </c>
    </row>
    <row r="7214" spans="14:14" ht="15" customHeight="1" x14ac:dyDescent="0.25">
      <c r="N7214" t="s">
        <v>690</v>
      </c>
    </row>
    <row r="7215" spans="14:14" ht="15" customHeight="1" x14ac:dyDescent="0.25">
      <c r="N7215" t="s">
        <v>690</v>
      </c>
    </row>
    <row r="7216" spans="14:14" ht="15" customHeight="1" x14ac:dyDescent="0.25">
      <c r="N7216" t="s">
        <v>690</v>
      </c>
    </row>
    <row r="7217" spans="14:14" ht="15" customHeight="1" x14ac:dyDescent="0.25">
      <c r="N7217" t="s">
        <v>732</v>
      </c>
    </row>
    <row r="7218" spans="14:14" ht="15" customHeight="1" x14ac:dyDescent="0.25">
      <c r="N7218" t="s">
        <v>732</v>
      </c>
    </row>
    <row r="7219" spans="14:14" ht="15" customHeight="1" x14ac:dyDescent="0.25">
      <c r="N7219" t="s">
        <v>732</v>
      </c>
    </row>
    <row r="7220" spans="14:14" ht="15" customHeight="1" x14ac:dyDescent="0.25">
      <c r="N7220" t="s">
        <v>732</v>
      </c>
    </row>
    <row r="7221" spans="14:14" ht="15" customHeight="1" x14ac:dyDescent="0.25">
      <c r="N7221" t="s">
        <v>732</v>
      </c>
    </row>
    <row r="7222" spans="14:14" ht="15" customHeight="1" x14ac:dyDescent="0.25">
      <c r="N7222" t="s">
        <v>732</v>
      </c>
    </row>
    <row r="7223" spans="14:14" ht="15" customHeight="1" x14ac:dyDescent="0.25">
      <c r="N7223" t="s">
        <v>732</v>
      </c>
    </row>
    <row r="7224" spans="14:14" ht="15" customHeight="1" x14ac:dyDescent="0.25">
      <c r="N7224" t="s">
        <v>732</v>
      </c>
    </row>
    <row r="7225" spans="14:14" ht="15" customHeight="1" x14ac:dyDescent="0.25">
      <c r="N7225" t="s">
        <v>732</v>
      </c>
    </row>
    <row r="7226" spans="14:14" ht="15" customHeight="1" x14ac:dyDescent="0.25">
      <c r="N7226" t="s">
        <v>732</v>
      </c>
    </row>
    <row r="7227" spans="14:14" ht="15" customHeight="1" x14ac:dyDescent="0.25">
      <c r="N7227" t="s">
        <v>732</v>
      </c>
    </row>
    <row r="7228" spans="14:14" ht="15" customHeight="1" x14ac:dyDescent="0.25">
      <c r="N7228" t="s">
        <v>732</v>
      </c>
    </row>
    <row r="7229" spans="14:14" ht="15" customHeight="1" x14ac:dyDescent="0.25">
      <c r="N7229" t="s">
        <v>732</v>
      </c>
    </row>
    <row r="7230" spans="14:14" ht="15" customHeight="1" x14ac:dyDescent="0.25">
      <c r="N7230" t="s">
        <v>732</v>
      </c>
    </row>
    <row r="7231" spans="14:14" ht="15" customHeight="1" x14ac:dyDescent="0.25">
      <c r="N7231" t="s">
        <v>732</v>
      </c>
    </row>
    <row r="7232" spans="14:14" ht="15" customHeight="1" x14ac:dyDescent="0.25">
      <c r="N7232" t="s">
        <v>732</v>
      </c>
    </row>
    <row r="7233" spans="14:14" ht="15" customHeight="1" x14ac:dyDescent="0.25">
      <c r="N7233" t="s">
        <v>732</v>
      </c>
    </row>
    <row r="7234" spans="14:14" ht="15" customHeight="1" x14ac:dyDescent="0.25">
      <c r="N7234" t="s">
        <v>732</v>
      </c>
    </row>
    <row r="7235" spans="14:14" ht="15" customHeight="1" x14ac:dyDescent="0.25">
      <c r="N7235" t="s">
        <v>732</v>
      </c>
    </row>
    <row r="7236" spans="14:14" ht="15" customHeight="1" x14ac:dyDescent="0.25">
      <c r="N7236" t="s">
        <v>732</v>
      </c>
    </row>
    <row r="7237" spans="14:14" ht="15" customHeight="1" x14ac:dyDescent="0.25">
      <c r="N7237" t="s">
        <v>732</v>
      </c>
    </row>
    <row r="7238" spans="14:14" ht="15" customHeight="1" x14ac:dyDescent="0.25">
      <c r="N7238" t="s">
        <v>732</v>
      </c>
    </row>
    <row r="7239" spans="14:14" ht="15" customHeight="1" x14ac:dyDescent="0.25">
      <c r="N7239" t="s">
        <v>732</v>
      </c>
    </row>
    <row r="7240" spans="14:14" ht="15" customHeight="1" x14ac:dyDescent="0.25">
      <c r="N7240" t="s">
        <v>732</v>
      </c>
    </row>
    <row r="7241" spans="14:14" ht="15" customHeight="1" x14ac:dyDescent="0.25">
      <c r="N7241" t="s">
        <v>732</v>
      </c>
    </row>
    <row r="7242" spans="14:14" ht="15" customHeight="1" x14ac:dyDescent="0.25">
      <c r="N7242" t="s">
        <v>732</v>
      </c>
    </row>
    <row r="7243" spans="14:14" ht="15" customHeight="1" x14ac:dyDescent="0.25">
      <c r="N7243" t="s">
        <v>669</v>
      </c>
    </row>
    <row r="7244" spans="14:14" ht="15" customHeight="1" x14ac:dyDescent="0.25">
      <c r="N7244" t="s">
        <v>669</v>
      </c>
    </row>
    <row r="7245" spans="14:14" ht="15" customHeight="1" x14ac:dyDescent="0.25">
      <c r="N7245" t="s">
        <v>669</v>
      </c>
    </row>
    <row r="7246" spans="14:14" ht="15" customHeight="1" x14ac:dyDescent="0.25">
      <c r="N7246" t="s">
        <v>669</v>
      </c>
    </row>
    <row r="7247" spans="14:14" ht="15" customHeight="1" x14ac:dyDescent="0.25">
      <c r="N7247" t="s">
        <v>670</v>
      </c>
    </row>
    <row r="7248" spans="14:14" ht="15" customHeight="1" x14ac:dyDescent="0.25">
      <c r="N7248" t="s">
        <v>669</v>
      </c>
    </row>
    <row r="7249" spans="14:14" ht="15" customHeight="1" x14ac:dyDescent="0.25">
      <c r="N7249" t="s">
        <v>669</v>
      </c>
    </row>
    <row r="7250" spans="14:14" ht="15" customHeight="1" x14ac:dyDescent="0.25">
      <c r="N7250" t="s">
        <v>669</v>
      </c>
    </row>
    <row r="7251" spans="14:14" ht="15" customHeight="1" x14ac:dyDescent="0.25">
      <c r="N7251" t="s">
        <v>669</v>
      </c>
    </row>
    <row r="7252" spans="14:14" ht="15" customHeight="1" x14ac:dyDescent="0.25">
      <c r="N7252" t="s">
        <v>686</v>
      </c>
    </row>
    <row r="7253" spans="14:14" ht="15" customHeight="1" x14ac:dyDescent="0.25">
      <c r="N7253" t="s">
        <v>670</v>
      </c>
    </row>
    <row r="7254" spans="14:14" ht="15" customHeight="1" x14ac:dyDescent="0.25">
      <c r="N7254" t="s">
        <v>370</v>
      </c>
    </row>
    <row r="7255" spans="14:14" ht="15" customHeight="1" x14ac:dyDescent="0.25">
      <c r="N7255" t="s">
        <v>304</v>
      </c>
    </row>
    <row r="7256" spans="14:14" ht="15" customHeight="1" x14ac:dyDescent="0.25">
      <c r="N7256" t="s">
        <v>669</v>
      </c>
    </row>
    <row r="7257" spans="14:14" ht="15" customHeight="1" x14ac:dyDescent="0.25">
      <c r="N7257" t="s">
        <v>582</v>
      </c>
    </row>
    <row r="7258" spans="14:14" ht="15" customHeight="1" x14ac:dyDescent="0.25">
      <c r="N7258" t="s">
        <v>715</v>
      </c>
    </row>
    <row r="7259" spans="14:14" ht="15" customHeight="1" x14ac:dyDescent="0.25">
      <c r="N7259" t="s">
        <v>714</v>
      </c>
    </row>
    <row r="7260" spans="14:14" ht="15" customHeight="1" x14ac:dyDescent="0.25">
      <c r="N7260" t="s">
        <v>714</v>
      </c>
    </row>
    <row r="7261" spans="14:14" ht="15" customHeight="1" x14ac:dyDescent="0.25">
      <c r="N7261" t="s">
        <v>714</v>
      </c>
    </row>
    <row r="7262" spans="14:14" ht="15" customHeight="1" x14ac:dyDescent="0.25">
      <c r="N7262" t="s">
        <v>714</v>
      </c>
    </row>
    <row r="7263" spans="14:14" ht="15" customHeight="1" x14ac:dyDescent="0.25">
      <c r="N7263" t="s">
        <v>714</v>
      </c>
    </row>
    <row r="7264" spans="14:14" ht="15" customHeight="1" x14ac:dyDescent="0.25">
      <c r="N7264" t="s">
        <v>714</v>
      </c>
    </row>
    <row r="7265" spans="14:14" ht="15" customHeight="1" x14ac:dyDescent="0.25">
      <c r="N7265" t="s">
        <v>714</v>
      </c>
    </row>
    <row r="7266" spans="14:14" ht="15" customHeight="1" x14ac:dyDescent="0.25">
      <c r="N7266" t="s">
        <v>714</v>
      </c>
    </row>
    <row r="7267" spans="14:14" ht="15" customHeight="1" x14ac:dyDescent="0.25">
      <c r="N7267" t="s">
        <v>690</v>
      </c>
    </row>
    <row r="7268" spans="14:14" ht="15" customHeight="1" x14ac:dyDescent="0.25">
      <c r="N7268" t="s">
        <v>605</v>
      </c>
    </row>
    <row r="7269" spans="14:14" ht="15" customHeight="1" x14ac:dyDescent="0.25">
      <c r="N7269" t="s">
        <v>732</v>
      </c>
    </row>
    <row r="7270" spans="14:14" ht="15" customHeight="1" x14ac:dyDescent="0.25">
      <c r="N7270" t="s">
        <v>732</v>
      </c>
    </row>
    <row r="7271" spans="14:14" ht="15" customHeight="1" x14ac:dyDescent="0.25">
      <c r="N7271" t="s">
        <v>732</v>
      </c>
    </row>
    <row r="7272" spans="14:14" ht="15" customHeight="1" x14ac:dyDescent="0.25">
      <c r="N7272" t="s">
        <v>732</v>
      </c>
    </row>
    <row r="7273" spans="14:14" ht="15" customHeight="1" x14ac:dyDescent="0.25">
      <c r="N7273" t="s">
        <v>732</v>
      </c>
    </row>
    <row r="7274" spans="14:14" ht="15" customHeight="1" x14ac:dyDescent="0.25">
      <c r="N7274" t="s">
        <v>732</v>
      </c>
    </row>
    <row r="7275" spans="14:14" ht="15" customHeight="1" x14ac:dyDescent="0.25">
      <c r="N7275" t="s">
        <v>732</v>
      </c>
    </row>
    <row r="7276" spans="14:14" ht="15" customHeight="1" x14ac:dyDescent="0.25">
      <c r="N7276" t="s">
        <v>732</v>
      </c>
    </row>
    <row r="7277" spans="14:14" ht="15" customHeight="1" x14ac:dyDescent="0.25">
      <c r="N7277" t="s">
        <v>732</v>
      </c>
    </row>
    <row r="7278" spans="14:14" ht="15" customHeight="1" x14ac:dyDescent="0.25">
      <c r="N7278" t="s">
        <v>732</v>
      </c>
    </row>
    <row r="7279" spans="14:14" ht="15" customHeight="1" x14ac:dyDescent="0.25">
      <c r="N7279" t="s">
        <v>732</v>
      </c>
    </row>
    <row r="7280" spans="14:14" ht="15" customHeight="1" x14ac:dyDescent="0.25">
      <c r="N7280" t="s">
        <v>732</v>
      </c>
    </row>
    <row r="7281" spans="14:14" ht="15" customHeight="1" x14ac:dyDescent="0.25">
      <c r="N7281" t="s">
        <v>732</v>
      </c>
    </row>
    <row r="7282" spans="14:14" ht="15" customHeight="1" x14ac:dyDescent="0.25">
      <c r="N7282" t="s">
        <v>714</v>
      </c>
    </row>
    <row r="7283" spans="14:14" ht="15" customHeight="1" x14ac:dyDescent="0.25">
      <c r="N7283" t="s">
        <v>304</v>
      </c>
    </row>
    <row r="7284" spans="14:14" ht="15" customHeight="1" x14ac:dyDescent="0.25">
      <c r="N7284" t="s">
        <v>642</v>
      </c>
    </row>
    <row r="7285" spans="14:14" ht="15" customHeight="1" x14ac:dyDescent="0.25">
      <c r="N7285" t="s">
        <v>642</v>
      </c>
    </row>
    <row r="7286" spans="14:14" ht="15" customHeight="1" x14ac:dyDescent="0.25">
      <c r="N7286" t="s">
        <v>642</v>
      </c>
    </row>
    <row r="7287" spans="14:14" ht="15" customHeight="1" x14ac:dyDescent="0.25">
      <c r="N7287" t="s">
        <v>642</v>
      </c>
    </row>
    <row r="7288" spans="14:14" ht="15" customHeight="1" x14ac:dyDescent="0.25">
      <c r="N7288" t="s">
        <v>642</v>
      </c>
    </row>
    <row r="7289" spans="14:14" ht="15" customHeight="1" x14ac:dyDescent="0.25">
      <c r="N7289" t="s">
        <v>642</v>
      </c>
    </row>
    <row r="7290" spans="14:14" ht="15" customHeight="1" x14ac:dyDescent="0.25">
      <c r="N7290" t="s">
        <v>642</v>
      </c>
    </row>
    <row r="7291" spans="14:14" ht="15" customHeight="1" x14ac:dyDescent="0.25">
      <c r="N7291" t="s">
        <v>714</v>
      </c>
    </row>
    <row r="7292" spans="14:14" ht="15" customHeight="1" x14ac:dyDescent="0.25">
      <c r="N7292" t="s">
        <v>582</v>
      </c>
    </row>
    <row r="7293" spans="14:14" ht="15" customHeight="1" x14ac:dyDescent="0.25">
      <c r="N7293" t="s">
        <v>582</v>
      </c>
    </row>
    <row r="7294" spans="14:14" ht="15" customHeight="1" x14ac:dyDescent="0.25">
      <c r="N7294" t="s">
        <v>582</v>
      </c>
    </row>
    <row r="7295" spans="14:14" ht="15" customHeight="1" x14ac:dyDescent="0.25">
      <c r="N7295" t="s">
        <v>582</v>
      </c>
    </row>
    <row r="7296" spans="14:14" ht="15" customHeight="1" x14ac:dyDescent="0.25">
      <c r="N7296" t="s">
        <v>582</v>
      </c>
    </row>
    <row r="7297" spans="14:14" ht="15" customHeight="1" x14ac:dyDescent="0.25">
      <c r="N7297" t="s">
        <v>582</v>
      </c>
    </row>
    <row r="7298" spans="14:14" ht="15" customHeight="1" x14ac:dyDescent="0.25">
      <c r="N7298" t="s">
        <v>582</v>
      </c>
    </row>
    <row r="7299" spans="14:14" ht="15" customHeight="1" x14ac:dyDescent="0.25">
      <c r="N7299" t="s">
        <v>684</v>
      </c>
    </row>
    <row r="7300" spans="14:14" ht="15" customHeight="1" x14ac:dyDescent="0.25">
      <c r="N7300" t="s">
        <v>714</v>
      </c>
    </row>
    <row r="7301" spans="14:14" ht="15" customHeight="1" x14ac:dyDescent="0.25">
      <c r="N7301" t="s">
        <v>687</v>
      </c>
    </row>
    <row r="7302" spans="14:14" ht="15" customHeight="1" x14ac:dyDescent="0.25">
      <c r="N7302" t="s">
        <v>638</v>
      </c>
    </row>
    <row r="7303" spans="14:14" ht="15" customHeight="1" x14ac:dyDescent="0.25">
      <c r="N7303" t="s">
        <v>642</v>
      </c>
    </row>
    <row r="7304" spans="14:14" ht="15" customHeight="1" x14ac:dyDescent="0.25">
      <c r="N7304" t="s">
        <v>714</v>
      </c>
    </row>
    <row r="7305" spans="14:14" ht="15" customHeight="1" x14ac:dyDescent="0.25">
      <c r="N7305" t="s">
        <v>638</v>
      </c>
    </row>
    <row r="7306" spans="14:14" ht="15" customHeight="1" x14ac:dyDescent="0.25">
      <c r="N7306" t="s">
        <v>714</v>
      </c>
    </row>
    <row r="7307" spans="14:14" ht="15" customHeight="1" x14ac:dyDescent="0.25">
      <c r="N7307" t="s">
        <v>638</v>
      </c>
    </row>
    <row r="7308" spans="14:14" ht="15" customHeight="1" x14ac:dyDescent="0.25">
      <c r="N7308" t="s">
        <v>689</v>
      </c>
    </row>
    <row r="7309" spans="14:14" ht="15" customHeight="1" x14ac:dyDescent="0.25">
      <c r="N7309" t="s">
        <v>68</v>
      </c>
    </row>
    <row r="7310" spans="14:14" ht="15" customHeight="1" x14ac:dyDescent="0.25">
      <c r="N7310" t="s">
        <v>68</v>
      </c>
    </row>
    <row r="7311" spans="14:14" ht="15" customHeight="1" x14ac:dyDescent="0.25">
      <c r="N7311" t="s">
        <v>68</v>
      </c>
    </row>
    <row r="7312" spans="14:14" ht="15" customHeight="1" x14ac:dyDescent="0.25">
      <c r="N7312" t="s">
        <v>68</v>
      </c>
    </row>
    <row r="7313" spans="14:14" ht="15" customHeight="1" x14ac:dyDescent="0.25">
      <c r="N7313" t="s">
        <v>68</v>
      </c>
    </row>
    <row r="7314" spans="14:14" ht="15" customHeight="1" x14ac:dyDescent="0.25">
      <c r="N7314" t="s">
        <v>68</v>
      </c>
    </row>
    <row r="7315" spans="14:14" ht="15" customHeight="1" x14ac:dyDescent="0.25">
      <c r="N7315" t="s">
        <v>68</v>
      </c>
    </row>
    <row r="7316" spans="14:14" ht="15" customHeight="1" x14ac:dyDescent="0.25">
      <c r="N7316" t="s">
        <v>675</v>
      </c>
    </row>
    <row r="7317" spans="14:14" ht="15" customHeight="1" x14ac:dyDescent="0.25">
      <c r="N7317" t="s">
        <v>675</v>
      </c>
    </row>
    <row r="7318" spans="14:14" ht="15" customHeight="1" x14ac:dyDescent="0.25">
      <c r="N7318" t="s">
        <v>675</v>
      </c>
    </row>
    <row r="7319" spans="14:14" ht="15" customHeight="1" x14ac:dyDescent="0.25">
      <c r="N7319" t="s">
        <v>675</v>
      </c>
    </row>
    <row r="7320" spans="14:14" ht="15" customHeight="1" x14ac:dyDescent="0.25">
      <c r="N7320" t="s">
        <v>675</v>
      </c>
    </row>
    <row r="7321" spans="14:14" ht="15" customHeight="1" x14ac:dyDescent="0.25">
      <c r="N7321" t="s">
        <v>675</v>
      </c>
    </row>
    <row r="7322" spans="14:14" ht="15" customHeight="1" x14ac:dyDescent="0.25">
      <c r="N7322" t="s">
        <v>675</v>
      </c>
    </row>
    <row r="7323" spans="14:14" ht="15" customHeight="1" x14ac:dyDescent="0.25">
      <c r="N7323" t="s">
        <v>675</v>
      </c>
    </row>
    <row r="7324" spans="14:14" ht="15" customHeight="1" x14ac:dyDescent="0.25">
      <c r="N7324" t="s">
        <v>706</v>
      </c>
    </row>
    <row r="7325" spans="14:14" ht="15" customHeight="1" x14ac:dyDescent="0.25">
      <c r="N7325" t="s">
        <v>706</v>
      </c>
    </row>
    <row r="7326" spans="14:14" ht="15" customHeight="1" x14ac:dyDescent="0.25">
      <c r="N7326" t="s">
        <v>706</v>
      </c>
    </row>
    <row r="7327" spans="14:14" ht="15" customHeight="1" x14ac:dyDescent="0.25">
      <c r="N7327" t="s">
        <v>706</v>
      </c>
    </row>
    <row r="7328" spans="14:14" ht="15" customHeight="1" x14ac:dyDescent="0.25">
      <c r="N7328" t="s">
        <v>706</v>
      </c>
    </row>
    <row r="7329" spans="14:14" ht="15" customHeight="1" x14ac:dyDescent="0.25">
      <c r="N7329" t="s">
        <v>706</v>
      </c>
    </row>
    <row r="7330" spans="14:14" ht="15" customHeight="1" x14ac:dyDescent="0.25">
      <c r="N7330" t="s">
        <v>706</v>
      </c>
    </row>
    <row r="7331" spans="14:14" ht="15" customHeight="1" x14ac:dyDescent="0.25">
      <c r="N7331" t="s">
        <v>706</v>
      </c>
    </row>
    <row r="7332" spans="14:14" ht="15" customHeight="1" x14ac:dyDescent="0.25">
      <c r="N7332" t="s">
        <v>706</v>
      </c>
    </row>
    <row r="7333" spans="14:14" ht="15" customHeight="1" x14ac:dyDescent="0.25">
      <c r="N7333" t="s">
        <v>706</v>
      </c>
    </row>
    <row r="7334" spans="14:14" ht="15" customHeight="1" x14ac:dyDescent="0.25">
      <c r="N7334" t="s">
        <v>706</v>
      </c>
    </row>
    <row r="7335" spans="14:14" ht="15" customHeight="1" x14ac:dyDescent="0.25">
      <c r="N7335" t="s">
        <v>706</v>
      </c>
    </row>
    <row r="7336" spans="14:14" ht="15" customHeight="1" x14ac:dyDescent="0.25">
      <c r="N7336" t="s">
        <v>706</v>
      </c>
    </row>
    <row r="7337" spans="14:14" ht="15" customHeight="1" x14ac:dyDescent="0.25">
      <c r="N7337" t="s">
        <v>582</v>
      </c>
    </row>
    <row r="7338" spans="14:14" ht="15" customHeight="1" x14ac:dyDescent="0.25">
      <c r="N7338" t="s">
        <v>68</v>
      </c>
    </row>
    <row r="7339" spans="14:14" ht="15" customHeight="1" x14ac:dyDescent="0.25">
      <c r="N7339" t="s">
        <v>622</v>
      </c>
    </row>
    <row r="7340" spans="14:14" ht="15" customHeight="1" x14ac:dyDescent="0.25">
      <c r="N7340" t="s">
        <v>68</v>
      </c>
    </row>
    <row r="7341" spans="14:14" ht="15" customHeight="1" x14ac:dyDescent="0.25">
      <c r="N7341" t="s">
        <v>68</v>
      </c>
    </row>
    <row r="7342" spans="14:14" ht="15" customHeight="1" x14ac:dyDescent="0.25">
      <c r="N7342" t="s">
        <v>68</v>
      </c>
    </row>
    <row r="7343" spans="14:14" ht="15" customHeight="1" x14ac:dyDescent="0.25">
      <c r="N7343" t="s">
        <v>68</v>
      </c>
    </row>
    <row r="7344" spans="14:14" ht="15" customHeight="1" x14ac:dyDescent="0.25">
      <c r="N7344" t="s">
        <v>68</v>
      </c>
    </row>
    <row r="7345" spans="14:14" ht="15" customHeight="1" x14ac:dyDescent="0.25">
      <c r="N7345" t="s">
        <v>68</v>
      </c>
    </row>
    <row r="7346" spans="14:14" ht="15" customHeight="1" x14ac:dyDescent="0.25">
      <c r="N7346" t="s">
        <v>68</v>
      </c>
    </row>
    <row r="7347" spans="14:14" ht="15" customHeight="1" x14ac:dyDescent="0.25">
      <c r="N7347" t="s">
        <v>736</v>
      </c>
    </row>
    <row r="7348" spans="14:14" ht="15" customHeight="1" x14ac:dyDescent="0.25">
      <c r="N7348" t="s">
        <v>749</v>
      </c>
    </row>
    <row r="7349" spans="14:14" ht="15" customHeight="1" x14ac:dyDescent="0.25">
      <c r="N7349" t="s">
        <v>749</v>
      </c>
    </row>
    <row r="7350" spans="14:14" ht="15" customHeight="1" x14ac:dyDescent="0.25">
      <c r="N7350" t="s">
        <v>749</v>
      </c>
    </row>
    <row r="7351" spans="14:14" ht="15" customHeight="1" x14ac:dyDescent="0.25">
      <c r="N7351" t="s">
        <v>749</v>
      </c>
    </row>
    <row r="7352" spans="14:14" ht="15" customHeight="1" x14ac:dyDescent="0.25">
      <c r="N7352" t="s">
        <v>749</v>
      </c>
    </row>
    <row r="7353" spans="14:14" ht="15" customHeight="1" x14ac:dyDescent="0.25">
      <c r="N7353" t="s">
        <v>749</v>
      </c>
    </row>
    <row r="7354" spans="14:14" ht="15" customHeight="1" x14ac:dyDescent="0.25">
      <c r="N7354" t="s">
        <v>749</v>
      </c>
    </row>
    <row r="7355" spans="14:14" ht="15" customHeight="1" x14ac:dyDescent="0.25">
      <c r="N7355" t="s">
        <v>749</v>
      </c>
    </row>
    <row r="7356" spans="14:14" ht="15" customHeight="1" x14ac:dyDescent="0.25">
      <c r="N7356" t="s">
        <v>749</v>
      </c>
    </row>
    <row r="7357" spans="14:14" ht="15" customHeight="1" x14ac:dyDescent="0.25">
      <c r="N7357" t="s">
        <v>749</v>
      </c>
    </row>
    <row r="7358" spans="14:14" ht="15" customHeight="1" x14ac:dyDescent="0.25">
      <c r="N7358" t="s">
        <v>749</v>
      </c>
    </row>
    <row r="7359" spans="14:14" ht="15" customHeight="1" x14ac:dyDescent="0.25">
      <c r="N7359" t="s">
        <v>749</v>
      </c>
    </row>
    <row r="7360" spans="14:14" ht="15" customHeight="1" x14ac:dyDescent="0.25">
      <c r="N7360" t="s">
        <v>749</v>
      </c>
    </row>
    <row r="7361" spans="14:14" ht="15" customHeight="1" x14ac:dyDescent="0.25">
      <c r="N7361" t="s">
        <v>749</v>
      </c>
    </row>
    <row r="7362" spans="14:14" ht="15" customHeight="1" x14ac:dyDescent="0.25">
      <c r="N7362" t="s">
        <v>749</v>
      </c>
    </row>
    <row r="7363" spans="14:14" ht="15" customHeight="1" x14ac:dyDescent="0.25">
      <c r="N7363" t="s">
        <v>749</v>
      </c>
    </row>
    <row r="7364" spans="14:14" ht="15" customHeight="1" x14ac:dyDescent="0.25">
      <c r="N7364" t="s">
        <v>749</v>
      </c>
    </row>
    <row r="7365" spans="14:14" ht="15" customHeight="1" x14ac:dyDescent="0.25">
      <c r="N7365" t="s">
        <v>749</v>
      </c>
    </row>
    <row r="7366" spans="14:14" ht="15" customHeight="1" x14ac:dyDescent="0.25">
      <c r="N7366" t="s">
        <v>749</v>
      </c>
    </row>
    <row r="7367" spans="14:14" ht="15" customHeight="1" x14ac:dyDescent="0.25">
      <c r="N7367" t="s">
        <v>749</v>
      </c>
    </row>
    <row r="7368" spans="14:14" ht="15" customHeight="1" x14ac:dyDescent="0.25">
      <c r="N7368" t="s">
        <v>749</v>
      </c>
    </row>
    <row r="7369" spans="14:14" ht="15" customHeight="1" x14ac:dyDescent="0.25">
      <c r="N7369" t="s">
        <v>749</v>
      </c>
    </row>
    <row r="7370" spans="14:14" ht="15" customHeight="1" x14ac:dyDescent="0.25">
      <c r="N7370" t="s">
        <v>749</v>
      </c>
    </row>
    <row r="7371" spans="14:14" ht="15" customHeight="1" x14ac:dyDescent="0.25">
      <c r="N7371" t="s">
        <v>749</v>
      </c>
    </row>
    <row r="7372" spans="14:14" ht="15" customHeight="1" x14ac:dyDescent="0.25">
      <c r="N7372" t="s">
        <v>749</v>
      </c>
    </row>
    <row r="7373" spans="14:14" ht="15" customHeight="1" x14ac:dyDescent="0.25">
      <c r="N7373" t="s">
        <v>749</v>
      </c>
    </row>
    <row r="7374" spans="14:14" ht="15" customHeight="1" x14ac:dyDescent="0.25">
      <c r="N7374" t="s">
        <v>732</v>
      </c>
    </row>
    <row r="7375" spans="14:14" ht="15" customHeight="1" x14ac:dyDescent="0.25">
      <c r="N7375" t="s">
        <v>496</v>
      </c>
    </row>
    <row r="7376" spans="14:14" ht="15" customHeight="1" x14ac:dyDescent="0.25">
      <c r="N7376" t="s">
        <v>706</v>
      </c>
    </row>
    <row r="7377" spans="14:14" ht="15" customHeight="1" x14ac:dyDescent="0.25">
      <c r="N7377" t="s">
        <v>706</v>
      </c>
    </row>
    <row r="7378" spans="14:14" ht="15" customHeight="1" x14ac:dyDescent="0.25">
      <c r="N7378" t="s">
        <v>706</v>
      </c>
    </row>
    <row r="7379" spans="14:14" ht="15" customHeight="1" x14ac:dyDescent="0.25">
      <c r="N7379" t="s">
        <v>706</v>
      </c>
    </row>
    <row r="7380" spans="14:14" ht="15" customHeight="1" x14ac:dyDescent="0.25">
      <c r="N7380" t="s">
        <v>706</v>
      </c>
    </row>
    <row r="7381" spans="14:14" ht="15" customHeight="1" x14ac:dyDescent="0.25">
      <c r="N7381" t="s">
        <v>706</v>
      </c>
    </row>
    <row r="7382" spans="14:14" ht="15" customHeight="1" x14ac:dyDescent="0.25">
      <c r="N7382" t="s">
        <v>706</v>
      </c>
    </row>
    <row r="7383" spans="14:14" ht="15" customHeight="1" x14ac:dyDescent="0.25">
      <c r="N7383" t="s">
        <v>706</v>
      </c>
    </row>
    <row r="7384" spans="14:14" ht="15" customHeight="1" x14ac:dyDescent="0.25">
      <c r="N7384" t="s">
        <v>706</v>
      </c>
    </row>
    <row r="7385" spans="14:14" ht="15" customHeight="1" x14ac:dyDescent="0.25">
      <c r="N7385" t="s">
        <v>706</v>
      </c>
    </row>
    <row r="7386" spans="14:14" ht="15" customHeight="1" x14ac:dyDescent="0.25">
      <c r="N7386" t="s">
        <v>706</v>
      </c>
    </row>
    <row r="7387" spans="14:14" ht="15" customHeight="1" x14ac:dyDescent="0.25">
      <c r="N7387" t="s">
        <v>706</v>
      </c>
    </row>
    <row r="7388" spans="14:14" ht="15" customHeight="1" x14ac:dyDescent="0.25">
      <c r="N7388" t="s">
        <v>706</v>
      </c>
    </row>
    <row r="7389" spans="14:14" ht="15" customHeight="1" x14ac:dyDescent="0.25">
      <c r="N7389" t="s">
        <v>582</v>
      </c>
    </row>
    <row r="7390" spans="14:14" ht="15" customHeight="1" x14ac:dyDescent="0.25">
      <c r="N7390" t="s">
        <v>715</v>
      </c>
    </row>
    <row r="7391" spans="14:14" ht="15" customHeight="1" x14ac:dyDescent="0.25">
      <c r="N7391" t="s">
        <v>715</v>
      </c>
    </row>
    <row r="7392" spans="14:14" ht="15" customHeight="1" x14ac:dyDescent="0.25">
      <c r="N7392" t="s">
        <v>715</v>
      </c>
    </row>
    <row r="7393" spans="14:14" ht="15" customHeight="1" x14ac:dyDescent="0.25">
      <c r="N7393" t="s">
        <v>715</v>
      </c>
    </row>
    <row r="7394" spans="14:14" ht="15" customHeight="1" x14ac:dyDescent="0.25">
      <c r="N7394" t="s">
        <v>750</v>
      </c>
    </row>
    <row r="7395" spans="14:14" ht="15" customHeight="1" x14ac:dyDescent="0.25">
      <c r="N7395" t="s">
        <v>750</v>
      </c>
    </row>
    <row r="7396" spans="14:14" ht="15" customHeight="1" x14ac:dyDescent="0.25">
      <c r="N7396" t="s">
        <v>750</v>
      </c>
    </row>
    <row r="7397" spans="14:14" ht="15" customHeight="1" x14ac:dyDescent="0.25">
      <c r="N7397" t="s">
        <v>750</v>
      </c>
    </row>
    <row r="7398" spans="14:14" ht="15" customHeight="1" x14ac:dyDescent="0.25">
      <c r="N7398" t="s">
        <v>750</v>
      </c>
    </row>
    <row r="7399" spans="14:14" ht="15" customHeight="1" x14ac:dyDescent="0.25">
      <c r="N7399" t="s">
        <v>750</v>
      </c>
    </row>
    <row r="7400" spans="14:14" ht="15" customHeight="1" x14ac:dyDescent="0.25">
      <c r="N7400" t="s">
        <v>750</v>
      </c>
    </row>
    <row r="7401" spans="14:14" ht="15" customHeight="1" x14ac:dyDescent="0.25">
      <c r="N7401" t="s">
        <v>750</v>
      </c>
    </row>
    <row r="7402" spans="14:14" ht="15" customHeight="1" x14ac:dyDescent="0.25">
      <c r="N7402" t="s">
        <v>750</v>
      </c>
    </row>
    <row r="7403" spans="14:14" ht="15" customHeight="1" x14ac:dyDescent="0.25">
      <c r="N7403" t="s">
        <v>750</v>
      </c>
    </row>
    <row r="7404" spans="14:14" ht="15" customHeight="1" x14ac:dyDescent="0.25">
      <c r="N7404" t="s">
        <v>750</v>
      </c>
    </row>
    <row r="7405" spans="14:14" ht="15" customHeight="1" x14ac:dyDescent="0.25">
      <c r="N7405" t="s">
        <v>750</v>
      </c>
    </row>
    <row r="7406" spans="14:14" ht="15" customHeight="1" x14ac:dyDescent="0.25">
      <c r="N7406" t="s">
        <v>750</v>
      </c>
    </row>
    <row r="7407" spans="14:14" ht="15" customHeight="1" x14ac:dyDescent="0.25">
      <c r="N7407" t="s">
        <v>750</v>
      </c>
    </row>
    <row r="7408" spans="14:14" ht="15" customHeight="1" x14ac:dyDescent="0.25">
      <c r="N7408" t="s">
        <v>750</v>
      </c>
    </row>
    <row r="7409" spans="14:14" ht="15" customHeight="1" x14ac:dyDescent="0.25">
      <c r="N7409" t="s">
        <v>750</v>
      </c>
    </row>
    <row r="7410" spans="14:14" ht="15" customHeight="1" x14ac:dyDescent="0.25">
      <c r="N7410" t="s">
        <v>750</v>
      </c>
    </row>
    <row r="7411" spans="14:14" ht="15" customHeight="1" x14ac:dyDescent="0.25">
      <c r="N7411" t="s">
        <v>750</v>
      </c>
    </row>
    <row r="7412" spans="14:14" ht="15" customHeight="1" x14ac:dyDescent="0.25">
      <c r="N7412" t="s">
        <v>750</v>
      </c>
    </row>
    <row r="7413" spans="14:14" ht="15" customHeight="1" x14ac:dyDescent="0.25">
      <c r="N7413" t="s">
        <v>750</v>
      </c>
    </row>
    <row r="7414" spans="14:14" ht="15" customHeight="1" x14ac:dyDescent="0.25">
      <c r="N7414" t="s">
        <v>750</v>
      </c>
    </row>
    <row r="7415" spans="14:14" ht="15" customHeight="1" x14ac:dyDescent="0.25">
      <c r="N7415" t="s">
        <v>750</v>
      </c>
    </row>
    <row r="7416" spans="14:14" ht="15" customHeight="1" x14ac:dyDescent="0.25">
      <c r="N7416" t="s">
        <v>750</v>
      </c>
    </row>
    <row r="7417" spans="14:14" ht="15" customHeight="1" x14ac:dyDescent="0.25">
      <c r="N7417" t="s">
        <v>750</v>
      </c>
    </row>
    <row r="7418" spans="14:14" ht="15" customHeight="1" x14ac:dyDescent="0.25">
      <c r="N7418" t="s">
        <v>750</v>
      </c>
    </row>
    <row r="7419" spans="14:14" ht="15" customHeight="1" x14ac:dyDescent="0.25">
      <c r="N7419" t="s">
        <v>750</v>
      </c>
    </row>
    <row r="7420" spans="14:14" ht="15" customHeight="1" x14ac:dyDescent="0.25">
      <c r="N7420" t="s">
        <v>689</v>
      </c>
    </row>
    <row r="7421" spans="14:14" ht="15" customHeight="1" x14ac:dyDescent="0.25">
      <c r="N7421" t="s">
        <v>715</v>
      </c>
    </row>
    <row r="7422" spans="14:14" ht="15" customHeight="1" x14ac:dyDescent="0.25">
      <c r="N7422" t="s">
        <v>715</v>
      </c>
    </row>
    <row r="7423" spans="14:14" ht="15" customHeight="1" x14ac:dyDescent="0.25">
      <c r="N7423" t="s">
        <v>715</v>
      </c>
    </row>
    <row r="7424" spans="14:14" ht="15" customHeight="1" x14ac:dyDescent="0.25">
      <c r="N7424" t="s">
        <v>715</v>
      </c>
    </row>
    <row r="7425" spans="14:14" ht="15" customHeight="1" x14ac:dyDescent="0.25">
      <c r="N7425" t="s">
        <v>751</v>
      </c>
    </row>
    <row r="7426" spans="14:14" ht="15" customHeight="1" x14ac:dyDescent="0.25">
      <c r="N7426" t="s">
        <v>751</v>
      </c>
    </row>
    <row r="7427" spans="14:14" ht="15" customHeight="1" x14ac:dyDescent="0.25">
      <c r="N7427" t="s">
        <v>751</v>
      </c>
    </row>
    <row r="7428" spans="14:14" ht="15" customHeight="1" x14ac:dyDescent="0.25">
      <c r="N7428" t="s">
        <v>751</v>
      </c>
    </row>
    <row r="7429" spans="14:14" ht="15" customHeight="1" x14ac:dyDescent="0.25">
      <c r="N7429" t="s">
        <v>751</v>
      </c>
    </row>
    <row r="7430" spans="14:14" ht="15" customHeight="1" x14ac:dyDescent="0.25">
      <c r="N7430" t="s">
        <v>751</v>
      </c>
    </row>
    <row r="7431" spans="14:14" ht="15" customHeight="1" x14ac:dyDescent="0.25">
      <c r="N7431" t="s">
        <v>751</v>
      </c>
    </row>
    <row r="7432" spans="14:14" ht="15" customHeight="1" x14ac:dyDescent="0.25">
      <c r="N7432" t="s">
        <v>751</v>
      </c>
    </row>
    <row r="7433" spans="14:14" ht="15" customHeight="1" x14ac:dyDescent="0.25">
      <c r="N7433" t="s">
        <v>751</v>
      </c>
    </row>
    <row r="7434" spans="14:14" ht="15" customHeight="1" x14ac:dyDescent="0.25">
      <c r="N7434" t="s">
        <v>751</v>
      </c>
    </row>
    <row r="7435" spans="14:14" ht="15" customHeight="1" x14ac:dyDescent="0.25">
      <c r="N7435" t="s">
        <v>751</v>
      </c>
    </row>
    <row r="7436" spans="14:14" ht="15" customHeight="1" x14ac:dyDescent="0.25">
      <c r="N7436" t="s">
        <v>751</v>
      </c>
    </row>
    <row r="7437" spans="14:14" ht="15" customHeight="1" x14ac:dyDescent="0.25">
      <c r="N7437" t="s">
        <v>751</v>
      </c>
    </row>
    <row r="7438" spans="14:14" ht="15" customHeight="1" x14ac:dyDescent="0.25">
      <c r="N7438" t="s">
        <v>751</v>
      </c>
    </row>
    <row r="7439" spans="14:14" ht="15" customHeight="1" x14ac:dyDescent="0.25">
      <c r="N7439" t="s">
        <v>751</v>
      </c>
    </row>
    <row r="7440" spans="14:14" ht="15" customHeight="1" x14ac:dyDescent="0.25">
      <c r="N7440" t="s">
        <v>751</v>
      </c>
    </row>
    <row r="7441" spans="14:14" ht="15" customHeight="1" x14ac:dyDescent="0.25">
      <c r="N7441" t="s">
        <v>751</v>
      </c>
    </row>
    <row r="7442" spans="14:14" ht="15" customHeight="1" x14ac:dyDescent="0.25">
      <c r="N7442" t="s">
        <v>751</v>
      </c>
    </row>
    <row r="7443" spans="14:14" ht="15" customHeight="1" x14ac:dyDescent="0.25">
      <c r="N7443" t="s">
        <v>751</v>
      </c>
    </row>
    <row r="7444" spans="14:14" ht="15" customHeight="1" x14ac:dyDescent="0.25">
      <c r="N7444" t="s">
        <v>751</v>
      </c>
    </row>
    <row r="7445" spans="14:14" ht="15" customHeight="1" x14ac:dyDescent="0.25">
      <c r="N7445" t="s">
        <v>751</v>
      </c>
    </row>
    <row r="7446" spans="14:14" ht="15" customHeight="1" x14ac:dyDescent="0.25">
      <c r="N7446" t="s">
        <v>751</v>
      </c>
    </row>
    <row r="7447" spans="14:14" ht="15" customHeight="1" x14ac:dyDescent="0.25">
      <c r="N7447" t="s">
        <v>751</v>
      </c>
    </row>
    <row r="7448" spans="14:14" ht="15" customHeight="1" x14ac:dyDescent="0.25">
      <c r="N7448" t="s">
        <v>751</v>
      </c>
    </row>
    <row r="7449" spans="14:14" ht="15" customHeight="1" x14ac:dyDescent="0.25">
      <c r="N7449" t="s">
        <v>751</v>
      </c>
    </row>
    <row r="7450" spans="14:14" ht="15" customHeight="1" x14ac:dyDescent="0.25">
      <c r="N7450" t="s">
        <v>751</v>
      </c>
    </row>
    <row r="7451" spans="14:14" ht="15" customHeight="1" x14ac:dyDescent="0.25">
      <c r="N7451" t="s">
        <v>68</v>
      </c>
    </row>
    <row r="7452" spans="14:14" ht="15" customHeight="1" x14ac:dyDescent="0.25">
      <c r="N7452" t="s">
        <v>675</v>
      </c>
    </row>
    <row r="7453" spans="14:14" ht="15" customHeight="1" x14ac:dyDescent="0.25">
      <c r="N7453" t="s">
        <v>675</v>
      </c>
    </row>
    <row r="7454" spans="14:14" ht="15" customHeight="1" x14ac:dyDescent="0.25">
      <c r="N7454" t="s">
        <v>675</v>
      </c>
    </row>
    <row r="7455" spans="14:14" ht="15" customHeight="1" x14ac:dyDescent="0.25">
      <c r="N7455" t="s">
        <v>675</v>
      </c>
    </row>
    <row r="7456" spans="14:14" ht="15" customHeight="1" x14ac:dyDescent="0.25">
      <c r="N7456" t="s">
        <v>675</v>
      </c>
    </row>
    <row r="7457" spans="14:14" ht="15" customHeight="1" x14ac:dyDescent="0.25">
      <c r="N7457" t="s">
        <v>675</v>
      </c>
    </row>
    <row r="7458" spans="14:14" ht="15" customHeight="1" x14ac:dyDescent="0.25">
      <c r="N7458" t="s">
        <v>675</v>
      </c>
    </row>
    <row r="7459" spans="14:14" ht="15" customHeight="1" x14ac:dyDescent="0.25">
      <c r="N7459" t="s">
        <v>675</v>
      </c>
    </row>
    <row r="7460" spans="14:14" ht="15" customHeight="1" x14ac:dyDescent="0.25">
      <c r="N7460" t="s">
        <v>706</v>
      </c>
    </row>
    <row r="7461" spans="14:14" ht="15" customHeight="1" x14ac:dyDescent="0.25">
      <c r="N7461" t="s">
        <v>706</v>
      </c>
    </row>
    <row r="7462" spans="14:14" ht="15" customHeight="1" x14ac:dyDescent="0.25">
      <c r="N7462" t="s">
        <v>706</v>
      </c>
    </row>
    <row r="7463" spans="14:14" ht="15" customHeight="1" x14ac:dyDescent="0.25">
      <c r="N7463" t="s">
        <v>706</v>
      </c>
    </row>
    <row r="7464" spans="14:14" ht="15" customHeight="1" x14ac:dyDescent="0.25">
      <c r="N7464" t="s">
        <v>706</v>
      </c>
    </row>
    <row r="7465" spans="14:14" ht="15" customHeight="1" x14ac:dyDescent="0.25">
      <c r="N7465" t="s">
        <v>706</v>
      </c>
    </row>
    <row r="7466" spans="14:14" ht="15" customHeight="1" x14ac:dyDescent="0.25">
      <c r="N7466" t="s">
        <v>706</v>
      </c>
    </row>
    <row r="7467" spans="14:14" ht="15" customHeight="1" x14ac:dyDescent="0.25">
      <c r="N7467" t="s">
        <v>706</v>
      </c>
    </row>
    <row r="7468" spans="14:14" ht="15" customHeight="1" x14ac:dyDescent="0.25">
      <c r="N7468" t="s">
        <v>706</v>
      </c>
    </row>
    <row r="7469" spans="14:14" ht="15" customHeight="1" x14ac:dyDescent="0.25">
      <c r="N7469" t="s">
        <v>706</v>
      </c>
    </row>
    <row r="7470" spans="14:14" ht="15" customHeight="1" x14ac:dyDescent="0.25">
      <c r="N7470" t="s">
        <v>706</v>
      </c>
    </row>
    <row r="7471" spans="14:14" ht="15" customHeight="1" x14ac:dyDescent="0.25">
      <c r="N7471" t="s">
        <v>706</v>
      </c>
    </row>
    <row r="7472" spans="14:14" ht="15" customHeight="1" x14ac:dyDescent="0.25">
      <c r="N7472" t="s">
        <v>706</v>
      </c>
    </row>
    <row r="7473" spans="14:14" ht="15" customHeight="1" x14ac:dyDescent="0.25">
      <c r="N7473" t="s">
        <v>313</v>
      </c>
    </row>
    <row r="7474" spans="14:14" ht="15" customHeight="1" x14ac:dyDescent="0.25">
      <c r="N7474" t="s">
        <v>313</v>
      </c>
    </row>
    <row r="7475" spans="14:14" ht="15" customHeight="1" x14ac:dyDescent="0.25">
      <c r="N7475" t="s">
        <v>313</v>
      </c>
    </row>
    <row r="7476" spans="14:14" ht="15" customHeight="1" x14ac:dyDescent="0.25">
      <c r="N7476" t="s">
        <v>313</v>
      </c>
    </row>
    <row r="7477" spans="14:14" ht="15" customHeight="1" x14ac:dyDescent="0.25">
      <c r="N7477" t="s">
        <v>313</v>
      </c>
    </row>
    <row r="7478" spans="14:14" ht="15" customHeight="1" x14ac:dyDescent="0.25">
      <c r="N7478" t="s">
        <v>313</v>
      </c>
    </row>
    <row r="7479" spans="14:14" ht="15" customHeight="1" x14ac:dyDescent="0.25">
      <c r="N7479" t="s">
        <v>313</v>
      </c>
    </row>
    <row r="7480" spans="14:14" ht="15" customHeight="1" x14ac:dyDescent="0.25">
      <c r="N7480" t="s">
        <v>68</v>
      </c>
    </row>
    <row r="7481" spans="14:14" ht="15" customHeight="1" x14ac:dyDescent="0.25">
      <c r="N7481" t="s">
        <v>68</v>
      </c>
    </row>
    <row r="7482" spans="14:14" ht="15" customHeight="1" x14ac:dyDescent="0.25">
      <c r="N7482" t="s">
        <v>68</v>
      </c>
    </row>
    <row r="7483" spans="14:14" ht="15" customHeight="1" x14ac:dyDescent="0.25">
      <c r="N7483" t="s">
        <v>68</v>
      </c>
    </row>
    <row r="7484" spans="14:14" ht="15" customHeight="1" x14ac:dyDescent="0.25">
      <c r="N7484" t="s">
        <v>68</v>
      </c>
    </row>
    <row r="7485" spans="14:14" ht="15" customHeight="1" x14ac:dyDescent="0.25">
      <c r="N7485" t="s">
        <v>68</v>
      </c>
    </row>
    <row r="7486" spans="14:14" ht="15" customHeight="1" x14ac:dyDescent="0.25">
      <c r="N7486" t="s">
        <v>68</v>
      </c>
    </row>
    <row r="7487" spans="14:14" ht="15" customHeight="1" x14ac:dyDescent="0.25">
      <c r="N7487" t="s">
        <v>677</v>
      </c>
    </row>
    <row r="7488" spans="14:14" ht="15" customHeight="1" x14ac:dyDescent="0.25">
      <c r="N7488" t="s">
        <v>313</v>
      </c>
    </row>
    <row r="7489" spans="14:14" ht="15" customHeight="1" x14ac:dyDescent="0.25">
      <c r="N7489" t="s">
        <v>677</v>
      </c>
    </row>
    <row r="7490" spans="14:14" ht="15" customHeight="1" x14ac:dyDescent="0.25">
      <c r="N7490" t="s">
        <v>677</v>
      </c>
    </row>
    <row r="7491" spans="14:14" ht="15" customHeight="1" x14ac:dyDescent="0.25">
      <c r="N7491" t="s">
        <v>68</v>
      </c>
    </row>
    <row r="7492" spans="14:14" ht="15" customHeight="1" x14ac:dyDescent="0.25">
      <c r="N7492" t="s">
        <v>752</v>
      </c>
    </row>
    <row r="7493" spans="14:14" ht="15" customHeight="1" x14ac:dyDescent="0.25">
      <c r="N7493" t="s">
        <v>752</v>
      </c>
    </row>
    <row r="7494" spans="14:14" ht="15" customHeight="1" x14ac:dyDescent="0.25">
      <c r="N7494" t="s">
        <v>752</v>
      </c>
    </row>
    <row r="7495" spans="14:14" ht="15" customHeight="1" x14ac:dyDescent="0.25">
      <c r="N7495" t="s">
        <v>752</v>
      </c>
    </row>
    <row r="7496" spans="14:14" ht="15" customHeight="1" x14ac:dyDescent="0.25">
      <c r="N7496" t="s">
        <v>752</v>
      </c>
    </row>
    <row r="7497" spans="14:14" ht="15" customHeight="1" x14ac:dyDescent="0.25">
      <c r="N7497" t="s">
        <v>752</v>
      </c>
    </row>
    <row r="7498" spans="14:14" ht="15" customHeight="1" x14ac:dyDescent="0.25">
      <c r="N7498" t="s">
        <v>752</v>
      </c>
    </row>
    <row r="7499" spans="14:14" ht="15" customHeight="1" x14ac:dyDescent="0.25">
      <c r="N7499" t="s">
        <v>752</v>
      </c>
    </row>
    <row r="7500" spans="14:14" ht="15" customHeight="1" x14ac:dyDescent="0.25">
      <c r="N7500" t="s">
        <v>752</v>
      </c>
    </row>
    <row r="7501" spans="14:14" ht="15" customHeight="1" x14ac:dyDescent="0.25">
      <c r="N7501" t="s">
        <v>752</v>
      </c>
    </row>
    <row r="7502" spans="14:14" ht="15" customHeight="1" x14ac:dyDescent="0.25">
      <c r="N7502" t="s">
        <v>752</v>
      </c>
    </row>
    <row r="7503" spans="14:14" ht="15" customHeight="1" x14ac:dyDescent="0.25">
      <c r="N7503" t="s">
        <v>752</v>
      </c>
    </row>
    <row r="7504" spans="14:14" ht="15" customHeight="1" x14ac:dyDescent="0.25">
      <c r="N7504" t="s">
        <v>752</v>
      </c>
    </row>
    <row r="7505" spans="14:14" ht="15" customHeight="1" x14ac:dyDescent="0.25">
      <c r="N7505" t="s">
        <v>752</v>
      </c>
    </row>
    <row r="7506" spans="14:14" ht="15" customHeight="1" x14ac:dyDescent="0.25">
      <c r="N7506" t="s">
        <v>752</v>
      </c>
    </row>
    <row r="7507" spans="14:14" ht="15" customHeight="1" x14ac:dyDescent="0.25">
      <c r="N7507" t="s">
        <v>752</v>
      </c>
    </row>
    <row r="7508" spans="14:14" ht="15" customHeight="1" x14ac:dyDescent="0.25">
      <c r="N7508" t="s">
        <v>752</v>
      </c>
    </row>
    <row r="7509" spans="14:14" ht="15" customHeight="1" x14ac:dyDescent="0.25">
      <c r="N7509" t="s">
        <v>752</v>
      </c>
    </row>
    <row r="7510" spans="14:14" ht="15" customHeight="1" x14ac:dyDescent="0.25">
      <c r="N7510" t="s">
        <v>752</v>
      </c>
    </row>
    <row r="7511" spans="14:14" ht="15" customHeight="1" x14ac:dyDescent="0.25">
      <c r="N7511" t="s">
        <v>752</v>
      </c>
    </row>
    <row r="7512" spans="14:14" ht="15" customHeight="1" x14ac:dyDescent="0.25">
      <c r="N7512" t="s">
        <v>752</v>
      </c>
    </row>
    <row r="7513" spans="14:14" ht="15" customHeight="1" x14ac:dyDescent="0.25">
      <c r="N7513" t="s">
        <v>752</v>
      </c>
    </row>
    <row r="7514" spans="14:14" ht="15" customHeight="1" x14ac:dyDescent="0.25">
      <c r="N7514" t="s">
        <v>752</v>
      </c>
    </row>
    <row r="7515" spans="14:14" ht="15" customHeight="1" x14ac:dyDescent="0.25">
      <c r="N7515" t="s">
        <v>752</v>
      </c>
    </row>
    <row r="7516" spans="14:14" ht="15" customHeight="1" x14ac:dyDescent="0.25">
      <c r="N7516" t="s">
        <v>752</v>
      </c>
    </row>
    <row r="7517" spans="14:14" ht="15" customHeight="1" x14ac:dyDescent="0.25">
      <c r="N7517" t="s">
        <v>752</v>
      </c>
    </row>
    <row r="7518" spans="14:14" ht="15" customHeight="1" x14ac:dyDescent="0.25">
      <c r="N7518" t="s">
        <v>687</v>
      </c>
    </row>
    <row r="7519" spans="14:14" ht="15" customHeight="1" x14ac:dyDescent="0.25">
      <c r="N7519" t="s">
        <v>68</v>
      </c>
    </row>
    <row r="7520" spans="14:14" ht="15" customHeight="1" x14ac:dyDescent="0.25">
      <c r="N7520" t="s">
        <v>752</v>
      </c>
    </row>
    <row r="7521" spans="14:14" ht="15" customHeight="1" x14ac:dyDescent="0.25">
      <c r="N7521" t="s">
        <v>752</v>
      </c>
    </row>
    <row r="7522" spans="14:14" ht="15" customHeight="1" x14ac:dyDescent="0.25">
      <c r="N7522" t="s">
        <v>752</v>
      </c>
    </row>
    <row r="7523" spans="14:14" ht="15" customHeight="1" x14ac:dyDescent="0.25">
      <c r="N7523" t="s">
        <v>752</v>
      </c>
    </row>
    <row r="7524" spans="14:14" ht="15" customHeight="1" x14ac:dyDescent="0.25">
      <c r="N7524" t="s">
        <v>752</v>
      </c>
    </row>
    <row r="7525" spans="14:14" ht="15" customHeight="1" x14ac:dyDescent="0.25">
      <c r="N7525" t="s">
        <v>752</v>
      </c>
    </row>
    <row r="7526" spans="14:14" ht="15" customHeight="1" x14ac:dyDescent="0.25">
      <c r="N7526" t="s">
        <v>752</v>
      </c>
    </row>
    <row r="7527" spans="14:14" ht="15" customHeight="1" x14ac:dyDescent="0.25">
      <c r="N7527" t="s">
        <v>752</v>
      </c>
    </row>
    <row r="7528" spans="14:14" ht="15" customHeight="1" x14ac:dyDescent="0.25">
      <c r="N7528" t="s">
        <v>752</v>
      </c>
    </row>
    <row r="7529" spans="14:14" ht="15" customHeight="1" x14ac:dyDescent="0.25">
      <c r="N7529" t="s">
        <v>752</v>
      </c>
    </row>
    <row r="7530" spans="14:14" ht="15" customHeight="1" x14ac:dyDescent="0.25">
      <c r="N7530" t="s">
        <v>752</v>
      </c>
    </row>
    <row r="7531" spans="14:14" ht="15" customHeight="1" x14ac:dyDescent="0.25">
      <c r="N7531" t="s">
        <v>752</v>
      </c>
    </row>
    <row r="7532" spans="14:14" ht="15" customHeight="1" x14ac:dyDescent="0.25">
      <c r="N7532" t="s">
        <v>752</v>
      </c>
    </row>
    <row r="7533" spans="14:14" ht="15" customHeight="1" x14ac:dyDescent="0.25">
      <c r="N7533" t="s">
        <v>752</v>
      </c>
    </row>
    <row r="7534" spans="14:14" ht="15" customHeight="1" x14ac:dyDescent="0.25">
      <c r="N7534" t="s">
        <v>752</v>
      </c>
    </row>
    <row r="7535" spans="14:14" ht="15" customHeight="1" x14ac:dyDescent="0.25">
      <c r="N7535" t="s">
        <v>752</v>
      </c>
    </row>
    <row r="7536" spans="14:14" ht="15" customHeight="1" x14ac:dyDescent="0.25">
      <c r="N7536" t="s">
        <v>752</v>
      </c>
    </row>
    <row r="7537" spans="14:14" ht="15" customHeight="1" x14ac:dyDescent="0.25">
      <c r="N7537" t="s">
        <v>752</v>
      </c>
    </row>
    <row r="7538" spans="14:14" ht="15" customHeight="1" x14ac:dyDescent="0.25">
      <c r="N7538" t="s">
        <v>752</v>
      </c>
    </row>
    <row r="7539" spans="14:14" ht="15" customHeight="1" x14ac:dyDescent="0.25">
      <c r="N7539" t="s">
        <v>752</v>
      </c>
    </row>
    <row r="7540" spans="14:14" ht="15" customHeight="1" x14ac:dyDescent="0.25">
      <c r="N7540" t="s">
        <v>752</v>
      </c>
    </row>
    <row r="7541" spans="14:14" ht="15" customHeight="1" x14ac:dyDescent="0.25">
      <c r="N7541" t="s">
        <v>752</v>
      </c>
    </row>
    <row r="7542" spans="14:14" ht="15" customHeight="1" x14ac:dyDescent="0.25">
      <c r="N7542" t="s">
        <v>752</v>
      </c>
    </row>
    <row r="7543" spans="14:14" ht="15" customHeight="1" x14ac:dyDescent="0.25">
      <c r="N7543" t="s">
        <v>752</v>
      </c>
    </row>
    <row r="7544" spans="14:14" ht="15" customHeight="1" x14ac:dyDescent="0.25">
      <c r="N7544" t="s">
        <v>752</v>
      </c>
    </row>
    <row r="7545" spans="14:14" ht="15" customHeight="1" x14ac:dyDescent="0.25">
      <c r="N7545" t="s">
        <v>752</v>
      </c>
    </row>
    <row r="7546" spans="14:14" ht="15" customHeight="1" x14ac:dyDescent="0.25">
      <c r="N7546" t="s">
        <v>304</v>
      </c>
    </row>
    <row r="7547" spans="14:14" ht="15" customHeight="1" x14ac:dyDescent="0.25">
      <c r="N7547" t="s">
        <v>304</v>
      </c>
    </row>
    <row r="7548" spans="14:14" ht="15" customHeight="1" x14ac:dyDescent="0.25">
      <c r="N7548" t="s">
        <v>304</v>
      </c>
    </row>
    <row r="7549" spans="14:14" ht="15" customHeight="1" x14ac:dyDescent="0.25">
      <c r="N7549" t="s">
        <v>304</v>
      </c>
    </row>
    <row r="7550" spans="14:14" ht="15" customHeight="1" x14ac:dyDescent="0.25">
      <c r="N7550" t="s">
        <v>752</v>
      </c>
    </row>
    <row r="7551" spans="14:14" ht="15" customHeight="1" x14ac:dyDescent="0.25">
      <c r="N7551" t="s">
        <v>752</v>
      </c>
    </row>
    <row r="7552" spans="14:14" ht="15" customHeight="1" x14ac:dyDescent="0.25">
      <c r="N7552" t="s">
        <v>752</v>
      </c>
    </row>
    <row r="7553" spans="14:14" ht="15" customHeight="1" x14ac:dyDescent="0.25">
      <c r="N7553" t="s">
        <v>752</v>
      </c>
    </row>
    <row r="7554" spans="14:14" ht="15" customHeight="1" x14ac:dyDescent="0.25">
      <c r="N7554" t="s">
        <v>752</v>
      </c>
    </row>
    <row r="7555" spans="14:14" ht="15" customHeight="1" x14ac:dyDescent="0.25">
      <c r="N7555" t="s">
        <v>752</v>
      </c>
    </row>
    <row r="7556" spans="14:14" ht="15" customHeight="1" x14ac:dyDescent="0.25">
      <c r="N7556" t="s">
        <v>752</v>
      </c>
    </row>
    <row r="7557" spans="14:14" ht="15" customHeight="1" x14ac:dyDescent="0.25">
      <c r="N7557" t="s">
        <v>752</v>
      </c>
    </row>
    <row r="7558" spans="14:14" ht="15" customHeight="1" x14ac:dyDescent="0.25">
      <c r="N7558" t="s">
        <v>752</v>
      </c>
    </row>
    <row r="7559" spans="14:14" ht="15" customHeight="1" x14ac:dyDescent="0.25">
      <c r="N7559" t="s">
        <v>752</v>
      </c>
    </row>
    <row r="7560" spans="14:14" ht="15" customHeight="1" x14ac:dyDescent="0.25">
      <c r="N7560" t="s">
        <v>752</v>
      </c>
    </row>
    <row r="7561" spans="14:14" ht="15" customHeight="1" x14ac:dyDescent="0.25">
      <c r="N7561" t="s">
        <v>752</v>
      </c>
    </row>
    <row r="7562" spans="14:14" ht="15" customHeight="1" x14ac:dyDescent="0.25">
      <c r="N7562" t="s">
        <v>752</v>
      </c>
    </row>
    <row r="7563" spans="14:14" ht="15" customHeight="1" x14ac:dyDescent="0.25">
      <c r="N7563" t="s">
        <v>752</v>
      </c>
    </row>
    <row r="7564" spans="14:14" ht="15" customHeight="1" x14ac:dyDescent="0.25">
      <c r="N7564" t="s">
        <v>752</v>
      </c>
    </row>
    <row r="7565" spans="14:14" ht="15" customHeight="1" x14ac:dyDescent="0.25">
      <c r="N7565" t="s">
        <v>752</v>
      </c>
    </row>
    <row r="7566" spans="14:14" ht="15" customHeight="1" x14ac:dyDescent="0.25">
      <c r="N7566" t="s">
        <v>752</v>
      </c>
    </row>
    <row r="7567" spans="14:14" ht="15" customHeight="1" x14ac:dyDescent="0.25">
      <c r="N7567" t="s">
        <v>752</v>
      </c>
    </row>
    <row r="7568" spans="14:14" ht="15" customHeight="1" x14ac:dyDescent="0.25">
      <c r="N7568" t="s">
        <v>752</v>
      </c>
    </row>
    <row r="7569" spans="14:14" ht="15" customHeight="1" x14ac:dyDescent="0.25">
      <c r="N7569" t="s">
        <v>752</v>
      </c>
    </row>
    <row r="7570" spans="14:14" ht="15" customHeight="1" x14ac:dyDescent="0.25">
      <c r="N7570" t="s">
        <v>752</v>
      </c>
    </row>
    <row r="7571" spans="14:14" ht="15" customHeight="1" x14ac:dyDescent="0.25">
      <c r="N7571" t="s">
        <v>752</v>
      </c>
    </row>
    <row r="7572" spans="14:14" ht="15" customHeight="1" x14ac:dyDescent="0.25">
      <c r="N7572" t="s">
        <v>752</v>
      </c>
    </row>
    <row r="7573" spans="14:14" ht="15" customHeight="1" x14ac:dyDescent="0.25">
      <c r="N7573" t="s">
        <v>752</v>
      </c>
    </row>
    <row r="7574" spans="14:14" ht="15" customHeight="1" x14ac:dyDescent="0.25">
      <c r="N7574" t="s">
        <v>752</v>
      </c>
    </row>
    <row r="7575" spans="14:14" ht="15" customHeight="1" x14ac:dyDescent="0.25">
      <c r="N7575" t="s">
        <v>752</v>
      </c>
    </row>
    <row r="7576" spans="14:14" ht="15" customHeight="1" x14ac:dyDescent="0.25">
      <c r="N7576" t="s">
        <v>582</v>
      </c>
    </row>
    <row r="7577" spans="14:14" ht="15" customHeight="1" x14ac:dyDescent="0.25">
      <c r="N7577" t="s">
        <v>582</v>
      </c>
    </row>
    <row r="7578" spans="14:14" ht="15" customHeight="1" x14ac:dyDescent="0.25">
      <c r="N7578" t="s">
        <v>582</v>
      </c>
    </row>
    <row r="7579" spans="14:14" ht="15" customHeight="1" x14ac:dyDescent="0.25">
      <c r="N7579" t="s">
        <v>582</v>
      </c>
    </row>
    <row r="7580" spans="14:14" ht="15" customHeight="1" x14ac:dyDescent="0.25">
      <c r="N7580" t="s">
        <v>582</v>
      </c>
    </row>
    <row r="7581" spans="14:14" ht="15" customHeight="1" x14ac:dyDescent="0.25">
      <c r="N7581" t="s">
        <v>582</v>
      </c>
    </row>
    <row r="7582" spans="14:14" ht="15" customHeight="1" x14ac:dyDescent="0.25">
      <c r="N7582" t="s">
        <v>582</v>
      </c>
    </row>
    <row r="7583" spans="14:14" ht="15" customHeight="1" x14ac:dyDescent="0.25">
      <c r="N7583" t="s">
        <v>687</v>
      </c>
    </row>
    <row r="7584" spans="14:14" ht="15" customHeight="1" x14ac:dyDescent="0.25">
      <c r="N7584" t="s">
        <v>68</v>
      </c>
    </row>
    <row r="7585" spans="14:14" ht="15" customHeight="1" x14ac:dyDescent="0.25">
      <c r="N7585" t="s">
        <v>68</v>
      </c>
    </row>
    <row r="7586" spans="14:14" ht="15" customHeight="1" x14ac:dyDescent="0.25">
      <c r="N7586" t="s">
        <v>68</v>
      </c>
    </row>
    <row r="7587" spans="14:14" ht="15" customHeight="1" x14ac:dyDescent="0.25">
      <c r="N7587" t="s">
        <v>68</v>
      </c>
    </row>
    <row r="7588" spans="14:14" ht="15" customHeight="1" x14ac:dyDescent="0.25">
      <c r="N7588" t="s">
        <v>68</v>
      </c>
    </row>
    <row r="7589" spans="14:14" ht="15" customHeight="1" x14ac:dyDescent="0.25">
      <c r="N7589" t="s">
        <v>68</v>
      </c>
    </row>
    <row r="7590" spans="14:14" ht="15" customHeight="1" x14ac:dyDescent="0.25">
      <c r="N7590" t="s">
        <v>68</v>
      </c>
    </row>
    <row r="7591" spans="14:14" ht="15" customHeight="1" x14ac:dyDescent="0.25">
      <c r="N7591" t="s">
        <v>715</v>
      </c>
    </row>
    <row r="7592" spans="14:14" ht="15" customHeight="1" x14ac:dyDescent="0.25">
      <c r="N7592" t="s">
        <v>713</v>
      </c>
    </row>
    <row r="7593" spans="14:14" ht="15" customHeight="1" x14ac:dyDescent="0.25">
      <c r="N7593" t="s">
        <v>408</v>
      </c>
    </row>
    <row r="7594" spans="14:14" ht="15" customHeight="1" x14ac:dyDescent="0.25">
      <c r="N7594" t="s">
        <v>713</v>
      </c>
    </row>
    <row r="7595" spans="14:14" ht="15" customHeight="1" x14ac:dyDescent="0.25">
      <c r="N7595" t="s">
        <v>713</v>
      </c>
    </row>
    <row r="7596" spans="14:14" ht="15" customHeight="1" x14ac:dyDescent="0.25">
      <c r="N7596" t="s">
        <v>606</v>
      </c>
    </row>
    <row r="7597" spans="14:14" ht="15" customHeight="1" x14ac:dyDescent="0.25">
      <c r="N7597" t="s">
        <v>558</v>
      </c>
    </row>
    <row r="7598" spans="14:14" ht="15" customHeight="1" x14ac:dyDescent="0.25">
      <c r="N7598" t="s">
        <v>458</v>
      </c>
    </row>
    <row r="7599" spans="14:14" ht="15" customHeight="1" x14ac:dyDescent="0.25">
      <c r="N7599" t="s">
        <v>686</v>
      </c>
    </row>
    <row r="7600" spans="14:14" ht="15" customHeight="1" x14ac:dyDescent="0.25">
      <c r="N7600" t="s">
        <v>689</v>
      </c>
    </row>
    <row r="7601" spans="14:14" ht="15" customHeight="1" x14ac:dyDescent="0.25">
      <c r="N7601" t="s">
        <v>689</v>
      </c>
    </row>
    <row r="7602" spans="14:14" ht="15" customHeight="1" x14ac:dyDescent="0.25">
      <c r="N7602" t="s">
        <v>715</v>
      </c>
    </row>
    <row r="7603" spans="14:14" ht="15" customHeight="1" x14ac:dyDescent="0.25">
      <c r="N7603" t="s">
        <v>669</v>
      </c>
    </row>
    <row r="7604" spans="14:14" ht="15" customHeight="1" x14ac:dyDescent="0.25">
      <c r="N7604" t="s">
        <v>696</v>
      </c>
    </row>
    <row r="7605" spans="14:14" ht="15" customHeight="1" x14ac:dyDescent="0.25">
      <c r="N7605" t="s">
        <v>690</v>
      </c>
    </row>
    <row r="7606" spans="14:14" ht="15" customHeight="1" x14ac:dyDescent="0.25">
      <c r="N7606" t="s">
        <v>690</v>
      </c>
    </row>
    <row r="7607" spans="14:14" ht="15" customHeight="1" x14ac:dyDescent="0.25">
      <c r="N7607" t="s">
        <v>690</v>
      </c>
    </row>
    <row r="7608" spans="14:14" ht="15" customHeight="1" x14ac:dyDescent="0.25">
      <c r="N7608" t="s">
        <v>690</v>
      </c>
    </row>
    <row r="7609" spans="14:14" ht="15" customHeight="1" x14ac:dyDescent="0.25">
      <c r="N7609" t="s">
        <v>715</v>
      </c>
    </row>
    <row r="7610" spans="14:14" ht="15" customHeight="1" x14ac:dyDescent="0.25">
      <c r="N7610" t="s">
        <v>715</v>
      </c>
    </row>
    <row r="7611" spans="14:14" ht="15" customHeight="1" x14ac:dyDescent="0.25">
      <c r="N7611" t="s">
        <v>715</v>
      </c>
    </row>
    <row r="7612" spans="14:14" ht="15" customHeight="1" x14ac:dyDescent="0.25">
      <c r="N7612" t="s">
        <v>715</v>
      </c>
    </row>
    <row r="7613" spans="14:14" ht="15" customHeight="1" x14ac:dyDescent="0.25">
      <c r="N7613" t="s">
        <v>715</v>
      </c>
    </row>
    <row r="7614" spans="14:14" ht="15" customHeight="1" x14ac:dyDescent="0.25">
      <c r="N7614" t="s">
        <v>715</v>
      </c>
    </row>
    <row r="7615" spans="14:14" ht="15" customHeight="1" x14ac:dyDescent="0.25">
      <c r="N7615" t="s">
        <v>715</v>
      </c>
    </row>
    <row r="7616" spans="14:14" ht="15" customHeight="1" x14ac:dyDescent="0.25">
      <c r="N7616" t="s">
        <v>715</v>
      </c>
    </row>
    <row r="7617" spans="14:14" ht="15" customHeight="1" x14ac:dyDescent="0.25">
      <c r="N7617" t="s">
        <v>715</v>
      </c>
    </row>
    <row r="7618" spans="14:14" ht="15" customHeight="1" x14ac:dyDescent="0.25">
      <c r="N7618" t="s">
        <v>715</v>
      </c>
    </row>
    <row r="7619" spans="14:14" ht="15" customHeight="1" x14ac:dyDescent="0.25">
      <c r="N7619" t="s">
        <v>715</v>
      </c>
    </row>
    <row r="7620" spans="14:14" ht="15" customHeight="1" x14ac:dyDescent="0.25">
      <c r="N7620" t="s">
        <v>715</v>
      </c>
    </row>
    <row r="7621" spans="14:14" ht="15" customHeight="1" x14ac:dyDescent="0.25">
      <c r="N7621" t="s">
        <v>715</v>
      </c>
    </row>
    <row r="7622" spans="14:14" ht="15" customHeight="1" x14ac:dyDescent="0.25">
      <c r="N7622" t="s">
        <v>715</v>
      </c>
    </row>
    <row r="7623" spans="14:14" ht="15" customHeight="1" x14ac:dyDescent="0.25">
      <c r="N7623" t="s">
        <v>403</v>
      </c>
    </row>
    <row r="7624" spans="14:14" ht="15" customHeight="1" x14ac:dyDescent="0.25">
      <c r="N7624" t="s">
        <v>403</v>
      </c>
    </row>
    <row r="7625" spans="14:14" ht="15" customHeight="1" x14ac:dyDescent="0.25">
      <c r="N7625" t="s">
        <v>403</v>
      </c>
    </row>
    <row r="7626" spans="14:14" ht="15" customHeight="1" x14ac:dyDescent="0.25">
      <c r="N7626" t="s">
        <v>403</v>
      </c>
    </row>
    <row r="7627" spans="14:14" ht="15" customHeight="1" x14ac:dyDescent="0.25">
      <c r="N7627" t="s">
        <v>403</v>
      </c>
    </row>
    <row r="7628" spans="14:14" ht="15" customHeight="1" x14ac:dyDescent="0.25">
      <c r="N7628" t="s">
        <v>403</v>
      </c>
    </row>
    <row r="7629" spans="14:14" ht="15" customHeight="1" x14ac:dyDescent="0.25">
      <c r="N7629" t="s">
        <v>403</v>
      </c>
    </row>
    <row r="7630" spans="14:14" ht="15" customHeight="1" x14ac:dyDescent="0.25">
      <c r="N7630" t="s">
        <v>592</v>
      </c>
    </row>
    <row r="7631" spans="14:14" ht="15" customHeight="1" x14ac:dyDescent="0.25">
      <c r="N7631" t="s">
        <v>592</v>
      </c>
    </row>
    <row r="7632" spans="14:14" ht="15" customHeight="1" x14ac:dyDescent="0.25">
      <c r="N7632" t="s">
        <v>592</v>
      </c>
    </row>
    <row r="7633" spans="14:14" ht="15" customHeight="1" x14ac:dyDescent="0.25">
      <c r="N7633" t="s">
        <v>592</v>
      </c>
    </row>
    <row r="7634" spans="14:14" ht="15" customHeight="1" x14ac:dyDescent="0.25">
      <c r="N7634" t="s">
        <v>592</v>
      </c>
    </row>
    <row r="7635" spans="14:14" ht="15" customHeight="1" x14ac:dyDescent="0.25">
      <c r="N7635" t="s">
        <v>696</v>
      </c>
    </row>
    <row r="7636" spans="14:14" ht="15" customHeight="1" x14ac:dyDescent="0.25">
      <c r="N7636" t="s">
        <v>715</v>
      </c>
    </row>
    <row r="7637" spans="14:14" ht="15" customHeight="1" x14ac:dyDescent="0.25">
      <c r="N7637" t="s">
        <v>313</v>
      </c>
    </row>
    <row r="7638" spans="14:14" ht="15" customHeight="1" x14ac:dyDescent="0.25">
      <c r="N7638" t="s">
        <v>313</v>
      </c>
    </row>
    <row r="7639" spans="14:14" ht="15" customHeight="1" x14ac:dyDescent="0.25">
      <c r="N7639" t="s">
        <v>313</v>
      </c>
    </row>
    <row r="7640" spans="14:14" ht="15" customHeight="1" x14ac:dyDescent="0.25">
      <c r="N7640" t="s">
        <v>313</v>
      </c>
    </row>
    <row r="7641" spans="14:14" ht="15" customHeight="1" x14ac:dyDescent="0.25">
      <c r="N7641" t="s">
        <v>715</v>
      </c>
    </row>
    <row r="7642" spans="14:14" ht="15" customHeight="1" x14ac:dyDescent="0.25">
      <c r="N7642" t="s">
        <v>715</v>
      </c>
    </row>
    <row r="7643" spans="14:14" ht="15" customHeight="1" x14ac:dyDescent="0.25">
      <c r="N7643" t="s">
        <v>715</v>
      </c>
    </row>
    <row r="7644" spans="14:14" ht="15" customHeight="1" x14ac:dyDescent="0.25">
      <c r="N7644" t="s">
        <v>715</v>
      </c>
    </row>
    <row r="7645" spans="14:14" ht="15" customHeight="1" x14ac:dyDescent="0.25">
      <c r="N7645" t="s">
        <v>715</v>
      </c>
    </row>
    <row r="7646" spans="14:14" ht="15" customHeight="1" x14ac:dyDescent="0.25">
      <c r="N7646" t="s">
        <v>715</v>
      </c>
    </row>
    <row r="7647" spans="14:14" ht="15" customHeight="1" x14ac:dyDescent="0.25">
      <c r="N7647" t="s">
        <v>715</v>
      </c>
    </row>
    <row r="7648" spans="14:14" ht="15" customHeight="1" x14ac:dyDescent="0.25">
      <c r="N7648" t="s">
        <v>715</v>
      </c>
    </row>
    <row r="7649" spans="14:14" ht="15" customHeight="1" x14ac:dyDescent="0.25">
      <c r="N7649" t="s">
        <v>715</v>
      </c>
    </row>
    <row r="7650" spans="14:14" ht="15" customHeight="1" x14ac:dyDescent="0.25">
      <c r="N7650" t="s">
        <v>582</v>
      </c>
    </row>
    <row r="7651" spans="14:14" ht="15" customHeight="1" x14ac:dyDescent="0.25">
      <c r="N7651" t="s">
        <v>715</v>
      </c>
    </row>
    <row r="7652" spans="14:14" ht="15" customHeight="1" x14ac:dyDescent="0.25">
      <c r="N7652" t="s">
        <v>696</v>
      </c>
    </row>
    <row r="7653" spans="14:14" ht="15" customHeight="1" x14ac:dyDescent="0.25">
      <c r="N7653" t="s">
        <v>741</v>
      </c>
    </row>
    <row r="7654" spans="14:14" ht="15" customHeight="1" x14ac:dyDescent="0.25">
      <c r="N7654" t="s">
        <v>743</v>
      </c>
    </row>
    <row r="7655" spans="14:14" ht="15" customHeight="1" x14ac:dyDescent="0.25">
      <c r="N7655" t="s">
        <v>715</v>
      </c>
    </row>
    <row r="7656" spans="14:14" ht="15" customHeight="1" x14ac:dyDescent="0.25">
      <c r="N7656" t="s">
        <v>317</v>
      </c>
    </row>
    <row r="7657" spans="14:14" ht="15" customHeight="1" x14ac:dyDescent="0.25">
      <c r="N7657" t="s">
        <v>714</v>
      </c>
    </row>
    <row r="7658" spans="14:14" ht="15" customHeight="1" x14ac:dyDescent="0.25">
      <c r="N7658" t="s">
        <v>675</v>
      </c>
    </row>
    <row r="7659" spans="14:14" ht="15" customHeight="1" x14ac:dyDescent="0.25">
      <c r="N7659" t="s">
        <v>715</v>
      </c>
    </row>
    <row r="7660" spans="14:14" ht="15" customHeight="1" x14ac:dyDescent="0.25">
      <c r="N7660" t="s">
        <v>739</v>
      </c>
    </row>
    <row r="7661" spans="14:14" ht="15" customHeight="1" x14ac:dyDescent="0.25">
      <c r="N7661" t="s">
        <v>463</v>
      </c>
    </row>
    <row r="7662" spans="14:14" ht="15" customHeight="1" x14ac:dyDescent="0.25">
      <c r="N7662" t="s">
        <v>611</v>
      </c>
    </row>
    <row r="7663" spans="14:14" ht="15" customHeight="1" x14ac:dyDescent="0.25">
      <c r="N7663" t="s">
        <v>666</v>
      </c>
    </row>
    <row r="7664" spans="14:14" ht="15" customHeight="1" x14ac:dyDescent="0.25">
      <c r="N7664" t="s">
        <v>732</v>
      </c>
    </row>
    <row r="7665" spans="14:14" ht="15" customHeight="1" x14ac:dyDescent="0.25">
      <c r="N7665" t="s">
        <v>715</v>
      </c>
    </row>
    <row r="7666" spans="14:14" ht="15" customHeight="1" x14ac:dyDescent="0.25">
      <c r="N7666" t="s">
        <v>715</v>
      </c>
    </row>
    <row r="7667" spans="14:14" ht="15" customHeight="1" x14ac:dyDescent="0.25">
      <c r="N7667" t="s">
        <v>715</v>
      </c>
    </row>
    <row r="7668" spans="14:14" ht="15" customHeight="1" x14ac:dyDescent="0.25">
      <c r="N7668" t="s">
        <v>715</v>
      </c>
    </row>
    <row r="7669" spans="14:14" ht="15" customHeight="1" x14ac:dyDescent="0.25">
      <c r="N7669" t="s">
        <v>715</v>
      </c>
    </row>
    <row r="7670" spans="14:14" ht="15" customHeight="1" x14ac:dyDescent="0.25">
      <c r="N7670" t="s">
        <v>715</v>
      </c>
    </row>
    <row r="7671" spans="14:14" ht="15" customHeight="1" x14ac:dyDescent="0.25">
      <c r="N7671" t="s">
        <v>715</v>
      </c>
    </row>
    <row r="7672" spans="14:14" ht="15" customHeight="1" x14ac:dyDescent="0.25">
      <c r="N7672" t="s">
        <v>715</v>
      </c>
    </row>
    <row r="7673" spans="14:14" ht="15" customHeight="1" x14ac:dyDescent="0.25">
      <c r="N7673" t="s">
        <v>740</v>
      </c>
    </row>
    <row r="7674" spans="14:14" ht="15" customHeight="1" x14ac:dyDescent="0.25">
      <c r="N7674" t="s">
        <v>744</v>
      </c>
    </row>
    <row r="7675" spans="14:14" ht="15" customHeight="1" x14ac:dyDescent="0.25">
      <c r="N7675" t="s">
        <v>742</v>
      </c>
    </row>
    <row r="7676" spans="14:14" ht="15" customHeight="1" x14ac:dyDescent="0.25">
      <c r="N7676" t="s">
        <v>690</v>
      </c>
    </row>
    <row r="7677" spans="14:14" ht="15" customHeight="1" x14ac:dyDescent="0.25">
      <c r="N7677" t="s">
        <v>715</v>
      </c>
    </row>
    <row r="7678" spans="14:14" ht="15" customHeight="1" x14ac:dyDescent="0.25">
      <c r="N7678" t="s">
        <v>715</v>
      </c>
    </row>
    <row r="7679" spans="14:14" ht="15" customHeight="1" x14ac:dyDescent="0.25">
      <c r="N7679" t="s">
        <v>715</v>
      </c>
    </row>
    <row r="7680" spans="14:14" ht="15" customHeight="1" x14ac:dyDescent="0.25">
      <c r="N7680" t="s">
        <v>715</v>
      </c>
    </row>
    <row r="7681" spans="14:14" ht="15" customHeight="1" x14ac:dyDescent="0.25">
      <c r="N7681" t="s">
        <v>715</v>
      </c>
    </row>
    <row r="7682" spans="14:14" ht="15" customHeight="1" x14ac:dyDescent="0.25">
      <c r="N7682" t="s">
        <v>715</v>
      </c>
    </row>
    <row r="7683" spans="14:14" ht="15" customHeight="1" x14ac:dyDescent="0.25">
      <c r="N7683" t="s">
        <v>715</v>
      </c>
    </row>
    <row r="7684" spans="14:14" ht="15" customHeight="1" x14ac:dyDescent="0.25">
      <c r="N7684" t="s">
        <v>715</v>
      </c>
    </row>
    <row r="7685" spans="14:14" ht="15" customHeight="1" x14ac:dyDescent="0.25">
      <c r="N7685" t="s">
        <v>715</v>
      </c>
    </row>
    <row r="7686" spans="14:14" ht="15" customHeight="1" x14ac:dyDescent="0.25">
      <c r="N7686" t="s">
        <v>715</v>
      </c>
    </row>
    <row r="7687" spans="14:14" ht="15" customHeight="1" x14ac:dyDescent="0.25">
      <c r="N7687" t="s">
        <v>715</v>
      </c>
    </row>
    <row r="7688" spans="14:14" ht="15" customHeight="1" x14ac:dyDescent="0.25">
      <c r="N7688" t="s">
        <v>715</v>
      </c>
    </row>
    <row r="7689" spans="14:14" ht="15" customHeight="1" x14ac:dyDescent="0.25">
      <c r="N7689" t="s">
        <v>715</v>
      </c>
    </row>
    <row r="7690" spans="14:14" ht="15" customHeight="1" x14ac:dyDescent="0.25">
      <c r="N7690" t="s">
        <v>715</v>
      </c>
    </row>
    <row r="7691" spans="14:14" ht="15" customHeight="1" x14ac:dyDescent="0.25">
      <c r="N7691" t="s">
        <v>715</v>
      </c>
    </row>
    <row r="7692" spans="14:14" ht="15" customHeight="1" x14ac:dyDescent="0.25">
      <c r="N7692" t="s">
        <v>715</v>
      </c>
    </row>
    <row r="7693" spans="14:14" ht="15" customHeight="1" x14ac:dyDescent="0.25">
      <c r="N7693" t="s">
        <v>715</v>
      </c>
    </row>
    <row r="7694" spans="14:14" ht="15" customHeight="1" x14ac:dyDescent="0.25">
      <c r="N7694" t="s">
        <v>715</v>
      </c>
    </row>
    <row r="7695" spans="14:14" ht="15" customHeight="1" x14ac:dyDescent="0.25">
      <c r="N7695" t="s">
        <v>715</v>
      </c>
    </row>
    <row r="7696" spans="14:14" ht="15" customHeight="1" x14ac:dyDescent="0.25">
      <c r="N7696" t="s">
        <v>715</v>
      </c>
    </row>
    <row r="7697" spans="14:14" ht="15" customHeight="1" x14ac:dyDescent="0.25">
      <c r="N7697" t="s">
        <v>715</v>
      </c>
    </row>
    <row r="7698" spans="14:14" ht="15" customHeight="1" x14ac:dyDescent="0.25">
      <c r="N7698" t="s">
        <v>715</v>
      </c>
    </row>
    <row r="7699" spans="14:14" ht="15" customHeight="1" x14ac:dyDescent="0.25">
      <c r="N7699" t="s">
        <v>715</v>
      </c>
    </row>
    <row r="7700" spans="14:14" ht="15" customHeight="1" x14ac:dyDescent="0.25">
      <c r="N7700" t="s">
        <v>715</v>
      </c>
    </row>
    <row r="7701" spans="14:14" ht="15" customHeight="1" x14ac:dyDescent="0.25">
      <c r="N7701" t="s">
        <v>715</v>
      </c>
    </row>
    <row r="7702" spans="14:14" ht="15" customHeight="1" x14ac:dyDescent="0.25">
      <c r="N7702" t="s">
        <v>715</v>
      </c>
    </row>
    <row r="7703" spans="14:14" ht="15" customHeight="1" x14ac:dyDescent="0.25">
      <c r="N7703" t="s">
        <v>715</v>
      </c>
    </row>
    <row r="7704" spans="14:14" ht="15" customHeight="1" x14ac:dyDescent="0.25">
      <c r="N7704" t="s">
        <v>606</v>
      </c>
    </row>
    <row r="7705" spans="14:14" ht="15" customHeight="1" x14ac:dyDescent="0.25">
      <c r="N7705" t="s">
        <v>828</v>
      </c>
    </row>
    <row r="7706" spans="14:14" ht="15" customHeight="1" x14ac:dyDescent="0.25">
      <c r="N7706" t="s">
        <v>555</v>
      </c>
    </row>
    <row r="7707" spans="14:14" ht="15" customHeight="1" x14ac:dyDescent="0.25">
      <c r="N7707" t="s">
        <v>606</v>
      </c>
    </row>
    <row r="7708" spans="14:14" ht="15" customHeight="1" x14ac:dyDescent="0.25">
      <c r="N7708" t="s">
        <v>408</v>
      </c>
    </row>
    <row r="7709" spans="14:14" ht="15" customHeight="1" x14ac:dyDescent="0.25">
      <c r="N7709" t="s">
        <v>713</v>
      </c>
    </row>
    <row r="7710" spans="14:14" ht="15" customHeight="1" x14ac:dyDescent="0.25">
      <c r="N7710" t="s">
        <v>713</v>
      </c>
    </row>
    <row r="7711" spans="14:14" ht="15" customHeight="1" x14ac:dyDescent="0.25">
      <c r="N7711" t="s">
        <v>715</v>
      </c>
    </row>
    <row r="7712" spans="14:14" ht="15" customHeight="1" x14ac:dyDescent="0.25">
      <c r="N7712" t="s">
        <v>558</v>
      </c>
    </row>
    <row r="7713" spans="14:14" ht="15" customHeight="1" x14ac:dyDescent="0.25">
      <c r="N7713" t="s">
        <v>713</v>
      </c>
    </row>
    <row r="7714" spans="14:14" ht="15" customHeight="1" x14ac:dyDescent="0.25">
      <c r="N7714" t="s">
        <v>713</v>
      </c>
    </row>
    <row r="7715" spans="14:14" ht="15" customHeight="1" x14ac:dyDescent="0.25">
      <c r="N7715" t="s">
        <v>686</v>
      </c>
    </row>
    <row r="7716" spans="14:14" ht="15" customHeight="1" x14ac:dyDescent="0.25">
      <c r="N7716" t="s">
        <v>715</v>
      </c>
    </row>
    <row r="7717" spans="14:14" ht="15" customHeight="1" x14ac:dyDescent="0.25">
      <c r="N7717" t="s">
        <v>689</v>
      </c>
    </row>
    <row r="7718" spans="14:14" ht="15" customHeight="1" x14ac:dyDescent="0.25">
      <c r="N7718" t="s">
        <v>715</v>
      </c>
    </row>
    <row r="7719" spans="14:14" ht="15" customHeight="1" x14ac:dyDescent="0.25">
      <c r="N7719" t="s">
        <v>689</v>
      </c>
    </row>
    <row r="7720" spans="14:14" ht="15" customHeight="1" x14ac:dyDescent="0.25">
      <c r="N7720" t="s">
        <v>524</v>
      </c>
    </row>
    <row r="7721" spans="14:14" ht="15" customHeight="1" x14ac:dyDescent="0.25">
      <c r="N7721" t="s">
        <v>689</v>
      </c>
    </row>
    <row r="7722" spans="14:14" ht="15" customHeight="1" x14ac:dyDescent="0.25">
      <c r="N7722" t="s">
        <v>294</v>
      </c>
    </row>
    <row r="7723" spans="14:14" ht="15" customHeight="1" x14ac:dyDescent="0.25">
      <c r="N7723" t="s">
        <v>294</v>
      </c>
    </row>
    <row r="7724" spans="14:14" ht="15" customHeight="1" x14ac:dyDescent="0.25">
      <c r="N7724" t="s">
        <v>294</v>
      </c>
    </row>
    <row r="7725" spans="14:14" ht="15" customHeight="1" x14ac:dyDescent="0.25">
      <c r="N7725" t="s">
        <v>294</v>
      </c>
    </row>
    <row r="7726" spans="14:14" ht="15" customHeight="1" x14ac:dyDescent="0.25">
      <c r="N7726" t="s">
        <v>715</v>
      </c>
    </row>
    <row r="7727" spans="14:14" ht="15" customHeight="1" x14ac:dyDescent="0.25">
      <c r="N7727" t="s">
        <v>715</v>
      </c>
    </row>
    <row r="7728" spans="14:14" ht="15" customHeight="1" x14ac:dyDescent="0.25">
      <c r="N7728" t="s">
        <v>715</v>
      </c>
    </row>
    <row r="7729" spans="14:14" ht="15" customHeight="1" x14ac:dyDescent="0.25">
      <c r="N7729" t="s">
        <v>715</v>
      </c>
    </row>
    <row r="7730" spans="14:14" ht="15" customHeight="1" x14ac:dyDescent="0.25">
      <c r="N7730" t="s">
        <v>715</v>
      </c>
    </row>
    <row r="7731" spans="14:14" ht="15" customHeight="1" x14ac:dyDescent="0.25">
      <c r="N7731" t="s">
        <v>715</v>
      </c>
    </row>
    <row r="7732" spans="14:14" ht="15" customHeight="1" x14ac:dyDescent="0.25">
      <c r="N7732" t="s">
        <v>715</v>
      </c>
    </row>
    <row r="7733" spans="14:14" ht="15" customHeight="1" x14ac:dyDescent="0.25">
      <c r="N7733" t="s">
        <v>715</v>
      </c>
    </row>
    <row r="7734" spans="14:14" ht="15" customHeight="1" x14ac:dyDescent="0.25">
      <c r="N7734" t="s">
        <v>715</v>
      </c>
    </row>
    <row r="7735" spans="14:14" ht="15" customHeight="1" x14ac:dyDescent="0.25">
      <c r="N7735" t="s">
        <v>715</v>
      </c>
    </row>
    <row r="7736" spans="14:14" ht="15" customHeight="1" x14ac:dyDescent="0.25">
      <c r="N7736" t="s">
        <v>715</v>
      </c>
    </row>
    <row r="7737" spans="14:14" ht="15" customHeight="1" x14ac:dyDescent="0.25">
      <c r="N7737" t="s">
        <v>715</v>
      </c>
    </row>
    <row r="7738" spans="14:14" ht="15" customHeight="1" x14ac:dyDescent="0.25">
      <c r="N7738" t="s">
        <v>715</v>
      </c>
    </row>
    <row r="7739" spans="14:14" ht="15" customHeight="1" x14ac:dyDescent="0.25">
      <c r="N7739" t="s">
        <v>715</v>
      </c>
    </row>
    <row r="7740" spans="14:14" ht="15" customHeight="1" x14ac:dyDescent="0.25">
      <c r="N7740" t="s">
        <v>582</v>
      </c>
    </row>
    <row r="7741" spans="14:14" ht="15" customHeight="1" x14ac:dyDescent="0.25">
      <c r="N7741" t="s">
        <v>582</v>
      </c>
    </row>
    <row r="7742" spans="14:14" ht="15" customHeight="1" x14ac:dyDescent="0.25">
      <c r="N7742" t="s">
        <v>582</v>
      </c>
    </row>
    <row r="7743" spans="14:14" ht="15" customHeight="1" x14ac:dyDescent="0.25">
      <c r="N7743" t="s">
        <v>582</v>
      </c>
    </row>
    <row r="7744" spans="14:14" ht="15" customHeight="1" x14ac:dyDescent="0.25">
      <c r="N7744" t="s">
        <v>582</v>
      </c>
    </row>
    <row r="7745" spans="14:14" ht="15" customHeight="1" x14ac:dyDescent="0.25">
      <c r="N7745" t="s">
        <v>582</v>
      </c>
    </row>
    <row r="7746" spans="14:14" ht="15" customHeight="1" x14ac:dyDescent="0.25">
      <c r="N7746" t="s">
        <v>582</v>
      </c>
    </row>
    <row r="7747" spans="14:14" ht="15" customHeight="1" x14ac:dyDescent="0.25">
      <c r="N7747" t="s">
        <v>747</v>
      </c>
    </row>
    <row r="7748" spans="14:14" ht="15" customHeight="1" x14ac:dyDescent="0.25">
      <c r="N7748" t="s">
        <v>747</v>
      </c>
    </row>
    <row r="7749" spans="14:14" ht="15" customHeight="1" x14ac:dyDescent="0.25">
      <c r="N7749" t="s">
        <v>747</v>
      </c>
    </row>
    <row r="7750" spans="14:14" ht="15" customHeight="1" x14ac:dyDescent="0.25">
      <c r="N7750" t="s">
        <v>747</v>
      </c>
    </row>
    <row r="7751" spans="14:14" ht="15" customHeight="1" x14ac:dyDescent="0.25">
      <c r="N7751" t="s">
        <v>747</v>
      </c>
    </row>
    <row r="7752" spans="14:14" ht="15" customHeight="1" x14ac:dyDescent="0.25">
      <c r="N7752" t="s">
        <v>735</v>
      </c>
    </row>
    <row r="7753" spans="14:14" ht="15" customHeight="1" x14ac:dyDescent="0.25">
      <c r="N7753" t="s">
        <v>709</v>
      </c>
    </row>
    <row r="7754" spans="14:14" ht="15" customHeight="1" x14ac:dyDescent="0.25">
      <c r="N7754" t="s">
        <v>709</v>
      </c>
    </row>
    <row r="7755" spans="14:14" ht="15" customHeight="1" x14ac:dyDescent="0.25">
      <c r="N7755" t="s">
        <v>709</v>
      </c>
    </row>
    <row r="7756" spans="14:14" ht="15" customHeight="1" x14ac:dyDescent="0.25">
      <c r="N7756" t="s">
        <v>709</v>
      </c>
    </row>
    <row r="7757" spans="14:14" ht="15" customHeight="1" x14ac:dyDescent="0.25">
      <c r="N7757" t="s">
        <v>582</v>
      </c>
    </row>
    <row r="7758" spans="14:14" ht="15" customHeight="1" x14ac:dyDescent="0.25">
      <c r="N7758" t="s">
        <v>715</v>
      </c>
    </row>
    <row r="7759" spans="14:14" ht="15" customHeight="1" x14ac:dyDescent="0.25">
      <c r="N7759" t="s">
        <v>715</v>
      </c>
    </row>
    <row r="7760" spans="14:14" ht="15" customHeight="1" x14ac:dyDescent="0.25">
      <c r="N7760" t="s">
        <v>698</v>
      </c>
    </row>
    <row r="7761" spans="14:14" ht="15" customHeight="1" x14ac:dyDescent="0.25">
      <c r="N7761" t="s">
        <v>715</v>
      </c>
    </row>
    <row r="7762" spans="14:14" ht="15" customHeight="1" x14ac:dyDescent="0.25">
      <c r="N7762" t="s">
        <v>341</v>
      </c>
    </row>
    <row r="7763" spans="14:14" ht="15" customHeight="1" x14ac:dyDescent="0.25">
      <c r="N7763" t="s">
        <v>435</v>
      </c>
    </row>
    <row r="7764" spans="14:14" ht="15" customHeight="1" x14ac:dyDescent="0.25">
      <c r="N7764" t="s">
        <v>655</v>
      </c>
    </row>
    <row r="7765" spans="14:14" ht="15" customHeight="1" x14ac:dyDescent="0.25">
      <c r="N7765" t="s">
        <v>746</v>
      </c>
    </row>
    <row r="7766" spans="14:14" ht="15" customHeight="1" x14ac:dyDescent="0.25">
      <c r="N7766" t="s">
        <v>715</v>
      </c>
    </row>
    <row r="7767" spans="14:14" ht="15" customHeight="1" x14ac:dyDescent="0.25">
      <c r="N7767" t="s">
        <v>582</v>
      </c>
    </row>
    <row r="7768" spans="14:14" ht="15" customHeight="1" x14ac:dyDescent="0.25">
      <c r="N7768" t="s">
        <v>715</v>
      </c>
    </row>
    <row r="7769" spans="14:14" ht="15" customHeight="1" x14ac:dyDescent="0.25">
      <c r="N7769" t="s">
        <v>740</v>
      </c>
    </row>
    <row r="7770" spans="14:14" ht="15" customHeight="1" x14ac:dyDescent="0.25">
      <c r="N7770" t="s">
        <v>748</v>
      </c>
    </row>
    <row r="7771" spans="14:14" ht="15" customHeight="1" x14ac:dyDescent="0.25">
      <c r="N7771" t="s">
        <v>690</v>
      </c>
    </row>
    <row r="7772" spans="14:14" ht="15" customHeight="1" x14ac:dyDescent="0.25">
      <c r="N7772" t="s">
        <v>715</v>
      </c>
    </row>
    <row r="7773" spans="14:14" ht="15" customHeight="1" x14ac:dyDescent="0.25">
      <c r="N7773" t="s">
        <v>715</v>
      </c>
    </row>
    <row r="7774" spans="14:14" ht="15" customHeight="1" x14ac:dyDescent="0.25">
      <c r="N7774" t="s">
        <v>715</v>
      </c>
    </row>
    <row r="7775" spans="14:14" ht="15" customHeight="1" x14ac:dyDescent="0.25">
      <c r="N7775" t="s">
        <v>715</v>
      </c>
    </row>
    <row r="7776" spans="14:14" ht="15" customHeight="1" x14ac:dyDescent="0.25">
      <c r="N7776" t="s">
        <v>715</v>
      </c>
    </row>
    <row r="7777" spans="14:14" ht="15" customHeight="1" x14ac:dyDescent="0.25">
      <c r="N7777" t="s">
        <v>715</v>
      </c>
    </row>
    <row r="7778" spans="14:14" ht="15" customHeight="1" x14ac:dyDescent="0.25">
      <c r="N7778" t="s">
        <v>715</v>
      </c>
    </row>
    <row r="7779" spans="14:14" ht="15" customHeight="1" x14ac:dyDescent="0.25">
      <c r="N7779" t="s">
        <v>715</v>
      </c>
    </row>
    <row r="7780" spans="14:14" ht="15" customHeight="1" x14ac:dyDescent="0.25">
      <c r="N7780" t="s">
        <v>715</v>
      </c>
    </row>
    <row r="7781" spans="14:14" ht="15" customHeight="1" x14ac:dyDescent="0.25">
      <c r="N7781" t="s">
        <v>715</v>
      </c>
    </row>
    <row r="7782" spans="14:14" ht="15" customHeight="1" x14ac:dyDescent="0.25">
      <c r="N7782" t="s">
        <v>715</v>
      </c>
    </row>
    <row r="7783" spans="14:14" ht="15" customHeight="1" x14ac:dyDescent="0.25">
      <c r="N7783" t="s">
        <v>715</v>
      </c>
    </row>
    <row r="7784" spans="14:14" ht="15" customHeight="1" x14ac:dyDescent="0.25">
      <c r="N7784" t="s">
        <v>715</v>
      </c>
    </row>
    <row r="7785" spans="14:14" ht="15" customHeight="1" x14ac:dyDescent="0.25">
      <c r="N7785" t="s">
        <v>715</v>
      </c>
    </row>
    <row r="7786" spans="14:14" ht="15" customHeight="1" x14ac:dyDescent="0.25">
      <c r="N7786" t="s">
        <v>715</v>
      </c>
    </row>
    <row r="7787" spans="14:14" ht="15" customHeight="1" x14ac:dyDescent="0.25">
      <c r="N7787" t="s">
        <v>715</v>
      </c>
    </row>
    <row r="7788" spans="14:14" ht="15" customHeight="1" x14ac:dyDescent="0.25">
      <c r="N7788" t="s">
        <v>715</v>
      </c>
    </row>
    <row r="7789" spans="14:14" ht="15" customHeight="1" x14ac:dyDescent="0.25">
      <c r="N7789" t="s">
        <v>715</v>
      </c>
    </row>
    <row r="7790" spans="14:14" ht="15" customHeight="1" x14ac:dyDescent="0.25">
      <c r="N7790" t="s">
        <v>715</v>
      </c>
    </row>
    <row r="7791" spans="14:14" ht="15" customHeight="1" x14ac:dyDescent="0.25">
      <c r="N7791" t="s">
        <v>715</v>
      </c>
    </row>
    <row r="7792" spans="14:14" ht="15" customHeight="1" x14ac:dyDescent="0.25">
      <c r="N7792" t="s">
        <v>715</v>
      </c>
    </row>
    <row r="7793" spans="14:14" ht="15" customHeight="1" x14ac:dyDescent="0.25">
      <c r="N7793" t="s">
        <v>715</v>
      </c>
    </row>
    <row r="7794" spans="14:14" ht="15" customHeight="1" x14ac:dyDescent="0.25">
      <c r="N7794" t="s">
        <v>715</v>
      </c>
    </row>
    <row r="7795" spans="14:14" ht="15" customHeight="1" x14ac:dyDescent="0.25">
      <c r="N7795" t="s">
        <v>715</v>
      </c>
    </row>
    <row r="7796" spans="14:14" ht="15" customHeight="1" x14ac:dyDescent="0.25">
      <c r="N7796" t="s">
        <v>715</v>
      </c>
    </row>
    <row r="7797" spans="14:14" ht="15" customHeight="1" x14ac:dyDescent="0.25">
      <c r="N7797" t="s">
        <v>715</v>
      </c>
    </row>
    <row r="7798" spans="14:14" ht="15" customHeight="1" x14ac:dyDescent="0.25">
      <c r="N7798" t="s">
        <v>841</v>
      </c>
    </row>
    <row r="7799" spans="14:14" ht="15" customHeight="1" x14ac:dyDescent="0.25">
      <c r="N7799" t="s">
        <v>828</v>
      </c>
    </row>
    <row r="7800" spans="14:14" ht="15" customHeight="1" x14ac:dyDescent="0.25">
      <c r="N7800" t="s">
        <v>715</v>
      </c>
    </row>
    <row r="7801" spans="14:14" ht="15" customHeight="1" x14ac:dyDescent="0.25">
      <c r="N7801" t="s">
        <v>715</v>
      </c>
    </row>
    <row r="7802" spans="14:14" ht="15" customHeight="1" x14ac:dyDescent="0.25">
      <c r="N7802" t="s">
        <v>606</v>
      </c>
    </row>
    <row r="7803" spans="14:14" ht="15" customHeight="1" x14ac:dyDescent="0.25">
      <c r="N7803" t="s">
        <v>603</v>
      </c>
    </row>
    <row r="7804" spans="14:14" ht="15" customHeight="1" x14ac:dyDescent="0.25">
      <c r="N7804" t="s">
        <v>412</v>
      </c>
    </row>
    <row r="7805" spans="14:14" ht="15" customHeight="1" x14ac:dyDescent="0.25">
      <c r="N7805" t="s">
        <v>713</v>
      </c>
    </row>
    <row r="7806" spans="14:14" ht="15" customHeight="1" x14ac:dyDescent="0.25">
      <c r="N7806" t="s">
        <v>713</v>
      </c>
    </row>
    <row r="7807" spans="14:14" ht="15" customHeight="1" x14ac:dyDescent="0.25">
      <c r="N7807" t="s">
        <v>686</v>
      </c>
    </row>
    <row r="7808" spans="14:14" ht="15" customHeight="1" x14ac:dyDescent="0.25">
      <c r="N7808" t="s">
        <v>715</v>
      </c>
    </row>
    <row r="7809" spans="14:14" ht="15" customHeight="1" x14ac:dyDescent="0.25">
      <c r="N7809" t="s">
        <v>715</v>
      </c>
    </row>
    <row r="7810" spans="14:14" ht="15" customHeight="1" x14ac:dyDescent="0.25">
      <c r="N7810" t="s">
        <v>715</v>
      </c>
    </row>
    <row r="7811" spans="14:14" ht="15" customHeight="1" x14ac:dyDescent="0.25">
      <c r="N7811" t="s">
        <v>715</v>
      </c>
    </row>
    <row r="7812" spans="14:14" ht="15" customHeight="1" x14ac:dyDescent="0.25">
      <c r="N7812" t="s">
        <v>715</v>
      </c>
    </row>
    <row r="7813" spans="14:14" ht="15" customHeight="1" x14ac:dyDescent="0.25">
      <c r="N7813" t="s">
        <v>582</v>
      </c>
    </row>
    <row r="7814" spans="14:14" ht="15" customHeight="1" x14ac:dyDescent="0.25">
      <c r="N7814" t="s">
        <v>294</v>
      </c>
    </row>
    <row r="7815" spans="14:14" ht="15" customHeight="1" x14ac:dyDescent="0.25">
      <c r="N7815" t="s">
        <v>294</v>
      </c>
    </row>
    <row r="7816" spans="14:14" ht="15" customHeight="1" x14ac:dyDescent="0.25">
      <c r="N7816" t="s">
        <v>294</v>
      </c>
    </row>
    <row r="7817" spans="14:14" ht="15" customHeight="1" x14ac:dyDescent="0.25">
      <c r="N7817" t="s">
        <v>294</v>
      </c>
    </row>
    <row r="7818" spans="14:14" ht="15" customHeight="1" x14ac:dyDescent="0.25">
      <c r="N7818" t="s">
        <v>715</v>
      </c>
    </row>
    <row r="7819" spans="14:14" ht="15" customHeight="1" x14ac:dyDescent="0.25">
      <c r="N7819" t="s">
        <v>582</v>
      </c>
    </row>
    <row r="7820" spans="14:14" ht="15" customHeight="1" x14ac:dyDescent="0.25">
      <c r="N7820" t="s">
        <v>698</v>
      </c>
    </row>
    <row r="7821" spans="14:14" ht="15" customHeight="1" x14ac:dyDescent="0.25">
      <c r="N7821" t="s">
        <v>342</v>
      </c>
    </row>
    <row r="7822" spans="14:14" ht="15" customHeight="1" x14ac:dyDescent="0.25">
      <c r="N7822" t="s">
        <v>320</v>
      </c>
    </row>
    <row r="7823" spans="14:14" ht="15" customHeight="1" x14ac:dyDescent="0.25">
      <c r="N7823" t="s">
        <v>655</v>
      </c>
    </row>
    <row r="7824" spans="14:14" ht="15" customHeight="1" x14ac:dyDescent="0.25">
      <c r="N7824" t="s">
        <v>582</v>
      </c>
    </row>
    <row r="7825" spans="14:14" ht="15" customHeight="1" x14ac:dyDescent="0.25">
      <c r="N7825" t="s">
        <v>690</v>
      </c>
    </row>
    <row r="7826" spans="14:14" ht="15" customHeight="1" x14ac:dyDescent="0.25">
      <c r="N7826" t="s">
        <v>715</v>
      </c>
    </row>
    <row r="7827" spans="14:14" ht="15" customHeight="1" x14ac:dyDescent="0.25">
      <c r="N7827" t="s">
        <v>715</v>
      </c>
    </row>
    <row r="7828" spans="14:14" ht="15" customHeight="1" x14ac:dyDescent="0.25">
      <c r="N7828" t="s">
        <v>715</v>
      </c>
    </row>
    <row r="7829" spans="14:14" ht="15" customHeight="1" x14ac:dyDescent="0.25">
      <c r="N7829" t="s">
        <v>715</v>
      </c>
    </row>
    <row r="7830" spans="14:14" ht="15" customHeight="1" x14ac:dyDescent="0.25">
      <c r="N7830" t="s">
        <v>715</v>
      </c>
    </row>
    <row r="7831" spans="14:14" ht="15" customHeight="1" x14ac:dyDescent="0.25">
      <c r="N7831" t="s">
        <v>715</v>
      </c>
    </row>
    <row r="7832" spans="14:14" ht="15" customHeight="1" x14ac:dyDescent="0.25">
      <c r="N7832" t="s">
        <v>715</v>
      </c>
    </row>
    <row r="7833" spans="14:14" ht="15" customHeight="1" x14ac:dyDescent="0.25">
      <c r="N7833" t="s">
        <v>715</v>
      </c>
    </row>
    <row r="7834" spans="14:14" ht="15" customHeight="1" x14ac:dyDescent="0.25">
      <c r="N7834" t="s">
        <v>715</v>
      </c>
    </row>
    <row r="7835" spans="14:14" ht="15" customHeight="1" x14ac:dyDescent="0.25">
      <c r="N7835" t="s">
        <v>715</v>
      </c>
    </row>
    <row r="7836" spans="14:14" ht="15" customHeight="1" x14ac:dyDescent="0.25">
      <c r="N7836" t="s">
        <v>715</v>
      </c>
    </row>
    <row r="7837" spans="14:14" ht="15" customHeight="1" x14ac:dyDescent="0.25">
      <c r="N7837" t="s">
        <v>715</v>
      </c>
    </row>
    <row r="7838" spans="14:14" ht="15" customHeight="1" x14ac:dyDescent="0.25">
      <c r="N7838" t="s">
        <v>715</v>
      </c>
    </row>
    <row r="7839" spans="14:14" ht="15" customHeight="1" x14ac:dyDescent="0.25">
      <c r="N7839" t="s">
        <v>715</v>
      </c>
    </row>
    <row r="7840" spans="14:14" ht="15" customHeight="1" x14ac:dyDescent="0.25">
      <c r="N7840" t="s">
        <v>715</v>
      </c>
    </row>
    <row r="7841" spans="14:14" ht="15" customHeight="1" x14ac:dyDescent="0.25">
      <c r="N7841" t="s">
        <v>715</v>
      </c>
    </row>
    <row r="7842" spans="14:14" ht="15" customHeight="1" x14ac:dyDescent="0.25">
      <c r="N7842" t="s">
        <v>715</v>
      </c>
    </row>
    <row r="7843" spans="14:14" ht="15" customHeight="1" x14ac:dyDescent="0.25">
      <c r="N7843" t="s">
        <v>715</v>
      </c>
    </row>
    <row r="7844" spans="14:14" ht="15" customHeight="1" x14ac:dyDescent="0.25">
      <c r="N7844" t="s">
        <v>715</v>
      </c>
    </row>
    <row r="7845" spans="14:14" ht="15" customHeight="1" x14ac:dyDescent="0.25">
      <c r="N7845" t="s">
        <v>715</v>
      </c>
    </row>
    <row r="7846" spans="14:14" ht="15" customHeight="1" x14ac:dyDescent="0.25">
      <c r="N7846" t="s">
        <v>715</v>
      </c>
    </row>
    <row r="7847" spans="14:14" ht="15" customHeight="1" x14ac:dyDescent="0.25">
      <c r="N7847" t="s">
        <v>715</v>
      </c>
    </row>
    <row r="7848" spans="14:14" ht="15" customHeight="1" x14ac:dyDescent="0.25">
      <c r="N7848" t="s">
        <v>715</v>
      </c>
    </row>
    <row r="7849" spans="14:14" ht="15" customHeight="1" x14ac:dyDescent="0.25">
      <c r="N7849" t="s">
        <v>715</v>
      </c>
    </row>
    <row r="7850" spans="14:14" ht="15" customHeight="1" x14ac:dyDescent="0.25">
      <c r="N7850" t="s">
        <v>715</v>
      </c>
    </row>
    <row r="7851" spans="14:14" ht="15" customHeight="1" x14ac:dyDescent="0.25">
      <c r="N7851" t="s">
        <v>715</v>
      </c>
    </row>
    <row r="7852" spans="14:14" ht="15" customHeight="1" x14ac:dyDescent="0.25">
      <c r="N7852" t="s">
        <v>842</v>
      </c>
    </row>
    <row r="7853" spans="14:14" ht="15" customHeight="1" x14ac:dyDescent="0.25">
      <c r="N7853" t="s">
        <v>828</v>
      </c>
    </row>
    <row r="7854" spans="14:14" ht="15" customHeight="1" x14ac:dyDescent="0.25">
      <c r="N7854" t="s">
        <v>376</v>
      </c>
    </row>
    <row r="7855" spans="14:14" ht="15" customHeight="1" x14ac:dyDescent="0.25">
      <c r="N7855" t="s">
        <v>713</v>
      </c>
    </row>
    <row r="7856" spans="14:14" ht="15" customHeight="1" x14ac:dyDescent="0.25">
      <c r="N7856" t="s">
        <v>411</v>
      </c>
    </row>
    <row r="7857" spans="14:14" ht="15" customHeight="1" x14ac:dyDescent="0.25">
      <c r="N7857" t="s">
        <v>687</v>
      </c>
    </row>
    <row r="7858" spans="14:14" ht="15" customHeight="1" x14ac:dyDescent="0.25">
      <c r="N7858" t="s">
        <v>689</v>
      </c>
    </row>
    <row r="7859" spans="14:14" ht="15" customHeight="1" x14ac:dyDescent="0.25">
      <c r="N7859" t="s">
        <v>715</v>
      </c>
    </row>
    <row r="7860" spans="14:14" ht="15" customHeight="1" x14ac:dyDescent="0.25">
      <c r="N7860" t="s">
        <v>715</v>
      </c>
    </row>
    <row r="7861" spans="14:14" ht="15" customHeight="1" x14ac:dyDescent="0.25">
      <c r="N7861" t="s">
        <v>715</v>
      </c>
    </row>
    <row r="7862" spans="14:14" ht="15" customHeight="1" x14ac:dyDescent="0.25">
      <c r="N7862" t="s">
        <v>715</v>
      </c>
    </row>
    <row r="7863" spans="14:14" ht="15" customHeight="1" x14ac:dyDescent="0.25">
      <c r="N7863" t="s">
        <v>403</v>
      </c>
    </row>
    <row r="7864" spans="14:14" ht="15" customHeight="1" x14ac:dyDescent="0.25">
      <c r="N7864" t="s">
        <v>403</v>
      </c>
    </row>
    <row r="7865" spans="14:14" ht="15" customHeight="1" x14ac:dyDescent="0.25">
      <c r="N7865" t="s">
        <v>403</v>
      </c>
    </row>
    <row r="7866" spans="14:14" ht="15" customHeight="1" x14ac:dyDescent="0.25">
      <c r="N7866" t="s">
        <v>403</v>
      </c>
    </row>
    <row r="7867" spans="14:14" ht="15" customHeight="1" x14ac:dyDescent="0.25">
      <c r="N7867" t="s">
        <v>403</v>
      </c>
    </row>
    <row r="7868" spans="14:14" ht="15" customHeight="1" x14ac:dyDescent="0.25">
      <c r="N7868" t="s">
        <v>403</v>
      </c>
    </row>
    <row r="7869" spans="14:14" ht="15" customHeight="1" x14ac:dyDescent="0.25">
      <c r="N7869" t="s">
        <v>403</v>
      </c>
    </row>
    <row r="7870" spans="14:14" ht="15" customHeight="1" x14ac:dyDescent="0.25">
      <c r="N7870" t="s">
        <v>715</v>
      </c>
    </row>
    <row r="7871" spans="14:14" ht="15" customHeight="1" x14ac:dyDescent="0.25">
      <c r="N7871" t="s">
        <v>698</v>
      </c>
    </row>
    <row r="7872" spans="14:14" ht="15" customHeight="1" x14ac:dyDescent="0.25">
      <c r="N7872" t="s">
        <v>733</v>
      </c>
    </row>
    <row r="7873" spans="14:14" ht="15" customHeight="1" x14ac:dyDescent="0.25">
      <c r="N7873" t="s">
        <v>715</v>
      </c>
    </row>
    <row r="7874" spans="14:14" ht="15" customHeight="1" x14ac:dyDescent="0.25">
      <c r="N7874" t="s">
        <v>686</v>
      </c>
    </row>
    <row r="7875" spans="14:14" ht="15" customHeight="1" x14ac:dyDescent="0.25">
      <c r="N7875" t="s">
        <v>405</v>
      </c>
    </row>
    <row r="7876" spans="14:14" ht="15" customHeight="1" x14ac:dyDescent="0.25">
      <c r="N7876" t="s">
        <v>687</v>
      </c>
    </row>
    <row r="7877" spans="14:14" ht="15" customHeight="1" x14ac:dyDescent="0.25">
      <c r="N7877" t="s">
        <v>715</v>
      </c>
    </row>
    <row r="7878" spans="14:14" ht="15" customHeight="1" x14ac:dyDescent="0.25">
      <c r="N7878" t="s">
        <v>655</v>
      </c>
    </row>
    <row r="7879" spans="14:14" ht="15" customHeight="1" x14ac:dyDescent="0.25">
      <c r="N7879" t="s">
        <v>406</v>
      </c>
    </row>
    <row r="7880" spans="14:14" ht="15" customHeight="1" x14ac:dyDescent="0.25">
      <c r="N7880" t="s">
        <v>634</v>
      </c>
    </row>
    <row r="7881" spans="14:14" ht="15" customHeight="1" x14ac:dyDescent="0.25">
      <c r="N7881" t="s">
        <v>686</v>
      </c>
    </row>
    <row r="7882" spans="14:14" ht="15" customHeight="1" x14ac:dyDescent="0.25">
      <c r="N7882" t="s">
        <v>686</v>
      </c>
    </row>
    <row r="7883" spans="14:14" ht="15" customHeight="1" x14ac:dyDescent="0.25">
      <c r="N7883" t="s">
        <v>435</v>
      </c>
    </row>
    <row r="7884" spans="14:14" ht="15" customHeight="1" x14ac:dyDescent="0.25">
      <c r="N7884" t="s">
        <v>655</v>
      </c>
    </row>
    <row r="7885" spans="14:14" ht="15" customHeight="1" x14ac:dyDescent="0.25">
      <c r="N7885" t="s">
        <v>732</v>
      </c>
    </row>
    <row r="7886" spans="14:14" ht="15" customHeight="1" x14ac:dyDescent="0.25">
      <c r="N7886" t="s">
        <v>313</v>
      </c>
    </row>
    <row r="7887" spans="14:14" ht="15" customHeight="1" x14ac:dyDescent="0.25">
      <c r="N7887" t="s">
        <v>646</v>
      </c>
    </row>
    <row r="7888" spans="14:14" ht="15" customHeight="1" x14ac:dyDescent="0.25">
      <c r="N7888" t="s">
        <v>683</v>
      </c>
    </row>
    <row r="7889" spans="14:14" ht="15" customHeight="1" x14ac:dyDescent="0.25">
      <c r="N7889" t="s">
        <v>690</v>
      </c>
    </row>
    <row r="7890" spans="14:14" ht="15" customHeight="1" x14ac:dyDescent="0.25">
      <c r="N7890" t="s">
        <v>555</v>
      </c>
    </row>
    <row r="7891" spans="14:14" ht="15" customHeight="1" x14ac:dyDescent="0.25">
      <c r="N7891" t="s">
        <v>458</v>
      </c>
    </row>
    <row r="7892" spans="14:14" ht="15" customHeight="1" x14ac:dyDescent="0.25">
      <c r="N7892" t="s">
        <v>690</v>
      </c>
    </row>
    <row r="7893" spans="14:14" ht="15" customHeight="1" x14ac:dyDescent="0.25">
      <c r="N7893" t="s">
        <v>582</v>
      </c>
    </row>
    <row r="7894" spans="14:14" ht="15" customHeight="1" x14ac:dyDescent="0.25">
      <c r="N7894" t="s">
        <v>698</v>
      </c>
    </row>
    <row r="7895" spans="14:14" ht="15" customHeight="1" x14ac:dyDescent="0.25">
      <c r="N7895" t="s">
        <v>313</v>
      </c>
    </row>
    <row r="7896" spans="14:14" ht="15" customHeight="1" x14ac:dyDescent="0.25">
      <c r="N7896" t="s">
        <v>646</v>
      </c>
    </row>
    <row r="7897" spans="14:14" ht="15" customHeight="1" x14ac:dyDescent="0.25">
      <c r="N7897" t="s">
        <v>636</v>
      </c>
    </row>
    <row r="7898" spans="14:14" ht="15" customHeight="1" x14ac:dyDescent="0.25">
      <c r="N7898" t="s">
        <v>636</v>
      </c>
    </row>
    <row r="7899" spans="14:14" ht="15" customHeight="1" x14ac:dyDescent="0.25">
      <c r="N7899" t="s">
        <v>636</v>
      </c>
    </row>
    <row r="7900" spans="14:14" ht="15" customHeight="1" x14ac:dyDescent="0.25">
      <c r="N7900" t="s">
        <v>636</v>
      </c>
    </row>
    <row r="7901" spans="14:14" ht="15" customHeight="1" x14ac:dyDescent="0.25">
      <c r="N7901" t="s">
        <v>636</v>
      </c>
    </row>
    <row r="7902" spans="14:14" ht="15" customHeight="1" x14ac:dyDescent="0.25">
      <c r="N7902" t="s">
        <v>636</v>
      </c>
    </row>
    <row r="7903" spans="14:14" ht="15" customHeight="1" x14ac:dyDescent="0.25">
      <c r="N7903" t="s">
        <v>636</v>
      </c>
    </row>
    <row r="7904" spans="14:14" ht="15" customHeight="1" x14ac:dyDescent="0.25">
      <c r="N7904" t="s">
        <v>636</v>
      </c>
    </row>
    <row r="7905" spans="14:14" ht="15" customHeight="1" x14ac:dyDescent="0.25">
      <c r="N7905" t="s">
        <v>683</v>
      </c>
    </row>
    <row r="7906" spans="14:14" ht="15" customHeight="1" x14ac:dyDescent="0.25">
      <c r="N7906" t="s">
        <v>294</v>
      </c>
    </row>
    <row r="7907" spans="14:14" ht="15" customHeight="1" x14ac:dyDescent="0.25">
      <c r="N7907" t="s">
        <v>636</v>
      </c>
    </row>
    <row r="7908" spans="14:14" ht="15" customHeight="1" x14ac:dyDescent="0.25">
      <c r="N7908" t="s">
        <v>448</v>
      </c>
    </row>
    <row r="7909" spans="14:14" ht="15" customHeight="1" x14ac:dyDescent="0.25">
      <c r="N7909" t="s">
        <v>448</v>
      </c>
    </row>
    <row r="7910" spans="14:14" ht="15" customHeight="1" x14ac:dyDescent="0.25">
      <c r="N7910" t="s">
        <v>448</v>
      </c>
    </row>
    <row r="7911" spans="14:14" ht="15" customHeight="1" x14ac:dyDescent="0.25">
      <c r="N7911" t="s">
        <v>448</v>
      </c>
    </row>
    <row r="7912" spans="14:14" ht="15" customHeight="1" x14ac:dyDescent="0.25">
      <c r="N7912" t="s">
        <v>448</v>
      </c>
    </row>
    <row r="7913" spans="14:14" ht="15" customHeight="1" x14ac:dyDescent="0.25">
      <c r="N7913" t="s">
        <v>448</v>
      </c>
    </row>
    <row r="7914" spans="14:14" ht="15" customHeight="1" x14ac:dyDescent="0.25">
      <c r="N7914" t="s">
        <v>448</v>
      </c>
    </row>
    <row r="7915" spans="14:14" ht="15" customHeight="1" x14ac:dyDescent="0.25">
      <c r="N7915" t="s">
        <v>448</v>
      </c>
    </row>
    <row r="7916" spans="14:14" ht="15" customHeight="1" x14ac:dyDescent="0.25">
      <c r="N7916" t="s">
        <v>448</v>
      </c>
    </row>
    <row r="7917" spans="14:14" ht="15" customHeight="1" x14ac:dyDescent="0.25">
      <c r="N7917" t="s">
        <v>448</v>
      </c>
    </row>
    <row r="7918" spans="14:14" ht="15" customHeight="1" x14ac:dyDescent="0.25">
      <c r="N7918" t="s">
        <v>448</v>
      </c>
    </row>
    <row r="7919" spans="14:14" ht="15" customHeight="1" x14ac:dyDescent="0.25">
      <c r="N7919" t="s">
        <v>448</v>
      </c>
    </row>
    <row r="7920" spans="14:14" ht="15" customHeight="1" x14ac:dyDescent="0.25">
      <c r="N7920" t="s">
        <v>448</v>
      </c>
    </row>
    <row r="7921" spans="14:14" ht="15" customHeight="1" x14ac:dyDescent="0.25">
      <c r="N7921" t="s">
        <v>715</v>
      </c>
    </row>
    <row r="7922" spans="14:14" ht="15" customHeight="1" x14ac:dyDescent="0.25">
      <c r="N7922" t="s">
        <v>698</v>
      </c>
    </row>
    <row r="7923" spans="14:14" ht="15" customHeight="1" x14ac:dyDescent="0.25">
      <c r="N7923" t="s">
        <v>605</v>
      </c>
    </row>
    <row r="7924" spans="14:14" ht="15" customHeight="1" x14ac:dyDescent="0.25">
      <c r="N7924" t="s">
        <v>698</v>
      </c>
    </row>
    <row r="7925" spans="14:14" ht="15" customHeight="1" x14ac:dyDescent="0.25">
      <c r="N7925" t="s">
        <v>350</v>
      </c>
    </row>
    <row r="7926" spans="14:14" ht="15" customHeight="1" x14ac:dyDescent="0.25">
      <c r="N7926" t="s">
        <v>294</v>
      </c>
    </row>
    <row r="7927" spans="14:14" ht="15" customHeight="1" x14ac:dyDescent="0.25">
      <c r="N7927" t="s">
        <v>683</v>
      </c>
    </row>
    <row r="7928" spans="14:14" ht="15" customHeight="1" x14ac:dyDescent="0.25">
      <c r="N7928" t="s">
        <v>663</v>
      </c>
    </row>
    <row r="7929" spans="14:14" ht="15" customHeight="1" x14ac:dyDescent="0.25">
      <c r="N7929" t="s">
        <v>732</v>
      </c>
    </row>
    <row r="7930" spans="14:14" ht="15" customHeight="1" x14ac:dyDescent="0.25">
      <c r="N7930" t="s">
        <v>732</v>
      </c>
    </row>
    <row r="7931" spans="14:14" ht="15" customHeight="1" x14ac:dyDescent="0.25">
      <c r="N7931" t="s">
        <v>732</v>
      </c>
    </row>
    <row r="7932" spans="14:14" ht="15" customHeight="1" x14ac:dyDescent="0.25">
      <c r="N7932" t="s">
        <v>732</v>
      </c>
    </row>
    <row r="7933" spans="14:14" ht="15" customHeight="1" x14ac:dyDescent="0.25">
      <c r="N7933" t="s">
        <v>732</v>
      </c>
    </row>
    <row r="7934" spans="14:14" ht="15" customHeight="1" x14ac:dyDescent="0.25">
      <c r="N7934" t="s">
        <v>732</v>
      </c>
    </row>
    <row r="7935" spans="14:14" ht="15" customHeight="1" x14ac:dyDescent="0.25">
      <c r="N7935" t="s">
        <v>732</v>
      </c>
    </row>
    <row r="7936" spans="14:14" ht="15" customHeight="1" x14ac:dyDescent="0.25">
      <c r="N7936" t="s">
        <v>698</v>
      </c>
    </row>
    <row r="7937" spans="14:14" ht="15" customHeight="1" x14ac:dyDescent="0.25">
      <c r="N7937" t="s">
        <v>690</v>
      </c>
    </row>
    <row r="7938" spans="14:14" ht="15" customHeight="1" x14ac:dyDescent="0.25">
      <c r="N7938" t="s">
        <v>683</v>
      </c>
    </row>
    <row r="7939" spans="14:14" ht="15" customHeight="1" x14ac:dyDescent="0.25">
      <c r="N7939" t="s">
        <v>313</v>
      </c>
    </row>
    <row r="7940" spans="14:14" ht="15" customHeight="1" x14ac:dyDescent="0.25">
      <c r="N7940" t="s">
        <v>313</v>
      </c>
    </row>
    <row r="7941" spans="14:14" ht="15" customHeight="1" x14ac:dyDescent="0.25">
      <c r="N7941" t="s">
        <v>313</v>
      </c>
    </row>
    <row r="7942" spans="14:14" ht="15" customHeight="1" x14ac:dyDescent="0.25">
      <c r="N7942" t="s">
        <v>313</v>
      </c>
    </row>
    <row r="7943" spans="14:14" ht="15" customHeight="1" x14ac:dyDescent="0.25">
      <c r="N7943" t="s">
        <v>313</v>
      </c>
    </row>
    <row r="7944" spans="14:14" ht="15" customHeight="1" x14ac:dyDescent="0.25">
      <c r="N7944" t="s">
        <v>313</v>
      </c>
    </row>
    <row r="7945" spans="14:14" ht="15" customHeight="1" x14ac:dyDescent="0.25">
      <c r="N7945" t="s">
        <v>313</v>
      </c>
    </row>
    <row r="7946" spans="14:14" ht="15" customHeight="1" x14ac:dyDescent="0.25">
      <c r="N7946" t="s">
        <v>634</v>
      </c>
    </row>
    <row r="7947" spans="14:14" ht="15" customHeight="1" x14ac:dyDescent="0.25">
      <c r="N7947" t="s">
        <v>499</v>
      </c>
    </row>
    <row r="7948" spans="14:14" ht="15" customHeight="1" x14ac:dyDescent="0.25">
      <c r="N7948" t="s">
        <v>683</v>
      </c>
    </row>
    <row r="7949" spans="14:14" ht="15" customHeight="1" x14ac:dyDescent="0.25">
      <c r="N7949" t="s">
        <v>636</v>
      </c>
    </row>
    <row r="7950" spans="14:14" ht="15" customHeight="1" x14ac:dyDescent="0.25">
      <c r="N7950" t="s">
        <v>313</v>
      </c>
    </row>
    <row r="7951" spans="14:14" ht="15" customHeight="1" x14ac:dyDescent="0.25">
      <c r="N7951" t="s">
        <v>683</v>
      </c>
    </row>
    <row r="7952" spans="14:14" ht="15" customHeight="1" x14ac:dyDescent="0.25">
      <c r="N7952" t="s">
        <v>820</v>
      </c>
    </row>
    <row r="7953" spans="14:14" ht="15" customHeight="1" x14ac:dyDescent="0.25">
      <c r="N7953" t="s">
        <v>579</v>
      </c>
    </row>
    <row r="7954" spans="14:14" ht="15" customHeight="1" x14ac:dyDescent="0.25">
      <c r="N7954" t="s">
        <v>663</v>
      </c>
    </row>
    <row r="7955" spans="14:14" ht="15" customHeight="1" x14ac:dyDescent="0.25">
      <c r="N7955" t="s">
        <v>843</v>
      </c>
    </row>
    <row r="7956" spans="14:14" ht="15" customHeight="1" x14ac:dyDescent="0.25">
      <c r="N7956" t="s">
        <v>844</v>
      </c>
    </row>
    <row r="7957" spans="14:14" ht="15" customHeight="1" x14ac:dyDescent="0.25">
      <c r="N7957" t="s">
        <v>732</v>
      </c>
    </row>
    <row r="7958" spans="14:14" ht="15" customHeight="1" x14ac:dyDescent="0.25">
      <c r="N7958" t="s">
        <v>732</v>
      </c>
    </row>
    <row r="7959" spans="14:14" ht="15" customHeight="1" x14ac:dyDescent="0.25">
      <c r="N7959" t="s">
        <v>313</v>
      </c>
    </row>
    <row r="7960" spans="14:14" ht="15" customHeight="1" x14ac:dyDescent="0.25">
      <c r="N7960" t="s">
        <v>463</v>
      </c>
    </row>
    <row r="7961" spans="14:14" ht="15" customHeight="1" x14ac:dyDescent="0.25">
      <c r="N7961" t="s">
        <v>654</v>
      </c>
    </row>
    <row r="7962" spans="14:14" ht="15" customHeight="1" x14ac:dyDescent="0.25">
      <c r="N7962" t="s">
        <v>313</v>
      </c>
    </row>
    <row r="7963" spans="14:14" ht="15" customHeight="1" x14ac:dyDescent="0.25">
      <c r="N7963" t="s">
        <v>844</v>
      </c>
    </row>
    <row r="7964" spans="14:14" ht="15" customHeight="1" x14ac:dyDescent="0.25">
      <c r="N7964" t="s">
        <v>713</v>
      </c>
    </row>
    <row r="7965" spans="14:14" ht="15" customHeight="1" x14ac:dyDescent="0.25">
      <c r="N7965" t="s">
        <v>579</v>
      </c>
    </row>
    <row r="7966" spans="14:14" ht="15" customHeight="1" x14ac:dyDescent="0.25">
      <c r="N7966" t="s">
        <v>663</v>
      </c>
    </row>
    <row r="7967" spans="14:14" ht="15" customHeight="1" x14ac:dyDescent="0.25">
      <c r="N7967" t="s">
        <v>732</v>
      </c>
    </row>
    <row r="7968" spans="14:14" ht="15" customHeight="1" x14ac:dyDescent="0.25">
      <c r="N7968" t="s">
        <v>355</v>
      </c>
    </row>
    <row r="7969" spans="14:14" ht="15" customHeight="1" x14ac:dyDescent="0.25">
      <c r="N7969" t="s">
        <v>732</v>
      </c>
    </row>
    <row r="7970" spans="14:14" ht="15" customHeight="1" x14ac:dyDescent="0.25">
      <c r="N7970" t="s">
        <v>654</v>
      </c>
    </row>
    <row r="7971" spans="14:14" ht="15" customHeight="1" x14ac:dyDescent="0.25">
      <c r="N7971" t="s">
        <v>485</v>
      </c>
    </row>
    <row r="7972" spans="14:14" ht="15" customHeight="1" x14ac:dyDescent="0.25">
      <c r="N7972" t="s">
        <v>363</v>
      </c>
    </row>
    <row r="7973" spans="14:14" ht="15" customHeight="1" x14ac:dyDescent="0.25">
      <c r="N7973" t="s">
        <v>732</v>
      </c>
    </row>
    <row r="7974" spans="14:14" ht="15" customHeight="1" x14ac:dyDescent="0.25">
      <c r="N7974" t="s">
        <v>713</v>
      </c>
    </row>
    <row r="7975" spans="14:14" ht="15" customHeight="1" x14ac:dyDescent="0.25">
      <c r="N7975" t="s">
        <v>685</v>
      </c>
    </row>
    <row r="7976" spans="14:14" ht="15" customHeight="1" x14ac:dyDescent="0.25">
      <c r="N7976" t="s">
        <v>713</v>
      </c>
    </row>
    <row r="7977" spans="14:14" ht="15" customHeight="1" x14ac:dyDescent="0.25">
      <c r="N7977" t="s">
        <v>687</v>
      </c>
    </row>
    <row r="7978" spans="14:14" ht="15" customHeight="1" x14ac:dyDescent="0.25">
      <c r="N7978" t="s">
        <v>313</v>
      </c>
    </row>
    <row r="7979" spans="14:14" ht="15" customHeight="1" x14ac:dyDescent="0.25">
      <c r="N7979" t="s">
        <v>670</v>
      </c>
    </row>
    <row r="7980" spans="14:14" ht="15" customHeight="1" x14ac:dyDescent="0.25">
      <c r="N7980" t="s">
        <v>732</v>
      </c>
    </row>
    <row r="7981" spans="14:14" ht="15" customHeight="1" x14ac:dyDescent="0.25">
      <c r="N7981" t="s">
        <v>732</v>
      </c>
    </row>
    <row r="7982" spans="14:14" ht="15" customHeight="1" x14ac:dyDescent="0.25">
      <c r="N7982" t="s">
        <v>732</v>
      </c>
    </row>
    <row r="7983" spans="14:14" ht="15" customHeight="1" x14ac:dyDescent="0.25">
      <c r="N7983" t="s">
        <v>732</v>
      </c>
    </row>
    <row r="7984" spans="14:14" ht="15" customHeight="1" x14ac:dyDescent="0.25">
      <c r="N7984" t="s">
        <v>732</v>
      </c>
    </row>
    <row r="7985" spans="14:14" ht="15" customHeight="1" x14ac:dyDescent="0.25">
      <c r="N7985" t="s">
        <v>732</v>
      </c>
    </row>
    <row r="7986" spans="14:14" ht="15" customHeight="1" x14ac:dyDescent="0.25">
      <c r="N7986" t="s">
        <v>732</v>
      </c>
    </row>
    <row r="7987" spans="14:14" ht="15" customHeight="1" x14ac:dyDescent="0.25">
      <c r="N7987" t="s">
        <v>732</v>
      </c>
    </row>
    <row r="7988" spans="14:14" ht="15" customHeight="1" x14ac:dyDescent="0.25">
      <c r="N7988" t="s">
        <v>732</v>
      </c>
    </row>
    <row r="7989" spans="14:14" ht="15" customHeight="1" x14ac:dyDescent="0.25">
      <c r="N7989" t="s">
        <v>732</v>
      </c>
    </row>
    <row r="7990" spans="14:14" ht="15" customHeight="1" x14ac:dyDescent="0.25">
      <c r="N7990" t="s">
        <v>732</v>
      </c>
    </row>
    <row r="7991" spans="14:14" ht="15" customHeight="1" x14ac:dyDescent="0.25">
      <c r="N7991" t="s">
        <v>732</v>
      </c>
    </row>
    <row r="7992" spans="14:14" ht="15" customHeight="1" x14ac:dyDescent="0.25">
      <c r="N7992" t="s">
        <v>732</v>
      </c>
    </row>
    <row r="7993" spans="14:14" ht="15" customHeight="1" x14ac:dyDescent="0.25">
      <c r="N7993" t="s">
        <v>313</v>
      </c>
    </row>
    <row r="7994" spans="14:14" ht="15" customHeight="1" x14ac:dyDescent="0.25">
      <c r="N7994" t="s">
        <v>582</v>
      </c>
    </row>
    <row r="7995" spans="14:14" ht="15" customHeight="1" x14ac:dyDescent="0.25">
      <c r="N7995" t="s">
        <v>582</v>
      </c>
    </row>
    <row r="7996" spans="14:14" ht="15" customHeight="1" x14ac:dyDescent="0.25">
      <c r="N7996" t="s">
        <v>582</v>
      </c>
    </row>
    <row r="7997" spans="14:14" ht="15" customHeight="1" x14ac:dyDescent="0.25">
      <c r="N7997" t="s">
        <v>582</v>
      </c>
    </row>
    <row r="7998" spans="14:14" ht="15" customHeight="1" x14ac:dyDescent="0.25">
      <c r="N7998" t="s">
        <v>582</v>
      </c>
    </row>
    <row r="7999" spans="14:14" ht="15" customHeight="1" x14ac:dyDescent="0.25">
      <c r="N7999" t="s">
        <v>582</v>
      </c>
    </row>
    <row r="8000" spans="14:14" ht="15" customHeight="1" x14ac:dyDescent="0.25">
      <c r="N8000" t="s">
        <v>582</v>
      </c>
    </row>
    <row r="8001" spans="14:14" ht="15" customHeight="1" x14ac:dyDescent="0.25">
      <c r="N8001" t="s">
        <v>582</v>
      </c>
    </row>
    <row r="8002" spans="14:14" ht="15" customHeight="1" x14ac:dyDescent="0.25">
      <c r="N8002" t="s">
        <v>582</v>
      </c>
    </row>
    <row r="8003" spans="14:14" ht="15" customHeight="1" x14ac:dyDescent="0.25">
      <c r="N8003" t="s">
        <v>582</v>
      </c>
    </row>
    <row r="8004" spans="14:14" ht="15" customHeight="1" x14ac:dyDescent="0.25">
      <c r="N8004" t="s">
        <v>582</v>
      </c>
    </row>
    <row r="8005" spans="14:14" ht="15" customHeight="1" x14ac:dyDescent="0.25">
      <c r="N8005" t="s">
        <v>582</v>
      </c>
    </row>
    <row r="8006" spans="14:14" ht="15" customHeight="1" x14ac:dyDescent="0.25">
      <c r="N8006" t="s">
        <v>582</v>
      </c>
    </row>
    <row r="8007" spans="14:14" ht="15" customHeight="1" x14ac:dyDescent="0.25">
      <c r="N8007" t="s">
        <v>582</v>
      </c>
    </row>
    <row r="8008" spans="14:14" ht="15" customHeight="1" x14ac:dyDescent="0.25">
      <c r="N8008" t="s">
        <v>313</v>
      </c>
    </row>
    <row r="8009" spans="14:14" ht="15" customHeight="1" x14ac:dyDescent="0.25">
      <c r="N8009" t="s">
        <v>732</v>
      </c>
    </row>
    <row r="8010" spans="14:14" ht="15" customHeight="1" x14ac:dyDescent="0.25">
      <c r="N8010" t="s">
        <v>68</v>
      </c>
    </row>
    <row r="8011" spans="14:14" ht="15" customHeight="1" x14ac:dyDescent="0.25">
      <c r="N8011" t="s">
        <v>313</v>
      </c>
    </row>
    <row r="8012" spans="14:14" ht="15" customHeight="1" x14ac:dyDescent="0.25">
      <c r="N8012" t="s">
        <v>696</v>
      </c>
    </row>
    <row r="8013" spans="14:14" ht="15" customHeight="1" x14ac:dyDescent="0.25">
      <c r="N8013" t="s">
        <v>304</v>
      </c>
    </row>
    <row r="8014" spans="14:14" ht="15" customHeight="1" x14ac:dyDescent="0.25">
      <c r="N8014" t="s">
        <v>685</v>
      </c>
    </row>
    <row r="8015" spans="14:14" ht="15" customHeight="1" x14ac:dyDescent="0.25">
      <c r="N8015" t="s">
        <v>370</v>
      </c>
    </row>
    <row r="8016" spans="14:14" ht="15" customHeight="1" x14ac:dyDescent="0.25">
      <c r="N8016" t="s">
        <v>698</v>
      </c>
    </row>
    <row r="8017" spans="14:14" ht="15" customHeight="1" x14ac:dyDescent="0.25">
      <c r="N8017" t="s">
        <v>715</v>
      </c>
    </row>
    <row r="8018" spans="14:14" ht="15" customHeight="1" x14ac:dyDescent="0.25">
      <c r="N8018" t="s">
        <v>582</v>
      </c>
    </row>
    <row r="8019" spans="14:14" ht="15" customHeight="1" x14ac:dyDescent="0.25">
      <c r="N8019" t="s">
        <v>732</v>
      </c>
    </row>
    <row r="8020" spans="14:14" ht="15" customHeight="1" x14ac:dyDescent="0.25">
      <c r="N8020" t="s">
        <v>684</v>
      </c>
    </row>
    <row r="8021" spans="14:14" ht="15" customHeight="1" x14ac:dyDescent="0.25">
      <c r="N8021" t="s">
        <v>732</v>
      </c>
    </row>
    <row r="8022" spans="14:14" ht="15" customHeight="1" x14ac:dyDescent="0.25">
      <c r="N8022" t="s">
        <v>732</v>
      </c>
    </row>
    <row r="8023" spans="14:14" ht="15" customHeight="1" x14ac:dyDescent="0.25">
      <c r="N8023" t="s">
        <v>732</v>
      </c>
    </row>
    <row r="8024" spans="14:14" ht="15" customHeight="1" x14ac:dyDescent="0.25">
      <c r="N8024" t="s">
        <v>732</v>
      </c>
    </row>
    <row r="8025" spans="14:14" ht="15" customHeight="1" x14ac:dyDescent="0.25">
      <c r="N8025" t="s">
        <v>732</v>
      </c>
    </row>
    <row r="8026" spans="14:14" ht="15" customHeight="1" x14ac:dyDescent="0.25">
      <c r="N8026" t="s">
        <v>732</v>
      </c>
    </row>
    <row r="8027" spans="14:14" ht="15" customHeight="1" x14ac:dyDescent="0.25">
      <c r="N8027" t="s">
        <v>732</v>
      </c>
    </row>
    <row r="8028" spans="14:14" ht="15" customHeight="1" x14ac:dyDescent="0.25">
      <c r="N8028" t="s">
        <v>732</v>
      </c>
    </row>
    <row r="8029" spans="14:14" ht="15" customHeight="1" x14ac:dyDescent="0.25">
      <c r="N8029" t="s">
        <v>734</v>
      </c>
    </row>
    <row r="8030" spans="14:14" ht="15" customHeight="1" x14ac:dyDescent="0.25">
      <c r="N8030" t="s">
        <v>582</v>
      </c>
    </row>
    <row r="8031" spans="14:14" ht="15" customHeight="1" x14ac:dyDescent="0.25">
      <c r="N8031" t="s">
        <v>732</v>
      </c>
    </row>
    <row r="8032" spans="14:14" ht="15" customHeight="1" x14ac:dyDescent="0.25">
      <c r="N8032" t="s">
        <v>732</v>
      </c>
    </row>
    <row r="8033" spans="14:14" ht="15" customHeight="1" x14ac:dyDescent="0.25">
      <c r="N8033" t="s">
        <v>732</v>
      </c>
    </row>
    <row r="8034" spans="14:14" ht="15" customHeight="1" x14ac:dyDescent="0.25">
      <c r="N8034" t="s">
        <v>732</v>
      </c>
    </row>
    <row r="8035" spans="14:14" ht="15" customHeight="1" x14ac:dyDescent="0.25">
      <c r="N8035" t="s">
        <v>732</v>
      </c>
    </row>
    <row r="8036" spans="14:14" ht="15" customHeight="1" x14ac:dyDescent="0.25">
      <c r="N8036" t="s">
        <v>732</v>
      </c>
    </row>
    <row r="8037" spans="14:14" ht="15" customHeight="1" x14ac:dyDescent="0.25">
      <c r="N8037" t="s">
        <v>732</v>
      </c>
    </row>
    <row r="8038" spans="14:14" ht="15" customHeight="1" x14ac:dyDescent="0.25">
      <c r="N8038" t="s">
        <v>732</v>
      </c>
    </row>
    <row r="8039" spans="14:14" ht="15" customHeight="1" x14ac:dyDescent="0.25">
      <c r="N8039" t="s">
        <v>732</v>
      </c>
    </row>
    <row r="8040" spans="14:14" ht="15" customHeight="1" x14ac:dyDescent="0.25">
      <c r="N8040" t="s">
        <v>732</v>
      </c>
    </row>
    <row r="8041" spans="14:14" ht="15" customHeight="1" x14ac:dyDescent="0.25">
      <c r="N8041" t="s">
        <v>732</v>
      </c>
    </row>
    <row r="8042" spans="14:14" ht="15" customHeight="1" x14ac:dyDescent="0.25">
      <c r="N8042" t="s">
        <v>732</v>
      </c>
    </row>
    <row r="8043" spans="14:14" ht="15" customHeight="1" x14ac:dyDescent="0.25">
      <c r="N8043" t="s">
        <v>732</v>
      </c>
    </row>
    <row r="8044" spans="14:14" ht="15" customHeight="1" x14ac:dyDescent="0.25">
      <c r="N8044" t="s">
        <v>732</v>
      </c>
    </row>
    <row r="8045" spans="14:14" ht="15" customHeight="1" x14ac:dyDescent="0.25">
      <c r="N8045" t="s">
        <v>732</v>
      </c>
    </row>
    <row r="8046" spans="14:14" ht="15" customHeight="1" x14ac:dyDescent="0.25">
      <c r="N8046" t="s">
        <v>732</v>
      </c>
    </row>
    <row r="8047" spans="14:14" ht="15" customHeight="1" x14ac:dyDescent="0.25">
      <c r="N8047" t="s">
        <v>732</v>
      </c>
    </row>
    <row r="8048" spans="14:14" ht="15" customHeight="1" x14ac:dyDescent="0.25">
      <c r="N8048" t="s">
        <v>732</v>
      </c>
    </row>
    <row r="8049" spans="14:14" ht="15" customHeight="1" x14ac:dyDescent="0.25">
      <c r="N8049" t="s">
        <v>732</v>
      </c>
    </row>
    <row r="8050" spans="14:14" ht="15" customHeight="1" x14ac:dyDescent="0.25">
      <c r="N8050" t="s">
        <v>732</v>
      </c>
    </row>
    <row r="8051" spans="14:14" ht="15" customHeight="1" x14ac:dyDescent="0.25">
      <c r="N8051" t="s">
        <v>732</v>
      </c>
    </row>
    <row r="8052" spans="14:14" ht="15" customHeight="1" x14ac:dyDescent="0.25">
      <c r="N8052" t="s">
        <v>732</v>
      </c>
    </row>
    <row r="8053" spans="14:14" ht="15" customHeight="1" x14ac:dyDescent="0.25">
      <c r="N8053" t="s">
        <v>732</v>
      </c>
    </row>
    <row r="8054" spans="14:14" ht="15" customHeight="1" x14ac:dyDescent="0.25">
      <c r="N8054" t="s">
        <v>732</v>
      </c>
    </row>
    <row r="8055" spans="14:14" ht="15" customHeight="1" x14ac:dyDescent="0.25">
      <c r="N8055" t="s">
        <v>732</v>
      </c>
    </row>
    <row r="8056" spans="14:14" ht="15" customHeight="1" x14ac:dyDescent="0.25">
      <c r="N8056" t="s">
        <v>732</v>
      </c>
    </row>
    <row r="8057" spans="14:14" ht="15" customHeight="1" x14ac:dyDescent="0.25">
      <c r="N8057" t="s">
        <v>524</v>
      </c>
    </row>
    <row r="8058" spans="14:14" ht="15" customHeight="1" x14ac:dyDescent="0.25">
      <c r="N8058" t="s">
        <v>732</v>
      </c>
    </row>
    <row r="8059" spans="14:14" ht="15" customHeight="1" x14ac:dyDescent="0.25">
      <c r="N8059" t="s">
        <v>603</v>
      </c>
    </row>
    <row r="8060" spans="14:14" ht="15" customHeight="1" x14ac:dyDescent="0.25">
      <c r="N8060" t="s">
        <v>732</v>
      </c>
    </row>
    <row r="8061" spans="14:14" ht="15" customHeight="1" x14ac:dyDescent="0.25">
      <c r="N8061" t="s">
        <v>654</v>
      </c>
    </row>
    <row r="8062" spans="14:14" ht="15" customHeight="1" x14ac:dyDescent="0.25">
      <c r="N8062" t="s">
        <v>685</v>
      </c>
    </row>
    <row r="8063" spans="14:14" ht="15" customHeight="1" x14ac:dyDescent="0.25">
      <c r="N8063" t="s">
        <v>313</v>
      </c>
    </row>
    <row r="8064" spans="14:14" ht="15" customHeight="1" x14ac:dyDescent="0.25">
      <c r="N8064" t="s">
        <v>685</v>
      </c>
    </row>
    <row r="8065" spans="14:14" ht="15" customHeight="1" x14ac:dyDescent="0.25">
      <c r="N8065" t="s">
        <v>690</v>
      </c>
    </row>
    <row r="8066" spans="14:14" ht="15" customHeight="1" x14ac:dyDescent="0.25">
      <c r="N8066" t="s">
        <v>690</v>
      </c>
    </row>
    <row r="8067" spans="14:14" ht="15" customHeight="1" x14ac:dyDescent="0.25">
      <c r="N8067" t="s">
        <v>690</v>
      </c>
    </row>
    <row r="8068" spans="14:14" ht="15" customHeight="1" x14ac:dyDescent="0.25">
      <c r="N8068" t="s">
        <v>690</v>
      </c>
    </row>
    <row r="8069" spans="14:14" ht="15" customHeight="1" x14ac:dyDescent="0.25">
      <c r="N8069" t="s">
        <v>313</v>
      </c>
    </row>
    <row r="8070" spans="14:14" ht="15" customHeight="1" x14ac:dyDescent="0.25">
      <c r="N8070" t="s">
        <v>732</v>
      </c>
    </row>
    <row r="8071" spans="14:14" ht="15" customHeight="1" x14ac:dyDescent="0.25">
      <c r="N8071" t="s">
        <v>732</v>
      </c>
    </row>
    <row r="8072" spans="14:14" ht="15" customHeight="1" x14ac:dyDescent="0.25">
      <c r="N8072" t="s">
        <v>732</v>
      </c>
    </row>
    <row r="8073" spans="14:14" ht="15" customHeight="1" x14ac:dyDescent="0.25">
      <c r="N8073" t="s">
        <v>732</v>
      </c>
    </row>
    <row r="8074" spans="14:14" ht="15" customHeight="1" x14ac:dyDescent="0.25">
      <c r="N8074" t="s">
        <v>732</v>
      </c>
    </row>
    <row r="8075" spans="14:14" ht="15" customHeight="1" x14ac:dyDescent="0.25">
      <c r="N8075" t="s">
        <v>732</v>
      </c>
    </row>
    <row r="8076" spans="14:14" ht="15" customHeight="1" x14ac:dyDescent="0.25">
      <c r="N8076" t="s">
        <v>732</v>
      </c>
    </row>
    <row r="8077" spans="14:14" ht="15" customHeight="1" x14ac:dyDescent="0.25">
      <c r="N8077" t="s">
        <v>732</v>
      </c>
    </row>
    <row r="8078" spans="14:14" ht="15" customHeight="1" x14ac:dyDescent="0.25">
      <c r="N8078" t="s">
        <v>732</v>
      </c>
    </row>
    <row r="8079" spans="14:14" ht="15" customHeight="1" x14ac:dyDescent="0.25">
      <c r="N8079" t="s">
        <v>732</v>
      </c>
    </row>
    <row r="8080" spans="14:14" ht="15" customHeight="1" x14ac:dyDescent="0.25">
      <c r="N8080" t="s">
        <v>732</v>
      </c>
    </row>
    <row r="8081" spans="14:14" ht="15" customHeight="1" x14ac:dyDescent="0.25">
      <c r="N8081" t="s">
        <v>732</v>
      </c>
    </row>
    <row r="8082" spans="14:14" ht="15" customHeight="1" x14ac:dyDescent="0.25">
      <c r="N8082" t="s">
        <v>732</v>
      </c>
    </row>
    <row r="8083" spans="14:14" ht="15" customHeight="1" x14ac:dyDescent="0.25">
      <c r="N8083" t="s">
        <v>68</v>
      </c>
    </row>
    <row r="8084" spans="14:14" ht="15" customHeight="1" x14ac:dyDescent="0.25">
      <c r="N8084" t="s">
        <v>68</v>
      </c>
    </row>
    <row r="8085" spans="14:14" ht="15" customHeight="1" x14ac:dyDescent="0.25">
      <c r="N8085" t="s">
        <v>68</v>
      </c>
    </row>
    <row r="8086" spans="14:14" ht="15" customHeight="1" x14ac:dyDescent="0.25">
      <c r="N8086" t="s">
        <v>68</v>
      </c>
    </row>
    <row r="8087" spans="14:14" ht="15" customHeight="1" x14ac:dyDescent="0.25">
      <c r="N8087" t="s">
        <v>68</v>
      </c>
    </row>
    <row r="8088" spans="14:14" ht="15" customHeight="1" x14ac:dyDescent="0.25">
      <c r="N8088" t="s">
        <v>68</v>
      </c>
    </row>
    <row r="8089" spans="14:14" ht="15" customHeight="1" x14ac:dyDescent="0.25">
      <c r="N8089" t="s">
        <v>68</v>
      </c>
    </row>
    <row r="8090" spans="14:14" ht="15" customHeight="1" x14ac:dyDescent="0.25">
      <c r="N8090" t="s">
        <v>735</v>
      </c>
    </row>
    <row r="8091" spans="14:14" ht="15" customHeight="1" x14ac:dyDescent="0.25">
      <c r="N8091" t="s">
        <v>735</v>
      </c>
    </row>
    <row r="8092" spans="14:14" ht="15" customHeight="1" x14ac:dyDescent="0.25">
      <c r="N8092" t="s">
        <v>735</v>
      </c>
    </row>
    <row r="8093" spans="14:14" ht="15" customHeight="1" x14ac:dyDescent="0.25">
      <c r="N8093" t="s">
        <v>735</v>
      </c>
    </row>
    <row r="8094" spans="14:14" ht="15" customHeight="1" x14ac:dyDescent="0.25">
      <c r="N8094" t="s">
        <v>735</v>
      </c>
    </row>
    <row r="8095" spans="14:14" ht="15" customHeight="1" x14ac:dyDescent="0.25">
      <c r="N8095" t="s">
        <v>68</v>
      </c>
    </row>
    <row r="8096" spans="14:14" ht="15" customHeight="1" x14ac:dyDescent="0.25">
      <c r="N8096" t="s">
        <v>732</v>
      </c>
    </row>
    <row r="8097" spans="14:14" ht="15" customHeight="1" x14ac:dyDescent="0.25">
      <c r="N8097" t="s">
        <v>313</v>
      </c>
    </row>
    <row r="8098" spans="14:14" ht="15" customHeight="1" x14ac:dyDescent="0.25">
      <c r="N8098" t="s">
        <v>304</v>
      </c>
    </row>
    <row r="8099" spans="14:14" ht="15" customHeight="1" x14ac:dyDescent="0.25">
      <c r="N8099" t="s">
        <v>675</v>
      </c>
    </row>
    <row r="8100" spans="14:14" ht="15" customHeight="1" x14ac:dyDescent="0.25">
      <c r="N8100" t="s">
        <v>646</v>
      </c>
    </row>
    <row r="8101" spans="14:14" ht="15" customHeight="1" x14ac:dyDescent="0.25">
      <c r="N8101" t="s">
        <v>684</v>
      </c>
    </row>
    <row r="8102" spans="14:14" ht="15" customHeight="1" x14ac:dyDescent="0.25">
      <c r="N8102" t="s">
        <v>539</v>
      </c>
    </row>
    <row r="8103" spans="14:14" ht="15" customHeight="1" x14ac:dyDescent="0.25">
      <c r="N8103" t="s">
        <v>732</v>
      </c>
    </row>
    <row r="8104" spans="14:14" ht="15" customHeight="1" x14ac:dyDescent="0.25">
      <c r="N8104" t="s">
        <v>732</v>
      </c>
    </row>
    <row r="8105" spans="14:14" ht="15" customHeight="1" x14ac:dyDescent="0.25">
      <c r="N8105" t="s">
        <v>732</v>
      </c>
    </row>
    <row r="8106" spans="14:14" ht="15" customHeight="1" x14ac:dyDescent="0.25">
      <c r="N8106" t="s">
        <v>732</v>
      </c>
    </row>
    <row r="8107" spans="14:14" ht="15" customHeight="1" x14ac:dyDescent="0.25">
      <c r="N8107" t="s">
        <v>732</v>
      </c>
    </row>
    <row r="8108" spans="14:14" ht="15" customHeight="1" x14ac:dyDescent="0.25">
      <c r="N8108" t="s">
        <v>732</v>
      </c>
    </row>
    <row r="8109" spans="14:14" ht="15" customHeight="1" x14ac:dyDescent="0.25">
      <c r="N8109" t="s">
        <v>732</v>
      </c>
    </row>
    <row r="8110" spans="14:14" ht="15" customHeight="1" x14ac:dyDescent="0.25">
      <c r="N8110" t="s">
        <v>732</v>
      </c>
    </row>
    <row r="8111" spans="14:14" ht="15" customHeight="1" x14ac:dyDescent="0.25">
      <c r="N8111" t="s">
        <v>732</v>
      </c>
    </row>
    <row r="8112" spans="14:14" ht="15" customHeight="1" x14ac:dyDescent="0.25">
      <c r="N8112" t="s">
        <v>732</v>
      </c>
    </row>
    <row r="8113" spans="14:14" ht="15" customHeight="1" x14ac:dyDescent="0.25">
      <c r="N8113" t="s">
        <v>732</v>
      </c>
    </row>
    <row r="8114" spans="14:14" ht="15" customHeight="1" x14ac:dyDescent="0.25">
      <c r="N8114" t="s">
        <v>732</v>
      </c>
    </row>
    <row r="8115" spans="14:14" ht="15" customHeight="1" x14ac:dyDescent="0.25">
      <c r="N8115" t="s">
        <v>732</v>
      </c>
    </row>
    <row r="8116" spans="14:14" ht="15" customHeight="1" x14ac:dyDescent="0.25">
      <c r="N8116" t="s">
        <v>732</v>
      </c>
    </row>
    <row r="8117" spans="14:14" ht="15" customHeight="1" x14ac:dyDescent="0.25">
      <c r="N8117" t="s">
        <v>732</v>
      </c>
    </row>
    <row r="8118" spans="14:14" ht="15" customHeight="1" x14ac:dyDescent="0.25">
      <c r="N8118" t="s">
        <v>732</v>
      </c>
    </row>
    <row r="8119" spans="14:14" ht="15" customHeight="1" x14ac:dyDescent="0.25">
      <c r="N8119" t="s">
        <v>732</v>
      </c>
    </row>
    <row r="8120" spans="14:14" ht="15" customHeight="1" x14ac:dyDescent="0.25">
      <c r="N8120" t="s">
        <v>732</v>
      </c>
    </row>
    <row r="8121" spans="14:14" ht="15" customHeight="1" x14ac:dyDescent="0.25">
      <c r="N8121" t="s">
        <v>732</v>
      </c>
    </row>
    <row r="8122" spans="14:14" ht="15" customHeight="1" x14ac:dyDescent="0.25">
      <c r="N8122" t="s">
        <v>732</v>
      </c>
    </row>
    <row r="8123" spans="14:14" ht="15" customHeight="1" x14ac:dyDescent="0.25">
      <c r="N8123" t="s">
        <v>732</v>
      </c>
    </row>
    <row r="8124" spans="14:14" ht="15" customHeight="1" x14ac:dyDescent="0.25">
      <c r="N8124" t="s">
        <v>732</v>
      </c>
    </row>
    <row r="8125" spans="14:14" ht="15" customHeight="1" x14ac:dyDescent="0.25">
      <c r="N8125" t="s">
        <v>732</v>
      </c>
    </row>
    <row r="8126" spans="14:14" ht="15" customHeight="1" x14ac:dyDescent="0.25">
      <c r="N8126" t="s">
        <v>732</v>
      </c>
    </row>
    <row r="8127" spans="14:14" ht="15" customHeight="1" x14ac:dyDescent="0.25">
      <c r="N8127" t="s">
        <v>732</v>
      </c>
    </row>
    <row r="8128" spans="14:14" ht="15" customHeight="1" x14ac:dyDescent="0.25">
      <c r="N8128" t="s">
        <v>732</v>
      </c>
    </row>
    <row r="8129" spans="14:14" ht="15" customHeight="1" x14ac:dyDescent="0.25">
      <c r="N8129" t="s">
        <v>732</v>
      </c>
    </row>
    <row r="8130" spans="14:14" ht="15" customHeight="1" x14ac:dyDescent="0.25">
      <c r="N8130" t="s">
        <v>732</v>
      </c>
    </row>
    <row r="8131" spans="14:14" ht="15" customHeight="1" x14ac:dyDescent="0.25">
      <c r="N8131" t="s">
        <v>732</v>
      </c>
    </row>
    <row r="8132" spans="14:14" ht="15" customHeight="1" x14ac:dyDescent="0.25">
      <c r="N8132" t="s">
        <v>558</v>
      </c>
    </row>
    <row r="8133" spans="14:14" ht="15" customHeight="1" x14ac:dyDescent="0.25">
      <c r="N8133" t="s">
        <v>670</v>
      </c>
    </row>
    <row r="8134" spans="14:14" ht="15" customHeight="1" x14ac:dyDescent="0.25">
      <c r="N8134" t="s">
        <v>669</v>
      </c>
    </row>
    <row r="8135" spans="14:14" ht="15" customHeight="1" x14ac:dyDescent="0.25">
      <c r="N8135" t="s">
        <v>669</v>
      </c>
    </row>
    <row r="8136" spans="14:14" ht="15" customHeight="1" x14ac:dyDescent="0.25">
      <c r="N8136" t="s">
        <v>669</v>
      </c>
    </row>
    <row r="8137" spans="14:14" ht="15" customHeight="1" x14ac:dyDescent="0.25">
      <c r="N8137" t="s">
        <v>669</v>
      </c>
    </row>
    <row r="8138" spans="14:14" ht="15" customHeight="1" x14ac:dyDescent="0.25">
      <c r="N8138" t="s">
        <v>690</v>
      </c>
    </row>
    <row r="8139" spans="14:14" ht="15" customHeight="1" x14ac:dyDescent="0.25">
      <c r="N8139" t="s">
        <v>690</v>
      </c>
    </row>
    <row r="8140" spans="14:14" ht="15" customHeight="1" x14ac:dyDescent="0.25">
      <c r="N8140" t="s">
        <v>690</v>
      </c>
    </row>
    <row r="8141" spans="14:14" ht="15" customHeight="1" x14ac:dyDescent="0.25">
      <c r="N8141" t="s">
        <v>690</v>
      </c>
    </row>
    <row r="8142" spans="14:14" ht="15" customHeight="1" x14ac:dyDescent="0.25">
      <c r="N8142" t="s">
        <v>313</v>
      </c>
    </row>
    <row r="8143" spans="14:14" ht="15" customHeight="1" x14ac:dyDescent="0.25">
      <c r="N8143" t="s">
        <v>675</v>
      </c>
    </row>
    <row r="8144" spans="14:14" ht="15" customHeight="1" x14ac:dyDescent="0.25">
      <c r="N8144" t="s">
        <v>732</v>
      </c>
    </row>
    <row r="8145" spans="14:14" ht="15" customHeight="1" x14ac:dyDescent="0.25">
      <c r="N8145" t="s">
        <v>732</v>
      </c>
    </row>
    <row r="8146" spans="14:14" ht="15" customHeight="1" x14ac:dyDescent="0.25">
      <c r="N8146" t="s">
        <v>732</v>
      </c>
    </row>
    <row r="8147" spans="14:14" ht="15" customHeight="1" x14ac:dyDescent="0.25">
      <c r="N8147" t="s">
        <v>732</v>
      </c>
    </row>
    <row r="8148" spans="14:14" ht="15" customHeight="1" x14ac:dyDescent="0.25">
      <c r="N8148" t="s">
        <v>732</v>
      </c>
    </row>
    <row r="8149" spans="14:14" ht="15" customHeight="1" x14ac:dyDescent="0.25">
      <c r="N8149" t="s">
        <v>732</v>
      </c>
    </row>
    <row r="8150" spans="14:14" ht="15" customHeight="1" x14ac:dyDescent="0.25">
      <c r="N8150" t="s">
        <v>732</v>
      </c>
    </row>
    <row r="8151" spans="14:14" ht="15" customHeight="1" x14ac:dyDescent="0.25">
      <c r="N8151" t="s">
        <v>732</v>
      </c>
    </row>
    <row r="8152" spans="14:14" ht="15" customHeight="1" x14ac:dyDescent="0.25">
      <c r="N8152" t="s">
        <v>732</v>
      </c>
    </row>
    <row r="8153" spans="14:14" ht="15" customHeight="1" x14ac:dyDescent="0.25">
      <c r="N8153" t="s">
        <v>732</v>
      </c>
    </row>
    <row r="8154" spans="14:14" ht="15" customHeight="1" x14ac:dyDescent="0.25">
      <c r="N8154" t="s">
        <v>732</v>
      </c>
    </row>
    <row r="8155" spans="14:14" ht="15" customHeight="1" x14ac:dyDescent="0.25">
      <c r="N8155" t="s">
        <v>732</v>
      </c>
    </row>
    <row r="8156" spans="14:14" ht="15" customHeight="1" x14ac:dyDescent="0.25">
      <c r="N8156" t="s">
        <v>732</v>
      </c>
    </row>
    <row r="8157" spans="14:14" ht="15" customHeight="1" x14ac:dyDescent="0.25">
      <c r="N8157" t="s">
        <v>732</v>
      </c>
    </row>
    <row r="8158" spans="14:14" ht="15" customHeight="1" x14ac:dyDescent="0.25">
      <c r="N8158" t="s">
        <v>732</v>
      </c>
    </row>
    <row r="8159" spans="14:14" ht="15" customHeight="1" x14ac:dyDescent="0.25">
      <c r="N8159" t="s">
        <v>732</v>
      </c>
    </row>
    <row r="8160" spans="14:14" ht="15" customHeight="1" x14ac:dyDescent="0.25">
      <c r="N8160" t="s">
        <v>732</v>
      </c>
    </row>
    <row r="8161" spans="14:14" ht="15" customHeight="1" x14ac:dyDescent="0.25">
      <c r="N8161" t="s">
        <v>732</v>
      </c>
    </row>
    <row r="8162" spans="14:14" ht="15" customHeight="1" x14ac:dyDescent="0.25">
      <c r="N8162" t="s">
        <v>732</v>
      </c>
    </row>
    <row r="8163" spans="14:14" ht="15" customHeight="1" x14ac:dyDescent="0.25">
      <c r="N8163" t="s">
        <v>732</v>
      </c>
    </row>
    <row r="8164" spans="14:14" ht="15" customHeight="1" x14ac:dyDescent="0.25">
      <c r="N8164" t="s">
        <v>732</v>
      </c>
    </row>
    <row r="8165" spans="14:14" ht="15" customHeight="1" x14ac:dyDescent="0.25">
      <c r="N8165" t="s">
        <v>732</v>
      </c>
    </row>
    <row r="8166" spans="14:14" ht="15" customHeight="1" x14ac:dyDescent="0.25">
      <c r="N8166" t="s">
        <v>732</v>
      </c>
    </row>
    <row r="8167" spans="14:14" ht="15" customHeight="1" x14ac:dyDescent="0.25">
      <c r="N8167" t="s">
        <v>732</v>
      </c>
    </row>
    <row r="8168" spans="14:14" ht="15" customHeight="1" x14ac:dyDescent="0.25">
      <c r="N8168" t="s">
        <v>732</v>
      </c>
    </row>
    <row r="8169" spans="14:14" ht="15" customHeight="1" x14ac:dyDescent="0.25">
      <c r="N8169" t="s">
        <v>732</v>
      </c>
    </row>
    <row r="8170" spans="14:14" ht="15" customHeight="1" x14ac:dyDescent="0.25">
      <c r="N8170" t="s">
        <v>732</v>
      </c>
    </row>
    <row r="8171" spans="14:14" ht="15" customHeight="1" x14ac:dyDescent="0.25">
      <c r="N8171" t="s">
        <v>670</v>
      </c>
    </row>
    <row r="8172" spans="14:14" ht="15" customHeight="1" x14ac:dyDescent="0.25">
      <c r="N8172" t="s">
        <v>669</v>
      </c>
    </row>
    <row r="8173" spans="14:14" ht="15" customHeight="1" x14ac:dyDescent="0.25">
      <c r="N8173" t="s">
        <v>669</v>
      </c>
    </row>
    <row r="8174" spans="14:14" ht="15" customHeight="1" x14ac:dyDescent="0.25">
      <c r="N8174" t="s">
        <v>669</v>
      </c>
    </row>
    <row r="8175" spans="14:14" ht="15" customHeight="1" x14ac:dyDescent="0.25">
      <c r="N8175" t="s">
        <v>669</v>
      </c>
    </row>
    <row r="8176" spans="14:14" ht="15" customHeight="1" x14ac:dyDescent="0.25">
      <c r="N8176" t="s">
        <v>686</v>
      </c>
    </row>
    <row r="8177" spans="14:14" ht="15" customHeight="1" x14ac:dyDescent="0.25">
      <c r="N8177" t="s">
        <v>670</v>
      </c>
    </row>
    <row r="8178" spans="14:14" ht="15" customHeight="1" x14ac:dyDescent="0.25">
      <c r="N8178" t="s">
        <v>370</v>
      </c>
    </row>
    <row r="8179" spans="14:14" ht="15" customHeight="1" x14ac:dyDescent="0.25">
      <c r="N8179" t="s">
        <v>304</v>
      </c>
    </row>
    <row r="8180" spans="14:14" ht="15" customHeight="1" x14ac:dyDescent="0.25">
      <c r="N8180" t="s">
        <v>669</v>
      </c>
    </row>
    <row r="8181" spans="14:14" ht="15" customHeight="1" x14ac:dyDescent="0.25">
      <c r="N8181" t="s">
        <v>715</v>
      </c>
    </row>
    <row r="8182" spans="14:14" ht="15" customHeight="1" x14ac:dyDescent="0.25">
      <c r="N8182" t="s">
        <v>582</v>
      </c>
    </row>
    <row r="8183" spans="14:14" ht="15" customHeight="1" x14ac:dyDescent="0.25">
      <c r="N8183" t="s">
        <v>714</v>
      </c>
    </row>
    <row r="8184" spans="14:14" ht="15" customHeight="1" x14ac:dyDescent="0.25">
      <c r="N8184" t="s">
        <v>714</v>
      </c>
    </row>
    <row r="8185" spans="14:14" ht="15" customHeight="1" x14ac:dyDescent="0.25">
      <c r="N8185" t="s">
        <v>714</v>
      </c>
    </row>
    <row r="8186" spans="14:14" ht="15" customHeight="1" x14ac:dyDescent="0.25">
      <c r="N8186" t="s">
        <v>714</v>
      </c>
    </row>
    <row r="8187" spans="14:14" ht="15" customHeight="1" x14ac:dyDescent="0.25">
      <c r="N8187" t="s">
        <v>714</v>
      </c>
    </row>
    <row r="8188" spans="14:14" ht="15" customHeight="1" x14ac:dyDescent="0.25">
      <c r="N8188" t="s">
        <v>714</v>
      </c>
    </row>
    <row r="8189" spans="14:14" ht="15" customHeight="1" x14ac:dyDescent="0.25">
      <c r="N8189" t="s">
        <v>714</v>
      </c>
    </row>
    <row r="8190" spans="14:14" ht="15" customHeight="1" x14ac:dyDescent="0.25">
      <c r="N8190" t="s">
        <v>714</v>
      </c>
    </row>
    <row r="8191" spans="14:14" ht="15" customHeight="1" x14ac:dyDescent="0.25">
      <c r="N8191" t="s">
        <v>714</v>
      </c>
    </row>
    <row r="8192" spans="14:14" ht="15" customHeight="1" x14ac:dyDescent="0.25">
      <c r="N8192" t="s">
        <v>732</v>
      </c>
    </row>
    <row r="8193" spans="14:14" ht="15" customHeight="1" x14ac:dyDescent="0.25">
      <c r="N8193" t="s">
        <v>732</v>
      </c>
    </row>
    <row r="8194" spans="14:14" ht="15" customHeight="1" x14ac:dyDescent="0.25">
      <c r="N8194" t="s">
        <v>732</v>
      </c>
    </row>
    <row r="8195" spans="14:14" ht="15" customHeight="1" x14ac:dyDescent="0.25">
      <c r="N8195" t="s">
        <v>732</v>
      </c>
    </row>
    <row r="8196" spans="14:14" ht="15" customHeight="1" x14ac:dyDescent="0.25">
      <c r="N8196" t="s">
        <v>732</v>
      </c>
    </row>
    <row r="8197" spans="14:14" ht="15" customHeight="1" x14ac:dyDescent="0.25">
      <c r="N8197" t="s">
        <v>732</v>
      </c>
    </row>
    <row r="8198" spans="14:14" ht="15" customHeight="1" x14ac:dyDescent="0.25">
      <c r="N8198" t="s">
        <v>732</v>
      </c>
    </row>
    <row r="8199" spans="14:14" ht="15" customHeight="1" x14ac:dyDescent="0.25">
      <c r="N8199" t="s">
        <v>732</v>
      </c>
    </row>
    <row r="8200" spans="14:14" ht="15" customHeight="1" x14ac:dyDescent="0.25">
      <c r="N8200" t="s">
        <v>732</v>
      </c>
    </row>
    <row r="8201" spans="14:14" ht="15" customHeight="1" x14ac:dyDescent="0.25">
      <c r="N8201" t="s">
        <v>732</v>
      </c>
    </row>
    <row r="8202" spans="14:14" ht="15" customHeight="1" x14ac:dyDescent="0.25">
      <c r="N8202" t="s">
        <v>732</v>
      </c>
    </row>
    <row r="8203" spans="14:14" ht="15" customHeight="1" x14ac:dyDescent="0.25">
      <c r="N8203" t="s">
        <v>732</v>
      </c>
    </row>
    <row r="8204" spans="14:14" ht="15" customHeight="1" x14ac:dyDescent="0.25">
      <c r="N8204" t="s">
        <v>732</v>
      </c>
    </row>
    <row r="8205" spans="14:14" ht="15" customHeight="1" x14ac:dyDescent="0.25">
      <c r="N8205" t="s">
        <v>605</v>
      </c>
    </row>
    <row r="8206" spans="14:14" ht="15" customHeight="1" x14ac:dyDescent="0.25">
      <c r="N8206" t="s">
        <v>690</v>
      </c>
    </row>
    <row r="8207" spans="14:14" ht="15" customHeight="1" x14ac:dyDescent="0.25">
      <c r="N8207" t="s">
        <v>714</v>
      </c>
    </row>
    <row r="8208" spans="14:14" ht="15" customHeight="1" x14ac:dyDescent="0.25">
      <c r="N8208" t="s">
        <v>642</v>
      </c>
    </row>
    <row r="8209" spans="14:14" ht="15" customHeight="1" x14ac:dyDescent="0.25">
      <c r="N8209" t="s">
        <v>642</v>
      </c>
    </row>
    <row r="8210" spans="14:14" ht="15" customHeight="1" x14ac:dyDescent="0.25">
      <c r="N8210" t="s">
        <v>642</v>
      </c>
    </row>
    <row r="8211" spans="14:14" ht="15" customHeight="1" x14ac:dyDescent="0.25">
      <c r="N8211" t="s">
        <v>642</v>
      </c>
    </row>
    <row r="8212" spans="14:14" ht="15" customHeight="1" x14ac:dyDescent="0.25">
      <c r="N8212" t="s">
        <v>642</v>
      </c>
    </row>
    <row r="8213" spans="14:14" ht="15" customHeight="1" x14ac:dyDescent="0.25">
      <c r="N8213" t="s">
        <v>642</v>
      </c>
    </row>
    <row r="8214" spans="14:14" ht="15" customHeight="1" x14ac:dyDescent="0.25">
      <c r="N8214" t="s">
        <v>642</v>
      </c>
    </row>
    <row r="8215" spans="14:14" ht="15" customHeight="1" x14ac:dyDescent="0.25">
      <c r="N8215" t="s">
        <v>304</v>
      </c>
    </row>
    <row r="8216" spans="14:14" ht="15" customHeight="1" x14ac:dyDescent="0.25">
      <c r="N8216" t="s">
        <v>582</v>
      </c>
    </row>
    <row r="8217" spans="14:14" ht="15" customHeight="1" x14ac:dyDescent="0.25">
      <c r="N8217" t="s">
        <v>582</v>
      </c>
    </row>
    <row r="8218" spans="14:14" ht="15" customHeight="1" x14ac:dyDescent="0.25">
      <c r="N8218" t="s">
        <v>582</v>
      </c>
    </row>
    <row r="8219" spans="14:14" ht="15" customHeight="1" x14ac:dyDescent="0.25">
      <c r="N8219" t="s">
        <v>582</v>
      </c>
    </row>
    <row r="8220" spans="14:14" ht="15" customHeight="1" x14ac:dyDescent="0.25">
      <c r="N8220" t="s">
        <v>582</v>
      </c>
    </row>
    <row r="8221" spans="14:14" ht="15" customHeight="1" x14ac:dyDescent="0.25">
      <c r="N8221" t="s">
        <v>582</v>
      </c>
    </row>
    <row r="8222" spans="14:14" ht="15" customHeight="1" x14ac:dyDescent="0.25">
      <c r="N8222" t="s">
        <v>582</v>
      </c>
    </row>
    <row r="8223" spans="14:14" ht="15" customHeight="1" x14ac:dyDescent="0.25">
      <c r="N8223" t="s">
        <v>684</v>
      </c>
    </row>
    <row r="8224" spans="14:14" ht="15" customHeight="1" x14ac:dyDescent="0.25">
      <c r="N8224" t="s">
        <v>714</v>
      </c>
    </row>
    <row r="8225" spans="14:14" ht="15" customHeight="1" x14ac:dyDescent="0.25">
      <c r="N8225" t="s">
        <v>687</v>
      </c>
    </row>
    <row r="8226" spans="14:14" ht="15" customHeight="1" x14ac:dyDescent="0.25">
      <c r="N8226" t="s">
        <v>638</v>
      </c>
    </row>
    <row r="8227" spans="14:14" ht="15" customHeight="1" x14ac:dyDescent="0.25">
      <c r="N8227" t="s">
        <v>642</v>
      </c>
    </row>
    <row r="8228" spans="14:14" ht="15" customHeight="1" x14ac:dyDescent="0.25">
      <c r="N8228" t="s">
        <v>732</v>
      </c>
    </row>
    <row r="8229" spans="14:14" ht="15" customHeight="1" x14ac:dyDescent="0.25">
      <c r="N8229" t="s">
        <v>714</v>
      </c>
    </row>
    <row r="8230" spans="14:14" ht="15" customHeight="1" x14ac:dyDescent="0.25">
      <c r="N8230" t="s">
        <v>638</v>
      </c>
    </row>
    <row r="8231" spans="14:14" ht="15" customHeight="1" x14ac:dyDescent="0.25">
      <c r="N8231" t="s">
        <v>714</v>
      </c>
    </row>
    <row r="8232" spans="14:14" ht="15" customHeight="1" x14ac:dyDescent="0.25">
      <c r="N8232" t="s">
        <v>638</v>
      </c>
    </row>
    <row r="8233" spans="14:14" ht="15" customHeight="1" x14ac:dyDescent="0.25">
      <c r="N8233" t="s">
        <v>689</v>
      </c>
    </row>
    <row r="8234" spans="14:14" ht="15" customHeight="1" x14ac:dyDescent="0.25">
      <c r="N8234" t="s">
        <v>706</v>
      </c>
    </row>
    <row r="8235" spans="14:14" ht="15" customHeight="1" x14ac:dyDescent="0.25">
      <c r="N8235" t="s">
        <v>706</v>
      </c>
    </row>
    <row r="8236" spans="14:14" ht="15" customHeight="1" x14ac:dyDescent="0.25">
      <c r="N8236" t="s">
        <v>706</v>
      </c>
    </row>
    <row r="8237" spans="14:14" ht="15" customHeight="1" x14ac:dyDescent="0.25">
      <c r="N8237" t="s">
        <v>706</v>
      </c>
    </row>
    <row r="8238" spans="14:14" ht="15" customHeight="1" x14ac:dyDescent="0.25">
      <c r="N8238" t="s">
        <v>706</v>
      </c>
    </row>
    <row r="8239" spans="14:14" ht="15" customHeight="1" x14ac:dyDescent="0.25">
      <c r="N8239" t="s">
        <v>706</v>
      </c>
    </row>
    <row r="8240" spans="14:14" ht="15" customHeight="1" x14ac:dyDescent="0.25">
      <c r="N8240" t="s">
        <v>706</v>
      </c>
    </row>
    <row r="8241" spans="14:14" ht="15" customHeight="1" x14ac:dyDescent="0.25">
      <c r="N8241" t="s">
        <v>706</v>
      </c>
    </row>
    <row r="8242" spans="14:14" ht="15" customHeight="1" x14ac:dyDescent="0.25">
      <c r="N8242" t="s">
        <v>706</v>
      </c>
    </row>
    <row r="8243" spans="14:14" ht="15" customHeight="1" x14ac:dyDescent="0.25">
      <c r="N8243" t="s">
        <v>706</v>
      </c>
    </row>
    <row r="8244" spans="14:14" ht="15" customHeight="1" x14ac:dyDescent="0.25">
      <c r="N8244" t="s">
        <v>706</v>
      </c>
    </row>
    <row r="8245" spans="14:14" ht="15" customHeight="1" x14ac:dyDescent="0.25">
      <c r="N8245" t="s">
        <v>706</v>
      </c>
    </row>
    <row r="8246" spans="14:14" ht="15" customHeight="1" x14ac:dyDescent="0.25">
      <c r="N8246" t="s">
        <v>706</v>
      </c>
    </row>
    <row r="8247" spans="14:14" ht="15" customHeight="1" x14ac:dyDescent="0.25">
      <c r="N8247" t="s">
        <v>68</v>
      </c>
    </row>
    <row r="8248" spans="14:14" ht="15" customHeight="1" x14ac:dyDescent="0.25">
      <c r="N8248" t="s">
        <v>68</v>
      </c>
    </row>
    <row r="8249" spans="14:14" ht="15" customHeight="1" x14ac:dyDescent="0.25">
      <c r="N8249" t="s">
        <v>68</v>
      </c>
    </row>
    <row r="8250" spans="14:14" ht="15" customHeight="1" x14ac:dyDescent="0.25">
      <c r="N8250" t="s">
        <v>68</v>
      </c>
    </row>
    <row r="8251" spans="14:14" ht="15" customHeight="1" x14ac:dyDescent="0.25">
      <c r="N8251" t="s">
        <v>68</v>
      </c>
    </row>
    <row r="8252" spans="14:14" ht="15" customHeight="1" x14ac:dyDescent="0.25">
      <c r="N8252" t="s">
        <v>68</v>
      </c>
    </row>
    <row r="8253" spans="14:14" ht="15" customHeight="1" x14ac:dyDescent="0.25">
      <c r="N8253" t="s">
        <v>68</v>
      </c>
    </row>
    <row r="8254" spans="14:14" ht="15" customHeight="1" x14ac:dyDescent="0.25">
      <c r="N8254" t="s">
        <v>68</v>
      </c>
    </row>
    <row r="8255" spans="14:14" ht="15" customHeight="1" x14ac:dyDescent="0.25">
      <c r="N8255" t="s">
        <v>68</v>
      </c>
    </row>
    <row r="8256" spans="14:14" ht="15" customHeight="1" x14ac:dyDescent="0.25">
      <c r="N8256" t="s">
        <v>68</v>
      </c>
    </row>
    <row r="8257" spans="14:14" ht="15" customHeight="1" x14ac:dyDescent="0.25">
      <c r="N8257" t="s">
        <v>68</v>
      </c>
    </row>
    <row r="8258" spans="14:14" ht="15" customHeight="1" x14ac:dyDescent="0.25">
      <c r="N8258" t="s">
        <v>68</v>
      </c>
    </row>
    <row r="8259" spans="14:14" ht="15" customHeight="1" x14ac:dyDescent="0.25">
      <c r="N8259" t="s">
        <v>68</v>
      </c>
    </row>
    <row r="8260" spans="14:14" ht="15" customHeight="1" x14ac:dyDescent="0.25">
      <c r="N8260" t="s">
        <v>68</v>
      </c>
    </row>
    <row r="8261" spans="14:14" ht="15" customHeight="1" x14ac:dyDescent="0.25">
      <c r="N8261" t="s">
        <v>68</v>
      </c>
    </row>
    <row r="8262" spans="14:14" ht="15" customHeight="1" x14ac:dyDescent="0.25">
      <c r="N8262" t="s">
        <v>582</v>
      </c>
    </row>
    <row r="8263" spans="14:14" ht="15" customHeight="1" x14ac:dyDescent="0.25">
      <c r="N8263" t="s">
        <v>622</v>
      </c>
    </row>
    <row r="8264" spans="14:14" ht="15" customHeight="1" x14ac:dyDescent="0.25">
      <c r="N8264" t="s">
        <v>675</v>
      </c>
    </row>
    <row r="8265" spans="14:14" ht="15" customHeight="1" x14ac:dyDescent="0.25">
      <c r="N8265" t="s">
        <v>675</v>
      </c>
    </row>
    <row r="8266" spans="14:14" ht="15" customHeight="1" x14ac:dyDescent="0.25">
      <c r="N8266" t="s">
        <v>675</v>
      </c>
    </row>
    <row r="8267" spans="14:14" ht="15" customHeight="1" x14ac:dyDescent="0.25">
      <c r="N8267" t="s">
        <v>675</v>
      </c>
    </row>
    <row r="8268" spans="14:14" ht="15" customHeight="1" x14ac:dyDescent="0.25">
      <c r="N8268" t="s">
        <v>675</v>
      </c>
    </row>
    <row r="8269" spans="14:14" ht="15" customHeight="1" x14ac:dyDescent="0.25">
      <c r="N8269" t="s">
        <v>675</v>
      </c>
    </row>
    <row r="8270" spans="14:14" ht="15" customHeight="1" x14ac:dyDescent="0.25">
      <c r="N8270" t="s">
        <v>675</v>
      </c>
    </row>
    <row r="8271" spans="14:14" ht="15" customHeight="1" x14ac:dyDescent="0.25">
      <c r="N8271" t="s">
        <v>675</v>
      </c>
    </row>
    <row r="8272" spans="14:14" ht="15" customHeight="1" x14ac:dyDescent="0.25">
      <c r="N8272" t="s">
        <v>736</v>
      </c>
    </row>
    <row r="8273" spans="14:14" ht="15" customHeight="1" x14ac:dyDescent="0.25">
      <c r="N8273" t="s">
        <v>749</v>
      </c>
    </row>
    <row r="8274" spans="14:14" ht="15" customHeight="1" x14ac:dyDescent="0.25">
      <c r="N8274" t="s">
        <v>749</v>
      </c>
    </row>
    <row r="8275" spans="14:14" ht="15" customHeight="1" x14ac:dyDescent="0.25">
      <c r="N8275" t="s">
        <v>749</v>
      </c>
    </row>
    <row r="8276" spans="14:14" ht="15" customHeight="1" x14ac:dyDescent="0.25">
      <c r="N8276" t="s">
        <v>749</v>
      </c>
    </row>
    <row r="8277" spans="14:14" ht="15" customHeight="1" x14ac:dyDescent="0.25">
      <c r="N8277" t="s">
        <v>749</v>
      </c>
    </row>
    <row r="8278" spans="14:14" ht="15" customHeight="1" x14ac:dyDescent="0.25">
      <c r="N8278" t="s">
        <v>749</v>
      </c>
    </row>
    <row r="8279" spans="14:14" ht="15" customHeight="1" x14ac:dyDescent="0.25">
      <c r="N8279" t="s">
        <v>749</v>
      </c>
    </row>
    <row r="8280" spans="14:14" ht="15" customHeight="1" x14ac:dyDescent="0.25">
      <c r="N8280" t="s">
        <v>749</v>
      </c>
    </row>
    <row r="8281" spans="14:14" ht="15" customHeight="1" x14ac:dyDescent="0.25">
      <c r="N8281" t="s">
        <v>749</v>
      </c>
    </row>
    <row r="8282" spans="14:14" ht="15" customHeight="1" x14ac:dyDescent="0.25">
      <c r="N8282" t="s">
        <v>749</v>
      </c>
    </row>
    <row r="8283" spans="14:14" ht="15" customHeight="1" x14ac:dyDescent="0.25">
      <c r="N8283" t="s">
        <v>749</v>
      </c>
    </row>
    <row r="8284" spans="14:14" ht="15" customHeight="1" x14ac:dyDescent="0.25">
      <c r="N8284" t="s">
        <v>749</v>
      </c>
    </row>
    <row r="8285" spans="14:14" ht="15" customHeight="1" x14ac:dyDescent="0.25">
      <c r="N8285" t="s">
        <v>749</v>
      </c>
    </row>
    <row r="8286" spans="14:14" ht="15" customHeight="1" x14ac:dyDescent="0.25">
      <c r="N8286" t="s">
        <v>749</v>
      </c>
    </row>
    <row r="8287" spans="14:14" ht="15" customHeight="1" x14ac:dyDescent="0.25">
      <c r="N8287" t="s">
        <v>749</v>
      </c>
    </row>
    <row r="8288" spans="14:14" ht="15" customHeight="1" x14ac:dyDescent="0.25">
      <c r="N8288" t="s">
        <v>749</v>
      </c>
    </row>
    <row r="8289" spans="14:14" ht="15" customHeight="1" x14ac:dyDescent="0.25">
      <c r="N8289" t="s">
        <v>749</v>
      </c>
    </row>
    <row r="8290" spans="14:14" ht="15" customHeight="1" x14ac:dyDescent="0.25">
      <c r="N8290" t="s">
        <v>749</v>
      </c>
    </row>
    <row r="8291" spans="14:14" ht="15" customHeight="1" x14ac:dyDescent="0.25">
      <c r="N8291" t="s">
        <v>749</v>
      </c>
    </row>
    <row r="8292" spans="14:14" ht="15" customHeight="1" x14ac:dyDescent="0.25">
      <c r="N8292" t="s">
        <v>749</v>
      </c>
    </row>
    <row r="8293" spans="14:14" ht="15" customHeight="1" x14ac:dyDescent="0.25">
      <c r="N8293" t="s">
        <v>749</v>
      </c>
    </row>
    <row r="8294" spans="14:14" ht="15" customHeight="1" x14ac:dyDescent="0.25">
      <c r="N8294" t="s">
        <v>749</v>
      </c>
    </row>
    <row r="8295" spans="14:14" ht="15" customHeight="1" x14ac:dyDescent="0.25">
      <c r="N8295" t="s">
        <v>749</v>
      </c>
    </row>
    <row r="8296" spans="14:14" ht="15" customHeight="1" x14ac:dyDescent="0.25">
      <c r="N8296" t="s">
        <v>749</v>
      </c>
    </row>
    <row r="8297" spans="14:14" ht="15" customHeight="1" x14ac:dyDescent="0.25">
      <c r="N8297" t="s">
        <v>749</v>
      </c>
    </row>
    <row r="8298" spans="14:14" ht="15" customHeight="1" x14ac:dyDescent="0.25">
      <c r="N8298" t="s">
        <v>749</v>
      </c>
    </row>
    <row r="8299" spans="14:14" ht="15" customHeight="1" x14ac:dyDescent="0.25">
      <c r="N8299" t="s">
        <v>732</v>
      </c>
    </row>
    <row r="8300" spans="14:14" ht="15" customHeight="1" x14ac:dyDescent="0.25">
      <c r="N8300" t="s">
        <v>496</v>
      </c>
    </row>
    <row r="8301" spans="14:14" ht="15" customHeight="1" x14ac:dyDescent="0.25">
      <c r="N8301" t="s">
        <v>715</v>
      </c>
    </row>
    <row r="8302" spans="14:14" ht="15" customHeight="1" x14ac:dyDescent="0.25">
      <c r="N8302" t="s">
        <v>715</v>
      </c>
    </row>
    <row r="8303" spans="14:14" ht="15" customHeight="1" x14ac:dyDescent="0.25">
      <c r="N8303" t="s">
        <v>715</v>
      </c>
    </row>
    <row r="8304" spans="14:14" ht="15" customHeight="1" x14ac:dyDescent="0.25">
      <c r="N8304" t="s">
        <v>715</v>
      </c>
    </row>
    <row r="8305" spans="14:14" ht="15" customHeight="1" x14ac:dyDescent="0.25">
      <c r="N8305" t="s">
        <v>706</v>
      </c>
    </row>
    <row r="8306" spans="14:14" ht="15" customHeight="1" x14ac:dyDescent="0.25">
      <c r="N8306" t="s">
        <v>706</v>
      </c>
    </row>
    <row r="8307" spans="14:14" ht="15" customHeight="1" x14ac:dyDescent="0.25">
      <c r="N8307" t="s">
        <v>706</v>
      </c>
    </row>
    <row r="8308" spans="14:14" ht="15" customHeight="1" x14ac:dyDescent="0.25">
      <c r="N8308" t="s">
        <v>706</v>
      </c>
    </row>
    <row r="8309" spans="14:14" ht="15" customHeight="1" x14ac:dyDescent="0.25">
      <c r="N8309" t="s">
        <v>706</v>
      </c>
    </row>
    <row r="8310" spans="14:14" ht="15" customHeight="1" x14ac:dyDescent="0.25">
      <c r="N8310" t="s">
        <v>706</v>
      </c>
    </row>
    <row r="8311" spans="14:14" ht="15" customHeight="1" x14ac:dyDescent="0.25">
      <c r="N8311" t="s">
        <v>706</v>
      </c>
    </row>
    <row r="8312" spans="14:14" ht="15" customHeight="1" x14ac:dyDescent="0.25">
      <c r="N8312" t="s">
        <v>706</v>
      </c>
    </row>
    <row r="8313" spans="14:14" ht="15" customHeight="1" x14ac:dyDescent="0.25">
      <c r="N8313" t="s">
        <v>706</v>
      </c>
    </row>
    <row r="8314" spans="14:14" ht="15" customHeight="1" x14ac:dyDescent="0.25">
      <c r="N8314" t="s">
        <v>706</v>
      </c>
    </row>
    <row r="8315" spans="14:14" ht="15" customHeight="1" x14ac:dyDescent="0.25">
      <c r="N8315" t="s">
        <v>706</v>
      </c>
    </row>
    <row r="8316" spans="14:14" ht="15" customHeight="1" x14ac:dyDescent="0.25">
      <c r="N8316" t="s">
        <v>706</v>
      </c>
    </row>
    <row r="8317" spans="14:14" ht="15" customHeight="1" x14ac:dyDescent="0.25">
      <c r="N8317" t="s">
        <v>706</v>
      </c>
    </row>
    <row r="8318" spans="14:14" ht="15" customHeight="1" x14ac:dyDescent="0.25">
      <c r="N8318" t="s">
        <v>582</v>
      </c>
    </row>
    <row r="8319" spans="14:14" ht="15" customHeight="1" x14ac:dyDescent="0.25">
      <c r="N8319" t="s">
        <v>750</v>
      </c>
    </row>
    <row r="8320" spans="14:14" ht="15" customHeight="1" x14ac:dyDescent="0.25">
      <c r="N8320" t="s">
        <v>750</v>
      </c>
    </row>
    <row r="8321" spans="14:14" ht="15" customHeight="1" x14ac:dyDescent="0.25">
      <c r="N8321" t="s">
        <v>750</v>
      </c>
    </row>
    <row r="8322" spans="14:14" ht="15" customHeight="1" x14ac:dyDescent="0.25">
      <c r="N8322" t="s">
        <v>750</v>
      </c>
    </row>
    <row r="8323" spans="14:14" ht="15" customHeight="1" x14ac:dyDescent="0.25">
      <c r="N8323" t="s">
        <v>750</v>
      </c>
    </row>
    <row r="8324" spans="14:14" ht="15" customHeight="1" x14ac:dyDescent="0.25">
      <c r="N8324" t="s">
        <v>750</v>
      </c>
    </row>
    <row r="8325" spans="14:14" ht="15" customHeight="1" x14ac:dyDescent="0.25">
      <c r="N8325" t="s">
        <v>750</v>
      </c>
    </row>
    <row r="8326" spans="14:14" ht="15" customHeight="1" x14ac:dyDescent="0.25">
      <c r="N8326" t="s">
        <v>750</v>
      </c>
    </row>
    <row r="8327" spans="14:14" ht="15" customHeight="1" x14ac:dyDescent="0.25">
      <c r="N8327" t="s">
        <v>750</v>
      </c>
    </row>
    <row r="8328" spans="14:14" ht="15" customHeight="1" x14ac:dyDescent="0.25">
      <c r="N8328" t="s">
        <v>750</v>
      </c>
    </row>
    <row r="8329" spans="14:14" ht="15" customHeight="1" x14ac:dyDescent="0.25">
      <c r="N8329" t="s">
        <v>750</v>
      </c>
    </row>
    <row r="8330" spans="14:14" ht="15" customHeight="1" x14ac:dyDescent="0.25">
      <c r="N8330" t="s">
        <v>750</v>
      </c>
    </row>
    <row r="8331" spans="14:14" ht="15" customHeight="1" x14ac:dyDescent="0.25">
      <c r="N8331" t="s">
        <v>750</v>
      </c>
    </row>
    <row r="8332" spans="14:14" ht="15" customHeight="1" x14ac:dyDescent="0.25">
      <c r="N8332" t="s">
        <v>750</v>
      </c>
    </row>
    <row r="8333" spans="14:14" ht="15" customHeight="1" x14ac:dyDescent="0.25">
      <c r="N8333" t="s">
        <v>750</v>
      </c>
    </row>
    <row r="8334" spans="14:14" ht="15" customHeight="1" x14ac:dyDescent="0.25">
      <c r="N8334" t="s">
        <v>750</v>
      </c>
    </row>
    <row r="8335" spans="14:14" ht="15" customHeight="1" x14ac:dyDescent="0.25">
      <c r="N8335" t="s">
        <v>750</v>
      </c>
    </row>
    <row r="8336" spans="14:14" ht="15" customHeight="1" x14ac:dyDescent="0.25">
      <c r="N8336" t="s">
        <v>750</v>
      </c>
    </row>
    <row r="8337" spans="14:14" ht="15" customHeight="1" x14ac:dyDescent="0.25">
      <c r="N8337" t="s">
        <v>750</v>
      </c>
    </row>
    <row r="8338" spans="14:14" ht="15" customHeight="1" x14ac:dyDescent="0.25">
      <c r="N8338" t="s">
        <v>750</v>
      </c>
    </row>
    <row r="8339" spans="14:14" ht="15" customHeight="1" x14ac:dyDescent="0.25">
      <c r="N8339" t="s">
        <v>750</v>
      </c>
    </row>
    <row r="8340" spans="14:14" ht="15" customHeight="1" x14ac:dyDescent="0.25">
      <c r="N8340" t="s">
        <v>750</v>
      </c>
    </row>
    <row r="8341" spans="14:14" ht="15" customHeight="1" x14ac:dyDescent="0.25">
      <c r="N8341" t="s">
        <v>750</v>
      </c>
    </row>
    <row r="8342" spans="14:14" ht="15" customHeight="1" x14ac:dyDescent="0.25">
      <c r="N8342" t="s">
        <v>750</v>
      </c>
    </row>
    <row r="8343" spans="14:14" ht="15" customHeight="1" x14ac:dyDescent="0.25">
      <c r="N8343" t="s">
        <v>750</v>
      </c>
    </row>
    <row r="8344" spans="14:14" ht="15" customHeight="1" x14ac:dyDescent="0.25">
      <c r="N8344" t="s">
        <v>750</v>
      </c>
    </row>
    <row r="8345" spans="14:14" ht="15" customHeight="1" x14ac:dyDescent="0.25">
      <c r="N8345" t="s">
        <v>824</v>
      </c>
    </row>
    <row r="8346" spans="14:14" ht="15" customHeight="1" x14ac:dyDescent="0.25">
      <c r="N8346" t="s">
        <v>824</v>
      </c>
    </row>
    <row r="8347" spans="14:14" ht="15" customHeight="1" x14ac:dyDescent="0.25">
      <c r="N8347" t="s">
        <v>689</v>
      </c>
    </row>
    <row r="8348" spans="14:14" ht="15" customHeight="1" x14ac:dyDescent="0.25">
      <c r="N8348" t="s">
        <v>715</v>
      </c>
    </row>
    <row r="8349" spans="14:14" ht="15" customHeight="1" x14ac:dyDescent="0.25">
      <c r="N8349" t="s">
        <v>715</v>
      </c>
    </row>
    <row r="8350" spans="14:14" ht="15" customHeight="1" x14ac:dyDescent="0.25">
      <c r="N8350" t="s">
        <v>715</v>
      </c>
    </row>
    <row r="8351" spans="14:14" ht="15" customHeight="1" x14ac:dyDescent="0.25">
      <c r="N8351" t="s">
        <v>715</v>
      </c>
    </row>
    <row r="8352" spans="14:14" ht="15" customHeight="1" x14ac:dyDescent="0.25">
      <c r="N8352" t="s">
        <v>751</v>
      </c>
    </row>
    <row r="8353" spans="14:14" ht="15" customHeight="1" x14ac:dyDescent="0.25">
      <c r="N8353" t="s">
        <v>751</v>
      </c>
    </row>
    <row r="8354" spans="14:14" ht="15" customHeight="1" x14ac:dyDescent="0.25">
      <c r="N8354" t="s">
        <v>751</v>
      </c>
    </row>
    <row r="8355" spans="14:14" ht="15" customHeight="1" x14ac:dyDescent="0.25">
      <c r="N8355" t="s">
        <v>751</v>
      </c>
    </row>
    <row r="8356" spans="14:14" ht="15" customHeight="1" x14ac:dyDescent="0.25">
      <c r="N8356" t="s">
        <v>751</v>
      </c>
    </row>
    <row r="8357" spans="14:14" ht="15" customHeight="1" x14ac:dyDescent="0.25">
      <c r="N8357" t="s">
        <v>751</v>
      </c>
    </row>
    <row r="8358" spans="14:14" ht="15" customHeight="1" x14ac:dyDescent="0.25">
      <c r="N8358" t="s">
        <v>751</v>
      </c>
    </row>
    <row r="8359" spans="14:14" ht="15" customHeight="1" x14ac:dyDescent="0.25">
      <c r="N8359" t="s">
        <v>751</v>
      </c>
    </row>
    <row r="8360" spans="14:14" ht="15" customHeight="1" x14ac:dyDescent="0.25">
      <c r="N8360" t="s">
        <v>751</v>
      </c>
    </row>
    <row r="8361" spans="14:14" ht="15" customHeight="1" x14ac:dyDescent="0.25">
      <c r="N8361" t="s">
        <v>751</v>
      </c>
    </row>
    <row r="8362" spans="14:14" ht="15" customHeight="1" x14ac:dyDescent="0.25">
      <c r="N8362" t="s">
        <v>751</v>
      </c>
    </row>
    <row r="8363" spans="14:14" ht="15" customHeight="1" x14ac:dyDescent="0.25">
      <c r="N8363" t="s">
        <v>751</v>
      </c>
    </row>
    <row r="8364" spans="14:14" ht="15" customHeight="1" x14ac:dyDescent="0.25">
      <c r="N8364" t="s">
        <v>751</v>
      </c>
    </row>
    <row r="8365" spans="14:14" ht="15" customHeight="1" x14ac:dyDescent="0.25">
      <c r="N8365" t="s">
        <v>751</v>
      </c>
    </row>
    <row r="8366" spans="14:14" ht="15" customHeight="1" x14ac:dyDescent="0.25">
      <c r="N8366" t="s">
        <v>751</v>
      </c>
    </row>
    <row r="8367" spans="14:14" ht="15" customHeight="1" x14ac:dyDescent="0.25">
      <c r="N8367" t="s">
        <v>751</v>
      </c>
    </row>
    <row r="8368" spans="14:14" ht="15" customHeight="1" x14ac:dyDescent="0.25">
      <c r="N8368" t="s">
        <v>751</v>
      </c>
    </row>
    <row r="8369" spans="14:14" ht="15" customHeight="1" x14ac:dyDescent="0.25">
      <c r="N8369" t="s">
        <v>751</v>
      </c>
    </row>
    <row r="8370" spans="14:14" ht="15" customHeight="1" x14ac:dyDescent="0.25">
      <c r="N8370" t="s">
        <v>751</v>
      </c>
    </row>
    <row r="8371" spans="14:14" ht="15" customHeight="1" x14ac:dyDescent="0.25">
      <c r="N8371" t="s">
        <v>751</v>
      </c>
    </row>
    <row r="8372" spans="14:14" ht="15" customHeight="1" x14ac:dyDescent="0.25">
      <c r="N8372" t="s">
        <v>751</v>
      </c>
    </row>
    <row r="8373" spans="14:14" ht="15" customHeight="1" x14ac:dyDescent="0.25">
      <c r="N8373" t="s">
        <v>751</v>
      </c>
    </row>
    <row r="8374" spans="14:14" ht="15" customHeight="1" x14ac:dyDescent="0.25">
      <c r="N8374" t="s">
        <v>751</v>
      </c>
    </row>
    <row r="8375" spans="14:14" ht="15" customHeight="1" x14ac:dyDescent="0.25">
      <c r="N8375" t="s">
        <v>751</v>
      </c>
    </row>
    <row r="8376" spans="14:14" ht="15" customHeight="1" x14ac:dyDescent="0.25">
      <c r="N8376" t="s">
        <v>751</v>
      </c>
    </row>
    <row r="8377" spans="14:14" ht="15" customHeight="1" x14ac:dyDescent="0.25">
      <c r="N8377" t="s">
        <v>751</v>
      </c>
    </row>
    <row r="8378" spans="14:14" ht="15" customHeight="1" x14ac:dyDescent="0.25">
      <c r="N8378" t="s">
        <v>824</v>
      </c>
    </row>
    <row r="8379" spans="14:14" ht="15" customHeight="1" x14ac:dyDescent="0.25">
      <c r="N8379" t="s">
        <v>68</v>
      </c>
    </row>
    <row r="8380" spans="14:14" ht="15" customHeight="1" x14ac:dyDescent="0.25">
      <c r="N8380" t="s">
        <v>675</v>
      </c>
    </row>
    <row r="8381" spans="14:14" ht="15" customHeight="1" x14ac:dyDescent="0.25">
      <c r="N8381" t="s">
        <v>675</v>
      </c>
    </row>
    <row r="8382" spans="14:14" ht="15" customHeight="1" x14ac:dyDescent="0.25">
      <c r="N8382" t="s">
        <v>675</v>
      </c>
    </row>
    <row r="8383" spans="14:14" ht="15" customHeight="1" x14ac:dyDescent="0.25">
      <c r="N8383" t="s">
        <v>675</v>
      </c>
    </row>
    <row r="8384" spans="14:14" ht="15" customHeight="1" x14ac:dyDescent="0.25">
      <c r="N8384" t="s">
        <v>675</v>
      </c>
    </row>
    <row r="8385" spans="14:14" ht="15" customHeight="1" x14ac:dyDescent="0.25">
      <c r="N8385" t="s">
        <v>675</v>
      </c>
    </row>
    <row r="8386" spans="14:14" ht="15" customHeight="1" x14ac:dyDescent="0.25">
      <c r="N8386" t="s">
        <v>675</v>
      </c>
    </row>
    <row r="8387" spans="14:14" ht="15" customHeight="1" x14ac:dyDescent="0.25">
      <c r="N8387" t="s">
        <v>675</v>
      </c>
    </row>
    <row r="8388" spans="14:14" ht="15" customHeight="1" x14ac:dyDescent="0.25">
      <c r="N8388" t="s">
        <v>706</v>
      </c>
    </row>
    <row r="8389" spans="14:14" ht="15" customHeight="1" x14ac:dyDescent="0.25">
      <c r="N8389" t="s">
        <v>706</v>
      </c>
    </row>
    <row r="8390" spans="14:14" ht="15" customHeight="1" x14ac:dyDescent="0.25">
      <c r="N8390" t="s">
        <v>706</v>
      </c>
    </row>
    <row r="8391" spans="14:14" ht="15" customHeight="1" x14ac:dyDescent="0.25">
      <c r="N8391" t="s">
        <v>706</v>
      </c>
    </row>
    <row r="8392" spans="14:14" ht="15" customHeight="1" x14ac:dyDescent="0.25">
      <c r="N8392" t="s">
        <v>706</v>
      </c>
    </row>
    <row r="8393" spans="14:14" ht="15" customHeight="1" x14ac:dyDescent="0.25">
      <c r="N8393" t="s">
        <v>706</v>
      </c>
    </row>
    <row r="8394" spans="14:14" ht="15" customHeight="1" x14ac:dyDescent="0.25">
      <c r="N8394" t="s">
        <v>706</v>
      </c>
    </row>
    <row r="8395" spans="14:14" ht="15" customHeight="1" x14ac:dyDescent="0.25">
      <c r="N8395" t="s">
        <v>706</v>
      </c>
    </row>
    <row r="8396" spans="14:14" ht="15" customHeight="1" x14ac:dyDescent="0.25">
      <c r="N8396" t="s">
        <v>706</v>
      </c>
    </row>
    <row r="8397" spans="14:14" ht="15" customHeight="1" x14ac:dyDescent="0.25">
      <c r="N8397" t="s">
        <v>706</v>
      </c>
    </row>
    <row r="8398" spans="14:14" ht="15" customHeight="1" x14ac:dyDescent="0.25">
      <c r="N8398" t="s">
        <v>706</v>
      </c>
    </row>
    <row r="8399" spans="14:14" ht="15" customHeight="1" x14ac:dyDescent="0.25">
      <c r="N8399" t="s">
        <v>706</v>
      </c>
    </row>
    <row r="8400" spans="14:14" ht="15" customHeight="1" x14ac:dyDescent="0.25">
      <c r="N8400" t="s">
        <v>706</v>
      </c>
    </row>
    <row r="8401" spans="14:14" ht="15" customHeight="1" x14ac:dyDescent="0.25">
      <c r="N8401" t="s">
        <v>313</v>
      </c>
    </row>
    <row r="8402" spans="14:14" ht="15" customHeight="1" x14ac:dyDescent="0.25">
      <c r="N8402" t="s">
        <v>313</v>
      </c>
    </row>
    <row r="8403" spans="14:14" ht="15" customHeight="1" x14ac:dyDescent="0.25">
      <c r="N8403" t="s">
        <v>313</v>
      </c>
    </row>
    <row r="8404" spans="14:14" ht="15" customHeight="1" x14ac:dyDescent="0.25">
      <c r="N8404" t="s">
        <v>313</v>
      </c>
    </row>
    <row r="8405" spans="14:14" ht="15" customHeight="1" x14ac:dyDescent="0.25">
      <c r="N8405" t="s">
        <v>313</v>
      </c>
    </row>
    <row r="8406" spans="14:14" ht="15" customHeight="1" x14ac:dyDescent="0.25">
      <c r="N8406" t="s">
        <v>313</v>
      </c>
    </row>
    <row r="8407" spans="14:14" ht="15" customHeight="1" x14ac:dyDescent="0.25">
      <c r="N8407" t="s">
        <v>313</v>
      </c>
    </row>
    <row r="8408" spans="14:14" ht="15" customHeight="1" x14ac:dyDescent="0.25">
      <c r="N8408" t="s">
        <v>68</v>
      </c>
    </row>
    <row r="8409" spans="14:14" ht="15" customHeight="1" x14ac:dyDescent="0.25">
      <c r="N8409" t="s">
        <v>68</v>
      </c>
    </row>
    <row r="8410" spans="14:14" ht="15" customHeight="1" x14ac:dyDescent="0.25">
      <c r="N8410" t="s">
        <v>68</v>
      </c>
    </row>
    <row r="8411" spans="14:14" ht="15" customHeight="1" x14ac:dyDescent="0.25">
      <c r="N8411" t="s">
        <v>68</v>
      </c>
    </row>
    <row r="8412" spans="14:14" ht="15" customHeight="1" x14ac:dyDescent="0.25">
      <c r="N8412" t="s">
        <v>68</v>
      </c>
    </row>
    <row r="8413" spans="14:14" ht="15" customHeight="1" x14ac:dyDescent="0.25">
      <c r="N8413" t="s">
        <v>68</v>
      </c>
    </row>
    <row r="8414" spans="14:14" ht="15" customHeight="1" x14ac:dyDescent="0.25">
      <c r="N8414" t="s">
        <v>68</v>
      </c>
    </row>
    <row r="8415" spans="14:14" ht="15" customHeight="1" x14ac:dyDescent="0.25">
      <c r="N8415" t="s">
        <v>677</v>
      </c>
    </row>
    <row r="8416" spans="14:14" ht="15" customHeight="1" x14ac:dyDescent="0.25">
      <c r="N8416" t="s">
        <v>313</v>
      </c>
    </row>
    <row r="8417" spans="14:14" ht="15" customHeight="1" x14ac:dyDescent="0.25">
      <c r="N8417" t="s">
        <v>824</v>
      </c>
    </row>
    <row r="8418" spans="14:14" ht="15" customHeight="1" x14ac:dyDescent="0.25">
      <c r="N8418" t="s">
        <v>677</v>
      </c>
    </row>
    <row r="8419" spans="14:14" ht="15" customHeight="1" x14ac:dyDescent="0.25">
      <c r="N8419" t="s">
        <v>677</v>
      </c>
    </row>
    <row r="8420" spans="14:14" ht="15" customHeight="1" x14ac:dyDescent="0.25">
      <c r="N8420" t="s">
        <v>68</v>
      </c>
    </row>
    <row r="8421" spans="14:14" ht="15" customHeight="1" x14ac:dyDescent="0.25">
      <c r="N8421" t="s">
        <v>752</v>
      </c>
    </row>
    <row r="8422" spans="14:14" ht="15" customHeight="1" x14ac:dyDescent="0.25">
      <c r="N8422" t="s">
        <v>752</v>
      </c>
    </row>
    <row r="8423" spans="14:14" ht="15" customHeight="1" x14ac:dyDescent="0.25">
      <c r="N8423" t="s">
        <v>752</v>
      </c>
    </row>
    <row r="8424" spans="14:14" ht="15" customHeight="1" x14ac:dyDescent="0.25">
      <c r="N8424" t="s">
        <v>752</v>
      </c>
    </row>
    <row r="8425" spans="14:14" ht="15" customHeight="1" x14ac:dyDescent="0.25">
      <c r="N8425" t="s">
        <v>752</v>
      </c>
    </row>
    <row r="8426" spans="14:14" ht="15" customHeight="1" x14ac:dyDescent="0.25">
      <c r="N8426" t="s">
        <v>752</v>
      </c>
    </row>
    <row r="8427" spans="14:14" ht="15" customHeight="1" x14ac:dyDescent="0.25">
      <c r="N8427" t="s">
        <v>752</v>
      </c>
    </row>
    <row r="8428" spans="14:14" ht="15" customHeight="1" x14ac:dyDescent="0.25">
      <c r="N8428" t="s">
        <v>752</v>
      </c>
    </row>
    <row r="8429" spans="14:14" ht="15" customHeight="1" x14ac:dyDescent="0.25">
      <c r="N8429" t="s">
        <v>752</v>
      </c>
    </row>
    <row r="8430" spans="14:14" ht="15" customHeight="1" x14ac:dyDescent="0.25">
      <c r="N8430" t="s">
        <v>752</v>
      </c>
    </row>
    <row r="8431" spans="14:14" ht="15" customHeight="1" x14ac:dyDescent="0.25">
      <c r="N8431" t="s">
        <v>752</v>
      </c>
    </row>
    <row r="8432" spans="14:14" ht="15" customHeight="1" x14ac:dyDescent="0.25">
      <c r="N8432" t="s">
        <v>752</v>
      </c>
    </row>
    <row r="8433" spans="14:14" ht="15" customHeight="1" x14ac:dyDescent="0.25">
      <c r="N8433" t="s">
        <v>752</v>
      </c>
    </row>
    <row r="8434" spans="14:14" ht="15" customHeight="1" x14ac:dyDescent="0.25">
      <c r="N8434" t="s">
        <v>752</v>
      </c>
    </row>
    <row r="8435" spans="14:14" ht="15" customHeight="1" x14ac:dyDescent="0.25">
      <c r="N8435" t="s">
        <v>752</v>
      </c>
    </row>
    <row r="8436" spans="14:14" ht="15" customHeight="1" x14ac:dyDescent="0.25">
      <c r="N8436" t="s">
        <v>752</v>
      </c>
    </row>
    <row r="8437" spans="14:14" ht="15" customHeight="1" x14ac:dyDescent="0.25">
      <c r="N8437" t="s">
        <v>752</v>
      </c>
    </row>
    <row r="8438" spans="14:14" ht="15" customHeight="1" x14ac:dyDescent="0.25">
      <c r="N8438" t="s">
        <v>752</v>
      </c>
    </row>
    <row r="8439" spans="14:14" ht="15" customHeight="1" x14ac:dyDescent="0.25">
      <c r="N8439" t="s">
        <v>752</v>
      </c>
    </row>
    <row r="8440" spans="14:14" ht="15" customHeight="1" x14ac:dyDescent="0.25">
      <c r="N8440" t="s">
        <v>752</v>
      </c>
    </row>
    <row r="8441" spans="14:14" ht="15" customHeight="1" x14ac:dyDescent="0.25">
      <c r="N8441" t="s">
        <v>752</v>
      </c>
    </row>
    <row r="8442" spans="14:14" ht="15" customHeight="1" x14ac:dyDescent="0.25">
      <c r="N8442" t="s">
        <v>752</v>
      </c>
    </row>
    <row r="8443" spans="14:14" ht="15" customHeight="1" x14ac:dyDescent="0.25">
      <c r="N8443" t="s">
        <v>752</v>
      </c>
    </row>
    <row r="8444" spans="14:14" ht="15" customHeight="1" x14ac:dyDescent="0.25">
      <c r="N8444" t="s">
        <v>752</v>
      </c>
    </row>
    <row r="8445" spans="14:14" ht="15" customHeight="1" x14ac:dyDescent="0.25">
      <c r="N8445" t="s">
        <v>752</v>
      </c>
    </row>
    <row r="8446" spans="14:14" ht="15" customHeight="1" x14ac:dyDescent="0.25">
      <c r="N8446" t="s">
        <v>752</v>
      </c>
    </row>
    <row r="8447" spans="14:14" ht="15" customHeight="1" x14ac:dyDescent="0.25">
      <c r="N8447" t="s">
        <v>687</v>
      </c>
    </row>
    <row r="8448" spans="14:14" ht="15" customHeight="1" x14ac:dyDescent="0.25">
      <c r="N8448" t="s">
        <v>68</v>
      </c>
    </row>
    <row r="8449" spans="14:14" ht="15" customHeight="1" x14ac:dyDescent="0.25">
      <c r="N8449" t="s">
        <v>752</v>
      </c>
    </row>
    <row r="8450" spans="14:14" ht="15" customHeight="1" x14ac:dyDescent="0.25">
      <c r="N8450" t="s">
        <v>752</v>
      </c>
    </row>
    <row r="8451" spans="14:14" ht="15" customHeight="1" x14ac:dyDescent="0.25">
      <c r="N8451" t="s">
        <v>752</v>
      </c>
    </row>
    <row r="8452" spans="14:14" ht="15" customHeight="1" x14ac:dyDescent="0.25">
      <c r="N8452" t="s">
        <v>752</v>
      </c>
    </row>
    <row r="8453" spans="14:14" ht="15" customHeight="1" x14ac:dyDescent="0.25">
      <c r="N8453" t="s">
        <v>752</v>
      </c>
    </row>
    <row r="8454" spans="14:14" ht="15" customHeight="1" x14ac:dyDescent="0.25">
      <c r="N8454" t="s">
        <v>752</v>
      </c>
    </row>
    <row r="8455" spans="14:14" ht="15" customHeight="1" x14ac:dyDescent="0.25">
      <c r="N8455" t="s">
        <v>752</v>
      </c>
    </row>
    <row r="8456" spans="14:14" ht="15" customHeight="1" x14ac:dyDescent="0.25">
      <c r="N8456" t="s">
        <v>752</v>
      </c>
    </row>
    <row r="8457" spans="14:14" ht="15" customHeight="1" x14ac:dyDescent="0.25">
      <c r="N8457" t="s">
        <v>752</v>
      </c>
    </row>
    <row r="8458" spans="14:14" ht="15" customHeight="1" x14ac:dyDescent="0.25">
      <c r="N8458" t="s">
        <v>752</v>
      </c>
    </row>
    <row r="8459" spans="14:14" ht="15" customHeight="1" x14ac:dyDescent="0.25">
      <c r="N8459" t="s">
        <v>752</v>
      </c>
    </row>
    <row r="8460" spans="14:14" ht="15" customHeight="1" x14ac:dyDescent="0.25">
      <c r="N8460" t="s">
        <v>752</v>
      </c>
    </row>
    <row r="8461" spans="14:14" ht="15" customHeight="1" x14ac:dyDescent="0.25">
      <c r="N8461" t="s">
        <v>752</v>
      </c>
    </row>
    <row r="8462" spans="14:14" ht="15" customHeight="1" x14ac:dyDescent="0.25">
      <c r="N8462" t="s">
        <v>752</v>
      </c>
    </row>
    <row r="8463" spans="14:14" ht="15" customHeight="1" x14ac:dyDescent="0.25">
      <c r="N8463" t="s">
        <v>752</v>
      </c>
    </row>
    <row r="8464" spans="14:14" ht="15" customHeight="1" x14ac:dyDescent="0.25">
      <c r="N8464" t="s">
        <v>752</v>
      </c>
    </row>
    <row r="8465" spans="14:14" ht="15" customHeight="1" x14ac:dyDescent="0.25">
      <c r="N8465" t="s">
        <v>752</v>
      </c>
    </row>
    <row r="8466" spans="14:14" ht="15" customHeight="1" x14ac:dyDescent="0.25">
      <c r="N8466" t="s">
        <v>752</v>
      </c>
    </row>
    <row r="8467" spans="14:14" ht="15" customHeight="1" x14ac:dyDescent="0.25">
      <c r="N8467" t="s">
        <v>752</v>
      </c>
    </row>
    <row r="8468" spans="14:14" ht="15" customHeight="1" x14ac:dyDescent="0.25">
      <c r="N8468" t="s">
        <v>752</v>
      </c>
    </row>
    <row r="8469" spans="14:14" ht="15" customHeight="1" x14ac:dyDescent="0.25">
      <c r="N8469" t="s">
        <v>752</v>
      </c>
    </row>
    <row r="8470" spans="14:14" ht="15" customHeight="1" x14ac:dyDescent="0.25">
      <c r="N8470" t="s">
        <v>752</v>
      </c>
    </row>
    <row r="8471" spans="14:14" ht="15" customHeight="1" x14ac:dyDescent="0.25">
      <c r="N8471" t="s">
        <v>752</v>
      </c>
    </row>
    <row r="8472" spans="14:14" ht="15" customHeight="1" x14ac:dyDescent="0.25">
      <c r="N8472" t="s">
        <v>752</v>
      </c>
    </row>
    <row r="8473" spans="14:14" ht="15" customHeight="1" x14ac:dyDescent="0.25">
      <c r="N8473" t="s">
        <v>752</v>
      </c>
    </row>
    <row r="8474" spans="14:14" ht="15" customHeight="1" x14ac:dyDescent="0.25">
      <c r="N8474" t="s">
        <v>752</v>
      </c>
    </row>
    <row r="8475" spans="14:14" ht="15" customHeight="1" x14ac:dyDescent="0.25">
      <c r="N8475" t="s">
        <v>304</v>
      </c>
    </row>
    <row r="8476" spans="14:14" ht="15" customHeight="1" x14ac:dyDescent="0.25">
      <c r="N8476" t="s">
        <v>304</v>
      </c>
    </row>
    <row r="8477" spans="14:14" ht="15" customHeight="1" x14ac:dyDescent="0.25">
      <c r="N8477" t="s">
        <v>304</v>
      </c>
    </row>
    <row r="8478" spans="14:14" ht="15" customHeight="1" x14ac:dyDescent="0.25">
      <c r="N8478" t="s">
        <v>304</v>
      </c>
    </row>
    <row r="8479" spans="14:14" ht="15" customHeight="1" x14ac:dyDescent="0.25">
      <c r="N8479" t="s">
        <v>752</v>
      </c>
    </row>
    <row r="8480" spans="14:14" ht="15" customHeight="1" x14ac:dyDescent="0.25">
      <c r="N8480" t="s">
        <v>752</v>
      </c>
    </row>
    <row r="8481" spans="14:14" ht="15" customHeight="1" x14ac:dyDescent="0.25">
      <c r="N8481" t="s">
        <v>752</v>
      </c>
    </row>
    <row r="8482" spans="14:14" ht="15" customHeight="1" x14ac:dyDescent="0.25">
      <c r="N8482" t="s">
        <v>752</v>
      </c>
    </row>
    <row r="8483" spans="14:14" ht="15" customHeight="1" x14ac:dyDescent="0.25">
      <c r="N8483" t="s">
        <v>752</v>
      </c>
    </row>
    <row r="8484" spans="14:14" ht="15" customHeight="1" x14ac:dyDescent="0.25">
      <c r="N8484" t="s">
        <v>752</v>
      </c>
    </row>
    <row r="8485" spans="14:14" ht="15" customHeight="1" x14ac:dyDescent="0.25">
      <c r="N8485" t="s">
        <v>752</v>
      </c>
    </row>
    <row r="8486" spans="14:14" ht="15" customHeight="1" x14ac:dyDescent="0.25">
      <c r="N8486" t="s">
        <v>752</v>
      </c>
    </row>
    <row r="8487" spans="14:14" ht="15" customHeight="1" x14ac:dyDescent="0.25">
      <c r="N8487" t="s">
        <v>752</v>
      </c>
    </row>
    <row r="8488" spans="14:14" ht="15" customHeight="1" x14ac:dyDescent="0.25">
      <c r="N8488" t="s">
        <v>752</v>
      </c>
    </row>
    <row r="8489" spans="14:14" ht="15" customHeight="1" x14ac:dyDescent="0.25">
      <c r="N8489" t="s">
        <v>752</v>
      </c>
    </row>
    <row r="8490" spans="14:14" ht="15" customHeight="1" x14ac:dyDescent="0.25">
      <c r="N8490" t="s">
        <v>752</v>
      </c>
    </row>
    <row r="8491" spans="14:14" ht="15" customHeight="1" x14ac:dyDescent="0.25">
      <c r="N8491" t="s">
        <v>752</v>
      </c>
    </row>
    <row r="8492" spans="14:14" ht="15" customHeight="1" x14ac:dyDescent="0.25">
      <c r="N8492" t="s">
        <v>752</v>
      </c>
    </row>
    <row r="8493" spans="14:14" ht="15" customHeight="1" x14ac:dyDescent="0.25">
      <c r="N8493" t="s">
        <v>752</v>
      </c>
    </row>
    <row r="8494" spans="14:14" ht="15" customHeight="1" x14ac:dyDescent="0.25">
      <c r="N8494" t="s">
        <v>752</v>
      </c>
    </row>
    <row r="8495" spans="14:14" ht="15" customHeight="1" x14ac:dyDescent="0.25">
      <c r="N8495" t="s">
        <v>752</v>
      </c>
    </row>
    <row r="8496" spans="14:14" ht="15" customHeight="1" x14ac:dyDescent="0.25">
      <c r="N8496" t="s">
        <v>752</v>
      </c>
    </row>
    <row r="8497" spans="14:14" ht="15" customHeight="1" x14ac:dyDescent="0.25">
      <c r="N8497" t="s">
        <v>752</v>
      </c>
    </row>
    <row r="8498" spans="14:14" ht="15" customHeight="1" x14ac:dyDescent="0.25">
      <c r="N8498" t="s">
        <v>752</v>
      </c>
    </row>
    <row r="8499" spans="14:14" ht="15" customHeight="1" x14ac:dyDescent="0.25">
      <c r="N8499" t="s">
        <v>752</v>
      </c>
    </row>
    <row r="8500" spans="14:14" ht="15" customHeight="1" x14ac:dyDescent="0.25">
      <c r="N8500" t="s">
        <v>752</v>
      </c>
    </row>
    <row r="8501" spans="14:14" ht="15" customHeight="1" x14ac:dyDescent="0.25">
      <c r="N8501" t="s">
        <v>752</v>
      </c>
    </row>
    <row r="8502" spans="14:14" ht="15" customHeight="1" x14ac:dyDescent="0.25">
      <c r="N8502" t="s">
        <v>752</v>
      </c>
    </row>
    <row r="8503" spans="14:14" ht="15" customHeight="1" x14ac:dyDescent="0.25">
      <c r="N8503" t="s">
        <v>752</v>
      </c>
    </row>
    <row r="8504" spans="14:14" ht="15" customHeight="1" x14ac:dyDescent="0.25">
      <c r="N8504" t="s">
        <v>752</v>
      </c>
    </row>
    <row r="8505" spans="14:14" ht="15" customHeight="1" x14ac:dyDescent="0.25">
      <c r="N8505" t="s">
        <v>582</v>
      </c>
    </row>
    <row r="8506" spans="14:14" ht="15" customHeight="1" x14ac:dyDescent="0.25">
      <c r="N8506" t="s">
        <v>582</v>
      </c>
    </row>
    <row r="8507" spans="14:14" ht="15" customHeight="1" x14ac:dyDescent="0.25">
      <c r="N8507" t="s">
        <v>582</v>
      </c>
    </row>
    <row r="8508" spans="14:14" ht="15" customHeight="1" x14ac:dyDescent="0.25">
      <c r="N8508" t="s">
        <v>582</v>
      </c>
    </row>
    <row r="8509" spans="14:14" ht="15" customHeight="1" x14ac:dyDescent="0.25">
      <c r="N8509" t="s">
        <v>582</v>
      </c>
    </row>
    <row r="8510" spans="14:14" ht="15" customHeight="1" x14ac:dyDescent="0.25">
      <c r="N8510" t="s">
        <v>582</v>
      </c>
    </row>
    <row r="8511" spans="14:14" ht="15" customHeight="1" x14ac:dyDescent="0.25">
      <c r="N8511" t="s">
        <v>582</v>
      </c>
    </row>
    <row r="8512" spans="14:14" ht="15" customHeight="1" x14ac:dyDescent="0.25">
      <c r="N8512" t="s">
        <v>687</v>
      </c>
    </row>
    <row r="8513" spans="14:14" ht="15" customHeight="1" x14ac:dyDescent="0.25">
      <c r="N8513" t="s">
        <v>68</v>
      </c>
    </row>
    <row r="8514" spans="14:14" ht="15" customHeight="1" x14ac:dyDescent="0.25">
      <c r="N8514" t="s">
        <v>68</v>
      </c>
    </row>
    <row r="8515" spans="14:14" ht="15" customHeight="1" x14ac:dyDescent="0.25">
      <c r="N8515" t="s">
        <v>68</v>
      </c>
    </row>
    <row r="8516" spans="14:14" ht="15" customHeight="1" x14ac:dyDescent="0.25">
      <c r="N8516" t="s">
        <v>68</v>
      </c>
    </row>
    <row r="8517" spans="14:14" ht="15" customHeight="1" x14ac:dyDescent="0.25">
      <c r="N8517" t="s">
        <v>68</v>
      </c>
    </row>
    <row r="8518" spans="14:14" ht="15" customHeight="1" x14ac:dyDescent="0.25">
      <c r="N8518" t="s">
        <v>68</v>
      </c>
    </row>
    <row r="8519" spans="14:14" ht="15" customHeight="1" x14ac:dyDescent="0.25">
      <c r="N8519" t="s">
        <v>68</v>
      </c>
    </row>
    <row r="8520" spans="14:14" ht="15" customHeight="1" x14ac:dyDescent="0.25">
      <c r="N8520" t="s">
        <v>715</v>
      </c>
    </row>
    <row r="8521" spans="14:14" ht="15" customHeight="1" x14ac:dyDescent="0.25">
      <c r="N8521" t="s">
        <v>713</v>
      </c>
    </row>
    <row r="8522" spans="14:14" ht="15" customHeight="1" x14ac:dyDescent="0.25">
      <c r="N8522" t="s">
        <v>408</v>
      </c>
    </row>
    <row r="8523" spans="14:14" ht="15" customHeight="1" x14ac:dyDescent="0.25">
      <c r="N8523" t="s">
        <v>713</v>
      </c>
    </row>
    <row r="8524" spans="14:14" ht="15" customHeight="1" x14ac:dyDescent="0.25">
      <c r="N8524" t="s">
        <v>713</v>
      </c>
    </row>
    <row r="8525" spans="14:14" ht="15" customHeight="1" x14ac:dyDescent="0.25">
      <c r="N8525" t="s">
        <v>606</v>
      </c>
    </row>
    <row r="8526" spans="14:14" ht="15" customHeight="1" x14ac:dyDescent="0.25">
      <c r="N8526" t="s">
        <v>558</v>
      </c>
    </row>
    <row r="8527" spans="14:14" ht="15" customHeight="1" x14ac:dyDescent="0.25">
      <c r="N8527" t="s">
        <v>458</v>
      </c>
    </row>
    <row r="8528" spans="14:14" ht="15" customHeight="1" x14ac:dyDescent="0.25">
      <c r="N8528" t="s">
        <v>686</v>
      </c>
    </row>
    <row r="8529" spans="14:14" ht="15" customHeight="1" x14ac:dyDescent="0.25">
      <c r="N8529" t="s">
        <v>689</v>
      </c>
    </row>
    <row r="8530" spans="14:14" ht="15" customHeight="1" x14ac:dyDescent="0.25">
      <c r="N8530" t="s">
        <v>689</v>
      </c>
    </row>
    <row r="8531" spans="14:14" ht="15" customHeight="1" x14ac:dyDescent="0.25">
      <c r="N8531" t="s">
        <v>715</v>
      </c>
    </row>
    <row r="8532" spans="14:14" ht="15" customHeight="1" x14ac:dyDescent="0.25">
      <c r="N8532" t="s">
        <v>669</v>
      </c>
    </row>
    <row r="8533" spans="14:14" ht="15" customHeight="1" x14ac:dyDescent="0.25">
      <c r="N8533" t="s">
        <v>696</v>
      </c>
    </row>
    <row r="8534" spans="14:14" ht="15" customHeight="1" x14ac:dyDescent="0.25">
      <c r="N8534" t="s">
        <v>690</v>
      </c>
    </row>
    <row r="8535" spans="14:14" ht="15" customHeight="1" x14ac:dyDescent="0.25">
      <c r="N8535" t="s">
        <v>690</v>
      </c>
    </row>
    <row r="8536" spans="14:14" ht="15" customHeight="1" x14ac:dyDescent="0.25">
      <c r="N8536" t="s">
        <v>690</v>
      </c>
    </row>
    <row r="8537" spans="14:14" ht="15" customHeight="1" x14ac:dyDescent="0.25">
      <c r="N8537" t="s">
        <v>690</v>
      </c>
    </row>
    <row r="8538" spans="14:14" ht="15" customHeight="1" x14ac:dyDescent="0.25">
      <c r="N8538" t="s">
        <v>715</v>
      </c>
    </row>
    <row r="8539" spans="14:14" ht="15" customHeight="1" x14ac:dyDescent="0.25">
      <c r="N8539" t="s">
        <v>715</v>
      </c>
    </row>
    <row r="8540" spans="14:14" ht="15" customHeight="1" x14ac:dyDescent="0.25">
      <c r="N8540" t="s">
        <v>715</v>
      </c>
    </row>
    <row r="8541" spans="14:14" ht="15" customHeight="1" x14ac:dyDescent="0.25">
      <c r="N8541" t="s">
        <v>715</v>
      </c>
    </row>
    <row r="8542" spans="14:14" ht="15" customHeight="1" x14ac:dyDescent="0.25">
      <c r="N8542" t="s">
        <v>715</v>
      </c>
    </row>
    <row r="8543" spans="14:14" ht="15" customHeight="1" x14ac:dyDescent="0.25">
      <c r="N8543" t="s">
        <v>715</v>
      </c>
    </row>
    <row r="8544" spans="14:14" ht="15" customHeight="1" x14ac:dyDescent="0.25">
      <c r="N8544" t="s">
        <v>715</v>
      </c>
    </row>
    <row r="8545" spans="14:14" ht="15" customHeight="1" x14ac:dyDescent="0.25">
      <c r="N8545" t="s">
        <v>715</v>
      </c>
    </row>
    <row r="8546" spans="14:14" ht="15" customHeight="1" x14ac:dyDescent="0.25">
      <c r="N8546" t="s">
        <v>715</v>
      </c>
    </row>
    <row r="8547" spans="14:14" ht="15" customHeight="1" x14ac:dyDescent="0.25">
      <c r="N8547" t="s">
        <v>715</v>
      </c>
    </row>
    <row r="8548" spans="14:14" ht="15" customHeight="1" x14ac:dyDescent="0.25">
      <c r="N8548" t="s">
        <v>715</v>
      </c>
    </row>
    <row r="8549" spans="14:14" ht="15" customHeight="1" x14ac:dyDescent="0.25">
      <c r="N8549" t="s">
        <v>715</v>
      </c>
    </row>
    <row r="8550" spans="14:14" ht="15" customHeight="1" x14ac:dyDescent="0.25">
      <c r="N8550" t="s">
        <v>715</v>
      </c>
    </row>
    <row r="8551" spans="14:14" ht="15" customHeight="1" x14ac:dyDescent="0.25">
      <c r="N8551" t="s">
        <v>715</v>
      </c>
    </row>
    <row r="8552" spans="14:14" ht="15" customHeight="1" x14ac:dyDescent="0.25">
      <c r="N8552" t="s">
        <v>403</v>
      </c>
    </row>
    <row r="8553" spans="14:14" ht="15" customHeight="1" x14ac:dyDescent="0.25">
      <c r="N8553" t="s">
        <v>403</v>
      </c>
    </row>
    <row r="8554" spans="14:14" ht="15" customHeight="1" x14ac:dyDescent="0.25">
      <c r="N8554" t="s">
        <v>403</v>
      </c>
    </row>
    <row r="8555" spans="14:14" ht="15" customHeight="1" x14ac:dyDescent="0.25">
      <c r="N8555" t="s">
        <v>403</v>
      </c>
    </row>
    <row r="8556" spans="14:14" ht="15" customHeight="1" x14ac:dyDescent="0.25">
      <c r="N8556" t="s">
        <v>403</v>
      </c>
    </row>
    <row r="8557" spans="14:14" ht="15" customHeight="1" x14ac:dyDescent="0.25">
      <c r="N8557" t="s">
        <v>403</v>
      </c>
    </row>
    <row r="8558" spans="14:14" ht="15" customHeight="1" x14ac:dyDescent="0.25">
      <c r="N8558" t="s">
        <v>403</v>
      </c>
    </row>
    <row r="8559" spans="14:14" ht="15" customHeight="1" x14ac:dyDescent="0.25">
      <c r="N8559" t="s">
        <v>592</v>
      </c>
    </row>
    <row r="8560" spans="14:14" ht="15" customHeight="1" x14ac:dyDescent="0.25">
      <c r="N8560" t="s">
        <v>592</v>
      </c>
    </row>
    <row r="8561" spans="14:14" ht="15" customHeight="1" x14ac:dyDescent="0.25">
      <c r="N8561" t="s">
        <v>592</v>
      </c>
    </row>
    <row r="8562" spans="14:14" ht="15" customHeight="1" x14ac:dyDescent="0.25">
      <c r="N8562" t="s">
        <v>592</v>
      </c>
    </row>
    <row r="8563" spans="14:14" ht="15" customHeight="1" x14ac:dyDescent="0.25">
      <c r="N8563" t="s">
        <v>592</v>
      </c>
    </row>
    <row r="8564" spans="14:14" ht="15" customHeight="1" x14ac:dyDescent="0.25">
      <c r="N8564" t="s">
        <v>696</v>
      </c>
    </row>
    <row r="8565" spans="14:14" ht="15" customHeight="1" x14ac:dyDescent="0.25">
      <c r="N8565" t="s">
        <v>715</v>
      </c>
    </row>
    <row r="8566" spans="14:14" ht="15" customHeight="1" x14ac:dyDescent="0.25">
      <c r="N8566" t="s">
        <v>313</v>
      </c>
    </row>
    <row r="8567" spans="14:14" ht="15" customHeight="1" x14ac:dyDescent="0.25">
      <c r="N8567" t="s">
        <v>313</v>
      </c>
    </row>
    <row r="8568" spans="14:14" ht="15" customHeight="1" x14ac:dyDescent="0.25">
      <c r="N8568" t="s">
        <v>313</v>
      </c>
    </row>
    <row r="8569" spans="14:14" ht="15" customHeight="1" x14ac:dyDescent="0.25">
      <c r="N8569" t="s">
        <v>313</v>
      </c>
    </row>
    <row r="8570" spans="14:14" ht="15" customHeight="1" x14ac:dyDescent="0.25">
      <c r="N8570" t="s">
        <v>715</v>
      </c>
    </row>
    <row r="8571" spans="14:14" ht="15" customHeight="1" x14ac:dyDescent="0.25">
      <c r="N8571" t="s">
        <v>715</v>
      </c>
    </row>
    <row r="8572" spans="14:14" ht="15" customHeight="1" x14ac:dyDescent="0.25">
      <c r="N8572" t="s">
        <v>715</v>
      </c>
    </row>
    <row r="8573" spans="14:14" ht="15" customHeight="1" x14ac:dyDescent="0.25">
      <c r="N8573" t="s">
        <v>715</v>
      </c>
    </row>
    <row r="8574" spans="14:14" ht="15" customHeight="1" x14ac:dyDescent="0.25">
      <c r="N8574" t="s">
        <v>715</v>
      </c>
    </row>
    <row r="8575" spans="14:14" ht="15" customHeight="1" x14ac:dyDescent="0.25">
      <c r="N8575" t="s">
        <v>715</v>
      </c>
    </row>
    <row r="8576" spans="14:14" ht="15" customHeight="1" x14ac:dyDescent="0.25">
      <c r="N8576" t="s">
        <v>715</v>
      </c>
    </row>
    <row r="8577" spans="14:14" ht="15" customHeight="1" x14ac:dyDescent="0.25">
      <c r="N8577" t="s">
        <v>715</v>
      </c>
    </row>
    <row r="8578" spans="14:14" ht="15" customHeight="1" x14ac:dyDescent="0.25">
      <c r="N8578" t="s">
        <v>715</v>
      </c>
    </row>
    <row r="8579" spans="14:14" ht="15" customHeight="1" x14ac:dyDescent="0.25">
      <c r="N8579" t="s">
        <v>582</v>
      </c>
    </row>
    <row r="8580" spans="14:14" ht="15" customHeight="1" x14ac:dyDescent="0.25">
      <c r="N8580" t="s">
        <v>715</v>
      </c>
    </row>
    <row r="8581" spans="14:14" ht="15" customHeight="1" x14ac:dyDescent="0.25">
      <c r="N8581" t="s">
        <v>696</v>
      </c>
    </row>
    <row r="8582" spans="14:14" ht="15" customHeight="1" x14ac:dyDescent="0.25">
      <c r="N8582" t="s">
        <v>741</v>
      </c>
    </row>
    <row r="8583" spans="14:14" ht="15" customHeight="1" x14ac:dyDescent="0.25">
      <c r="N8583" t="s">
        <v>743</v>
      </c>
    </row>
    <row r="8584" spans="14:14" ht="15" customHeight="1" x14ac:dyDescent="0.25">
      <c r="N8584" t="s">
        <v>715</v>
      </c>
    </row>
    <row r="8585" spans="14:14" ht="15" customHeight="1" x14ac:dyDescent="0.25">
      <c r="N8585" t="s">
        <v>317</v>
      </c>
    </row>
    <row r="8586" spans="14:14" ht="15" customHeight="1" x14ac:dyDescent="0.25">
      <c r="N8586" t="s">
        <v>714</v>
      </c>
    </row>
    <row r="8587" spans="14:14" ht="15" customHeight="1" x14ac:dyDescent="0.25">
      <c r="N8587" t="s">
        <v>675</v>
      </c>
    </row>
    <row r="8588" spans="14:14" ht="15" customHeight="1" x14ac:dyDescent="0.25">
      <c r="N8588" t="s">
        <v>715</v>
      </c>
    </row>
    <row r="8589" spans="14:14" ht="15" customHeight="1" x14ac:dyDescent="0.25">
      <c r="N8589" t="s">
        <v>739</v>
      </c>
    </row>
    <row r="8590" spans="14:14" ht="15" customHeight="1" x14ac:dyDescent="0.25">
      <c r="N8590" t="s">
        <v>463</v>
      </c>
    </row>
    <row r="8591" spans="14:14" ht="15" customHeight="1" x14ac:dyDescent="0.25">
      <c r="N8591" t="s">
        <v>611</v>
      </c>
    </row>
    <row r="8592" spans="14:14" ht="15" customHeight="1" x14ac:dyDescent="0.25">
      <c r="N8592" t="s">
        <v>666</v>
      </c>
    </row>
    <row r="8593" spans="14:14" ht="15" customHeight="1" x14ac:dyDescent="0.25">
      <c r="N8593" t="s">
        <v>732</v>
      </c>
    </row>
    <row r="8594" spans="14:14" ht="15" customHeight="1" x14ac:dyDescent="0.25">
      <c r="N8594" t="s">
        <v>715</v>
      </c>
    </row>
    <row r="8595" spans="14:14" ht="15" customHeight="1" x14ac:dyDescent="0.25">
      <c r="N8595" t="s">
        <v>715</v>
      </c>
    </row>
    <row r="8596" spans="14:14" ht="15" customHeight="1" x14ac:dyDescent="0.25">
      <c r="N8596" t="s">
        <v>715</v>
      </c>
    </row>
    <row r="8597" spans="14:14" ht="15" customHeight="1" x14ac:dyDescent="0.25">
      <c r="N8597" t="s">
        <v>715</v>
      </c>
    </row>
    <row r="8598" spans="14:14" ht="15" customHeight="1" x14ac:dyDescent="0.25">
      <c r="N8598" t="s">
        <v>715</v>
      </c>
    </row>
    <row r="8599" spans="14:14" ht="15" customHeight="1" x14ac:dyDescent="0.25">
      <c r="N8599" t="s">
        <v>715</v>
      </c>
    </row>
    <row r="8600" spans="14:14" ht="15" customHeight="1" x14ac:dyDescent="0.25">
      <c r="N8600" t="s">
        <v>715</v>
      </c>
    </row>
    <row r="8601" spans="14:14" ht="15" customHeight="1" x14ac:dyDescent="0.25">
      <c r="N8601" t="s">
        <v>715</v>
      </c>
    </row>
    <row r="8602" spans="14:14" ht="15" customHeight="1" x14ac:dyDescent="0.25">
      <c r="N8602" t="s">
        <v>740</v>
      </c>
    </row>
    <row r="8603" spans="14:14" ht="15" customHeight="1" x14ac:dyDescent="0.25">
      <c r="N8603" t="s">
        <v>744</v>
      </c>
    </row>
    <row r="8604" spans="14:14" ht="15" customHeight="1" x14ac:dyDescent="0.25">
      <c r="N8604" t="s">
        <v>742</v>
      </c>
    </row>
    <row r="8605" spans="14:14" ht="15" customHeight="1" x14ac:dyDescent="0.25">
      <c r="N8605" t="s">
        <v>690</v>
      </c>
    </row>
    <row r="8606" spans="14:14" ht="15" customHeight="1" x14ac:dyDescent="0.25">
      <c r="N8606" t="s">
        <v>715</v>
      </c>
    </row>
    <row r="8607" spans="14:14" ht="15" customHeight="1" x14ac:dyDescent="0.25">
      <c r="N8607" t="s">
        <v>715</v>
      </c>
    </row>
    <row r="8608" spans="14:14" ht="15" customHeight="1" x14ac:dyDescent="0.25">
      <c r="N8608" t="s">
        <v>715</v>
      </c>
    </row>
    <row r="8609" spans="14:14" ht="15" customHeight="1" x14ac:dyDescent="0.25">
      <c r="N8609" t="s">
        <v>715</v>
      </c>
    </row>
    <row r="8610" spans="14:14" ht="15" customHeight="1" x14ac:dyDescent="0.25">
      <c r="N8610" t="s">
        <v>715</v>
      </c>
    </row>
    <row r="8611" spans="14:14" ht="15" customHeight="1" x14ac:dyDescent="0.25">
      <c r="N8611" t="s">
        <v>715</v>
      </c>
    </row>
    <row r="8612" spans="14:14" ht="15" customHeight="1" x14ac:dyDescent="0.25">
      <c r="N8612" t="s">
        <v>715</v>
      </c>
    </row>
    <row r="8613" spans="14:14" ht="15" customHeight="1" x14ac:dyDescent="0.25">
      <c r="N8613" t="s">
        <v>715</v>
      </c>
    </row>
    <row r="8614" spans="14:14" ht="15" customHeight="1" x14ac:dyDescent="0.25">
      <c r="N8614" t="s">
        <v>715</v>
      </c>
    </row>
    <row r="8615" spans="14:14" ht="15" customHeight="1" x14ac:dyDescent="0.25">
      <c r="N8615" t="s">
        <v>715</v>
      </c>
    </row>
    <row r="8616" spans="14:14" ht="15" customHeight="1" x14ac:dyDescent="0.25">
      <c r="N8616" t="s">
        <v>715</v>
      </c>
    </row>
    <row r="8617" spans="14:14" ht="15" customHeight="1" x14ac:dyDescent="0.25">
      <c r="N8617" t="s">
        <v>715</v>
      </c>
    </row>
    <row r="8618" spans="14:14" ht="15" customHeight="1" x14ac:dyDescent="0.25">
      <c r="N8618" t="s">
        <v>715</v>
      </c>
    </row>
    <row r="8619" spans="14:14" ht="15" customHeight="1" x14ac:dyDescent="0.25">
      <c r="N8619" t="s">
        <v>715</v>
      </c>
    </row>
    <row r="8620" spans="14:14" ht="15" customHeight="1" x14ac:dyDescent="0.25">
      <c r="N8620" t="s">
        <v>715</v>
      </c>
    </row>
    <row r="8621" spans="14:14" ht="15" customHeight="1" x14ac:dyDescent="0.25">
      <c r="N8621" t="s">
        <v>715</v>
      </c>
    </row>
    <row r="8622" spans="14:14" ht="15" customHeight="1" x14ac:dyDescent="0.25">
      <c r="N8622" t="s">
        <v>715</v>
      </c>
    </row>
    <row r="8623" spans="14:14" ht="15" customHeight="1" x14ac:dyDescent="0.25">
      <c r="N8623" t="s">
        <v>715</v>
      </c>
    </row>
    <row r="8624" spans="14:14" ht="15" customHeight="1" x14ac:dyDescent="0.25">
      <c r="N8624" t="s">
        <v>715</v>
      </c>
    </row>
    <row r="8625" spans="14:14" ht="15" customHeight="1" x14ac:dyDescent="0.25">
      <c r="N8625" t="s">
        <v>715</v>
      </c>
    </row>
    <row r="8626" spans="14:14" ht="15" customHeight="1" x14ac:dyDescent="0.25">
      <c r="N8626" t="s">
        <v>715</v>
      </c>
    </row>
    <row r="8627" spans="14:14" ht="15" customHeight="1" x14ac:dyDescent="0.25">
      <c r="N8627" t="s">
        <v>715</v>
      </c>
    </row>
    <row r="8628" spans="14:14" ht="15" customHeight="1" x14ac:dyDescent="0.25">
      <c r="N8628" t="s">
        <v>715</v>
      </c>
    </row>
    <row r="8629" spans="14:14" ht="15" customHeight="1" x14ac:dyDescent="0.25">
      <c r="N8629" t="s">
        <v>715</v>
      </c>
    </row>
    <row r="8630" spans="14:14" ht="15" customHeight="1" x14ac:dyDescent="0.25">
      <c r="N8630" t="s">
        <v>715</v>
      </c>
    </row>
    <row r="8631" spans="14:14" ht="15" customHeight="1" x14ac:dyDescent="0.25">
      <c r="N8631" t="s">
        <v>715</v>
      </c>
    </row>
    <row r="8632" spans="14:14" ht="15" customHeight="1" x14ac:dyDescent="0.25">
      <c r="N8632" t="s">
        <v>715</v>
      </c>
    </row>
    <row r="8633" spans="14:14" ht="15" customHeight="1" x14ac:dyDescent="0.25">
      <c r="N8633" t="s">
        <v>606</v>
      </c>
    </row>
    <row r="8634" spans="14:14" ht="15" customHeight="1" x14ac:dyDescent="0.25">
      <c r="N8634" t="s">
        <v>828</v>
      </c>
    </row>
    <row r="8635" spans="14:14" ht="15" customHeight="1" x14ac:dyDescent="0.25">
      <c r="N8635" t="s">
        <v>854</v>
      </c>
    </row>
    <row r="8636" spans="14:14" ht="15" customHeight="1" x14ac:dyDescent="0.25">
      <c r="N8636" t="s">
        <v>854</v>
      </c>
    </row>
    <row r="8637" spans="14:14" ht="15" customHeight="1" x14ac:dyDescent="0.25">
      <c r="N8637" t="s">
        <v>715</v>
      </c>
    </row>
    <row r="8638" spans="14:14" ht="15" customHeight="1" x14ac:dyDescent="0.25">
      <c r="N8638" t="s">
        <v>555</v>
      </c>
    </row>
    <row r="8639" spans="14:14" ht="15" customHeight="1" x14ac:dyDescent="0.25">
      <c r="N8639" t="s">
        <v>606</v>
      </c>
    </row>
    <row r="8640" spans="14:14" ht="15" customHeight="1" x14ac:dyDescent="0.25">
      <c r="N8640" t="s">
        <v>408</v>
      </c>
    </row>
    <row r="8641" spans="14:14" ht="15" customHeight="1" x14ac:dyDescent="0.25">
      <c r="N8641" t="s">
        <v>713</v>
      </c>
    </row>
    <row r="8642" spans="14:14" ht="15" customHeight="1" x14ac:dyDescent="0.25">
      <c r="N8642" t="s">
        <v>713</v>
      </c>
    </row>
    <row r="8643" spans="14:14" ht="15" customHeight="1" x14ac:dyDescent="0.25">
      <c r="N8643" t="s">
        <v>715</v>
      </c>
    </row>
    <row r="8644" spans="14:14" ht="15" customHeight="1" x14ac:dyDescent="0.25">
      <c r="N8644" t="s">
        <v>558</v>
      </c>
    </row>
    <row r="8645" spans="14:14" ht="15" customHeight="1" x14ac:dyDescent="0.25">
      <c r="N8645" t="s">
        <v>713</v>
      </c>
    </row>
    <row r="8646" spans="14:14" ht="15" customHeight="1" x14ac:dyDescent="0.25">
      <c r="N8646" t="s">
        <v>713</v>
      </c>
    </row>
    <row r="8647" spans="14:14" ht="15" customHeight="1" x14ac:dyDescent="0.25">
      <c r="N8647" t="s">
        <v>686</v>
      </c>
    </row>
    <row r="8648" spans="14:14" ht="15" customHeight="1" x14ac:dyDescent="0.25">
      <c r="N8648" t="s">
        <v>715</v>
      </c>
    </row>
    <row r="8649" spans="14:14" ht="15" customHeight="1" x14ac:dyDescent="0.25">
      <c r="N8649" t="s">
        <v>689</v>
      </c>
    </row>
    <row r="8650" spans="14:14" ht="15" customHeight="1" x14ac:dyDescent="0.25">
      <c r="N8650" t="s">
        <v>715</v>
      </c>
    </row>
    <row r="8651" spans="14:14" ht="15" customHeight="1" x14ac:dyDescent="0.25">
      <c r="N8651" t="s">
        <v>689</v>
      </c>
    </row>
    <row r="8652" spans="14:14" ht="15" customHeight="1" x14ac:dyDescent="0.25">
      <c r="N8652" t="s">
        <v>524</v>
      </c>
    </row>
    <row r="8653" spans="14:14" ht="15" customHeight="1" x14ac:dyDescent="0.25">
      <c r="N8653" t="s">
        <v>689</v>
      </c>
    </row>
    <row r="8654" spans="14:14" ht="15" customHeight="1" x14ac:dyDescent="0.25">
      <c r="N8654" t="s">
        <v>294</v>
      </c>
    </row>
    <row r="8655" spans="14:14" ht="15" customHeight="1" x14ac:dyDescent="0.25">
      <c r="N8655" t="s">
        <v>294</v>
      </c>
    </row>
    <row r="8656" spans="14:14" ht="15" customHeight="1" x14ac:dyDescent="0.25">
      <c r="N8656" t="s">
        <v>294</v>
      </c>
    </row>
    <row r="8657" spans="14:14" ht="15" customHeight="1" x14ac:dyDescent="0.25">
      <c r="N8657" t="s">
        <v>294</v>
      </c>
    </row>
    <row r="8658" spans="14:14" ht="15" customHeight="1" x14ac:dyDescent="0.25">
      <c r="N8658" t="s">
        <v>715</v>
      </c>
    </row>
    <row r="8659" spans="14:14" ht="15" customHeight="1" x14ac:dyDescent="0.25">
      <c r="N8659" t="s">
        <v>715</v>
      </c>
    </row>
    <row r="8660" spans="14:14" ht="15" customHeight="1" x14ac:dyDescent="0.25">
      <c r="N8660" t="s">
        <v>715</v>
      </c>
    </row>
    <row r="8661" spans="14:14" ht="15" customHeight="1" x14ac:dyDescent="0.25">
      <c r="N8661" t="s">
        <v>715</v>
      </c>
    </row>
    <row r="8662" spans="14:14" ht="15" customHeight="1" x14ac:dyDescent="0.25">
      <c r="N8662" t="s">
        <v>715</v>
      </c>
    </row>
    <row r="8663" spans="14:14" ht="15" customHeight="1" x14ac:dyDescent="0.25">
      <c r="N8663" t="s">
        <v>715</v>
      </c>
    </row>
    <row r="8664" spans="14:14" ht="15" customHeight="1" x14ac:dyDescent="0.25">
      <c r="N8664" t="s">
        <v>715</v>
      </c>
    </row>
    <row r="8665" spans="14:14" ht="15" customHeight="1" x14ac:dyDescent="0.25">
      <c r="N8665" t="s">
        <v>715</v>
      </c>
    </row>
    <row r="8666" spans="14:14" ht="15" customHeight="1" x14ac:dyDescent="0.25">
      <c r="N8666" t="s">
        <v>715</v>
      </c>
    </row>
    <row r="8667" spans="14:14" ht="15" customHeight="1" x14ac:dyDescent="0.25">
      <c r="N8667" t="s">
        <v>715</v>
      </c>
    </row>
    <row r="8668" spans="14:14" ht="15" customHeight="1" x14ac:dyDescent="0.25">
      <c r="N8668" t="s">
        <v>715</v>
      </c>
    </row>
    <row r="8669" spans="14:14" ht="15" customHeight="1" x14ac:dyDescent="0.25">
      <c r="N8669" t="s">
        <v>715</v>
      </c>
    </row>
    <row r="8670" spans="14:14" ht="15" customHeight="1" x14ac:dyDescent="0.25">
      <c r="N8670" t="s">
        <v>715</v>
      </c>
    </row>
    <row r="8671" spans="14:14" ht="15" customHeight="1" x14ac:dyDescent="0.25">
      <c r="N8671" t="s">
        <v>715</v>
      </c>
    </row>
    <row r="8672" spans="14:14" ht="15" customHeight="1" x14ac:dyDescent="0.25">
      <c r="N8672" t="s">
        <v>582</v>
      </c>
    </row>
    <row r="8673" spans="14:14" ht="15" customHeight="1" x14ac:dyDescent="0.25">
      <c r="N8673" t="s">
        <v>582</v>
      </c>
    </row>
    <row r="8674" spans="14:14" ht="15" customHeight="1" x14ac:dyDescent="0.25">
      <c r="N8674" t="s">
        <v>582</v>
      </c>
    </row>
    <row r="8675" spans="14:14" ht="15" customHeight="1" x14ac:dyDescent="0.25">
      <c r="N8675" t="s">
        <v>582</v>
      </c>
    </row>
    <row r="8676" spans="14:14" ht="15" customHeight="1" x14ac:dyDescent="0.25">
      <c r="N8676" t="s">
        <v>582</v>
      </c>
    </row>
    <row r="8677" spans="14:14" ht="15" customHeight="1" x14ac:dyDescent="0.25">
      <c r="N8677" t="s">
        <v>582</v>
      </c>
    </row>
    <row r="8678" spans="14:14" ht="15" customHeight="1" x14ac:dyDescent="0.25">
      <c r="N8678" t="s">
        <v>582</v>
      </c>
    </row>
    <row r="8679" spans="14:14" ht="15" customHeight="1" x14ac:dyDescent="0.25">
      <c r="N8679" t="s">
        <v>747</v>
      </c>
    </row>
    <row r="8680" spans="14:14" ht="15" customHeight="1" x14ac:dyDescent="0.25">
      <c r="N8680" t="s">
        <v>747</v>
      </c>
    </row>
    <row r="8681" spans="14:14" ht="15" customHeight="1" x14ac:dyDescent="0.25">
      <c r="N8681" t="s">
        <v>747</v>
      </c>
    </row>
    <row r="8682" spans="14:14" ht="15" customHeight="1" x14ac:dyDescent="0.25">
      <c r="N8682" t="s">
        <v>747</v>
      </c>
    </row>
    <row r="8683" spans="14:14" ht="15" customHeight="1" x14ac:dyDescent="0.25">
      <c r="N8683" t="s">
        <v>747</v>
      </c>
    </row>
    <row r="8684" spans="14:14" ht="15" customHeight="1" x14ac:dyDescent="0.25">
      <c r="N8684" t="s">
        <v>735</v>
      </c>
    </row>
    <row r="8685" spans="14:14" ht="15" customHeight="1" x14ac:dyDescent="0.25">
      <c r="N8685" t="s">
        <v>709</v>
      </c>
    </row>
    <row r="8686" spans="14:14" ht="15" customHeight="1" x14ac:dyDescent="0.25">
      <c r="N8686" t="s">
        <v>709</v>
      </c>
    </row>
    <row r="8687" spans="14:14" ht="15" customHeight="1" x14ac:dyDescent="0.25">
      <c r="N8687" t="s">
        <v>709</v>
      </c>
    </row>
    <row r="8688" spans="14:14" ht="15" customHeight="1" x14ac:dyDescent="0.25">
      <c r="N8688" t="s">
        <v>709</v>
      </c>
    </row>
    <row r="8689" spans="14:14" ht="15" customHeight="1" x14ac:dyDescent="0.25">
      <c r="N8689" t="s">
        <v>582</v>
      </c>
    </row>
    <row r="8690" spans="14:14" ht="15" customHeight="1" x14ac:dyDescent="0.25">
      <c r="N8690" t="s">
        <v>715</v>
      </c>
    </row>
    <row r="8691" spans="14:14" ht="15" customHeight="1" x14ac:dyDescent="0.25">
      <c r="N8691" t="s">
        <v>715</v>
      </c>
    </row>
    <row r="8692" spans="14:14" ht="15" customHeight="1" x14ac:dyDescent="0.25">
      <c r="N8692" t="s">
        <v>698</v>
      </c>
    </row>
    <row r="8693" spans="14:14" ht="15" customHeight="1" x14ac:dyDescent="0.25">
      <c r="N8693" t="s">
        <v>715</v>
      </c>
    </row>
    <row r="8694" spans="14:14" ht="15" customHeight="1" x14ac:dyDescent="0.25">
      <c r="N8694" t="s">
        <v>341</v>
      </c>
    </row>
    <row r="8695" spans="14:14" ht="15" customHeight="1" x14ac:dyDescent="0.25">
      <c r="N8695" t="s">
        <v>435</v>
      </c>
    </row>
    <row r="8696" spans="14:14" ht="15" customHeight="1" x14ac:dyDescent="0.25">
      <c r="N8696" t="s">
        <v>655</v>
      </c>
    </row>
    <row r="8697" spans="14:14" ht="15" customHeight="1" x14ac:dyDescent="0.25">
      <c r="N8697" t="s">
        <v>746</v>
      </c>
    </row>
    <row r="8698" spans="14:14" ht="15" customHeight="1" x14ac:dyDescent="0.25">
      <c r="N8698" t="s">
        <v>715</v>
      </c>
    </row>
    <row r="8699" spans="14:14" ht="15" customHeight="1" x14ac:dyDescent="0.25">
      <c r="N8699" t="s">
        <v>582</v>
      </c>
    </row>
    <row r="8700" spans="14:14" ht="15" customHeight="1" x14ac:dyDescent="0.25">
      <c r="N8700" t="s">
        <v>715</v>
      </c>
    </row>
    <row r="8701" spans="14:14" ht="15" customHeight="1" x14ac:dyDescent="0.25">
      <c r="N8701" t="s">
        <v>740</v>
      </c>
    </row>
    <row r="8702" spans="14:14" ht="15" customHeight="1" x14ac:dyDescent="0.25">
      <c r="N8702" t="s">
        <v>748</v>
      </c>
    </row>
    <row r="8703" spans="14:14" ht="15" customHeight="1" x14ac:dyDescent="0.25">
      <c r="N8703" t="s">
        <v>690</v>
      </c>
    </row>
    <row r="8704" spans="14:14" ht="15" customHeight="1" x14ac:dyDescent="0.25">
      <c r="N8704" t="s">
        <v>715</v>
      </c>
    </row>
    <row r="8705" spans="14:14" ht="15" customHeight="1" x14ac:dyDescent="0.25">
      <c r="N8705" t="s">
        <v>715</v>
      </c>
    </row>
    <row r="8706" spans="14:14" ht="15" customHeight="1" x14ac:dyDescent="0.25">
      <c r="N8706" t="s">
        <v>715</v>
      </c>
    </row>
    <row r="8707" spans="14:14" ht="15" customHeight="1" x14ac:dyDescent="0.25">
      <c r="N8707" t="s">
        <v>715</v>
      </c>
    </row>
    <row r="8708" spans="14:14" ht="15" customHeight="1" x14ac:dyDescent="0.25">
      <c r="N8708" t="s">
        <v>715</v>
      </c>
    </row>
    <row r="8709" spans="14:14" ht="15" customHeight="1" x14ac:dyDescent="0.25">
      <c r="N8709" t="s">
        <v>715</v>
      </c>
    </row>
    <row r="8710" spans="14:14" ht="15" customHeight="1" x14ac:dyDescent="0.25">
      <c r="N8710" t="s">
        <v>715</v>
      </c>
    </row>
    <row r="8711" spans="14:14" ht="15" customHeight="1" x14ac:dyDescent="0.25">
      <c r="N8711" t="s">
        <v>715</v>
      </c>
    </row>
    <row r="8712" spans="14:14" ht="15" customHeight="1" x14ac:dyDescent="0.25">
      <c r="N8712" t="s">
        <v>715</v>
      </c>
    </row>
    <row r="8713" spans="14:14" ht="15" customHeight="1" x14ac:dyDescent="0.25">
      <c r="N8713" t="s">
        <v>715</v>
      </c>
    </row>
    <row r="8714" spans="14:14" ht="15" customHeight="1" x14ac:dyDescent="0.25">
      <c r="N8714" t="s">
        <v>715</v>
      </c>
    </row>
    <row r="8715" spans="14:14" ht="15" customHeight="1" x14ac:dyDescent="0.25">
      <c r="N8715" t="s">
        <v>715</v>
      </c>
    </row>
    <row r="8716" spans="14:14" ht="15" customHeight="1" x14ac:dyDescent="0.25">
      <c r="N8716" t="s">
        <v>715</v>
      </c>
    </row>
    <row r="8717" spans="14:14" ht="15" customHeight="1" x14ac:dyDescent="0.25">
      <c r="N8717" t="s">
        <v>715</v>
      </c>
    </row>
    <row r="8718" spans="14:14" ht="15" customHeight="1" x14ac:dyDescent="0.25">
      <c r="N8718" t="s">
        <v>715</v>
      </c>
    </row>
    <row r="8719" spans="14:14" ht="15" customHeight="1" x14ac:dyDescent="0.25">
      <c r="N8719" t="s">
        <v>715</v>
      </c>
    </row>
    <row r="8720" spans="14:14" ht="15" customHeight="1" x14ac:dyDescent="0.25">
      <c r="N8720" t="s">
        <v>715</v>
      </c>
    </row>
    <row r="8721" spans="14:14" ht="15" customHeight="1" x14ac:dyDescent="0.25">
      <c r="N8721" t="s">
        <v>715</v>
      </c>
    </row>
    <row r="8722" spans="14:14" ht="15" customHeight="1" x14ac:dyDescent="0.25">
      <c r="N8722" t="s">
        <v>715</v>
      </c>
    </row>
    <row r="8723" spans="14:14" ht="15" customHeight="1" x14ac:dyDescent="0.25">
      <c r="N8723" t="s">
        <v>715</v>
      </c>
    </row>
    <row r="8724" spans="14:14" ht="15" customHeight="1" x14ac:dyDescent="0.25">
      <c r="N8724" t="s">
        <v>715</v>
      </c>
    </row>
    <row r="8725" spans="14:14" ht="15" customHeight="1" x14ac:dyDescent="0.25">
      <c r="N8725" t="s">
        <v>715</v>
      </c>
    </row>
    <row r="8726" spans="14:14" ht="15" customHeight="1" x14ac:dyDescent="0.25">
      <c r="N8726" t="s">
        <v>715</v>
      </c>
    </row>
    <row r="8727" spans="14:14" ht="15" customHeight="1" x14ac:dyDescent="0.25">
      <c r="N8727" t="s">
        <v>715</v>
      </c>
    </row>
    <row r="8728" spans="14:14" ht="15" customHeight="1" x14ac:dyDescent="0.25">
      <c r="N8728" t="s">
        <v>715</v>
      </c>
    </row>
    <row r="8729" spans="14:14" ht="15" customHeight="1" x14ac:dyDescent="0.25">
      <c r="N8729" t="s">
        <v>715</v>
      </c>
    </row>
    <row r="8730" spans="14:14" ht="15" customHeight="1" x14ac:dyDescent="0.25">
      <c r="N8730" t="s">
        <v>841</v>
      </c>
    </row>
    <row r="8731" spans="14:14" ht="15" customHeight="1" x14ac:dyDescent="0.25">
      <c r="N8731" t="s">
        <v>828</v>
      </c>
    </row>
    <row r="8732" spans="14:14" ht="15" customHeight="1" x14ac:dyDescent="0.25">
      <c r="N8732" t="s">
        <v>715</v>
      </c>
    </row>
    <row r="8733" spans="14:14" ht="15" customHeight="1" x14ac:dyDescent="0.25">
      <c r="N8733" t="s">
        <v>690</v>
      </c>
    </row>
    <row r="8734" spans="14:14" ht="15" customHeight="1" x14ac:dyDescent="0.25">
      <c r="N8734" t="s">
        <v>690</v>
      </c>
    </row>
    <row r="8735" spans="14:14" ht="15" customHeight="1" x14ac:dyDescent="0.25">
      <c r="N8735" t="s">
        <v>742</v>
      </c>
    </row>
    <row r="8736" spans="14:14" ht="15" customHeight="1" x14ac:dyDescent="0.25">
      <c r="N8736" t="s">
        <v>715</v>
      </c>
    </row>
    <row r="8737" spans="14:14" ht="15" customHeight="1" x14ac:dyDescent="0.25">
      <c r="N8737" t="s">
        <v>715</v>
      </c>
    </row>
    <row r="8738" spans="14:14" ht="15" customHeight="1" x14ac:dyDescent="0.25">
      <c r="N8738" t="s">
        <v>606</v>
      </c>
    </row>
    <row r="8739" spans="14:14" ht="15" customHeight="1" x14ac:dyDescent="0.25">
      <c r="N8739" t="s">
        <v>603</v>
      </c>
    </row>
    <row r="8740" spans="14:14" ht="15" customHeight="1" x14ac:dyDescent="0.25">
      <c r="N8740" t="s">
        <v>412</v>
      </c>
    </row>
    <row r="8741" spans="14:14" ht="15" customHeight="1" x14ac:dyDescent="0.25">
      <c r="N8741" t="s">
        <v>713</v>
      </c>
    </row>
    <row r="8742" spans="14:14" ht="15" customHeight="1" x14ac:dyDescent="0.25">
      <c r="N8742" t="s">
        <v>713</v>
      </c>
    </row>
    <row r="8743" spans="14:14" ht="15" customHeight="1" x14ac:dyDescent="0.25">
      <c r="N8743" t="s">
        <v>686</v>
      </c>
    </row>
    <row r="8744" spans="14:14" ht="15" customHeight="1" x14ac:dyDescent="0.25">
      <c r="N8744" t="s">
        <v>715</v>
      </c>
    </row>
    <row r="8745" spans="14:14" ht="15" customHeight="1" x14ac:dyDescent="0.25">
      <c r="N8745" t="s">
        <v>715</v>
      </c>
    </row>
    <row r="8746" spans="14:14" ht="15" customHeight="1" x14ac:dyDescent="0.25">
      <c r="N8746" t="s">
        <v>715</v>
      </c>
    </row>
    <row r="8747" spans="14:14" ht="15" customHeight="1" x14ac:dyDescent="0.25">
      <c r="N8747" t="s">
        <v>715</v>
      </c>
    </row>
    <row r="8748" spans="14:14" ht="15" customHeight="1" x14ac:dyDescent="0.25">
      <c r="N8748" t="s">
        <v>715</v>
      </c>
    </row>
    <row r="8749" spans="14:14" ht="15" customHeight="1" x14ac:dyDescent="0.25">
      <c r="N8749" t="s">
        <v>582</v>
      </c>
    </row>
    <row r="8750" spans="14:14" ht="15" customHeight="1" x14ac:dyDescent="0.25">
      <c r="N8750" t="s">
        <v>294</v>
      </c>
    </row>
    <row r="8751" spans="14:14" ht="15" customHeight="1" x14ac:dyDescent="0.25">
      <c r="N8751" t="s">
        <v>294</v>
      </c>
    </row>
    <row r="8752" spans="14:14" ht="15" customHeight="1" x14ac:dyDescent="0.25">
      <c r="N8752" t="s">
        <v>294</v>
      </c>
    </row>
    <row r="8753" spans="14:14" ht="15" customHeight="1" x14ac:dyDescent="0.25">
      <c r="N8753" t="s">
        <v>294</v>
      </c>
    </row>
    <row r="8754" spans="14:14" ht="15" customHeight="1" x14ac:dyDescent="0.25">
      <c r="N8754" t="s">
        <v>715</v>
      </c>
    </row>
    <row r="8755" spans="14:14" ht="15" customHeight="1" x14ac:dyDescent="0.25">
      <c r="N8755" t="s">
        <v>582</v>
      </c>
    </row>
    <row r="8756" spans="14:14" ht="15" customHeight="1" x14ac:dyDescent="0.25">
      <c r="N8756" t="s">
        <v>698</v>
      </c>
    </row>
    <row r="8757" spans="14:14" ht="15" customHeight="1" x14ac:dyDescent="0.25">
      <c r="N8757" t="s">
        <v>342</v>
      </c>
    </row>
    <row r="8758" spans="14:14" ht="15" customHeight="1" x14ac:dyDescent="0.25">
      <c r="N8758" t="s">
        <v>320</v>
      </c>
    </row>
    <row r="8759" spans="14:14" ht="15" customHeight="1" x14ac:dyDescent="0.25">
      <c r="N8759" t="s">
        <v>655</v>
      </c>
    </row>
    <row r="8760" spans="14:14" ht="15" customHeight="1" x14ac:dyDescent="0.25">
      <c r="N8760" t="s">
        <v>582</v>
      </c>
    </row>
    <row r="8761" spans="14:14" ht="15" customHeight="1" x14ac:dyDescent="0.25">
      <c r="N8761" t="s">
        <v>690</v>
      </c>
    </row>
    <row r="8762" spans="14:14" ht="15" customHeight="1" x14ac:dyDescent="0.25">
      <c r="N8762" t="s">
        <v>715</v>
      </c>
    </row>
    <row r="8763" spans="14:14" ht="15" customHeight="1" x14ac:dyDescent="0.25">
      <c r="N8763" t="s">
        <v>715</v>
      </c>
    </row>
    <row r="8764" spans="14:14" ht="15" customHeight="1" x14ac:dyDescent="0.25">
      <c r="N8764" t="s">
        <v>715</v>
      </c>
    </row>
    <row r="8765" spans="14:14" ht="15" customHeight="1" x14ac:dyDescent="0.25">
      <c r="N8765" t="s">
        <v>715</v>
      </c>
    </row>
    <row r="8766" spans="14:14" ht="15" customHeight="1" x14ac:dyDescent="0.25">
      <c r="N8766" t="s">
        <v>715</v>
      </c>
    </row>
    <row r="8767" spans="14:14" ht="15" customHeight="1" x14ac:dyDescent="0.25">
      <c r="N8767" t="s">
        <v>715</v>
      </c>
    </row>
    <row r="8768" spans="14:14" ht="15" customHeight="1" x14ac:dyDescent="0.25">
      <c r="N8768" t="s">
        <v>715</v>
      </c>
    </row>
    <row r="8769" spans="14:14" ht="15" customHeight="1" x14ac:dyDescent="0.25">
      <c r="N8769" t="s">
        <v>715</v>
      </c>
    </row>
    <row r="8770" spans="14:14" ht="15" customHeight="1" x14ac:dyDescent="0.25">
      <c r="N8770" t="s">
        <v>715</v>
      </c>
    </row>
    <row r="8771" spans="14:14" ht="15" customHeight="1" x14ac:dyDescent="0.25">
      <c r="N8771" t="s">
        <v>715</v>
      </c>
    </row>
    <row r="8772" spans="14:14" ht="15" customHeight="1" x14ac:dyDescent="0.25">
      <c r="N8772" t="s">
        <v>715</v>
      </c>
    </row>
    <row r="8773" spans="14:14" ht="15" customHeight="1" x14ac:dyDescent="0.25">
      <c r="N8773" t="s">
        <v>715</v>
      </c>
    </row>
    <row r="8774" spans="14:14" ht="15" customHeight="1" x14ac:dyDescent="0.25">
      <c r="N8774" t="s">
        <v>715</v>
      </c>
    </row>
    <row r="8775" spans="14:14" ht="15" customHeight="1" x14ac:dyDescent="0.25">
      <c r="N8775" t="s">
        <v>715</v>
      </c>
    </row>
    <row r="8776" spans="14:14" ht="15" customHeight="1" x14ac:dyDescent="0.25">
      <c r="N8776" t="s">
        <v>715</v>
      </c>
    </row>
    <row r="8777" spans="14:14" ht="15" customHeight="1" x14ac:dyDescent="0.25">
      <c r="N8777" t="s">
        <v>715</v>
      </c>
    </row>
    <row r="8778" spans="14:14" ht="15" customHeight="1" x14ac:dyDescent="0.25">
      <c r="N8778" t="s">
        <v>715</v>
      </c>
    </row>
    <row r="8779" spans="14:14" ht="15" customHeight="1" x14ac:dyDescent="0.25">
      <c r="N8779" t="s">
        <v>715</v>
      </c>
    </row>
    <row r="8780" spans="14:14" ht="15" customHeight="1" x14ac:dyDescent="0.25">
      <c r="N8780" t="s">
        <v>715</v>
      </c>
    </row>
    <row r="8781" spans="14:14" ht="15" customHeight="1" x14ac:dyDescent="0.25">
      <c r="N8781" t="s">
        <v>715</v>
      </c>
    </row>
    <row r="8782" spans="14:14" ht="15" customHeight="1" x14ac:dyDescent="0.25">
      <c r="N8782" t="s">
        <v>715</v>
      </c>
    </row>
    <row r="8783" spans="14:14" ht="15" customHeight="1" x14ac:dyDescent="0.25">
      <c r="N8783" t="s">
        <v>715</v>
      </c>
    </row>
    <row r="8784" spans="14:14" ht="15" customHeight="1" x14ac:dyDescent="0.25">
      <c r="N8784" t="s">
        <v>715</v>
      </c>
    </row>
    <row r="8785" spans="14:14" ht="15" customHeight="1" x14ac:dyDescent="0.25">
      <c r="N8785" t="s">
        <v>715</v>
      </c>
    </row>
    <row r="8786" spans="14:14" ht="15" customHeight="1" x14ac:dyDescent="0.25">
      <c r="N8786" t="s">
        <v>715</v>
      </c>
    </row>
    <row r="8787" spans="14:14" ht="15" customHeight="1" x14ac:dyDescent="0.25">
      <c r="N8787" t="s">
        <v>715</v>
      </c>
    </row>
    <row r="8788" spans="14:14" ht="15" customHeight="1" x14ac:dyDescent="0.25">
      <c r="N8788" t="s">
        <v>842</v>
      </c>
    </row>
    <row r="8789" spans="14:14" ht="15" customHeight="1" x14ac:dyDescent="0.25">
      <c r="N8789" t="s">
        <v>828</v>
      </c>
    </row>
    <row r="8790" spans="14:14" ht="15" customHeight="1" x14ac:dyDescent="0.25">
      <c r="N8790" t="s">
        <v>748</v>
      </c>
    </row>
    <row r="8791" spans="14:14" ht="15" customHeight="1" x14ac:dyDescent="0.25">
      <c r="N8791" t="s">
        <v>715</v>
      </c>
    </row>
    <row r="8792" spans="14:14" ht="15" customHeight="1" x14ac:dyDescent="0.25">
      <c r="N8792" t="s">
        <v>376</v>
      </c>
    </row>
    <row r="8793" spans="14:14" ht="15" customHeight="1" x14ac:dyDescent="0.25">
      <c r="N8793" t="s">
        <v>713</v>
      </c>
    </row>
    <row r="8794" spans="14:14" ht="15" customHeight="1" x14ac:dyDescent="0.25">
      <c r="N8794" t="s">
        <v>411</v>
      </c>
    </row>
    <row r="8795" spans="14:14" ht="15" customHeight="1" x14ac:dyDescent="0.25">
      <c r="N8795" t="s">
        <v>687</v>
      </c>
    </row>
    <row r="8796" spans="14:14" ht="15" customHeight="1" x14ac:dyDescent="0.25">
      <c r="N8796" t="s">
        <v>689</v>
      </c>
    </row>
    <row r="8797" spans="14:14" ht="15" customHeight="1" x14ac:dyDescent="0.25">
      <c r="N8797" t="s">
        <v>715</v>
      </c>
    </row>
    <row r="8798" spans="14:14" ht="15" customHeight="1" x14ac:dyDescent="0.25">
      <c r="N8798" t="s">
        <v>715</v>
      </c>
    </row>
    <row r="8799" spans="14:14" ht="15" customHeight="1" x14ac:dyDescent="0.25">
      <c r="N8799" t="s">
        <v>715</v>
      </c>
    </row>
    <row r="8800" spans="14:14" ht="15" customHeight="1" x14ac:dyDescent="0.25">
      <c r="N8800" t="s">
        <v>715</v>
      </c>
    </row>
    <row r="8801" spans="14:14" ht="15" customHeight="1" x14ac:dyDescent="0.25">
      <c r="N8801" t="s">
        <v>403</v>
      </c>
    </row>
    <row r="8802" spans="14:14" ht="15" customHeight="1" x14ac:dyDescent="0.25">
      <c r="N8802" t="s">
        <v>403</v>
      </c>
    </row>
    <row r="8803" spans="14:14" ht="15" customHeight="1" x14ac:dyDescent="0.25">
      <c r="N8803" t="s">
        <v>403</v>
      </c>
    </row>
    <row r="8804" spans="14:14" ht="15" customHeight="1" x14ac:dyDescent="0.25">
      <c r="N8804" t="s">
        <v>403</v>
      </c>
    </row>
    <row r="8805" spans="14:14" ht="15" customHeight="1" x14ac:dyDescent="0.25">
      <c r="N8805" t="s">
        <v>403</v>
      </c>
    </row>
    <row r="8806" spans="14:14" ht="15" customHeight="1" x14ac:dyDescent="0.25">
      <c r="N8806" t="s">
        <v>403</v>
      </c>
    </row>
    <row r="8807" spans="14:14" ht="15" customHeight="1" x14ac:dyDescent="0.25">
      <c r="N8807" t="s">
        <v>403</v>
      </c>
    </row>
    <row r="8808" spans="14:14" ht="15" customHeight="1" x14ac:dyDescent="0.25">
      <c r="N8808" t="s">
        <v>715</v>
      </c>
    </row>
    <row r="8809" spans="14:14" ht="15" customHeight="1" x14ac:dyDescent="0.25">
      <c r="N8809" t="s">
        <v>698</v>
      </c>
    </row>
    <row r="8810" spans="14:14" ht="15" customHeight="1" x14ac:dyDescent="0.25">
      <c r="N8810" t="s">
        <v>733</v>
      </c>
    </row>
    <row r="8811" spans="14:14" ht="15" customHeight="1" x14ac:dyDescent="0.25">
      <c r="N8811" t="s">
        <v>715</v>
      </c>
    </row>
    <row r="8812" spans="14:14" ht="15" customHeight="1" x14ac:dyDescent="0.25">
      <c r="N8812" t="s">
        <v>690</v>
      </c>
    </row>
    <row r="8813" spans="14:14" ht="15" customHeight="1" x14ac:dyDescent="0.25">
      <c r="N8813" t="s">
        <v>690</v>
      </c>
    </row>
    <row r="8814" spans="14:14" ht="15" customHeight="1" x14ac:dyDescent="0.25">
      <c r="N8814" t="s">
        <v>686</v>
      </c>
    </row>
    <row r="8815" spans="14:14" ht="15" customHeight="1" x14ac:dyDescent="0.25">
      <c r="N8815" t="s">
        <v>405</v>
      </c>
    </row>
    <row r="8816" spans="14:14" ht="15" customHeight="1" x14ac:dyDescent="0.25">
      <c r="N8816" t="s">
        <v>687</v>
      </c>
    </row>
    <row r="8817" spans="14:14" ht="15" customHeight="1" x14ac:dyDescent="0.25">
      <c r="N8817" t="s">
        <v>715</v>
      </c>
    </row>
    <row r="8818" spans="14:14" ht="15" customHeight="1" x14ac:dyDescent="0.25">
      <c r="N8818" t="s">
        <v>655</v>
      </c>
    </row>
    <row r="8819" spans="14:14" ht="15" customHeight="1" x14ac:dyDescent="0.25">
      <c r="N8819" t="s">
        <v>406</v>
      </c>
    </row>
    <row r="8820" spans="14:14" ht="15" customHeight="1" x14ac:dyDescent="0.25">
      <c r="N8820" t="s">
        <v>634</v>
      </c>
    </row>
    <row r="8821" spans="14:14" ht="15" customHeight="1" x14ac:dyDescent="0.25">
      <c r="N8821" t="s">
        <v>686</v>
      </c>
    </row>
    <row r="8822" spans="14:14" ht="15" customHeight="1" x14ac:dyDescent="0.25">
      <c r="N8822" t="s">
        <v>686</v>
      </c>
    </row>
    <row r="8823" spans="14:14" ht="15" customHeight="1" x14ac:dyDescent="0.25">
      <c r="N8823" t="s">
        <v>435</v>
      </c>
    </row>
    <row r="8824" spans="14:14" ht="15" customHeight="1" x14ac:dyDescent="0.25">
      <c r="N8824" t="s">
        <v>655</v>
      </c>
    </row>
    <row r="8825" spans="14:14" ht="15" customHeight="1" x14ac:dyDescent="0.25">
      <c r="N8825" t="s">
        <v>732</v>
      </c>
    </row>
    <row r="8826" spans="14:14" ht="15" customHeight="1" x14ac:dyDescent="0.25">
      <c r="N8826" t="s">
        <v>313</v>
      </c>
    </row>
    <row r="8827" spans="14:14" ht="15" customHeight="1" x14ac:dyDescent="0.25">
      <c r="N8827" t="s">
        <v>646</v>
      </c>
    </row>
    <row r="8828" spans="14:14" ht="15" customHeight="1" x14ac:dyDescent="0.25">
      <c r="N8828" t="s">
        <v>683</v>
      </c>
    </row>
    <row r="8829" spans="14:14" ht="15" customHeight="1" x14ac:dyDescent="0.25">
      <c r="N8829" t="s">
        <v>690</v>
      </c>
    </row>
    <row r="8830" spans="14:14" ht="15" customHeight="1" x14ac:dyDescent="0.25">
      <c r="N8830" t="s">
        <v>555</v>
      </c>
    </row>
    <row r="8831" spans="14:14" ht="15" customHeight="1" x14ac:dyDescent="0.25">
      <c r="N8831" t="s">
        <v>458</v>
      </c>
    </row>
    <row r="8832" spans="14:14" ht="15" customHeight="1" x14ac:dyDescent="0.25">
      <c r="N8832" t="s">
        <v>690</v>
      </c>
    </row>
    <row r="8833" spans="14:14" ht="15" customHeight="1" x14ac:dyDescent="0.25">
      <c r="N8833" t="s">
        <v>582</v>
      </c>
    </row>
    <row r="8834" spans="14:14" ht="15" customHeight="1" x14ac:dyDescent="0.25">
      <c r="N8834" t="s">
        <v>698</v>
      </c>
    </row>
    <row r="8835" spans="14:14" ht="15" customHeight="1" x14ac:dyDescent="0.25">
      <c r="N8835" t="s">
        <v>313</v>
      </c>
    </row>
    <row r="8836" spans="14:14" ht="15" customHeight="1" x14ac:dyDescent="0.25">
      <c r="N8836" t="s">
        <v>646</v>
      </c>
    </row>
    <row r="8837" spans="14:14" ht="15" customHeight="1" x14ac:dyDescent="0.25">
      <c r="N8837" t="s">
        <v>636</v>
      </c>
    </row>
    <row r="8838" spans="14:14" ht="15" customHeight="1" x14ac:dyDescent="0.25">
      <c r="N8838" t="s">
        <v>636</v>
      </c>
    </row>
    <row r="8839" spans="14:14" ht="15" customHeight="1" x14ac:dyDescent="0.25">
      <c r="N8839" t="s">
        <v>636</v>
      </c>
    </row>
    <row r="8840" spans="14:14" ht="15" customHeight="1" x14ac:dyDescent="0.25">
      <c r="N8840" t="s">
        <v>636</v>
      </c>
    </row>
    <row r="8841" spans="14:14" ht="15" customHeight="1" x14ac:dyDescent="0.25">
      <c r="N8841" t="s">
        <v>636</v>
      </c>
    </row>
    <row r="8842" spans="14:14" ht="15" customHeight="1" x14ac:dyDescent="0.25">
      <c r="N8842" t="s">
        <v>636</v>
      </c>
    </row>
    <row r="8843" spans="14:14" ht="15" customHeight="1" x14ac:dyDescent="0.25">
      <c r="N8843" t="s">
        <v>636</v>
      </c>
    </row>
    <row r="8844" spans="14:14" ht="15" customHeight="1" x14ac:dyDescent="0.25">
      <c r="N8844" t="s">
        <v>636</v>
      </c>
    </row>
    <row r="8845" spans="14:14" ht="15" customHeight="1" x14ac:dyDescent="0.25">
      <c r="N8845" t="s">
        <v>683</v>
      </c>
    </row>
    <row r="8846" spans="14:14" ht="15" customHeight="1" x14ac:dyDescent="0.25">
      <c r="N8846" t="s">
        <v>294</v>
      </c>
    </row>
    <row r="8847" spans="14:14" ht="15" customHeight="1" x14ac:dyDescent="0.25">
      <c r="N8847" t="s">
        <v>636</v>
      </c>
    </row>
    <row r="8848" spans="14:14" ht="15" customHeight="1" x14ac:dyDescent="0.25">
      <c r="N8848" t="s">
        <v>448</v>
      </c>
    </row>
    <row r="8849" spans="14:14" ht="15" customHeight="1" x14ac:dyDescent="0.25">
      <c r="N8849" t="s">
        <v>448</v>
      </c>
    </row>
    <row r="8850" spans="14:14" ht="15" customHeight="1" x14ac:dyDescent="0.25">
      <c r="N8850" t="s">
        <v>448</v>
      </c>
    </row>
    <row r="8851" spans="14:14" ht="15" customHeight="1" x14ac:dyDescent="0.25">
      <c r="N8851" t="s">
        <v>448</v>
      </c>
    </row>
    <row r="8852" spans="14:14" ht="15" customHeight="1" x14ac:dyDescent="0.25">
      <c r="N8852" t="s">
        <v>448</v>
      </c>
    </row>
    <row r="8853" spans="14:14" ht="15" customHeight="1" x14ac:dyDescent="0.25">
      <c r="N8853" t="s">
        <v>448</v>
      </c>
    </row>
    <row r="8854" spans="14:14" ht="15" customHeight="1" x14ac:dyDescent="0.25">
      <c r="N8854" t="s">
        <v>448</v>
      </c>
    </row>
    <row r="8855" spans="14:14" ht="15" customHeight="1" x14ac:dyDescent="0.25">
      <c r="N8855" t="s">
        <v>448</v>
      </c>
    </row>
    <row r="8856" spans="14:14" ht="15" customHeight="1" x14ac:dyDescent="0.25">
      <c r="N8856" t="s">
        <v>448</v>
      </c>
    </row>
    <row r="8857" spans="14:14" ht="15" customHeight="1" x14ac:dyDescent="0.25">
      <c r="N8857" t="s">
        <v>448</v>
      </c>
    </row>
    <row r="8858" spans="14:14" ht="15" customHeight="1" x14ac:dyDescent="0.25">
      <c r="N8858" t="s">
        <v>448</v>
      </c>
    </row>
    <row r="8859" spans="14:14" ht="15" customHeight="1" x14ac:dyDescent="0.25">
      <c r="N8859" t="s">
        <v>448</v>
      </c>
    </row>
    <row r="8860" spans="14:14" ht="15" customHeight="1" x14ac:dyDescent="0.25">
      <c r="N8860" t="s">
        <v>448</v>
      </c>
    </row>
    <row r="8861" spans="14:14" ht="15" customHeight="1" x14ac:dyDescent="0.25">
      <c r="N8861" t="s">
        <v>715</v>
      </c>
    </row>
    <row r="8862" spans="14:14" ht="15" customHeight="1" x14ac:dyDescent="0.25">
      <c r="N8862" t="s">
        <v>698</v>
      </c>
    </row>
    <row r="8863" spans="14:14" ht="15" customHeight="1" x14ac:dyDescent="0.25">
      <c r="N8863" t="s">
        <v>605</v>
      </c>
    </row>
    <row r="8864" spans="14:14" ht="15" customHeight="1" x14ac:dyDescent="0.25">
      <c r="N8864" t="s">
        <v>698</v>
      </c>
    </row>
    <row r="8865" spans="14:14" ht="15" customHeight="1" x14ac:dyDescent="0.25">
      <c r="N8865" t="s">
        <v>350</v>
      </c>
    </row>
    <row r="8866" spans="14:14" ht="15" customHeight="1" x14ac:dyDescent="0.25">
      <c r="N8866" t="s">
        <v>294</v>
      </c>
    </row>
    <row r="8867" spans="14:14" ht="15" customHeight="1" x14ac:dyDescent="0.25">
      <c r="N8867" t="s">
        <v>683</v>
      </c>
    </row>
    <row r="8868" spans="14:14" ht="15" customHeight="1" x14ac:dyDescent="0.25">
      <c r="N8868" t="s">
        <v>663</v>
      </c>
    </row>
    <row r="8869" spans="14:14" ht="15" customHeight="1" x14ac:dyDescent="0.25">
      <c r="N8869" t="s">
        <v>732</v>
      </c>
    </row>
    <row r="8870" spans="14:14" ht="15" customHeight="1" x14ac:dyDescent="0.25">
      <c r="N8870" t="s">
        <v>732</v>
      </c>
    </row>
    <row r="8871" spans="14:14" ht="15" customHeight="1" x14ac:dyDescent="0.25">
      <c r="N8871" t="s">
        <v>732</v>
      </c>
    </row>
    <row r="8872" spans="14:14" ht="15" customHeight="1" x14ac:dyDescent="0.25">
      <c r="N8872" t="s">
        <v>732</v>
      </c>
    </row>
    <row r="8873" spans="14:14" ht="15" customHeight="1" x14ac:dyDescent="0.25">
      <c r="N8873" t="s">
        <v>732</v>
      </c>
    </row>
    <row r="8874" spans="14:14" ht="15" customHeight="1" x14ac:dyDescent="0.25">
      <c r="N8874" t="s">
        <v>732</v>
      </c>
    </row>
    <row r="8875" spans="14:14" ht="15" customHeight="1" x14ac:dyDescent="0.25">
      <c r="N8875" t="s">
        <v>732</v>
      </c>
    </row>
    <row r="8876" spans="14:14" ht="15" customHeight="1" x14ac:dyDescent="0.25">
      <c r="N8876" t="s">
        <v>698</v>
      </c>
    </row>
    <row r="8877" spans="14:14" ht="15" customHeight="1" x14ac:dyDescent="0.25">
      <c r="N8877" t="s">
        <v>690</v>
      </c>
    </row>
    <row r="8878" spans="14:14" ht="15" customHeight="1" x14ac:dyDescent="0.25">
      <c r="N8878" t="s">
        <v>683</v>
      </c>
    </row>
    <row r="8879" spans="14:14" ht="15" customHeight="1" x14ac:dyDescent="0.25">
      <c r="N8879" t="s">
        <v>313</v>
      </c>
    </row>
    <row r="8880" spans="14:14" ht="15" customHeight="1" x14ac:dyDescent="0.25">
      <c r="N8880" t="s">
        <v>313</v>
      </c>
    </row>
    <row r="8881" spans="14:14" ht="15" customHeight="1" x14ac:dyDescent="0.25">
      <c r="N8881" t="s">
        <v>313</v>
      </c>
    </row>
    <row r="8882" spans="14:14" ht="15" customHeight="1" x14ac:dyDescent="0.25">
      <c r="N8882" t="s">
        <v>313</v>
      </c>
    </row>
    <row r="8883" spans="14:14" ht="15" customHeight="1" x14ac:dyDescent="0.25">
      <c r="N8883" t="s">
        <v>313</v>
      </c>
    </row>
    <row r="8884" spans="14:14" ht="15" customHeight="1" x14ac:dyDescent="0.25">
      <c r="N8884" t="s">
        <v>313</v>
      </c>
    </row>
    <row r="8885" spans="14:14" ht="15" customHeight="1" x14ac:dyDescent="0.25">
      <c r="N8885" t="s">
        <v>313</v>
      </c>
    </row>
    <row r="8886" spans="14:14" ht="15" customHeight="1" x14ac:dyDescent="0.25">
      <c r="N8886" t="s">
        <v>634</v>
      </c>
    </row>
    <row r="8887" spans="14:14" ht="15" customHeight="1" x14ac:dyDescent="0.25">
      <c r="N8887" t="s">
        <v>499</v>
      </c>
    </row>
    <row r="8888" spans="14:14" ht="15" customHeight="1" x14ac:dyDescent="0.25">
      <c r="N8888" t="s">
        <v>683</v>
      </c>
    </row>
    <row r="8889" spans="14:14" ht="15" customHeight="1" x14ac:dyDescent="0.25">
      <c r="N8889" t="s">
        <v>636</v>
      </c>
    </row>
    <row r="8890" spans="14:14" ht="15" customHeight="1" x14ac:dyDescent="0.25">
      <c r="N8890" t="s">
        <v>313</v>
      </c>
    </row>
    <row r="8891" spans="14:14" ht="15" customHeight="1" x14ac:dyDescent="0.25">
      <c r="N8891" t="s">
        <v>683</v>
      </c>
    </row>
    <row r="8892" spans="14:14" ht="15" customHeight="1" x14ac:dyDescent="0.25">
      <c r="N8892" t="s">
        <v>820</v>
      </c>
    </row>
    <row r="8893" spans="14:14" ht="15" customHeight="1" x14ac:dyDescent="0.25">
      <c r="N8893" t="s">
        <v>579</v>
      </c>
    </row>
    <row r="8894" spans="14:14" ht="15" customHeight="1" x14ac:dyDescent="0.25">
      <c r="N8894" t="s">
        <v>663</v>
      </c>
    </row>
    <row r="8895" spans="14:14" ht="15" customHeight="1" x14ac:dyDescent="0.25">
      <c r="N8895" t="s">
        <v>843</v>
      </c>
    </row>
    <row r="8896" spans="14:14" ht="15" customHeight="1" x14ac:dyDescent="0.25">
      <c r="N8896" t="s">
        <v>844</v>
      </c>
    </row>
    <row r="8897" spans="14:14" ht="15" customHeight="1" x14ac:dyDescent="0.25">
      <c r="N8897" t="s">
        <v>732</v>
      </c>
    </row>
    <row r="8898" spans="14:14" ht="15" customHeight="1" x14ac:dyDescent="0.25">
      <c r="N8898" t="s">
        <v>732</v>
      </c>
    </row>
    <row r="8899" spans="14:14" ht="15" customHeight="1" x14ac:dyDescent="0.25">
      <c r="N8899" t="s">
        <v>313</v>
      </c>
    </row>
    <row r="8900" spans="14:14" ht="15" customHeight="1" x14ac:dyDescent="0.25">
      <c r="N8900" t="s">
        <v>463</v>
      </c>
    </row>
    <row r="8901" spans="14:14" ht="15" customHeight="1" x14ac:dyDescent="0.25">
      <c r="N8901" t="s">
        <v>654</v>
      </c>
    </row>
    <row r="8902" spans="14:14" ht="15" customHeight="1" x14ac:dyDescent="0.25">
      <c r="N8902" t="s">
        <v>313</v>
      </c>
    </row>
    <row r="8903" spans="14:14" ht="15" customHeight="1" x14ac:dyDescent="0.25">
      <c r="N8903" t="s">
        <v>844</v>
      </c>
    </row>
    <row r="8904" spans="14:14" ht="15" customHeight="1" x14ac:dyDescent="0.25">
      <c r="N8904" t="s">
        <v>713</v>
      </c>
    </row>
    <row r="8905" spans="14:14" ht="15" customHeight="1" x14ac:dyDescent="0.25">
      <c r="N8905" t="s">
        <v>579</v>
      </c>
    </row>
    <row r="8906" spans="14:14" ht="15" customHeight="1" x14ac:dyDescent="0.25">
      <c r="N8906" t="s">
        <v>663</v>
      </c>
    </row>
    <row r="8907" spans="14:14" ht="15" customHeight="1" x14ac:dyDescent="0.25">
      <c r="N8907" t="s">
        <v>732</v>
      </c>
    </row>
    <row r="8908" spans="14:14" ht="15" customHeight="1" x14ac:dyDescent="0.25">
      <c r="N8908" t="s">
        <v>355</v>
      </c>
    </row>
    <row r="8909" spans="14:14" ht="15" customHeight="1" x14ac:dyDescent="0.25">
      <c r="N8909" t="s">
        <v>732</v>
      </c>
    </row>
    <row r="8910" spans="14:14" ht="15" customHeight="1" x14ac:dyDescent="0.25">
      <c r="N8910" t="s">
        <v>654</v>
      </c>
    </row>
    <row r="8911" spans="14:14" ht="15" customHeight="1" x14ac:dyDescent="0.25">
      <c r="N8911" t="s">
        <v>485</v>
      </c>
    </row>
    <row r="8912" spans="14:14" ht="15" customHeight="1" x14ac:dyDescent="0.25">
      <c r="N8912" t="s">
        <v>363</v>
      </c>
    </row>
    <row r="8913" spans="14:14" ht="15" customHeight="1" x14ac:dyDescent="0.25">
      <c r="N8913" t="s">
        <v>732</v>
      </c>
    </row>
    <row r="8914" spans="14:14" ht="15" customHeight="1" x14ac:dyDescent="0.25">
      <c r="N8914" t="s">
        <v>713</v>
      </c>
    </row>
    <row r="8915" spans="14:14" ht="15" customHeight="1" x14ac:dyDescent="0.25">
      <c r="N8915" t="s">
        <v>685</v>
      </c>
    </row>
    <row r="8916" spans="14:14" ht="15" customHeight="1" x14ac:dyDescent="0.25">
      <c r="N8916" t="s">
        <v>713</v>
      </c>
    </row>
    <row r="8917" spans="14:14" ht="15" customHeight="1" x14ac:dyDescent="0.25">
      <c r="N8917" t="s">
        <v>687</v>
      </c>
    </row>
    <row r="8918" spans="14:14" ht="15" customHeight="1" x14ac:dyDescent="0.25">
      <c r="N8918" t="s">
        <v>313</v>
      </c>
    </row>
    <row r="8919" spans="14:14" ht="15" customHeight="1" x14ac:dyDescent="0.25">
      <c r="N8919" t="s">
        <v>670</v>
      </c>
    </row>
    <row r="8920" spans="14:14" ht="15" customHeight="1" x14ac:dyDescent="0.25">
      <c r="N8920" t="s">
        <v>732</v>
      </c>
    </row>
    <row r="8921" spans="14:14" ht="15" customHeight="1" x14ac:dyDescent="0.25">
      <c r="N8921" t="s">
        <v>732</v>
      </c>
    </row>
    <row r="8922" spans="14:14" ht="15" customHeight="1" x14ac:dyDescent="0.25">
      <c r="N8922" t="s">
        <v>732</v>
      </c>
    </row>
    <row r="8923" spans="14:14" ht="15" customHeight="1" x14ac:dyDescent="0.25">
      <c r="N8923" t="s">
        <v>732</v>
      </c>
    </row>
    <row r="8924" spans="14:14" ht="15" customHeight="1" x14ac:dyDescent="0.25">
      <c r="N8924" t="s">
        <v>732</v>
      </c>
    </row>
    <row r="8925" spans="14:14" ht="15" customHeight="1" x14ac:dyDescent="0.25">
      <c r="N8925" t="s">
        <v>732</v>
      </c>
    </row>
    <row r="8926" spans="14:14" ht="15" customHeight="1" x14ac:dyDescent="0.25">
      <c r="N8926" t="s">
        <v>732</v>
      </c>
    </row>
    <row r="8927" spans="14:14" ht="15" customHeight="1" x14ac:dyDescent="0.25">
      <c r="N8927" t="s">
        <v>732</v>
      </c>
    </row>
    <row r="8928" spans="14:14" ht="15" customHeight="1" x14ac:dyDescent="0.25">
      <c r="N8928" t="s">
        <v>732</v>
      </c>
    </row>
    <row r="8929" spans="14:14" ht="15" customHeight="1" x14ac:dyDescent="0.25">
      <c r="N8929" t="s">
        <v>732</v>
      </c>
    </row>
    <row r="8930" spans="14:14" ht="15" customHeight="1" x14ac:dyDescent="0.25">
      <c r="N8930" t="s">
        <v>732</v>
      </c>
    </row>
    <row r="8931" spans="14:14" ht="15" customHeight="1" x14ac:dyDescent="0.25">
      <c r="N8931" t="s">
        <v>732</v>
      </c>
    </row>
    <row r="8932" spans="14:14" ht="15" customHeight="1" x14ac:dyDescent="0.25">
      <c r="N8932" t="s">
        <v>732</v>
      </c>
    </row>
    <row r="8933" spans="14:14" ht="15" customHeight="1" x14ac:dyDescent="0.25">
      <c r="N8933" t="s">
        <v>313</v>
      </c>
    </row>
    <row r="8934" spans="14:14" ht="15" customHeight="1" x14ac:dyDescent="0.25">
      <c r="N8934" t="s">
        <v>582</v>
      </c>
    </row>
    <row r="8935" spans="14:14" ht="15" customHeight="1" x14ac:dyDescent="0.25">
      <c r="N8935" t="s">
        <v>582</v>
      </c>
    </row>
    <row r="8936" spans="14:14" ht="15" customHeight="1" x14ac:dyDescent="0.25">
      <c r="N8936" t="s">
        <v>582</v>
      </c>
    </row>
    <row r="8937" spans="14:14" ht="15" customHeight="1" x14ac:dyDescent="0.25">
      <c r="N8937" t="s">
        <v>582</v>
      </c>
    </row>
    <row r="8938" spans="14:14" ht="15" customHeight="1" x14ac:dyDescent="0.25">
      <c r="N8938" t="s">
        <v>582</v>
      </c>
    </row>
    <row r="8939" spans="14:14" ht="15" customHeight="1" x14ac:dyDescent="0.25">
      <c r="N8939" t="s">
        <v>582</v>
      </c>
    </row>
    <row r="8940" spans="14:14" ht="15" customHeight="1" x14ac:dyDescent="0.25">
      <c r="N8940" t="s">
        <v>582</v>
      </c>
    </row>
    <row r="8941" spans="14:14" ht="15" customHeight="1" x14ac:dyDescent="0.25">
      <c r="N8941" t="s">
        <v>582</v>
      </c>
    </row>
    <row r="8942" spans="14:14" ht="15" customHeight="1" x14ac:dyDescent="0.25">
      <c r="N8942" t="s">
        <v>582</v>
      </c>
    </row>
    <row r="8943" spans="14:14" ht="15" customHeight="1" x14ac:dyDescent="0.25">
      <c r="N8943" t="s">
        <v>582</v>
      </c>
    </row>
    <row r="8944" spans="14:14" ht="15" customHeight="1" x14ac:dyDescent="0.25">
      <c r="N8944" t="s">
        <v>582</v>
      </c>
    </row>
    <row r="8945" spans="14:14" ht="15" customHeight="1" x14ac:dyDescent="0.25">
      <c r="N8945" t="s">
        <v>582</v>
      </c>
    </row>
    <row r="8946" spans="14:14" ht="15" customHeight="1" x14ac:dyDescent="0.25">
      <c r="N8946" t="s">
        <v>582</v>
      </c>
    </row>
    <row r="8947" spans="14:14" ht="15" customHeight="1" x14ac:dyDescent="0.25">
      <c r="N8947" t="s">
        <v>582</v>
      </c>
    </row>
    <row r="8948" spans="14:14" ht="15" customHeight="1" x14ac:dyDescent="0.25">
      <c r="N8948" t="s">
        <v>313</v>
      </c>
    </row>
    <row r="8949" spans="14:14" ht="15" customHeight="1" x14ac:dyDescent="0.25">
      <c r="N8949" t="s">
        <v>732</v>
      </c>
    </row>
    <row r="8950" spans="14:14" ht="15" customHeight="1" x14ac:dyDescent="0.25">
      <c r="N8950" t="s">
        <v>68</v>
      </c>
    </row>
    <row r="8951" spans="14:14" ht="15" customHeight="1" x14ac:dyDescent="0.25">
      <c r="N8951" t="s">
        <v>313</v>
      </c>
    </row>
    <row r="8952" spans="14:14" ht="15" customHeight="1" x14ac:dyDescent="0.25">
      <c r="N8952" t="s">
        <v>696</v>
      </c>
    </row>
    <row r="8953" spans="14:14" ht="15" customHeight="1" x14ac:dyDescent="0.25">
      <c r="N8953" t="s">
        <v>304</v>
      </c>
    </row>
    <row r="8954" spans="14:14" ht="15" customHeight="1" x14ac:dyDescent="0.25">
      <c r="N8954" t="s">
        <v>685</v>
      </c>
    </row>
    <row r="8955" spans="14:14" ht="15" customHeight="1" x14ac:dyDescent="0.25">
      <c r="N8955" t="s">
        <v>370</v>
      </c>
    </row>
    <row r="8956" spans="14:14" ht="15" customHeight="1" x14ac:dyDescent="0.25">
      <c r="N8956" t="s">
        <v>698</v>
      </c>
    </row>
    <row r="8957" spans="14:14" ht="15" customHeight="1" x14ac:dyDescent="0.25">
      <c r="N8957" t="s">
        <v>715</v>
      </c>
    </row>
    <row r="8958" spans="14:14" ht="15" customHeight="1" x14ac:dyDescent="0.25">
      <c r="N8958" t="s">
        <v>582</v>
      </c>
    </row>
    <row r="8959" spans="14:14" ht="15" customHeight="1" x14ac:dyDescent="0.25">
      <c r="N8959" t="s">
        <v>732</v>
      </c>
    </row>
    <row r="8960" spans="14:14" ht="15" customHeight="1" x14ac:dyDescent="0.25">
      <c r="N8960" t="s">
        <v>684</v>
      </c>
    </row>
    <row r="8961" spans="14:14" ht="15" customHeight="1" x14ac:dyDescent="0.25">
      <c r="N8961" t="s">
        <v>732</v>
      </c>
    </row>
    <row r="8962" spans="14:14" ht="15" customHeight="1" x14ac:dyDescent="0.25">
      <c r="N8962" t="s">
        <v>732</v>
      </c>
    </row>
    <row r="8963" spans="14:14" ht="15" customHeight="1" x14ac:dyDescent="0.25">
      <c r="N8963" t="s">
        <v>732</v>
      </c>
    </row>
    <row r="8964" spans="14:14" ht="15" customHeight="1" x14ac:dyDescent="0.25">
      <c r="N8964" t="s">
        <v>732</v>
      </c>
    </row>
    <row r="8965" spans="14:14" ht="15" customHeight="1" x14ac:dyDescent="0.25">
      <c r="N8965" t="s">
        <v>732</v>
      </c>
    </row>
    <row r="8966" spans="14:14" ht="15" customHeight="1" x14ac:dyDescent="0.25">
      <c r="N8966" t="s">
        <v>732</v>
      </c>
    </row>
    <row r="8967" spans="14:14" ht="15" customHeight="1" x14ac:dyDescent="0.25">
      <c r="N8967" t="s">
        <v>732</v>
      </c>
    </row>
    <row r="8968" spans="14:14" ht="15" customHeight="1" x14ac:dyDescent="0.25">
      <c r="N8968" t="s">
        <v>732</v>
      </c>
    </row>
    <row r="8969" spans="14:14" ht="15" customHeight="1" x14ac:dyDescent="0.25">
      <c r="N8969" t="s">
        <v>734</v>
      </c>
    </row>
    <row r="8970" spans="14:14" ht="15" customHeight="1" x14ac:dyDescent="0.25">
      <c r="N8970" t="s">
        <v>582</v>
      </c>
    </row>
    <row r="8971" spans="14:14" ht="15" customHeight="1" x14ac:dyDescent="0.25">
      <c r="N8971" t="s">
        <v>732</v>
      </c>
    </row>
    <row r="8972" spans="14:14" ht="15" customHeight="1" x14ac:dyDescent="0.25">
      <c r="N8972" t="s">
        <v>732</v>
      </c>
    </row>
    <row r="8973" spans="14:14" ht="15" customHeight="1" x14ac:dyDescent="0.25">
      <c r="N8973" t="s">
        <v>732</v>
      </c>
    </row>
    <row r="8974" spans="14:14" ht="15" customHeight="1" x14ac:dyDescent="0.25">
      <c r="N8974" t="s">
        <v>732</v>
      </c>
    </row>
    <row r="8975" spans="14:14" ht="15" customHeight="1" x14ac:dyDescent="0.25">
      <c r="N8975" t="s">
        <v>732</v>
      </c>
    </row>
    <row r="8976" spans="14:14" ht="15" customHeight="1" x14ac:dyDescent="0.25">
      <c r="N8976" t="s">
        <v>732</v>
      </c>
    </row>
    <row r="8977" spans="14:14" ht="15" customHeight="1" x14ac:dyDescent="0.25">
      <c r="N8977" t="s">
        <v>732</v>
      </c>
    </row>
    <row r="8978" spans="14:14" ht="15" customHeight="1" x14ac:dyDescent="0.25">
      <c r="N8978" t="s">
        <v>732</v>
      </c>
    </row>
    <row r="8979" spans="14:14" ht="15" customHeight="1" x14ac:dyDescent="0.25">
      <c r="N8979" t="s">
        <v>732</v>
      </c>
    </row>
    <row r="8980" spans="14:14" ht="15" customHeight="1" x14ac:dyDescent="0.25">
      <c r="N8980" t="s">
        <v>732</v>
      </c>
    </row>
    <row r="8981" spans="14:14" ht="15" customHeight="1" x14ac:dyDescent="0.25">
      <c r="N8981" t="s">
        <v>732</v>
      </c>
    </row>
    <row r="8982" spans="14:14" ht="15" customHeight="1" x14ac:dyDescent="0.25">
      <c r="N8982" t="s">
        <v>732</v>
      </c>
    </row>
    <row r="8983" spans="14:14" ht="15" customHeight="1" x14ac:dyDescent="0.25">
      <c r="N8983" t="s">
        <v>732</v>
      </c>
    </row>
    <row r="8984" spans="14:14" ht="15" customHeight="1" x14ac:dyDescent="0.25">
      <c r="N8984" t="s">
        <v>732</v>
      </c>
    </row>
    <row r="8985" spans="14:14" ht="15" customHeight="1" x14ac:dyDescent="0.25">
      <c r="N8985" t="s">
        <v>732</v>
      </c>
    </row>
    <row r="8986" spans="14:14" ht="15" customHeight="1" x14ac:dyDescent="0.25">
      <c r="N8986" t="s">
        <v>732</v>
      </c>
    </row>
    <row r="8987" spans="14:14" ht="15" customHeight="1" x14ac:dyDescent="0.25">
      <c r="N8987" t="s">
        <v>732</v>
      </c>
    </row>
    <row r="8988" spans="14:14" ht="15" customHeight="1" x14ac:dyDescent="0.25">
      <c r="N8988" t="s">
        <v>732</v>
      </c>
    </row>
    <row r="8989" spans="14:14" ht="15" customHeight="1" x14ac:dyDescent="0.25">
      <c r="N8989" t="s">
        <v>732</v>
      </c>
    </row>
    <row r="8990" spans="14:14" ht="15" customHeight="1" x14ac:dyDescent="0.25">
      <c r="N8990" t="s">
        <v>732</v>
      </c>
    </row>
    <row r="8991" spans="14:14" ht="15" customHeight="1" x14ac:dyDescent="0.25">
      <c r="N8991" t="s">
        <v>732</v>
      </c>
    </row>
    <row r="8992" spans="14:14" ht="15" customHeight="1" x14ac:dyDescent="0.25">
      <c r="N8992" t="s">
        <v>732</v>
      </c>
    </row>
    <row r="8993" spans="14:14" ht="15" customHeight="1" x14ac:dyDescent="0.25">
      <c r="N8993" t="s">
        <v>732</v>
      </c>
    </row>
    <row r="8994" spans="14:14" ht="15" customHeight="1" x14ac:dyDescent="0.25">
      <c r="N8994" t="s">
        <v>732</v>
      </c>
    </row>
    <row r="8995" spans="14:14" ht="15" customHeight="1" x14ac:dyDescent="0.25">
      <c r="N8995" t="s">
        <v>732</v>
      </c>
    </row>
    <row r="8996" spans="14:14" ht="15" customHeight="1" x14ac:dyDescent="0.25">
      <c r="N8996" t="s">
        <v>732</v>
      </c>
    </row>
    <row r="8997" spans="14:14" ht="15" customHeight="1" x14ac:dyDescent="0.25">
      <c r="N8997" t="s">
        <v>524</v>
      </c>
    </row>
    <row r="8998" spans="14:14" ht="15" customHeight="1" x14ac:dyDescent="0.25">
      <c r="N8998" t="s">
        <v>732</v>
      </c>
    </row>
    <row r="8999" spans="14:14" ht="15" customHeight="1" x14ac:dyDescent="0.25">
      <c r="N8999" t="s">
        <v>732</v>
      </c>
    </row>
    <row r="9000" spans="14:14" ht="15" customHeight="1" x14ac:dyDescent="0.25">
      <c r="N9000" t="s">
        <v>603</v>
      </c>
    </row>
    <row r="9001" spans="14:14" ht="15" customHeight="1" x14ac:dyDescent="0.25">
      <c r="N9001" t="s">
        <v>732</v>
      </c>
    </row>
    <row r="9002" spans="14:14" ht="15" customHeight="1" x14ac:dyDescent="0.25">
      <c r="N9002" t="s">
        <v>654</v>
      </c>
    </row>
    <row r="9003" spans="14:14" ht="15" customHeight="1" x14ac:dyDescent="0.25">
      <c r="N9003" t="s">
        <v>685</v>
      </c>
    </row>
    <row r="9004" spans="14:14" ht="15" customHeight="1" x14ac:dyDescent="0.25">
      <c r="N9004" t="s">
        <v>313</v>
      </c>
    </row>
    <row r="9005" spans="14:14" ht="15" customHeight="1" x14ac:dyDescent="0.25">
      <c r="N9005" t="s">
        <v>685</v>
      </c>
    </row>
    <row r="9006" spans="14:14" ht="15" customHeight="1" x14ac:dyDescent="0.25">
      <c r="N9006" t="s">
        <v>690</v>
      </c>
    </row>
    <row r="9007" spans="14:14" ht="15" customHeight="1" x14ac:dyDescent="0.25">
      <c r="N9007" t="s">
        <v>690</v>
      </c>
    </row>
    <row r="9008" spans="14:14" ht="15" customHeight="1" x14ac:dyDescent="0.25">
      <c r="N9008" t="s">
        <v>690</v>
      </c>
    </row>
    <row r="9009" spans="14:14" ht="15" customHeight="1" x14ac:dyDescent="0.25">
      <c r="N9009" t="s">
        <v>690</v>
      </c>
    </row>
    <row r="9010" spans="14:14" ht="15" customHeight="1" x14ac:dyDescent="0.25">
      <c r="N9010" t="s">
        <v>313</v>
      </c>
    </row>
    <row r="9011" spans="14:14" ht="15" customHeight="1" x14ac:dyDescent="0.25">
      <c r="N9011" t="s">
        <v>732</v>
      </c>
    </row>
    <row r="9012" spans="14:14" ht="15" customHeight="1" x14ac:dyDescent="0.25">
      <c r="N9012" t="s">
        <v>732</v>
      </c>
    </row>
    <row r="9013" spans="14:14" ht="15" customHeight="1" x14ac:dyDescent="0.25">
      <c r="N9013" t="s">
        <v>732</v>
      </c>
    </row>
    <row r="9014" spans="14:14" ht="15" customHeight="1" x14ac:dyDescent="0.25">
      <c r="N9014" t="s">
        <v>732</v>
      </c>
    </row>
    <row r="9015" spans="14:14" ht="15" customHeight="1" x14ac:dyDescent="0.25">
      <c r="N9015" t="s">
        <v>732</v>
      </c>
    </row>
    <row r="9016" spans="14:14" ht="15" customHeight="1" x14ac:dyDescent="0.25">
      <c r="N9016" t="s">
        <v>732</v>
      </c>
    </row>
    <row r="9017" spans="14:14" ht="15" customHeight="1" x14ac:dyDescent="0.25">
      <c r="N9017" t="s">
        <v>732</v>
      </c>
    </row>
    <row r="9018" spans="14:14" ht="15" customHeight="1" x14ac:dyDescent="0.25">
      <c r="N9018" t="s">
        <v>732</v>
      </c>
    </row>
    <row r="9019" spans="14:14" ht="15" customHeight="1" x14ac:dyDescent="0.25">
      <c r="N9019" t="s">
        <v>732</v>
      </c>
    </row>
    <row r="9020" spans="14:14" ht="15" customHeight="1" x14ac:dyDescent="0.25">
      <c r="N9020" t="s">
        <v>732</v>
      </c>
    </row>
    <row r="9021" spans="14:14" ht="15" customHeight="1" x14ac:dyDescent="0.25">
      <c r="N9021" t="s">
        <v>732</v>
      </c>
    </row>
    <row r="9022" spans="14:14" ht="15" customHeight="1" x14ac:dyDescent="0.25">
      <c r="N9022" t="s">
        <v>732</v>
      </c>
    </row>
    <row r="9023" spans="14:14" ht="15" customHeight="1" x14ac:dyDescent="0.25">
      <c r="N9023" t="s">
        <v>732</v>
      </c>
    </row>
    <row r="9024" spans="14:14" ht="15" customHeight="1" x14ac:dyDescent="0.25">
      <c r="N9024" t="s">
        <v>68</v>
      </c>
    </row>
    <row r="9025" spans="14:14" ht="15" customHeight="1" x14ac:dyDescent="0.25">
      <c r="N9025" t="s">
        <v>68</v>
      </c>
    </row>
    <row r="9026" spans="14:14" ht="15" customHeight="1" x14ac:dyDescent="0.25">
      <c r="N9026" t="s">
        <v>68</v>
      </c>
    </row>
    <row r="9027" spans="14:14" ht="15" customHeight="1" x14ac:dyDescent="0.25">
      <c r="N9027" t="s">
        <v>68</v>
      </c>
    </row>
    <row r="9028" spans="14:14" ht="15" customHeight="1" x14ac:dyDescent="0.25">
      <c r="N9028" t="s">
        <v>68</v>
      </c>
    </row>
    <row r="9029" spans="14:14" ht="15" customHeight="1" x14ac:dyDescent="0.25">
      <c r="N9029" t="s">
        <v>68</v>
      </c>
    </row>
    <row r="9030" spans="14:14" ht="15" customHeight="1" x14ac:dyDescent="0.25">
      <c r="N9030" t="s">
        <v>68</v>
      </c>
    </row>
    <row r="9031" spans="14:14" ht="15" customHeight="1" x14ac:dyDescent="0.25">
      <c r="N9031" t="s">
        <v>735</v>
      </c>
    </row>
    <row r="9032" spans="14:14" ht="15" customHeight="1" x14ac:dyDescent="0.25">
      <c r="N9032" t="s">
        <v>735</v>
      </c>
    </row>
    <row r="9033" spans="14:14" ht="15" customHeight="1" x14ac:dyDescent="0.25">
      <c r="N9033" t="s">
        <v>735</v>
      </c>
    </row>
    <row r="9034" spans="14:14" ht="15" customHeight="1" x14ac:dyDescent="0.25">
      <c r="N9034" t="s">
        <v>735</v>
      </c>
    </row>
    <row r="9035" spans="14:14" ht="15" customHeight="1" x14ac:dyDescent="0.25">
      <c r="N9035" t="s">
        <v>735</v>
      </c>
    </row>
    <row r="9036" spans="14:14" ht="15" customHeight="1" x14ac:dyDescent="0.25">
      <c r="N9036" t="s">
        <v>68</v>
      </c>
    </row>
    <row r="9037" spans="14:14" ht="15" customHeight="1" x14ac:dyDescent="0.25">
      <c r="N9037" t="s">
        <v>732</v>
      </c>
    </row>
    <row r="9038" spans="14:14" ht="15" customHeight="1" x14ac:dyDescent="0.25">
      <c r="N9038" t="s">
        <v>313</v>
      </c>
    </row>
    <row r="9039" spans="14:14" ht="15" customHeight="1" x14ac:dyDescent="0.25">
      <c r="N9039" t="s">
        <v>304</v>
      </c>
    </row>
    <row r="9040" spans="14:14" ht="15" customHeight="1" x14ac:dyDescent="0.25">
      <c r="N9040" t="s">
        <v>675</v>
      </c>
    </row>
    <row r="9041" spans="14:14" ht="15" customHeight="1" x14ac:dyDescent="0.25">
      <c r="N9041" t="s">
        <v>646</v>
      </c>
    </row>
    <row r="9042" spans="14:14" ht="15" customHeight="1" x14ac:dyDescent="0.25">
      <c r="N9042" t="s">
        <v>684</v>
      </c>
    </row>
    <row r="9043" spans="14:14" ht="15" customHeight="1" x14ac:dyDescent="0.25">
      <c r="N9043" t="s">
        <v>539</v>
      </c>
    </row>
    <row r="9044" spans="14:14" ht="15" customHeight="1" x14ac:dyDescent="0.25">
      <c r="N9044" t="s">
        <v>732</v>
      </c>
    </row>
    <row r="9045" spans="14:14" ht="15" customHeight="1" x14ac:dyDescent="0.25">
      <c r="N9045" t="s">
        <v>732</v>
      </c>
    </row>
    <row r="9046" spans="14:14" ht="15" customHeight="1" x14ac:dyDescent="0.25">
      <c r="N9046" t="s">
        <v>732</v>
      </c>
    </row>
    <row r="9047" spans="14:14" ht="15" customHeight="1" x14ac:dyDescent="0.25">
      <c r="N9047" t="s">
        <v>732</v>
      </c>
    </row>
    <row r="9048" spans="14:14" ht="15" customHeight="1" x14ac:dyDescent="0.25">
      <c r="N9048" t="s">
        <v>732</v>
      </c>
    </row>
    <row r="9049" spans="14:14" ht="15" customHeight="1" x14ac:dyDescent="0.25">
      <c r="N9049" t="s">
        <v>732</v>
      </c>
    </row>
    <row r="9050" spans="14:14" ht="15" customHeight="1" x14ac:dyDescent="0.25">
      <c r="N9050" t="s">
        <v>732</v>
      </c>
    </row>
    <row r="9051" spans="14:14" ht="15" customHeight="1" x14ac:dyDescent="0.25">
      <c r="N9051" t="s">
        <v>732</v>
      </c>
    </row>
    <row r="9052" spans="14:14" ht="15" customHeight="1" x14ac:dyDescent="0.25">
      <c r="N9052" t="s">
        <v>732</v>
      </c>
    </row>
    <row r="9053" spans="14:14" ht="15" customHeight="1" x14ac:dyDescent="0.25">
      <c r="N9053" t="s">
        <v>732</v>
      </c>
    </row>
    <row r="9054" spans="14:14" ht="15" customHeight="1" x14ac:dyDescent="0.25">
      <c r="N9054" t="s">
        <v>732</v>
      </c>
    </row>
    <row r="9055" spans="14:14" ht="15" customHeight="1" x14ac:dyDescent="0.25">
      <c r="N9055" t="s">
        <v>732</v>
      </c>
    </row>
    <row r="9056" spans="14:14" ht="15" customHeight="1" x14ac:dyDescent="0.25">
      <c r="N9056" t="s">
        <v>732</v>
      </c>
    </row>
    <row r="9057" spans="14:14" ht="15" customHeight="1" x14ac:dyDescent="0.25">
      <c r="N9057" t="s">
        <v>732</v>
      </c>
    </row>
    <row r="9058" spans="14:14" ht="15" customHeight="1" x14ac:dyDescent="0.25">
      <c r="N9058" t="s">
        <v>732</v>
      </c>
    </row>
    <row r="9059" spans="14:14" ht="15" customHeight="1" x14ac:dyDescent="0.25">
      <c r="N9059" t="s">
        <v>732</v>
      </c>
    </row>
    <row r="9060" spans="14:14" ht="15" customHeight="1" x14ac:dyDescent="0.25">
      <c r="N9060" t="s">
        <v>732</v>
      </c>
    </row>
    <row r="9061" spans="14:14" ht="15" customHeight="1" x14ac:dyDescent="0.25">
      <c r="N9061" t="s">
        <v>732</v>
      </c>
    </row>
    <row r="9062" spans="14:14" ht="15" customHeight="1" x14ac:dyDescent="0.25">
      <c r="N9062" t="s">
        <v>732</v>
      </c>
    </row>
    <row r="9063" spans="14:14" ht="15" customHeight="1" x14ac:dyDescent="0.25">
      <c r="N9063" t="s">
        <v>732</v>
      </c>
    </row>
    <row r="9064" spans="14:14" ht="15" customHeight="1" x14ac:dyDescent="0.25">
      <c r="N9064" t="s">
        <v>732</v>
      </c>
    </row>
    <row r="9065" spans="14:14" ht="15" customHeight="1" x14ac:dyDescent="0.25">
      <c r="N9065" t="s">
        <v>732</v>
      </c>
    </row>
    <row r="9066" spans="14:14" ht="15" customHeight="1" x14ac:dyDescent="0.25">
      <c r="N9066" t="s">
        <v>732</v>
      </c>
    </row>
    <row r="9067" spans="14:14" ht="15" customHeight="1" x14ac:dyDescent="0.25">
      <c r="N9067" t="s">
        <v>732</v>
      </c>
    </row>
    <row r="9068" spans="14:14" ht="15" customHeight="1" x14ac:dyDescent="0.25">
      <c r="N9068" t="s">
        <v>732</v>
      </c>
    </row>
    <row r="9069" spans="14:14" ht="15" customHeight="1" x14ac:dyDescent="0.25">
      <c r="N9069" t="s">
        <v>732</v>
      </c>
    </row>
    <row r="9070" spans="14:14" ht="15" customHeight="1" x14ac:dyDescent="0.25">
      <c r="N9070" t="s">
        <v>732</v>
      </c>
    </row>
    <row r="9071" spans="14:14" ht="15" customHeight="1" x14ac:dyDescent="0.25">
      <c r="N9071" t="s">
        <v>732</v>
      </c>
    </row>
    <row r="9072" spans="14:14" ht="15" customHeight="1" x14ac:dyDescent="0.25">
      <c r="N9072" t="s">
        <v>582</v>
      </c>
    </row>
    <row r="9073" spans="14:14" ht="15" customHeight="1" x14ac:dyDescent="0.25">
      <c r="N9073" t="s">
        <v>732</v>
      </c>
    </row>
    <row r="9074" spans="14:14" ht="15" customHeight="1" x14ac:dyDescent="0.25">
      <c r="N9074" t="s">
        <v>732</v>
      </c>
    </row>
    <row r="9075" spans="14:14" ht="15" customHeight="1" x14ac:dyDescent="0.25">
      <c r="N9075" t="s">
        <v>558</v>
      </c>
    </row>
    <row r="9076" spans="14:14" ht="15" customHeight="1" x14ac:dyDescent="0.25">
      <c r="N9076" t="s">
        <v>670</v>
      </c>
    </row>
    <row r="9077" spans="14:14" ht="15" customHeight="1" x14ac:dyDescent="0.25">
      <c r="N9077" t="s">
        <v>669</v>
      </c>
    </row>
    <row r="9078" spans="14:14" ht="15" customHeight="1" x14ac:dyDescent="0.25">
      <c r="N9078" t="s">
        <v>669</v>
      </c>
    </row>
    <row r="9079" spans="14:14" ht="15" customHeight="1" x14ac:dyDescent="0.25">
      <c r="N9079" t="s">
        <v>669</v>
      </c>
    </row>
    <row r="9080" spans="14:14" ht="15" customHeight="1" x14ac:dyDescent="0.25">
      <c r="N9080" t="s">
        <v>669</v>
      </c>
    </row>
    <row r="9081" spans="14:14" ht="15" customHeight="1" x14ac:dyDescent="0.25">
      <c r="N9081" t="s">
        <v>690</v>
      </c>
    </row>
    <row r="9082" spans="14:14" ht="15" customHeight="1" x14ac:dyDescent="0.25">
      <c r="N9082" t="s">
        <v>690</v>
      </c>
    </row>
    <row r="9083" spans="14:14" ht="15" customHeight="1" x14ac:dyDescent="0.25">
      <c r="N9083" t="s">
        <v>690</v>
      </c>
    </row>
    <row r="9084" spans="14:14" ht="15" customHeight="1" x14ac:dyDescent="0.25">
      <c r="N9084" t="s">
        <v>690</v>
      </c>
    </row>
    <row r="9085" spans="14:14" ht="15" customHeight="1" x14ac:dyDescent="0.25">
      <c r="N9085" t="s">
        <v>313</v>
      </c>
    </row>
    <row r="9086" spans="14:14" ht="15" customHeight="1" x14ac:dyDescent="0.25">
      <c r="N9086" t="s">
        <v>675</v>
      </c>
    </row>
    <row r="9087" spans="14:14" ht="15" customHeight="1" x14ac:dyDescent="0.25">
      <c r="N9087" t="s">
        <v>732</v>
      </c>
    </row>
    <row r="9088" spans="14:14" ht="15" customHeight="1" x14ac:dyDescent="0.25">
      <c r="N9088" t="s">
        <v>732</v>
      </c>
    </row>
    <row r="9089" spans="14:14" ht="15" customHeight="1" x14ac:dyDescent="0.25">
      <c r="N9089" t="s">
        <v>732</v>
      </c>
    </row>
    <row r="9090" spans="14:14" ht="15" customHeight="1" x14ac:dyDescent="0.25">
      <c r="N9090" t="s">
        <v>732</v>
      </c>
    </row>
    <row r="9091" spans="14:14" ht="15" customHeight="1" x14ac:dyDescent="0.25">
      <c r="N9091" t="s">
        <v>732</v>
      </c>
    </row>
    <row r="9092" spans="14:14" ht="15" customHeight="1" x14ac:dyDescent="0.25">
      <c r="N9092" t="s">
        <v>732</v>
      </c>
    </row>
    <row r="9093" spans="14:14" ht="15" customHeight="1" x14ac:dyDescent="0.25">
      <c r="N9093" t="s">
        <v>732</v>
      </c>
    </row>
    <row r="9094" spans="14:14" ht="15" customHeight="1" x14ac:dyDescent="0.25">
      <c r="N9094" t="s">
        <v>732</v>
      </c>
    </row>
    <row r="9095" spans="14:14" ht="15" customHeight="1" x14ac:dyDescent="0.25">
      <c r="N9095" t="s">
        <v>732</v>
      </c>
    </row>
    <row r="9096" spans="14:14" ht="15" customHeight="1" x14ac:dyDescent="0.25">
      <c r="N9096" t="s">
        <v>732</v>
      </c>
    </row>
    <row r="9097" spans="14:14" ht="15" customHeight="1" x14ac:dyDescent="0.25">
      <c r="N9097" t="s">
        <v>732</v>
      </c>
    </row>
    <row r="9098" spans="14:14" ht="15" customHeight="1" x14ac:dyDescent="0.25">
      <c r="N9098" t="s">
        <v>732</v>
      </c>
    </row>
    <row r="9099" spans="14:14" ht="15" customHeight="1" x14ac:dyDescent="0.25">
      <c r="N9099" t="s">
        <v>732</v>
      </c>
    </row>
    <row r="9100" spans="14:14" ht="15" customHeight="1" x14ac:dyDescent="0.25">
      <c r="N9100" t="s">
        <v>732</v>
      </c>
    </row>
    <row r="9101" spans="14:14" ht="15" customHeight="1" x14ac:dyDescent="0.25">
      <c r="N9101" t="s">
        <v>732</v>
      </c>
    </row>
    <row r="9102" spans="14:14" ht="15" customHeight="1" x14ac:dyDescent="0.25">
      <c r="N9102" t="s">
        <v>732</v>
      </c>
    </row>
    <row r="9103" spans="14:14" ht="15" customHeight="1" x14ac:dyDescent="0.25">
      <c r="N9103" t="s">
        <v>732</v>
      </c>
    </row>
    <row r="9104" spans="14:14" ht="15" customHeight="1" x14ac:dyDescent="0.25">
      <c r="N9104" t="s">
        <v>732</v>
      </c>
    </row>
    <row r="9105" spans="14:14" ht="15" customHeight="1" x14ac:dyDescent="0.25">
      <c r="N9105" t="s">
        <v>732</v>
      </c>
    </row>
    <row r="9106" spans="14:14" ht="15" customHeight="1" x14ac:dyDescent="0.25">
      <c r="N9106" t="s">
        <v>732</v>
      </c>
    </row>
    <row r="9107" spans="14:14" ht="15" customHeight="1" x14ac:dyDescent="0.25">
      <c r="N9107" t="s">
        <v>732</v>
      </c>
    </row>
    <row r="9108" spans="14:14" ht="15" customHeight="1" x14ac:dyDescent="0.25">
      <c r="N9108" t="s">
        <v>732</v>
      </c>
    </row>
    <row r="9109" spans="14:14" ht="15" customHeight="1" x14ac:dyDescent="0.25">
      <c r="N9109" t="s">
        <v>732</v>
      </c>
    </row>
    <row r="9110" spans="14:14" ht="15" customHeight="1" x14ac:dyDescent="0.25">
      <c r="N9110" t="s">
        <v>732</v>
      </c>
    </row>
    <row r="9111" spans="14:14" ht="15" customHeight="1" x14ac:dyDescent="0.25">
      <c r="N9111" t="s">
        <v>732</v>
      </c>
    </row>
    <row r="9112" spans="14:14" ht="15" customHeight="1" x14ac:dyDescent="0.25">
      <c r="N9112" t="s">
        <v>732</v>
      </c>
    </row>
    <row r="9113" spans="14:14" ht="15" customHeight="1" x14ac:dyDescent="0.25">
      <c r="N9113" t="s">
        <v>732</v>
      </c>
    </row>
    <row r="9114" spans="14:14" ht="15" customHeight="1" x14ac:dyDescent="0.25">
      <c r="N9114" t="s">
        <v>539</v>
      </c>
    </row>
    <row r="9115" spans="14:14" ht="15" customHeight="1" x14ac:dyDescent="0.25">
      <c r="N9115" t="s">
        <v>732</v>
      </c>
    </row>
    <row r="9116" spans="14:14" ht="15" customHeight="1" x14ac:dyDescent="0.25">
      <c r="N9116" t="s">
        <v>670</v>
      </c>
    </row>
    <row r="9117" spans="14:14" ht="15" customHeight="1" x14ac:dyDescent="0.25">
      <c r="N9117" t="s">
        <v>669</v>
      </c>
    </row>
    <row r="9118" spans="14:14" ht="15" customHeight="1" x14ac:dyDescent="0.25">
      <c r="N9118" t="s">
        <v>669</v>
      </c>
    </row>
    <row r="9119" spans="14:14" ht="15" customHeight="1" x14ac:dyDescent="0.25">
      <c r="N9119" t="s">
        <v>669</v>
      </c>
    </row>
    <row r="9120" spans="14:14" ht="15" customHeight="1" x14ac:dyDescent="0.25">
      <c r="N9120" t="s">
        <v>669</v>
      </c>
    </row>
    <row r="9121" spans="14:14" ht="15" customHeight="1" x14ac:dyDescent="0.25">
      <c r="N9121" t="s">
        <v>686</v>
      </c>
    </row>
    <row r="9122" spans="14:14" ht="15" customHeight="1" x14ac:dyDescent="0.25">
      <c r="N9122" t="s">
        <v>670</v>
      </c>
    </row>
    <row r="9123" spans="14:14" ht="15" customHeight="1" x14ac:dyDescent="0.25">
      <c r="N9123" t="s">
        <v>370</v>
      </c>
    </row>
    <row r="9124" spans="14:14" ht="15" customHeight="1" x14ac:dyDescent="0.25">
      <c r="N9124" t="s">
        <v>304</v>
      </c>
    </row>
    <row r="9125" spans="14:14" ht="15" customHeight="1" x14ac:dyDescent="0.25">
      <c r="N9125" t="s">
        <v>669</v>
      </c>
    </row>
    <row r="9126" spans="14:14" ht="15" customHeight="1" x14ac:dyDescent="0.25">
      <c r="N9126" t="s">
        <v>715</v>
      </c>
    </row>
    <row r="9127" spans="14:14" ht="15" customHeight="1" x14ac:dyDescent="0.25">
      <c r="N9127" t="s">
        <v>582</v>
      </c>
    </row>
    <row r="9128" spans="14:14" ht="15" customHeight="1" x14ac:dyDescent="0.25">
      <c r="N9128" t="s">
        <v>714</v>
      </c>
    </row>
    <row r="9129" spans="14:14" ht="15" customHeight="1" x14ac:dyDescent="0.25">
      <c r="N9129" t="s">
        <v>714</v>
      </c>
    </row>
    <row r="9130" spans="14:14" ht="15" customHeight="1" x14ac:dyDescent="0.25">
      <c r="N9130" t="s">
        <v>714</v>
      </c>
    </row>
    <row r="9131" spans="14:14" ht="15" customHeight="1" x14ac:dyDescent="0.25">
      <c r="N9131" t="s">
        <v>714</v>
      </c>
    </row>
    <row r="9132" spans="14:14" ht="15" customHeight="1" x14ac:dyDescent="0.25">
      <c r="N9132" t="s">
        <v>714</v>
      </c>
    </row>
    <row r="9133" spans="14:14" ht="15" customHeight="1" x14ac:dyDescent="0.25">
      <c r="N9133" t="s">
        <v>714</v>
      </c>
    </row>
    <row r="9134" spans="14:14" ht="15" customHeight="1" x14ac:dyDescent="0.25">
      <c r="N9134" t="s">
        <v>714</v>
      </c>
    </row>
    <row r="9135" spans="14:14" ht="15" customHeight="1" x14ac:dyDescent="0.25">
      <c r="N9135" t="s">
        <v>714</v>
      </c>
    </row>
    <row r="9136" spans="14:14" ht="15" customHeight="1" x14ac:dyDescent="0.25">
      <c r="N9136" t="s">
        <v>714</v>
      </c>
    </row>
    <row r="9137" spans="14:14" ht="15" customHeight="1" x14ac:dyDescent="0.25">
      <c r="N9137" t="s">
        <v>732</v>
      </c>
    </row>
    <row r="9138" spans="14:14" ht="15" customHeight="1" x14ac:dyDescent="0.25">
      <c r="N9138" t="s">
        <v>732</v>
      </c>
    </row>
    <row r="9139" spans="14:14" ht="15" customHeight="1" x14ac:dyDescent="0.25">
      <c r="N9139" t="s">
        <v>732</v>
      </c>
    </row>
    <row r="9140" spans="14:14" ht="15" customHeight="1" x14ac:dyDescent="0.25">
      <c r="N9140" t="s">
        <v>732</v>
      </c>
    </row>
    <row r="9141" spans="14:14" ht="15" customHeight="1" x14ac:dyDescent="0.25">
      <c r="N9141" t="s">
        <v>732</v>
      </c>
    </row>
    <row r="9142" spans="14:14" ht="15" customHeight="1" x14ac:dyDescent="0.25">
      <c r="N9142" t="s">
        <v>732</v>
      </c>
    </row>
    <row r="9143" spans="14:14" ht="15" customHeight="1" x14ac:dyDescent="0.25">
      <c r="N9143" t="s">
        <v>732</v>
      </c>
    </row>
    <row r="9144" spans="14:14" ht="15" customHeight="1" x14ac:dyDescent="0.25">
      <c r="N9144" t="s">
        <v>732</v>
      </c>
    </row>
    <row r="9145" spans="14:14" ht="15" customHeight="1" x14ac:dyDescent="0.25">
      <c r="N9145" t="s">
        <v>732</v>
      </c>
    </row>
    <row r="9146" spans="14:14" ht="15" customHeight="1" x14ac:dyDescent="0.25">
      <c r="N9146" t="s">
        <v>732</v>
      </c>
    </row>
    <row r="9147" spans="14:14" ht="15" customHeight="1" x14ac:dyDescent="0.25">
      <c r="N9147" t="s">
        <v>732</v>
      </c>
    </row>
    <row r="9148" spans="14:14" ht="15" customHeight="1" x14ac:dyDescent="0.25">
      <c r="N9148" t="s">
        <v>732</v>
      </c>
    </row>
    <row r="9149" spans="14:14" ht="15" customHeight="1" x14ac:dyDescent="0.25">
      <c r="N9149" t="s">
        <v>732</v>
      </c>
    </row>
    <row r="9150" spans="14:14" ht="15" customHeight="1" x14ac:dyDescent="0.25">
      <c r="N9150" t="s">
        <v>605</v>
      </c>
    </row>
    <row r="9151" spans="14:14" ht="15" customHeight="1" x14ac:dyDescent="0.25">
      <c r="N9151" t="s">
        <v>690</v>
      </c>
    </row>
    <row r="9152" spans="14:14" ht="15" customHeight="1" x14ac:dyDescent="0.25">
      <c r="N9152" t="s">
        <v>714</v>
      </c>
    </row>
    <row r="9153" spans="14:14" ht="15" customHeight="1" x14ac:dyDescent="0.25">
      <c r="N9153" t="s">
        <v>642</v>
      </c>
    </row>
    <row r="9154" spans="14:14" ht="15" customHeight="1" x14ac:dyDescent="0.25">
      <c r="N9154" t="s">
        <v>642</v>
      </c>
    </row>
    <row r="9155" spans="14:14" ht="15" customHeight="1" x14ac:dyDescent="0.25">
      <c r="N9155" t="s">
        <v>642</v>
      </c>
    </row>
    <row r="9156" spans="14:14" ht="15" customHeight="1" x14ac:dyDescent="0.25">
      <c r="N9156" t="s">
        <v>642</v>
      </c>
    </row>
    <row r="9157" spans="14:14" ht="15" customHeight="1" x14ac:dyDescent="0.25">
      <c r="N9157" t="s">
        <v>642</v>
      </c>
    </row>
    <row r="9158" spans="14:14" ht="15" customHeight="1" x14ac:dyDescent="0.25">
      <c r="N9158" t="s">
        <v>642</v>
      </c>
    </row>
    <row r="9159" spans="14:14" ht="15" customHeight="1" x14ac:dyDescent="0.25">
      <c r="N9159" t="s">
        <v>642</v>
      </c>
    </row>
    <row r="9160" spans="14:14" ht="15" customHeight="1" x14ac:dyDescent="0.25">
      <c r="N9160" t="s">
        <v>304</v>
      </c>
    </row>
    <row r="9161" spans="14:14" ht="15" customHeight="1" x14ac:dyDescent="0.25">
      <c r="N9161" t="s">
        <v>582</v>
      </c>
    </row>
    <row r="9162" spans="14:14" ht="15" customHeight="1" x14ac:dyDescent="0.25">
      <c r="N9162" t="s">
        <v>582</v>
      </c>
    </row>
    <row r="9163" spans="14:14" ht="15" customHeight="1" x14ac:dyDescent="0.25">
      <c r="N9163" t="s">
        <v>582</v>
      </c>
    </row>
    <row r="9164" spans="14:14" ht="15" customHeight="1" x14ac:dyDescent="0.25">
      <c r="N9164" t="s">
        <v>582</v>
      </c>
    </row>
    <row r="9165" spans="14:14" ht="15" customHeight="1" x14ac:dyDescent="0.25">
      <c r="N9165" t="s">
        <v>582</v>
      </c>
    </row>
    <row r="9166" spans="14:14" ht="15" customHeight="1" x14ac:dyDescent="0.25">
      <c r="N9166" t="s">
        <v>582</v>
      </c>
    </row>
    <row r="9167" spans="14:14" ht="15" customHeight="1" x14ac:dyDescent="0.25">
      <c r="N9167" t="s">
        <v>582</v>
      </c>
    </row>
    <row r="9168" spans="14:14" ht="15" customHeight="1" x14ac:dyDescent="0.25">
      <c r="N9168" t="s">
        <v>684</v>
      </c>
    </row>
    <row r="9169" spans="14:14" ht="15" customHeight="1" x14ac:dyDescent="0.25">
      <c r="N9169" t="s">
        <v>714</v>
      </c>
    </row>
    <row r="9170" spans="14:14" ht="15" customHeight="1" x14ac:dyDescent="0.25">
      <c r="N9170" t="s">
        <v>687</v>
      </c>
    </row>
    <row r="9171" spans="14:14" ht="15" customHeight="1" x14ac:dyDescent="0.25">
      <c r="N9171" t="s">
        <v>638</v>
      </c>
    </row>
    <row r="9172" spans="14:14" ht="15" customHeight="1" x14ac:dyDescent="0.25">
      <c r="N9172" t="s">
        <v>642</v>
      </c>
    </row>
    <row r="9173" spans="14:14" ht="15" customHeight="1" x14ac:dyDescent="0.25">
      <c r="N9173" t="s">
        <v>732</v>
      </c>
    </row>
    <row r="9174" spans="14:14" ht="15" customHeight="1" x14ac:dyDescent="0.25">
      <c r="N9174" t="s">
        <v>714</v>
      </c>
    </row>
    <row r="9175" spans="14:14" ht="15" customHeight="1" x14ac:dyDescent="0.25">
      <c r="N9175" t="s">
        <v>638</v>
      </c>
    </row>
    <row r="9176" spans="14:14" ht="15" customHeight="1" x14ac:dyDescent="0.25">
      <c r="N9176" t="s">
        <v>714</v>
      </c>
    </row>
    <row r="9177" spans="14:14" ht="15" customHeight="1" x14ac:dyDescent="0.25">
      <c r="N9177" t="s">
        <v>638</v>
      </c>
    </row>
    <row r="9178" spans="14:14" ht="15" customHeight="1" x14ac:dyDescent="0.25">
      <c r="N9178" t="s">
        <v>689</v>
      </c>
    </row>
    <row r="9179" spans="14:14" ht="15" customHeight="1" x14ac:dyDescent="0.25">
      <c r="N9179" t="s">
        <v>706</v>
      </c>
    </row>
    <row r="9180" spans="14:14" ht="15" customHeight="1" x14ac:dyDescent="0.25">
      <c r="N9180" t="s">
        <v>706</v>
      </c>
    </row>
    <row r="9181" spans="14:14" ht="15" customHeight="1" x14ac:dyDescent="0.25">
      <c r="N9181" t="s">
        <v>706</v>
      </c>
    </row>
    <row r="9182" spans="14:14" ht="15" customHeight="1" x14ac:dyDescent="0.25">
      <c r="N9182" t="s">
        <v>706</v>
      </c>
    </row>
    <row r="9183" spans="14:14" ht="15" customHeight="1" x14ac:dyDescent="0.25">
      <c r="N9183" t="s">
        <v>706</v>
      </c>
    </row>
    <row r="9184" spans="14:14" ht="15" customHeight="1" x14ac:dyDescent="0.25">
      <c r="N9184" t="s">
        <v>706</v>
      </c>
    </row>
    <row r="9185" spans="14:14" ht="15" customHeight="1" x14ac:dyDescent="0.25">
      <c r="N9185" t="s">
        <v>706</v>
      </c>
    </row>
    <row r="9186" spans="14:14" ht="15" customHeight="1" x14ac:dyDescent="0.25">
      <c r="N9186" t="s">
        <v>706</v>
      </c>
    </row>
    <row r="9187" spans="14:14" ht="15" customHeight="1" x14ac:dyDescent="0.25">
      <c r="N9187" t="s">
        <v>706</v>
      </c>
    </row>
    <row r="9188" spans="14:14" ht="15" customHeight="1" x14ac:dyDescent="0.25">
      <c r="N9188" t="s">
        <v>706</v>
      </c>
    </row>
    <row r="9189" spans="14:14" ht="15" customHeight="1" x14ac:dyDescent="0.25">
      <c r="N9189" t="s">
        <v>706</v>
      </c>
    </row>
    <row r="9190" spans="14:14" ht="15" customHeight="1" x14ac:dyDescent="0.25">
      <c r="N9190" t="s">
        <v>706</v>
      </c>
    </row>
    <row r="9191" spans="14:14" ht="15" customHeight="1" x14ac:dyDescent="0.25">
      <c r="N9191" t="s">
        <v>706</v>
      </c>
    </row>
    <row r="9192" spans="14:14" ht="15" customHeight="1" x14ac:dyDescent="0.25">
      <c r="N9192" t="s">
        <v>68</v>
      </c>
    </row>
    <row r="9193" spans="14:14" ht="15" customHeight="1" x14ac:dyDescent="0.25">
      <c r="N9193" t="s">
        <v>68</v>
      </c>
    </row>
    <row r="9194" spans="14:14" ht="15" customHeight="1" x14ac:dyDescent="0.25">
      <c r="N9194" t="s">
        <v>68</v>
      </c>
    </row>
    <row r="9195" spans="14:14" ht="15" customHeight="1" x14ac:dyDescent="0.25">
      <c r="N9195" t="s">
        <v>68</v>
      </c>
    </row>
    <row r="9196" spans="14:14" ht="15" customHeight="1" x14ac:dyDescent="0.25">
      <c r="N9196" t="s">
        <v>68</v>
      </c>
    </row>
    <row r="9197" spans="14:14" ht="15" customHeight="1" x14ac:dyDescent="0.25">
      <c r="N9197" t="s">
        <v>68</v>
      </c>
    </row>
    <row r="9198" spans="14:14" ht="15" customHeight="1" x14ac:dyDescent="0.25">
      <c r="N9198" t="s">
        <v>68</v>
      </c>
    </row>
    <row r="9199" spans="14:14" ht="15" customHeight="1" x14ac:dyDescent="0.25">
      <c r="N9199" t="s">
        <v>68</v>
      </c>
    </row>
    <row r="9200" spans="14:14" ht="15" customHeight="1" x14ac:dyDescent="0.25">
      <c r="N9200" t="s">
        <v>68</v>
      </c>
    </row>
    <row r="9201" spans="14:14" ht="15" customHeight="1" x14ac:dyDescent="0.25">
      <c r="N9201" t="s">
        <v>68</v>
      </c>
    </row>
    <row r="9202" spans="14:14" ht="15" customHeight="1" x14ac:dyDescent="0.25">
      <c r="N9202" t="s">
        <v>68</v>
      </c>
    </row>
    <row r="9203" spans="14:14" ht="15" customHeight="1" x14ac:dyDescent="0.25">
      <c r="N9203" t="s">
        <v>68</v>
      </c>
    </row>
    <row r="9204" spans="14:14" ht="15" customHeight="1" x14ac:dyDescent="0.25">
      <c r="N9204" t="s">
        <v>68</v>
      </c>
    </row>
    <row r="9205" spans="14:14" ht="15" customHeight="1" x14ac:dyDescent="0.25">
      <c r="N9205" t="s">
        <v>68</v>
      </c>
    </row>
    <row r="9206" spans="14:14" ht="15" customHeight="1" x14ac:dyDescent="0.25">
      <c r="N9206" t="s">
        <v>68</v>
      </c>
    </row>
    <row r="9207" spans="14:14" ht="15" customHeight="1" x14ac:dyDescent="0.25">
      <c r="N9207" t="s">
        <v>582</v>
      </c>
    </row>
    <row r="9208" spans="14:14" ht="15" customHeight="1" x14ac:dyDescent="0.25">
      <c r="N9208" t="s">
        <v>622</v>
      </c>
    </row>
    <row r="9209" spans="14:14" ht="15" customHeight="1" x14ac:dyDescent="0.25">
      <c r="N9209" t="s">
        <v>675</v>
      </c>
    </row>
    <row r="9210" spans="14:14" ht="15" customHeight="1" x14ac:dyDescent="0.25">
      <c r="N9210" t="s">
        <v>675</v>
      </c>
    </row>
    <row r="9211" spans="14:14" ht="15" customHeight="1" x14ac:dyDescent="0.25">
      <c r="N9211" t="s">
        <v>675</v>
      </c>
    </row>
    <row r="9212" spans="14:14" ht="15" customHeight="1" x14ac:dyDescent="0.25">
      <c r="N9212" t="s">
        <v>675</v>
      </c>
    </row>
    <row r="9213" spans="14:14" ht="15" customHeight="1" x14ac:dyDescent="0.25">
      <c r="N9213" t="s">
        <v>675</v>
      </c>
    </row>
    <row r="9214" spans="14:14" ht="15" customHeight="1" x14ac:dyDescent="0.25">
      <c r="N9214" t="s">
        <v>675</v>
      </c>
    </row>
    <row r="9215" spans="14:14" ht="15" customHeight="1" x14ac:dyDescent="0.25">
      <c r="N9215" t="s">
        <v>675</v>
      </c>
    </row>
    <row r="9216" spans="14:14" ht="15" customHeight="1" x14ac:dyDescent="0.25">
      <c r="N9216" t="s">
        <v>675</v>
      </c>
    </row>
    <row r="9217" spans="14:14" ht="15" customHeight="1" x14ac:dyDescent="0.25">
      <c r="N9217" t="s">
        <v>736</v>
      </c>
    </row>
    <row r="9218" spans="14:14" ht="15" customHeight="1" x14ac:dyDescent="0.25">
      <c r="N9218" t="s">
        <v>749</v>
      </c>
    </row>
    <row r="9219" spans="14:14" ht="15" customHeight="1" x14ac:dyDescent="0.25">
      <c r="N9219" t="s">
        <v>749</v>
      </c>
    </row>
    <row r="9220" spans="14:14" ht="15" customHeight="1" x14ac:dyDescent="0.25">
      <c r="N9220" t="s">
        <v>749</v>
      </c>
    </row>
    <row r="9221" spans="14:14" ht="15" customHeight="1" x14ac:dyDescent="0.25">
      <c r="N9221" t="s">
        <v>749</v>
      </c>
    </row>
    <row r="9222" spans="14:14" ht="15" customHeight="1" x14ac:dyDescent="0.25">
      <c r="N9222" t="s">
        <v>749</v>
      </c>
    </row>
    <row r="9223" spans="14:14" ht="15" customHeight="1" x14ac:dyDescent="0.25">
      <c r="N9223" t="s">
        <v>749</v>
      </c>
    </row>
    <row r="9224" spans="14:14" ht="15" customHeight="1" x14ac:dyDescent="0.25">
      <c r="N9224" t="s">
        <v>749</v>
      </c>
    </row>
    <row r="9225" spans="14:14" ht="15" customHeight="1" x14ac:dyDescent="0.25">
      <c r="N9225" t="s">
        <v>749</v>
      </c>
    </row>
    <row r="9226" spans="14:14" ht="15" customHeight="1" x14ac:dyDescent="0.25">
      <c r="N9226" t="s">
        <v>749</v>
      </c>
    </row>
    <row r="9227" spans="14:14" ht="15" customHeight="1" x14ac:dyDescent="0.25">
      <c r="N9227" t="s">
        <v>749</v>
      </c>
    </row>
    <row r="9228" spans="14:14" ht="15" customHeight="1" x14ac:dyDescent="0.25">
      <c r="N9228" t="s">
        <v>749</v>
      </c>
    </row>
    <row r="9229" spans="14:14" ht="15" customHeight="1" x14ac:dyDescent="0.25">
      <c r="N9229" t="s">
        <v>749</v>
      </c>
    </row>
    <row r="9230" spans="14:14" ht="15" customHeight="1" x14ac:dyDescent="0.25">
      <c r="N9230" t="s">
        <v>749</v>
      </c>
    </row>
    <row r="9231" spans="14:14" ht="15" customHeight="1" x14ac:dyDescent="0.25">
      <c r="N9231" t="s">
        <v>749</v>
      </c>
    </row>
    <row r="9232" spans="14:14" ht="15" customHeight="1" x14ac:dyDescent="0.25">
      <c r="N9232" t="s">
        <v>749</v>
      </c>
    </row>
    <row r="9233" spans="14:14" ht="15" customHeight="1" x14ac:dyDescent="0.25">
      <c r="N9233" t="s">
        <v>749</v>
      </c>
    </row>
    <row r="9234" spans="14:14" ht="15" customHeight="1" x14ac:dyDescent="0.25">
      <c r="N9234" t="s">
        <v>749</v>
      </c>
    </row>
    <row r="9235" spans="14:14" ht="15" customHeight="1" x14ac:dyDescent="0.25">
      <c r="N9235" t="s">
        <v>749</v>
      </c>
    </row>
    <row r="9236" spans="14:14" ht="15" customHeight="1" x14ac:dyDescent="0.25">
      <c r="N9236" t="s">
        <v>749</v>
      </c>
    </row>
    <row r="9237" spans="14:14" ht="15" customHeight="1" x14ac:dyDescent="0.25">
      <c r="N9237" t="s">
        <v>749</v>
      </c>
    </row>
    <row r="9238" spans="14:14" ht="15" customHeight="1" x14ac:dyDescent="0.25">
      <c r="N9238" t="s">
        <v>749</v>
      </c>
    </row>
    <row r="9239" spans="14:14" ht="15" customHeight="1" x14ac:dyDescent="0.25">
      <c r="N9239" t="s">
        <v>749</v>
      </c>
    </row>
    <row r="9240" spans="14:14" ht="15" customHeight="1" x14ac:dyDescent="0.25">
      <c r="N9240" t="s">
        <v>749</v>
      </c>
    </row>
    <row r="9241" spans="14:14" ht="15" customHeight="1" x14ac:dyDescent="0.25">
      <c r="N9241" t="s">
        <v>749</v>
      </c>
    </row>
    <row r="9242" spans="14:14" ht="15" customHeight="1" x14ac:dyDescent="0.25">
      <c r="N9242" t="s">
        <v>749</v>
      </c>
    </row>
    <row r="9243" spans="14:14" ht="15" customHeight="1" x14ac:dyDescent="0.25">
      <c r="N9243" t="s">
        <v>749</v>
      </c>
    </row>
    <row r="9244" spans="14:14" ht="15" customHeight="1" x14ac:dyDescent="0.25">
      <c r="N9244" t="s">
        <v>749</v>
      </c>
    </row>
    <row r="9245" spans="14:14" ht="15" customHeight="1" x14ac:dyDescent="0.25">
      <c r="N9245" t="s">
        <v>732</v>
      </c>
    </row>
    <row r="9246" spans="14:14" ht="15" customHeight="1" x14ac:dyDescent="0.25">
      <c r="N9246" t="s">
        <v>496</v>
      </c>
    </row>
    <row r="9247" spans="14:14" ht="15" customHeight="1" x14ac:dyDescent="0.25">
      <c r="N9247" t="s">
        <v>715</v>
      </c>
    </row>
    <row r="9248" spans="14:14" ht="15" customHeight="1" x14ac:dyDescent="0.25">
      <c r="N9248" t="s">
        <v>715</v>
      </c>
    </row>
    <row r="9249" spans="14:14" ht="15" customHeight="1" x14ac:dyDescent="0.25">
      <c r="N9249" t="s">
        <v>715</v>
      </c>
    </row>
    <row r="9250" spans="14:14" ht="15" customHeight="1" x14ac:dyDescent="0.25">
      <c r="N9250" t="s">
        <v>715</v>
      </c>
    </row>
    <row r="9251" spans="14:14" ht="15" customHeight="1" x14ac:dyDescent="0.25">
      <c r="N9251" t="s">
        <v>706</v>
      </c>
    </row>
    <row r="9252" spans="14:14" ht="15" customHeight="1" x14ac:dyDescent="0.25">
      <c r="N9252" t="s">
        <v>706</v>
      </c>
    </row>
    <row r="9253" spans="14:14" ht="15" customHeight="1" x14ac:dyDescent="0.25">
      <c r="N9253" t="s">
        <v>706</v>
      </c>
    </row>
    <row r="9254" spans="14:14" ht="15" customHeight="1" x14ac:dyDescent="0.25">
      <c r="N9254" t="s">
        <v>706</v>
      </c>
    </row>
    <row r="9255" spans="14:14" ht="15" customHeight="1" x14ac:dyDescent="0.25">
      <c r="N9255" t="s">
        <v>706</v>
      </c>
    </row>
    <row r="9256" spans="14:14" ht="15" customHeight="1" x14ac:dyDescent="0.25">
      <c r="N9256" t="s">
        <v>706</v>
      </c>
    </row>
    <row r="9257" spans="14:14" ht="15" customHeight="1" x14ac:dyDescent="0.25">
      <c r="N9257" t="s">
        <v>706</v>
      </c>
    </row>
    <row r="9258" spans="14:14" ht="15" customHeight="1" x14ac:dyDescent="0.25">
      <c r="N9258" t="s">
        <v>706</v>
      </c>
    </row>
    <row r="9259" spans="14:14" ht="15" customHeight="1" x14ac:dyDescent="0.25">
      <c r="N9259" t="s">
        <v>706</v>
      </c>
    </row>
    <row r="9260" spans="14:14" ht="15" customHeight="1" x14ac:dyDescent="0.25">
      <c r="N9260" t="s">
        <v>706</v>
      </c>
    </row>
    <row r="9261" spans="14:14" ht="15" customHeight="1" x14ac:dyDescent="0.25">
      <c r="N9261" t="s">
        <v>706</v>
      </c>
    </row>
    <row r="9262" spans="14:14" ht="15" customHeight="1" x14ac:dyDescent="0.25">
      <c r="N9262" t="s">
        <v>706</v>
      </c>
    </row>
    <row r="9263" spans="14:14" ht="15" customHeight="1" x14ac:dyDescent="0.25">
      <c r="N9263" t="s">
        <v>706</v>
      </c>
    </row>
    <row r="9264" spans="14:14" ht="15" customHeight="1" x14ac:dyDescent="0.25">
      <c r="N9264" t="s">
        <v>582</v>
      </c>
    </row>
    <row r="9265" spans="14:14" ht="15" customHeight="1" x14ac:dyDescent="0.25">
      <c r="N9265" t="s">
        <v>750</v>
      </c>
    </row>
    <row r="9266" spans="14:14" ht="15" customHeight="1" x14ac:dyDescent="0.25">
      <c r="N9266" t="s">
        <v>750</v>
      </c>
    </row>
    <row r="9267" spans="14:14" ht="15" customHeight="1" x14ac:dyDescent="0.25">
      <c r="N9267" t="s">
        <v>750</v>
      </c>
    </row>
    <row r="9268" spans="14:14" ht="15" customHeight="1" x14ac:dyDescent="0.25">
      <c r="N9268" t="s">
        <v>750</v>
      </c>
    </row>
    <row r="9269" spans="14:14" ht="15" customHeight="1" x14ac:dyDescent="0.25">
      <c r="N9269" t="s">
        <v>750</v>
      </c>
    </row>
    <row r="9270" spans="14:14" ht="15" customHeight="1" x14ac:dyDescent="0.25">
      <c r="N9270" t="s">
        <v>750</v>
      </c>
    </row>
    <row r="9271" spans="14:14" ht="15" customHeight="1" x14ac:dyDescent="0.25">
      <c r="N9271" t="s">
        <v>750</v>
      </c>
    </row>
    <row r="9272" spans="14:14" ht="15" customHeight="1" x14ac:dyDescent="0.25">
      <c r="N9272" t="s">
        <v>750</v>
      </c>
    </row>
    <row r="9273" spans="14:14" ht="15" customHeight="1" x14ac:dyDescent="0.25">
      <c r="N9273" t="s">
        <v>750</v>
      </c>
    </row>
    <row r="9274" spans="14:14" ht="15" customHeight="1" x14ac:dyDescent="0.25">
      <c r="N9274" t="s">
        <v>750</v>
      </c>
    </row>
    <row r="9275" spans="14:14" ht="15" customHeight="1" x14ac:dyDescent="0.25">
      <c r="N9275" t="s">
        <v>750</v>
      </c>
    </row>
    <row r="9276" spans="14:14" ht="15" customHeight="1" x14ac:dyDescent="0.25">
      <c r="N9276" t="s">
        <v>750</v>
      </c>
    </row>
    <row r="9277" spans="14:14" ht="15" customHeight="1" x14ac:dyDescent="0.25">
      <c r="N9277" t="s">
        <v>750</v>
      </c>
    </row>
    <row r="9278" spans="14:14" ht="15" customHeight="1" x14ac:dyDescent="0.25">
      <c r="N9278" t="s">
        <v>750</v>
      </c>
    </row>
    <row r="9279" spans="14:14" ht="15" customHeight="1" x14ac:dyDescent="0.25">
      <c r="N9279" t="s">
        <v>750</v>
      </c>
    </row>
    <row r="9280" spans="14:14" ht="15" customHeight="1" x14ac:dyDescent="0.25">
      <c r="N9280" t="s">
        <v>750</v>
      </c>
    </row>
    <row r="9281" spans="14:14" ht="15" customHeight="1" x14ac:dyDescent="0.25">
      <c r="N9281" t="s">
        <v>750</v>
      </c>
    </row>
    <row r="9282" spans="14:14" ht="15" customHeight="1" x14ac:dyDescent="0.25">
      <c r="N9282" t="s">
        <v>750</v>
      </c>
    </row>
    <row r="9283" spans="14:14" ht="15" customHeight="1" x14ac:dyDescent="0.25">
      <c r="N9283" t="s">
        <v>750</v>
      </c>
    </row>
    <row r="9284" spans="14:14" ht="15" customHeight="1" x14ac:dyDescent="0.25">
      <c r="N9284" t="s">
        <v>750</v>
      </c>
    </row>
    <row r="9285" spans="14:14" ht="15" customHeight="1" x14ac:dyDescent="0.25">
      <c r="N9285" t="s">
        <v>750</v>
      </c>
    </row>
    <row r="9286" spans="14:14" ht="15" customHeight="1" x14ac:dyDescent="0.25">
      <c r="N9286" t="s">
        <v>750</v>
      </c>
    </row>
    <row r="9287" spans="14:14" ht="15" customHeight="1" x14ac:dyDescent="0.25">
      <c r="N9287" t="s">
        <v>750</v>
      </c>
    </row>
    <row r="9288" spans="14:14" ht="15" customHeight="1" x14ac:dyDescent="0.25">
      <c r="N9288" t="s">
        <v>750</v>
      </c>
    </row>
    <row r="9289" spans="14:14" ht="15" customHeight="1" x14ac:dyDescent="0.25">
      <c r="N9289" t="s">
        <v>750</v>
      </c>
    </row>
    <row r="9290" spans="14:14" ht="15" customHeight="1" x14ac:dyDescent="0.25">
      <c r="N9290" t="s">
        <v>750</v>
      </c>
    </row>
    <row r="9291" spans="14:14" ht="15" customHeight="1" x14ac:dyDescent="0.25">
      <c r="N9291" t="s">
        <v>824</v>
      </c>
    </row>
    <row r="9292" spans="14:14" ht="15" customHeight="1" x14ac:dyDescent="0.25">
      <c r="N9292" t="s">
        <v>824</v>
      </c>
    </row>
    <row r="9293" spans="14:14" ht="15" customHeight="1" x14ac:dyDescent="0.25">
      <c r="N9293" t="s">
        <v>750</v>
      </c>
    </row>
    <row r="9294" spans="14:14" ht="15" customHeight="1" x14ac:dyDescent="0.25">
      <c r="N9294" t="s">
        <v>689</v>
      </c>
    </row>
    <row r="9295" spans="14:14" ht="15" customHeight="1" x14ac:dyDescent="0.25">
      <c r="N9295" t="s">
        <v>715</v>
      </c>
    </row>
    <row r="9296" spans="14:14" ht="15" customHeight="1" x14ac:dyDescent="0.25">
      <c r="N9296" t="s">
        <v>715</v>
      </c>
    </row>
    <row r="9297" spans="14:14" ht="15" customHeight="1" x14ac:dyDescent="0.25">
      <c r="N9297" t="s">
        <v>715</v>
      </c>
    </row>
    <row r="9298" spans="14:14" ht="15" customHeight="1" x14ac:dyDescent="0.25">
      <c r="N9298" t="s">
        <v>715</v>
      </c>
    </row>
    <row r="9299" spans="14:14" ht="15" customHeight="1" x14ac:dyDescent="0.25">
      <c r="N9299" t="s">
        <v>751</v>
      </c>
    </row>
    <row r="9300" spans="14:14" ht="15" customHeight="1" x14ac:dyDescent="0.25">
      <c r="N9300" t="s">
        <v>751</v>
      </c>
    </row>
    <row r="9301" spans="14:14" ht="15" customHeight="1" x14ac:dyDescent="0.25">
      <c r="N9301" t="s">
        <v>751</v>
      </c>
    </row>
    <row r="9302" spans="14:14" ht="15" customHeight="1" x14ac:dyDescent="0.25">
      <c r="N9302" t="s">
        <v>751</v>
      </c>
    </row>
    <row r="9303" spans="14:14" ht="15" customHeight="1" x14ac:dyDescent="0.25">
      <c r="N9303" t="s">
        <v>751</v>
      </c>
    </row>
    <row r="9304" spans="14:14" ht="15" customHeight="1" x14ac:dyDescent="0.25">
      <c r="N9304" t="s">
        <v>751</v>
      </c>
    </row>
    <row r="9305" spans="14:14" ht="15" customHeight="1" x14ac:dyDescent="0.25">
      <c r="N9305" t="s">
        <v>751</v>
      </c>
    </row>
    <row r="9306" spans="14:14" ht="15" customHeight="1" x14ac:dyDescent="0.25">
      <c r="N9306" t="s">
        <v>751</v>
      </c>
    </row>
    <row r="9307" spans="14:14" ht="15" customHeight="1" x14ac:dyDescent="0.25">
      <c r="N9307" t="s">
        <v>751</v>
      </c>
    </row>
    <row r="9308" spans="14:14" ht="15" customHeight="1" x14ac:dyDescent="0.25">
      <c r="N9308" t="s">
        <v>751</v>
      </c>
    </row>
    <row r="9309" spans="14:14" ht="15" customHeight="1" x14ac:dyDescent="0.25">
      <c r="N9309" t="s">
        <v>751</v>
      </c>
    </row>
    <row r="9310" spans="14:14" ht="15" customHeight="1" x14ac:dyDescent="0.25">
      <c r="N9310" t="s">
        <v>751</v>
      </c>
    </row>
    <row r="9311" spans="14:14" ht="15" customHeight="1" x14ac:dyDescent="0.25">
      <c r="N9311" t="s">
        <v>751</v>
      </c>
    </row>
    <row r="9312" spans="14:14" ht="15" customHeight="1" x14ac:dyDescent="0.25">
      <c r="N9312" t="s">
        <v>751</v>
      </c>
    </row>
    <row r="9313" spans="14:14" ht="15" customHeight="1" x14ac:dyDescent="0.25">
      <c r="N9313" t="s">
        <v>751</v>
      </c>
    </row>
    <row r="9314" spans="14:14" ht="15" customHeight="1" x14ac:dyDescent="0.25">
      <c r="N9314" t="s">
        <v>751</v>
      </c>
    </row>
    <row r="9315" spans="14:14" ht="15" customHeight="1" x14ac:dyDescent="0.25">
      <c r="N9315" t="s">
        <v>751</v>
      </c>
    </row>
    <row r="9316" spans="14:14" ht="15" customHeight="1" x14ac:dyDescent="0.25">
      <c r="N9316" t="s">
        <v>751</v>
      </c>
    </row>
    <row r="9317" spans="14:14" ht="15" customHeight="1" x14ac:dyDescent="0.25">
      <c r="N9317" t="s">
        <v>751</v>
      </c>
    </row>
    <row r="9318" spans="14:14" ht="15" customHeight="1" x14ac:dyDescent="0.25">
      <c r="N9318" t="s">
        <v>751</v>
      </c>
    </row>
    <row r="9319" spans="14:14" ht="15" customHeight="1" x14ac:dyDescent="0.25">
      <c r="N9319" t="s">
        <v>751</v>
      </c>
    </row>
    <row r="9320" spans="14:14" ht="15" customHeight="1" x14ac:dyDescent="0.25">
      <c r="N9320" t="s">
        <v>751</v>
      </c>
    </row>
    <row r="9321" spans="14:14" ht="15" customHeight="1" x14ac:dyDescent="0.25">
      <c r="N9321" t="s">
        <v>751</v>
      </c>
    </row>
    <row r="9322" spans="14:14" ht="15" customHeight="1" x14ac:dyDescent="0.25">
      <c r="N9322" t="s">
        <v>751</v>
      </c>
    </row>
    <row r="9323" spans="14:14" ht="15" customHeight="1" x14ac:dyDescent="0.25">
      <c r="N9323" t="s">
        <v>751</v>
      </c>
    </row>
    <row r="9324" spans="14:14" ht="15" customHeight="1" x14ac:dyDescent="0.25">
      <c r="N9324" t="s">
        <v>751</v>
      </c>
    </row>
    <row r="9325" spans="14:14" ht="15" customHeight="1" x14ac:dyDescent="0.25">
      <c r="N9325" t="s">
        <v>824</v>
      </c>
    </row>
    <row r="9326" spans="14:14" ht="15" customHeight="1" x14ac:dyDescent="0.25">
      <c r="N9326" t="s">
        <v>751</v>
      </c>
    </row>
    <row r="9327" spans="14:14" ht="15" customHeight="1" x14ac:dyDescent="0.25">
      <c r="N9327" t="s">
        <v>68</v>
      </c>
    </row>
    <row r="9328" spans="14:14" ht="15" customHeight="1" x14ac:dyDescent="0.25">
      <c r="N9328" t="s">
        <v>675</v>
      </c>
    </row>
    <row r="9329" spans="14:14" ht="15" customHeight="1" x14ac:dyDescent="0.25">
      <c r="N9329" t="s">
        <v>675</v>
      </c>
    </row>
    <row r="9330" spans="14:14" ht="15" customHeight="1" x14ac:dyDescent="0.25">
      <c r="N9330" t="s">
        <v>675</v>
      </c>
    </row>
    <row r="9331" spans="14:14" ht="15" customHeight="1" x14ac:dyDescent="0.25">
      <c r="N9331" t="s">
        <v>675</v>
      </c>
    </row>
    <row r="9332" spans="14:14" ht="15" customHeight="1" x14ac:dyDescent="0.25">
      <c r="N9332" t="s">
        <v>675</v>
      </c>
    </row>
    <row r="9333" spans="14:14" ht="15" customHeight="1" x14ac:dyDescent="0.25">
      <c r="N9333" t="s">
        <v>675</v>
      </c>
    </row>
    <row r="9334" spans="14:14" ht="15" customHeight="1" x14ac:dyDescent="0.25">
      <c r="N9334" t="s">
        <v>675</v>
      </c>
    </row>
    <row r="9335" spans="14:14" ht="15" customHeight="1" x14ac:dyDescent="0.25">
      <c r="N9335" t="s">
        <v>675</v>
      </c>
    </row>
    <row r="9336" spans="14:14" ht="15" customHeight="1" x14ac:dyDescent="0.25">
      <c r="N9336" t="s">
        <v>706</v>
      </c>
    </row>
    <row r="9337" spans="14:14" ht="15" customHeight="1" x14ac:dyDescent="0.25">
      <c r="N9337" t="s">
        <v>706</v>
      </c>
    </row>
    <row r="9338" spans="14:14" ht="15" customHeight="1" x14ac:dyDescent="0.25">
      <c r="N9338" t="s">
        <v>706</v>
      </c>
    </row>
    <row r="9339" spans="14:14" ht="15" customHeight="1" x14ac:dyDescent="0.25">
      <c r="N9339" t="s">
        <v>706</v>
      </c>
    </row>
    <row r="9340" spans="14:14" ht="15" customHeight="1" x14ac:dyDescent="0.25">
      <c r="N9340" t="s">
        <v>706</v>
      </c>
    </row>
    <row r="9341" spans="14:14" ht="15" customHeight="1" x14ac:dyDescent="0.25">
      <c r="N9341" t="s">
        <v>706</v>
      </c>
    </row>
    <row r="9342" spans="14:14" ht="15" customHeight="1" x14ac:dyDescent="0.25">
      <c r="N9342" t="s">
        <v>706</v>
      </c>
    </row>
    <row r="9343" spans="14:14" ht="15" customHeight="1" x14ac:dyDescent="0.25">
      <c r="N9343" t="s">
        <v>706</v>
      </c>
    </row>
    <row r="9344" spans="14:14" ht="15" customHeight="1" x14ac:dyDescent="0.25">
      <c r="N9344" t="s">
        <v>706</v>
      </c>
    </row>
    <row r="9345" spans="14:14" ht="15" customHeight="1" x14ac:dyDescent="0.25">
      <c r="N9345" t="s">
        <v>706</v>
      </c>
    </row>
    <row r="9346" spans="14:14" ht="15" customHeight="1" x14ac:dyDescent="0.25">
      <c r="N9346" t="s">
        <v>706</v>
      </c>
    </row>
    <row r="9347" spans="14:14" ht="15" customHeight="1" x14ac:dyDescent="0.25">
      <c r="N9347" t="s">
        <v>706</v>
      </c>
    </row>
    <row r="9348" spans="14:14" ht="15" customHeight="1" x14ac:dyDescent="0.25">
      <c r="N9348" t="s">
        <v>706</v>
      </c>
    </row>
    <row r="9349" spans="14:14" ht="15" customHeight="1" x14ac:dyDescent="0.25">
      <c r="N9349" t="s">
        <v>313</v>
      </c>
    </row>
    <row r="9350" spans="14:14" ht="15" customHeight="1" x14ac:dyDescent="0.25">
      <c r="N9350" t="s">
        <v>313</v>
      </c>
    </row>
    <row r="9351" spans="14:14" ht="15" customHeight="1" x14ac:dyDescent="0.25">
      <c r="N9351" t="s">
        <v>313</v>
      </c>
    </row>
    <row r="9352" spans="14:14" ht="15" customHeight="1" x14ac:dyDescent="0.25">
      <c r="N9352" t="s">
        <v>313</v>
      </c>
    </row>
    <row r="9353" spans="14:14" ht="15" customHeight="1" x14ac:dyDescent="0.25">
      <c r="N9353" t="s">
        <v>313</v>
      </c>
    </row>
    <row r="9354" spans="14:14" ht="15" customHeight="1" x14ac:dyDescent="0.25">
      <c r="N9354" t="s">
        <v>313</v>
      </c>
    </row>
    <row r="9355" spans="14:14" ht="15" customHeight="1" x14ac:dyDescent="0.25">
      <c r="N9355" t="s">
        <v>313</v>
      </c>
    </row>
    <row r="9356" spans="14:14" ht="15" customHeight="1" x14ac:dyDescent="0.25">
      <c r="N9356" t="s">
        <v>68</v>
      </c>
    </row>
    <row r="9357" spans="14:14" ht="15" customHeight="1" x14ac:dyDescent="0.25">
      <c r="N9357" t="s">
        <v>68</v>
      </c>
    </row>
    <row r="9358" spans="14:14" ht="15" customHeight="1" x14ac:dyDescent="0.25">
      <c r="N9358" t="s">
        <v>68</v>
      </c>
    </row>
    <row r="9359" spans="14:14" ht="15" customHeight="1" x14ac:dyDescent="0.25">
      <c r="N9359" t="s">
        <v>68</v>
      </c>
    </row>
    <row r="9360" spans="14:14" ht="15" customHeight="1" x14ac:dyDescent="0.25">
      <c r="N9360" t="s">
        <v>68</v>
      </c>
    </row>
    <row r="9361" spans="14:14" ht="15" customHeight="1" x14ac:dyDescent="0.25">
      <c r="N9361" t="s">
        <v>68</v>
      </c>
    </row>
    <row r="9362" spans="14:14" ht="15" customHeight="1" x14ac:dyDescent="0.25">
      <c r="N9362" t="s">
        <v>68</v>
      </c>
    </row>
    <row r="9363" spans="14:14" ht="15" customHeight="1" x14ac:dyDescent="0.25">
      <c r="N9363" t="s">
        <v>677</v>
      </c>
    </row>
    <row r="9364" spans="14:14" ht="15" customHeight="1" x14ac:dyDescent="0.25">
      <c r="N9364" t="s">
        <v>313</v>
      </c>
    </row>
    <row r="9365" spans="14:14" ht="15" customHeight="1" x14ac:dyDescent="0.25">
      <c r="N9365" t="s">
        <v>824</v>
      </c>
    </row>
    <row r="9366" spans="14:14" ht="15" customHeight="1" x14ac:dyDescent="0.25">
      <c r="N9366" t="s">
        <v>677</v>
      </c>
    </row>
    <row r="9367" spans="14:14" ht="15" customHeight="1" x14ac:dyDescent="0.25">
      <c r="N9367" t="s">
        <v>677</v>
      </c>
    </row>
    <row r="9368" spans="14:14" ht="15" customHeight="1" x14ac:dyDescent="0.25">
      <c r="N9368" t="s">
        <v>68</v>
      </c>
    </row>
    <row r="9369" spans="14:14" ht="15" customHeight="1" x14ac:dyDescent="0.25">
      <c r="N9369" t="s">
        <v>752</v>
      </c>
    </row>
    <row r="9370" spans="14:14" ht="15" customHeight="1" x14ac:dyDescent="0.25">
      <c r="N9370" t="s">
        <v>752</v>
      </c>
    </row>
    <row r="9371" spans="14:14" ht="15" customHeight="1" x14ac:dyDescent="0.25">
      <c r="N9371" t="s">
        <v>752</v>
      </c>
    </row>
    <row r="9372" spans="14:14" ht="15" customHeight="1" x14ac:dyDescent="0.25">
      <c r="N9372" t="s">
        <v>752</v>
      </c>
    </row>
    <row r="9373" spans="14:14" ht="15" customHeight="1" x14ac:dyDescent="0.25">
      <c r="N9373" t="s">
        <v>752</v>
      </c>
    </row>
    <row r="9374" spans="14:14" ht="15" customHeight="1" x14ac:dyDescent="0.25">
      <c r="N9374" t="s">
        <v>752</v>
      </c>
    </row>
    <row r="9375" spans="14:14" ht="15" customHeight="1" x14ac:dyDescent="0.25">
      <c r="N9375" t="s">
        <v>752</v>
      </c>
    </row>
    <row r="9376" spans="14:14" ht="15" customHeight="1" x14ac:dyDescent="0.25">
      <c r="N9376" t="s">
        <v>752</v>
      </c>
    </row>
    <row r="9377" spans="14:14" ht="15" customHeight="1" x14ac:dyDescent="0.25">
      <c r="N9377" t="s">
        <v>752</v>
      </c>
    </row>
    <row r="9378" spans="14:14" ht="15" customHeight="1" x14ac:dyDescent="0.25">
      <c r="N9378" t="s">
        <v>752</v>
      </c>
    </row>
    <row r="9379" spans="14:14" ht="15" customHeight="1" x14ac:dyDescent="0.25">
      <c r="N9379" t="s">
        <v>752</v>
      </c>
    </row>
    <row r="9380" spans="14:14" ht="15" customHeight="1" x14ac:dyDescent="0.25">
      <c r="N9380" t="s">
        <v>752</v>
      </c>
    </row>
    <row r="9381" spans="14:14" ht="15" customHeight="1" x14ac:dyDescent="0.25">
      <c r="N9381" t="s">
        <v>752</v>
      </c>
    </row>
    <row r="9382" spans="14:14" ht="15" customHeight="1" x14ac:dyDescent="0.25">
      <c r="N9382" t="s">
        <v>752</v>
      </c>
    </row>
    <row r="9383" spans="14:14" ht="15" customHeight="1" x14ac:dyDescent="0.25">
      <c r="N9383" t="s">
        <v>752</v>
      </c>
    </row>
    <row r="9384" spans="14:14" ht="15" customHeight="1" x14ac:dyDescent="0.25">
      <c r="N9384" t="s">
        <v>752</v>
      </c>
    </row>
    <row r="9385" spans="14:14" ht="15" customHeight="1" x14ac:dyDescent="0.25">
      <c r="N9385" t="s">
        <v>752</v>
      </c>
    </row>
    <row r="9386" spans="14:14" ht="15" customHeight="1" x14ac:dyDescent="0.25">
      <c r="N9386" t="s">
        <v>752</v>
      </c>
    </row>
    <row r="9387" spans="14:14" ht="15" customHeight="1" x14ac:dyDescent="0.25">
      <c r="N9387" t="s">
        <v>752</v>
      </c>
    </row>
    <row r="9388" spans="14:14" ht="15" customHeight="1" x14ac:dyDescent="0.25">
      <c r="N9388" t="s">
        <v>752</v>
      </c>
    </row>
    <row r="9389" spans="14:14" ht="15" customHeight="1" x14ac:dyDescent="0.25">
      <c r="N9389" t="s">
        <v>752</v>
      </c>
    </row>
    <row r="9390" spans="14:14" ht="15" customHeight="1" x14ac:dyDescent="0.25">
      <c r="N9390" t="s">
        <v>752</v>
      </c>
    </row>
    <row r="9391" spans="14:14" ht="15" customHeight="1" x14ac:dyDescent="0.25">
      <c r="N9391" t="s">
        <v>752</v>
      </c>
    </row>
    <row r="9392" spans="14:14" ht="15" customHeight="1" x14ac:dyDescent="0.25">
      <c r="N9392" t="s">
        <v>752</v>
      </c>
    </row>
    <row r="9393" spans="14:14" ht="15" customHeight="1" x14ac:dyDescent="0.25">
      <c r="N9393" t="s">
        <v>752</v>
      </c>
    </row>
    <row r="9394" spans="14:14" ht="15" customHeight="1" x14ac:dyDescent="0.25">
      <c r="N9394" t="s">
        <v>752</v>
      </c>
    </row>
    <row r="9395" spans="14:14" ht="15" customHeight="1" x14ac:dyDescent="0.25">
      <c r="N9395" t="s">
        <v>752</v>
      </c>
    </row>
    <row r="9396" spans="14:14" ht="15" customHeight="1" x14ac:dyDescent="0.25">
      <c r="N9396" t="s">
        <v>687</v>
      </c>
    </row>
    <row r="9397" spans="14:14" ht="15" customHeight="1" x14ac:dyDescent="0.25">
      <c r="N9397" t="s">
        <v>68</v>
      </c>
    </row>
    <row r="9398" spans="14:14" ht="15" customHeight="1" x14ac:dyDescent="0.25">
      <c r="N9398" t="s">
        <v>752</v>
      </c>
    </row>
    <row r="9399" spans="14:14" ht="15" customHeight="1" x14ac:dyDescent="0.25">
      <c r="N9399" t="s">
        <v>752</v>
      </c>
    </row>
    <row r="9400" spans="14:14" ht="15" customHeight="1" x14ac:dyDescent="0.25">
      <c r="N9400" t="s">
        <v>752</v>
      </c>
    </row>
    <row r="9401" spans="14:14" ht="15" customHeight="1" x14ac:dyDescent="0.25">
      <c r="N9401" t="s">
        <v>752</v>
      </c>
    </row>
    <row r="9402" spans="14:14" ht="15" customHeight="1" x14ac:dyDescent="0.25">
      <c r="N9402" t="s">
        <v>752</v>
      </c>
    </row>
    <row r="9403" spans="14:14" ht="15" customHeight="1" x14ac:dyDescent="0.25">
      <c r="N9403" t="s">
        <v>752</v>
      </c>
    </row>
    <row r="9404" spans="14:14" ht="15" customHeight="1" x14ac:dyDescent="0.25">
      <c r="N9404" t="s">
        <v>752</v>
      </c>
    </row>
    <row r="9405" spans="14:14" ht="15" customHeight="1" x14ac:dyDescent="0.25">
      <c r="N9405" t="s">
        <v>752</v>
      </c>
    </row>
    <row r="9406" spans="14:14" ht="15" customHeight="1" x14ac:dyDescent="0.25">
      <c r="N9406" t="s">
        <v>752</v>
      </c>
    </row>
    <row r="9407" spans="14:14" ht="15" customHeight="1" x14ac:dyDescent="0.25">
      <c r="N9407" t="s">
        <v>752</v>
      </c>
    </row>
    <row r="9408" spans="14:14" ht="15" customHeight="1" x14ac:dyDescent="0.25">
      <c r="N9408" t="s">
        <v>752</v>
      </c>
    </row>
    <row r="9409" spans="14:14" ht="15" customHeight="1" x14ac:dyDescent="0.25">
      <c r="N9409" t="s">
        <v>752</v>
      </c>
    </row>
    <row r="9410" spans="14:14" ht="15" customHeight="1" x14ac:dyDescent="0.25">
      <c r="N9410" t="s">
        <v>752</v>
      </c>
    </row>
    <row r="9411" spans="14:14" ht="15" customHeight="1" x14ac:dyDescent="0.25">
      <c r="N9411" t="s">
        <v>752</v>
      </c>
    </row>
    <row r="9412" spans="14:14" ht="15" customHeight="1" x14ac:dyDescent="0.25">
      <c r="N9412" t="s">
        <v>752</v>
      </c>
    </row>
    <row r="9413" spans="14:14" ht="15" customHeight="1" x14ac:dyDescent="0.25">
      <c r="N9413" t="s">
        <v>752</v>
      </c>
    </row>
    <row r="9414" spans="14:14" ht="15" customHeight="1" x14ac:dyDescent="0.25">
      <c r="N9414" t="s">
        <v>752</v>
      </c>
    </row>
    <row r="9415" spans="14:14" ht="15" customHeight="1" x14ac:dyDescent="0.25">
      <c r="N9415" t="s">
        <v>752</v>
      </c>
    </row>
    <row r="9416" spans="14:14" ht="15" customHeight="1" x14ac:dyDescent="0.25">
      <c r="N9416" t="s">
        <v>752</v>
      </c>
    </row>
    <row r="9417" spans="14:14" ht="15" customHeight="1" x14ac:dyDescent="0.25">
      <c r="N9417" t="s">
        <v>752</v>
      </c>
    </row>
    <row r="9418" spans="14:14" ht="15" customHeight="1" x14ac:dyDescent="0.25">
      <c r="N9418" t="s">
        <v>752</v>
      </c>
    </row>
    <row r="9419" spans="14:14" ht="15" customHeight="1" x14ac:dyDescent="0.25">
      <c r="N9419" t="s">
        <v>752</v>
      </c>
    </row>
    <row r="9420" spans="14:14" ht="15" customHeight="1" x14ac:dyDescent="0.25">
      <c r="N9420" t="s">
        <v>752</v>
      </c>
    </row>
    <row r="9421" spans="14:14" ht="15" customHeight="1" x14ac:dyDescent="0.25">
      <c r="N9421" t="s">
        <v>752</v>
      </c>
    </row>
    <row r="9422" spans="14:14" ht="15" customHeight="1" x14ac:dyDescent="0.25">
      <c r="N9422" t="s">
        <v>752</v>
      </c>
    </row>
    <row r="9423" spans="14:14" ht="15" customHeight="1" x14ac:dyDescent="0.25">
      <c r="N9423" t="s">
        <v>752</v>
      </c>
    </row>
    <row r="9424" spans="14:14" ht="15" customHeight="1" x14ac:dyDescent="0.25">
      <c r="N9424" t="s">
        <v>752</v>
      </c>
    </row>
    <row r="9425" spans="14:14" ht="15" customHeight="1" x14ac:dyDescent="0.25">
      <c r="N9425" t="s">
        <v>304</v>
      </c>
    </row>
    <row r="9426" spans="14:14" ht="15" customHeight="1" x14ac:dyDescent="0.25">
      <c r="N9426" t="s">
        <v>304</v>
      </c>
    </row>
    <row r="9427" spans="14:14" ht="15" customHeight="1" x14ac:dyDescent="0.25">
      <c r="N9427" t="s">
        <v>304</v>
      </c>
    </row>
    <row r="9428" spans="14:14" ht="15" customHeight="1" x14ac:dyDescent="0.25">
      <c r="N9428" t="s">
        <v>304</v>
      </c>
    </row>
    <row r="9429" spans="14:14" ht="15" customHeight="1" x14ac:dyDescent="0.25">
      <c r="N9429" t="s">
        <v>752</v>
      </c>
    </row>
    <row r="9430" spans="14:14" ht="15" customHeight="1" x14ac:dyDescent="0.25">
      <c r="N9430" t="s">
        <v>752</v>
      </c>
    </row>
    <row r="9431" spans="14:14" ht="15" customHeight="1" x14ac:dyDescent="0.25">
      <c r="N9431" t="s">
        <v>752</v>
      </c>
    </row>
    <row r="9432" spans="14:14" ht="15" customHeight="1" x14ac:dyDescent="0.25">
      <c r="N9432" t="s">
        <v>752</v>
      </c>
    </row>
    <row r="9433" spans="14:14" ht="15" customHeight="1" x14ac:dyDescent="0.25">
      <c r="N9433" t="s">
        <v>752</v>
      </c>
    </row>
    <row r="9434" spans="14:14" ht="15" customHeight="1" x14ac:dyDescent="0.25">
      <c r="N9434" t="s">
        <v>752</v>
      </c>
    </row>
    <row r="9435" spans="14:14" ht="15" customHeight="1" x14ac:dyDescent="0.25">
      <c r="N9435" t="s">
        <v>752</v>
      </c>
    </row>
    <row r="9436" spans="14:14" ht="15" customHeight="1" x14ac:dyDescent="0.25">
      <c r="N9436" t="s">
        <v>752</v>
      </c>
    </row>
    <row r="9437" spans="14:14" ht="15" customHeight="1" x14ac:dyDescent="0.25">
      <c r="N9437" t="s">
        <v>752</v>
      </c>
    </row>
    <row r="9438" spans="14:14" ht="15" customHeight="1" x14ac:dyDescent="0.25">
      <c r="N9438" t="s">
        <v>752</v>
      </c>
    </row>
    <row r="9439" spans="14:14" ht="15" customHeight="1" x14ac:dyDescent="0.25">
      <c r="N9439" t="s">
        <v>752</v>
      </c>
    </row>
    <row r="9440" spans="14:14" ht="15" customHeight="1" x14ac:dyDescent="0.25">
      <c r="N9440" t="s">
        <v>752</v>
      </c>
    </row>
    <row r="9441" spans="14:14" ht="15" customHeight="1" x14ac:dyDescent="0.25">
      <c r="N9441" t="s">
        <v>752</v>
      </c>
    </row>
    <row r="9442" spans="14:14" ht="15" customHeight="1" x14ac:dyDescent="0.25">
      <c r="N9442" t="s">
        <v>752</v>
      </c>
    </row>
    <row r="9443" spans="14:14" ht="15" customHeight="1" x14ac:dyDescent="0.25">
      <c r="N9443" t="s">
        <v>752</v>
      </c>
    </row>
    <row r="9444" spans="14:14" ht="15" customHeight="1" x14ac:dyDescent="0.25">
      <c r="N9444" t="s">
        <v>752</v>
      </c>
    </row>
    <row r="9445" spans="14:14" ht="15" customHeight="1" x14ac:dyDescent="0.25">
      <c r="N9445" t="s">
        <v>752</v>
      </c>
    </row>
    <row r="9446" spans="14:14" ht="15" customHeight="1" x14ac:dyDescent="0.25">
      <c r="N9446" t="s">
        <v>752</v>
      </c>
    </row>
    <row r="9447" spans="14:14" ht="15" customHeight="1" x14ac:dyDescent="0.25">
      <c r="N9447" t="s">
        <v>752</v>
      </c>
    </row>
    <row r="9448" spans="14:14" ht="15" customHeight="1" x14ac:dyDescent="0.25">
      <c r="N9448" t="s">
        <v>752</v>
      </c>
    </row>
    <row r="9449" spans="14:14" ht="15" customHeight="1" x14ac:dyDescent="0.25">
      <c r="N9449" t="s">
        <v>752</v>
      </c>
    </row>
    <row r="9450" spans="14:14" ht="15" customHeight="1" x14ac:dyDescent="0.25">
      <c r="N9450" t="s">
        <v>752</v>
      </c>
    </row>
    <row r="9451" spans="14:14" ht="15" customHeight="1" x14ac:dyDescent="0.25">
      <c r="N9451" t="s">
        <v>752</v>
      </c>
    </row>
    <row r="9452" spans="14:14" ht="15" customHeight="1" x14ac:dyDescent="0.25">
      <c r="N9452" t="s">
        <v>752</v>
      </c>
    </row>
    <row r="9453" spans="14:14" ht="15" customHeight="1" x14ac:dyDescent="0.25">
      <c r="N9453" t="s">
        <v>752</v>
      </c>
    </row>
    <row r="9454" spans="14:14" ht="15" customHeight="1" x14ac:dyDescent="0.25">
      <c r="N9454" t="s">
        <v>752</v>
      </c>
    </row>
    <row r="9455" spans="14:14" ht="15" customHeight="1" x14ac:dyDescent="0.25">
      <c r="N9455" t="s">
        <v>752</v>
      </c>
    </row>
    <row r="9456" spans="14:14" ht="15" customHeight="1" x14ac:dyDescent="0.25">
      <c r="N9456" t="s">
        <v>582</v>
      </c>
    </row>
    <row r="9457" spans="14:14" ht="15" customHeight="1" x14ac:dyDescent="0.25">
      <c r="N9457" t="s">
        <v>582</v>
      </c>
    </row>
    <row r="9458" spans="14:14" ht="15" customHeight="1" x14ac:dyDescent="0.25">
      <c r="N9458" t="s">
        <v>582</v>
      </c>
    </row>
    <row r="9459" spans="14:14" ht="15" customHeight="1" x14ac:dyDescent="0.25">
      <c r="N9459" t="s">
        <v>582</v>
      </c>
    </row>
    <row r="9460" spans="14:14" ht="15" customHeight="1" x14ac:dyDescent="0.25">
      <c r="N9460" t="s">
        <v>582</v>
      </c>
    </row>
    <row r="9461" spans="14:14" ht="15" customHeight="1" x14ac:dyDescent="0.25">
      <c r="N9461" t="s">
        <v>582</v>
      </c>
    </row>
    <row r="9462" spans="14:14" ht="15" customHeight="1" x14ac:dyDescent="0.25">
      <c r="N9462" t="s">
        <v>582</v>
      </c>
    </row>
    <row r="9463" spans="14:14" ht="15" customHeight="1" x14ac:dyDescent="0.25">
      <c r="N9463" t="s">
        <v>687</v>
      </c>
    </row>
    <row r="9464" spans="14:14" ht="15" customHeight="1" x14ac:dyDescent="0.25">
      <c r="N9464" t="s">
        <v>68</v>
      </c>
    </row>
    <row r="9465" spans="14:14" ht="15" customHeight="1" x14ac:dyDescent="0.25">
      <c r="N9465" t="s">
        <v>68</v>
      </c>
    </row>
    <row r="9466" spans="14:14" ht="15" customHeight="1" x14ac:dyDescent="0.25">
      <c r="N9466" t="s">
        <v>68</v>
      </c>
    </row>
    <row r="9467" spans="14:14" ht="15" customHeight="1" x14ac:dyDescent="0.25">
      <c r="N9467" t="s">
        <v>68</v>
      </c>
    </row>
    <row r="9468" spans="14:14" ht="15" customHeight="1" x14ac:dyDescent="0.25">
      <c r="N9468" t="s">
        <v>68</v>
      </c>
    </row>
    <row r="9469" spans="14:14" ht="15" customHeight="1" x14ac:dyDescent="0.25">
      <c r="N9469" t="s">
        <v>68</v>
      </c>
    </row>
    <row r="9470" spans="14:14" ht="15" customHeight="1" x14ac:dyDescent="0.25">
      <c r="N9470" t="s">
        <v>68</v>
      </c>
    </row>
    <row r="9471" spans="14:14" ht="15" customHeight="1" x14ac:dyDescent="0.25">
      <c r="N9471" t="s">
        <v>715</v>
      </c>
    </row>
    <row r="9472" spans="14:14" ht="15" customHeight="1" x14ac:dyDescent="0.25">
      <c r="N9472" t="s">
        <v>713</v>
      </c>
    </row>
    <row r="9473" spans="14:14" ht="15" customHeight="1" x14ac:dyDescent="0.25">
      <c r="N9473" t="s">
        <v>408</v>
      </c>
    </row>
    <row r="9474" spans="14:14" ht="15" customHeight="1" x14ac:dyDescent="0.25">
      <c r="N9474" t="s">
        <v>713</v>
      </c>
    </row>
    <row r="9475" spans="14:14" ht="15" customHeight="1" x14ac:dyDescent="0.25">
      <c r="N9475" t="s">
        <v>713</v>
      </c>
    </row>
    <row r="9476" spans="14:14" ht="15" customHeight="1" x14ac:dyDescent="0.25">
      <c r="N9476" t="s">
        <v>606</v>
      </c>
    </row>
    <row r="9477" spans="14:14" ht="15" customHeight="1" x14ac:dyDescent="0.25">
      <c r="N9477" t="s">
        <v>558</v>
      </c>
    </row>
    <row r="9478" spans="14:14" ht="15" customHeight="1" x14ac:dyDescent="0.25">
      <c r="N9478" t="s">
        <v>458</v>
      </c>
    </row>
    <row r="9479" spans="14:14" ht="15" customHeight="1" x14ac:dyDescent="0.25">
      <c r="N9479" t="s">
        <v>686</v>
      </c>
    </row>
    <row r="9480" spans="14:14" ht="15" customHeight="1" x14ac:dyDescent="0.25">
      <c r="N9480" t="s">
        <v>689</v>
      </c>
    </row>
    <row r="9481" spans="14:14" ht="15" customHeight="1" x14ac:dyDescent="0.25">
      <c r="N9481" t="s">
        <v>689</v>
      </c>
    </row>
    <row r="9482" spans="14:14" ht="15" customHeight="1" x14ac:dyDescent="0.25">
      <c r="N9482" t="s">
        <v>715</v>
      </c>
    </row>
    <row r="9483" spans="14:14" ht="15" customHeight="1" x14ac:dyDescent="0.25">
      <c r="N9483" t="s">
        <v>828</v>
      </c>
    </row>
    <row r="9484" spans="14:14" ht="15" customHeight="1" x14ac:dyDescent="0.25">
      <c r="N9484" t="s">
        <v>606</v>
      </c>
    </row>
    <row r="9485" spans="14:14" ht="15" customHeight="1" x14ac:dyDescent="0.25">
      <c r="N9485" t="s">
        <v>854</v>
      </c>
    </row>
    <row r="9486" spans="14:14" ht="15" customHeight="1" x14ac:dyDescent="0.25">
      <c r="N9486" t="s">
        <v>854</v>
      </c>
    </row>
    <row r="9487" spans="14:14" ht="15" customHeight="1" x14ac:dyDescent="0.25">
      <c r="N9487" t="s">
        <v>713</v>
      </c>
    </row>
    <row r="9488" spans="14:14" ht="15" customHeight="1" x14ac:dyDescent="0.25">
      <c r="N9488" t="s">
        <v>715</v>
      </c>
    </row>
    <row r="9489" spans="14:14" ht="15" customHeight="1" x14ac:dyDescent="0.25">
      <c r="N9489" t="s">
        <v>713</v>
      </c>
    </row>
    <row r="9490" spans="14:14" ht="15" customHeight="1" x14ac:dyDescent="0.25">
      <c r="N9490" t="s">
        <v>713</v>
      </c>
    </row>
    <row r="9491" spans="14:14" ht="15" customHeight="1" x14ac:dyDescent="0.25">
      <c r="N9491" t="s">
        <v>713</v>
      </c>
    </row>
    <row r="9492" spans="14:14" ht="15" customHeight="1" x14ac:dyDescent="0.25">
      <c r="N9492" t="s">
        <v>923</v>
      </c>
    </row>
    <row r="9493" spans="14:14" ht="15" customHeight="1" x14ac:dyDescent="0.25">
      <c r="N9493" t="s">
        <v>669</v>
      </c>
    </row>
    <row r="9494" spans="14:14" ht="15" customHeight="1" x14ac:dyDescent="0.25">
      <c r="N9494" t="s">
        <v>696</v>
      </c>
    </row>
    <row r="9495" spans="14:14" ht="15" customHeight="1" x14ac:dyDescent="0.25">
      <c r="N9495" t="s">
        <v>690</v>
      </c>
    </row>
    <row r="9496" spans="14:14" ht="15" customHeight="1" x14ac:dyDescent="0.25">
      <c r="N9496" t="s">
        <v>690</v>
      </c>
    </row>
    <row r="9497" spans="14:14" ht="15" customHeight="1" x14ac:dyDescent="0.25">
      <c r="N9497" t="s">
        <v>690</v>
      </c>
    </row>
    <row r="9498" spans="14:14" ht="15" customHeight="1" x14ac:dyDescent="0.25">
      <c r="N9498" t="s">
        <v>690</v>
      </c>
    </row>
    <row r="9499" spans="14:14" ht="15" customHeight="1" x14ac:dyDescent="0.25">
      <c r="N9499" t="s">
        <v>715</v>
      </c>
    </row>
    <row r="9500" spans="14:14" ht="15" customHeight="1" x14ac:dyDescent="0.25">
      <c r="N9500" t="s">
        <v>715</v>
      </c>
    </row>
    <row r="9501" spans="14:14" ht="15" customHeight="1" x14ac:dyDescent="0.25">
      <c r="N9501" t="s">
        <v>715</v>
      </c>
    </row>
    <row r="9502" spans="14:14" ht="15" customHeight="1" x14ac:dyDescent="0.25">
      <c r="N9502" t="s">
        <v>715</v>
      </c>
    </row>
    <row r="9503" spans="14:14" ht="15" customHeight="1" x14ac:dyDescent="0.25">
      <c r="N9503" t="s">
        <v>715</v>
      </c>
    </row>
    <row r="9504" spans="14:14" ht="15" customHeight="1" x14ac:dyDescent="0.25">
      <c r="N9504" t="s">
        <v>715</v>
      </c>
    </row>
    <row r="9505" spans="14:14" ht="15" customHeight="1" x14ac:dyDescent="0.25">
      <c r="N9505" t="s">
        <v>715</v>
      </c>
    </row>
    <row r="9506" spans="14:14" ht="15" customHeight="1" x14ac:dyDescent="0.25">
      <c r="N9506" t="s">
        <v>715</v>
      </c>
    </row>
    <row r="9507" spans="14:14" ht="15" customHeight="1" x14ac:dyDescent="0.25">
      <c r="N9507" t="s">
        <v>715</v>
      </c>
    </row>
    <row r="9508" spans="14:14" ht="15" customHeight="1" x14ac:dyDescent="0.25">
      <c r="N9508" t="s">
        <v>715</v>
      </c>
    </row>
    <row r="9509" spans="14:14" ht="15" customHeight="1" x14ac:dyDescent="0.25">
      <c r="N9509" t="s">
        <v>715</v>
      </c>
    </row>
    <row r="9510" spans="14:14" ht="15" customHeight="1" x14ac:dyDescent="0.25">
      <c r="N9510" t="s">
        <v>715</v>
      </c>
    </row>
    <row r="9511" spans="14:14" ht="15" customHeight="1" x14ac:dyDescent="0.25">
      <c r="N9511" t="s">
        <v>715</v>
      </c>
    </row>
    <row r="9512" spans="14:14" ht="15" customHeight="1" x14ac:dyDescent="0.25">
      <c r="N9512" t="s">
        <v>715</v>
      </c>
    </row>
    <row r="9513" spans="14:14" ht="15" customHeight="1" x14ac:dyDescent="0.25">
      <c r="N9513" t="s">
        <v>403</v>
      </c>
    </row>
    <row r="9514" spans="14:14" ht="15" customHeight="1" x14ac:dyDescent="0.25">
      <c r="N9514" t="s">
        <v>403</v>
      </c>
    </row>
    <row r="9515" spans="14:14" ht="15" customHeight="1" x14ac:dyDescent="0.25">
      <c r="N9515" t="s">
        <v>403</v>
      </c>
    </row>
    <row r="9516" spans="14:14" ht="15" customHeight="1" x14ac:dyDescent="0.25">
      <c r="N9516" t="s">
        <v>403</v>
      </c>
    </row>
    <row r="9517" spans="14:14" ht="15" customHeight="1" x14ac:dyDescent="0.25">
      <c r="N9517" t="s">
        <v>403</v>
      </c>
    </row>
    <row r="9518" spans="14:14" ht="15" customHeight="1" x14ac:dyDescent="0.25">
      <c r="N9518" t="s">
        <v>403</v>
      </c>
    </row>
    <row r="9519" spans="14:14" ht="15" customHeight="1" x14ac:dyDescent="0.25">
      <c r="N9519" t="s">
        <v>403</v>
      </c>
    </row>
    <row r="9520" spans="14:14" ht="15" customHeight="1" x14ac:dyDescent="0.25">
      <c r="N9520" t="s">
        <v>592</v>
      </c>
    </row>
    <row r="9521" spans="14:14" ht="15" customHeight="1" x14ac:dyDescent="0.25">
      <c r="N9521" t="s">
        <v>592</v>
      </c>
    </row>
    <row r="9522" spans="14:14" ht="15" customHeight="1" x14ac:dyDescent="0.25">
      <c r="N9522" t="s">
        <v>592</v>
      </c>
    </row>
    <row r="9523" spans="14:14" ht="15" customHeight="1" x14ac:dyDescent="0.25">
      <c r="N9523" t="s">
        <v>592</v>
      </c>
    </row>
    <row r="9524" spans="14:14" ht="15" customHeight="1" x14ac:dyDescent="0.25">
      <c r="N9524" t="s">
        <v>592</v>
      </c>
    </row>
    <row r="9525" spans="14:14" ht="15" customHeight="1" x14ac:dyDescent="0.25">
      <c r="N9525" t="s">
        <v>696</v>
      </c>
    </row>
    <row r="9526" spans="14:14" ht="15" customHeight="1" x14ac:dyDescent="0.25">
      <c r="N9526" t="s">
        <v>715</v>
      </c>
    </row>
    <row r="9527" spans="14:14" ht="15" customHeight="1" x14ac:dyDescent="0.25">
      <c r="N9527" t="s">
        <v>313</v>
      </c>
    </row>
    <row r="9528" spans="14:14" ht="15" customHeight="1" x14ac:dyDescent="0.25">
      <c r="N9528" t="s">
        <v>313</v>
      </c>
    </row>
    <row r="9529" spans="14:14" ht="15" customHeight="1" x14ac:dyDescent="0.25">
      <c r="N9529" t="s">
        <v>313</v>
      </c>
    </row>
    <row r="9530" spans="14:14" ht="15" customHeight="1" x14ac:dyDescent="0.25">
      <c r="N9530" t="s">
        <v>313</v>
      </c>
    </row>
    <row r="9531" spans="14:14" ht="15" customHeight="1" x14ac:dyDescent="0.25">
      <c r="N9531" t="s">
        <v>715</v>
      </c>
    </row>
    <row r="9532" spans="14:14" ht="15" customHeight="1" x14ac:dyDescent="0.25">
      <c r="N9532" t="s">
        <v>715</v>
      </c>
    </row>
    <row r="9533" spans="14:14" ht="15" customHeight="1" x14ac:dyDescent="0.25">
      <c r="N9533" t="s">
        <v>715</v>
      </c>
    </row>
    <row r="9534" spans="14:14" ht="15" customHeight="1" x14ac:dyDescent="0.25">
      <c r="N9534" t="s">
        <v>715</v>
      </c>
    </row>
    <row r="9535" spans="14:14" ht="15" customHeight="1" x14ac:dyDescent="0.25">
      <c r="N9535" t="s">
        <v>715</v>
      </c>
    </row>
    <row r="9536" spans="14:14" ht="15" customHeight="1" x14ac:dyDescent="0.25">
      <c r="N9536" t="s">
        <v>715</v>
      </c>
    </row>
    <row r="9537" spans="14:14" ht="15" customHeight="1" x14ac:dyDescent="0.25">
      <c r="N9537" t="s">
        <v>715</v>
      </c>
    </row>
    <row r="9538" spans="14:14" ht="15" customHeight="1" x14ac:dyDescent="0.25">
      <c r="N9538" t="s">
        <v>715</v>
      </c>
    </row>
    <row r="9539" spans="14:14" ht="15" customHeight="1" x14ac:dyDescent="0.25">
      <c r="N9539" t="s">
        <v>715</v>
      </c>
    </row>
    <row r="9540" spans="14:14" ht="15" customHeight="1" x14ac:dyDescent="0.25">
      <c r="N9540" t="s">
        <v>582</v>
      </c>
    </row>
    <row r="9541" spans="14:14" ht="15" customHeight="1" x14ac:dyDescent="0.25">
      <c r="N9541" t="s">
        <v>715</v>
      </c>
    </row>
    <row r="9542" spans="14:14" ht="15" customHeight="1" x14ac:dyDescent="0.25">
      <c r="N9542" t="s">
        <v>696</v>
      </c>
    </row>
    <row r="9543" spans="14:14" ht="15" customHeight="1" x14ac:dyDescent="0.25">
      <c r="N9543" t="s">
        <v>741</v>
      </c>
    </row>
    <row r="9544" spans="14:14" ht="15" customHeight="1" x14ac:dyDescent="0.25">
      <c r="N9544" t="s">
        <v>743</v>
      </c>
    </row>
    <row r="9545" spans="14:14" ht="15" customHeight="1" x14ac:dyDescent="0.25">
      <c r="N9545" t="s">
        <v>715</v>
      </c>
    </row>
    <row r="9546" spans="14:14" ht="15" customHeight="1" x14ac:dyDescent="0.25">
      <c r="N9546" t="s">
        <v>317</v>
      </c>
    </row>
    <row r="9547" spans="14:14" ht="15" customHeight="1" x14ac:dyDescent="0.25">
      <c r="N9547" t="s">
        <v>714</v>
      </c>
    </row>
    <row r="9548" spans="14:14" ht="15" customHeight="1" x14ac:dyDescent="0.25">
      <c r="N9548" t="s">
        <v>675</v>
      </c>
    </row>
    <row r="9549" spans="14:14" ht="15" customHeight="1" x14ac:dyDescent="0.25">
      <c r="N9549" t="s">
        <v>715</v>
      </c>
    </row>
    <row r="9550" spans="14:14" ht="15" customHeight="1" x14ac:dyDescent="0.25">
      <c r="N9550" t="s">
        <v>739</v>
      </c>
    </row>
    <row r="9551" spans="14:14" ht="15" customHeight="1" x14ac:dyDescent="0.25">
      <c r="N9551" t="s">
        <v>463</v>
      </c>
    </row>
    <row r="9552" spans="14:14" ht="15" customHeight="1" x14ac:dyDescent="0.25">
      <c r="N9552" t="s">
        <v>611</v>
      </c>
    </row>
    <row r="9553" spans="14:14" ht="15" customHeight="1" x14ac:dyDescent="0.25">
      <c r="N9553" t="s">
        <v>666</v>
      </c>
    </row>
    <row r="9554" spans="14:14" ht="15" customHeight="1" x14ac:dyDescent="0.25">
      <c r="N9554" t="s">
        <v>732</v>
      </c>
    </row>
    <row r="9555" spans="14:14" ht="15" customHeight="1" x14ac:dyDescent="0.25">
      <c r="N9555" t="s">
        <v>715</v>
      </c>
    </row>
    <row r="9556" spans="14:14" ht="15" customHeight="1" x14ac:dyDescent="0.25">
      <c r="N9556" t="s">
        <v>715</v>
      </c>
    </row>
    <row r="9557" spans="14:14" ht="15" customHeight="1" x14ac:dyDescent="0.25">
      <c r="N9557" t="s">
        <v>715</v>
      </c>
    </row>
    <row r="9558" spans="14:14" ht="15" customHeight="1" x14ac:dyDescent="0.25">
      <c r="N9558" t="s">
        <v>715</v>
      </c>
    </row>
    <row r="9559" spans="14:14" ht="15" customHeight="1" x14ac:dyDescent="0.25">
      <c r="N9559" t="s">
        <v>715</v>
      </c>
    </row>
    <row r="9560" spans="14:14" ht="15" customHeight="1" x14ac:dyDescent="0.25">
      <c r="N9560" t="s">
        <v>715</v>
      </c>
    </row>
    <row r="9561" spans="14:14" ht="15" customHeight="1" x14ac:dyDescent="0.25">
      <c r="N9561" t="s">
        <v>715</v>
      </c>
    </row>
    <row r="9562" spans="14:14" ht="15" customHeight="1" x14ac:dyDescent="0.25">
      <c r="N9562" t="s">
        <v>715</v>
      </c>
    </row>
    <row r="9563" spans="14:14" ht="15" customHeight="1" x14ac:dyDescent="0.25">
      <c r="N9563" t="s">
        <v>740</v>
      </c>
    </row>
    <row r="9564" spans="14:14" ht="15" customHeight="1" x14ac:dyDescent="0.25">
      <c r="N9564" t="s">
        <v>744</v>
      </c>
    </row>
    <row r="9565" spans="14:14" ht="15" customHeight="1" x14ac:dyDescent="0.25">
      <c r="N9565" t="s">
        <v>690</v>
      </c>
    </row>
    <row r="9566" spans="14:14" ht="15" customHeight="1" x14ac:dyDescent="0.25">
      <c r="N9566" t="s">
        <v>715</v>
      </c>
    </row>
    <row r="9567" spans="14:14" ht="15" customHeight="1" x14ac:dyDescent="0.25">
      <c r="N9567" t="s">
        <v>715</v>
      </c>
    </row>
    <row r="9568" spans="14:14" ht="15" customHeight="1" x14ac:dyDescent="0.25">
      <c r="N9568" t="s">
        <v>715</v>
      </c>
    </row>
    <row r="9569" spans="14:14" ht="15" customHeight="1" x14ac:dyDescent="0.25">
      <c r="N9569" t="s">
        <v>715</v>
      </c>
    </row>
    <row r="9570" spans="14:14" ht="15" customHeight="1" x14ac:dyDescent="0.25">
      <c r="N9570" t="s">
        <v>715</v>
      </c>
    </row>
    <row r="9571" spans="14:14" ht="15" customHeight="1" x14ac:dyDescent="0.25">
      <c r="N9571" t="s">
        <v>715</v>
      </c>
    </row>
    <row r="9572" spans="14:14" ht="15" customHeight="1" x14ac:dyDescent="0.25">
      <c r="N9572" t="s">
        <v>715</v>
      </c>
    </row>
    <row r="9573" spans="14:14" ht="15" customHeight="1" x14ac:dyDescent="0.25">
      <c r="N9573" t="s">
        <v>715</v>
      </c>
    </row>
    <row r="9574" spans="14:14" ht="15" customHeight="1" x14ac:dyDescent="0.25">
      <c r="N9574" t="s">
        <v>715</v>
      </c>
    </row>
    <row r="9575" spans="14:14" ht="15" customHeight="1" x14ac:dyDescent="0.25">
      <c r="N9575" t="s">
        <v>715</v>
      </c>
    </row>
    <row r="9576" spans="14:14" ht="15" customHeight="1" x14ac:dyDescent="0.25">
      <c r="N9576" t="s">
        <v>715</v>
      </c>
    </row>
    <row r="9577" spans="14:14" ht="15" customHeight="1" x14ac:dyDescent="0.25">
      <c r="N9577" t="s">
        <v>715</v>
      </c>
    </row>
    <row r="9578" spans="14:14" ht="15" customHeight="1" x14ac:dyDescent="0.25">
      <c r="N9578" t="s">
        <v>715</v>
      </c>
    </row>
    <row r="9579" spans="14:14" ht="15" customHeight="1" x14ac:dyDescent="0.25">
      <c r="N9579" t="s">
        <v>715</v>
      </c>
    </row>
    <row r="9580" spans="14:14" ht="15" customHeight="1" x14ac:dyDescent="0.25">
      <c r="N9580" t="s">
        <v>715</v>
      </c>
    </row>
    <row r="9581" spans="14:14" ht="15" customHeight="1" x14ac:dyDescent="0.25">
      <c r="N9581" t="s">
        <v>715</v>
      </c>
    </row>
    <row r="9582" spans="14:14" ht="15" customHeight="1" x14ac:dyDescent="0.25">
      <c r="N9582" t="s">
        <v>715</v>
      </c>
    </row>
    <row r="9583" spans="14:14" ht="15" customHeight="1" x14ac:dyDescent="0.25">
      <c r="N9583" t="s">
        <v>715</v>
      </c>
    </row>
    <row r="9584" spans="14:14" ht="15" customHeight="1" x14ac:dyDescent="0.25">
      <c r="N9584" t="s">
        <v>715</v>
      </c>
    </row>
    <row r="9585" spans="14:14" ht="15" customHeight="1" x14ac:dyDescent="0.25">
      <c r="N9585" t="s">
        <v>715</v>
      </c>
    </row>
    <row r="9586" spans="14:14" ht="15" customHeight="1" x14ac:dyDescent="0.25">
      <c r="N9586" t="s">
        <v>715</v>
      </c>
    </row>
    <row r="9587" spans="14:14" ht="15" customHeight="1" x14ac:dyDescent="0.25">
      <c r="N9587" t="s">
        <v>715</v>
      </c>
    </row>
    <row r="9588" spans="14:14" ht="15" customHeight="1" x14ac:dyDescent="0.25">
      <c r="N9588" t="s">
        <v>715</v>
      </c>
    </row>
    <row r="9589" spans="14:14" ht="15" customHeight="1" x14ac:dyDescent="0.25">
      <c r="N9589" t="s">
        <v>715</v>
      </c>
    </row>
    <row r="9590" spans="14:14" ht="15" customHeight="1" x14ac:dyDescent="0.25">
      <c r="N9590" t="s">
        <v>715</v>
      </c>
    </row>
    <row r="9591" spans="14:14" ht="15" customHeight="1" x14ac:dyDescent="0.25">
      <c r="N9591" t="s">
        <v>715</v>
      </c>
    </row>
    <row r="9592" spans="14:14" ht="15" customHeight="1" x14ac:dyDescent="0.25">
      <c r="N9592" t="s">
        <v>715</v>
      </c>
    </row>
    <row r="9593" spans="14:14" ht="15" customHeight="1" x14ac:dyDescent="0.25">
      <c r="N9593" t="s">
        <v>715</v>
      </c>
    </row>
    <row r="9594" spans="14:14" ht="15" customHeight="1" x14ac:dyDescent="0.25">
      <c r="N9594" t="s">
        <v>690</v>
      </c>
    </row>
    <row r="9595" spans="14:14" ht="15" customHeight="1" x14ac:dyDescent="0.25">
      <c r="N9595" t="s">
        <v>715</v>
      </c>
    </row>
    <row r="9596" spans="14:14" ht="15" customHeight="1" x14ac:dyDescent="0.25">
      <c r="N9596" t="s">
        <v>555</v>
      </c>
    </row>
    <row r="9597" spans="14:14" ht="15" customHeight="1" x14ac:dyDescent="0.25">
      <c r="N9597" t="s">
        <v>606</v>
      </c>
    </row>
    <row r="9598" spans="14:14" ht="15" customHeight="1" x14ac:dyDescent="0.25">
      <c r="N9598" t="s">
        <v>408</v>
      </c>
    </row>
    <row r="9599" spans="14:14" ht="15" customHeight="1" x14ac:dyDescent="0.25">
      <c r="N9599" t="s">
        <v>713</v>
      </c>
    </row>
    <row r="9600" spans="14:14" ht="15" customHeight="1" x14ac:dyDescent="0.25">
      <c r="N9600" t="s">
        <v>713</v>
      </c>
    </row>
    <row r="9601" spans="14:14" ht="15" customHeight="1" x14ac:dyDescent="0.25">
      <c r="N9601" t="s">
        <v>715</v>
      </c>
    </row>
    <row r="9602" spans="14:14" ht="15" customHeight="1" x14ac:dyDescent="0.25">
      <c r="N9602" t="s">
        <v>558</v>
      </c>
    </row>
    <row r="9603" spans="14:14" ht="15" customHeight="1" x14ac:dyDescent="0.25">
      <c r="N9603" t="s">
        <v>713</v>
      </c>
    </row>
    <row r="9604" spans="14:14" ht="15" customHeight="1" x14ac:dyDescent="0.25">
      <c r="N9604" t="s">
        <v>713</v>
      </c>
    </row>
    <row r="9605" spans="14:14" ht="15" customHeight="1" x14ac:dyDescent="0.25">
      <c r="N9605" t="s">
        <v>686</v>
      </c>
    </row>
    <row r="9606" spans="14:14" ht="15" customHeight="1" x14ac:dyDescent="0.25">
      <c r="N9606" t="s">
        <v>715</v>
      </c>
    </row>
    <row r="9607" spans="14:14" ht="15" customHeight="1" x14ac:dyDescent="0.25">
      <c r="N9607" t="s">
        <v>689</v>
      </c>
    </row>
    <row r="9608" spans="14:14" ht="15" customHeight="1" x14ac:dyDescent="0.25">
      <c r="N9608" t="s">
        <v>715</v>
      </c>
    </row>
    <row r="9609" spans="14:14" ht="15" customHeight="1" x14ac:dyDescent="0.25">
      <c r="N9609" t="s">
        <v>689</v>
      </c>
    </row>
    <row r="9610" spans="14:14" ht="15" customHeight="1" x14ac:dyDescent="0.25">
      <c r="N9610" t="s">
        <v>524</v>
      </c>
    </row>
    <row r="9611" spans="14:14" ht="15" customHeight="1" x14ac:dyDescent="0.25">
      <c r="N9611" t="s">
        <v>689</v>
      </c>
    </row>
    <row r="9612" spans="14:14" ht="15" customHeight="1" x14ac:dyDescent="0.25">
      <c r="N9612" t="s">
        <v>841</v>
      </c>
    </row>
    <row r="9613" spans="14:14" ht="15" customHeight="1" x14ac:dyDescent="0.25">
      <c r="N9613" t="s">
        <v>828</v>
      </c>
    </row>
    <row r="9614" spans="14:14" ht="15" customHeight="1" x14ac:dyDescent="0.25">
      <c r="N9614" t="s">
        <v>715</v>
      </c>
    </row>
    <row r="9615" spans="14:14" ht="15" customHeight="1" x14ac:dyDescent="0.25">
      <c r="N9615" t="s">
        <v>925</v>
      </c>
    </row>
    <row r="9616" spans="14:14" ht="15" customHeight="1" x14ac:dyDescent="0.25">
      <c r="N9616" t="s">
        <v>690</v>
      </c>
    </row>
    <row r="9617" spans="14:14" ht="15" customHeight="1" x14ac:dyDescent="0.25">
      <c r="N9617" t="s">
        <v>690</v>
      </c>
    </row>
    <row r="9618" spans="14:14" ht="15" customHeight="1" x14ac:dyDescent="0.25">
      <c r="N9618" t="s">
        <v>713</v>
      </c>
    </row>
    <row r="9619" spans="14:14" ht="15" customHeight="1" x14ac:dyDescent="0.25">
      <c r="N9619" t="s">
        <v>663</v>
      </c>
    </row>
    <row r="9620" spans="14:14" ht="15" customHeight="1" x14ac:dyDescent="0.25">
      <c r="N9620" t="s">
        <v>713</v>
      </c>
    </row>
    <row r="9621" spans="14:14" ht="15" customHeight="1" x14ac:dyDescent="0.25">
      <c r="N9621" t="s">
        <v>713</v>
      </c>
    </row>
    <row r="9622" spans="14:14" ht="15" customHeight="1" x14ac:dyDescent="0.25">
      <c r="N9622" t="s">
        <v>927</v>
      </c>
    </row>
    <row r="9623" spans="14:14" ht="15" customHeight="1" x14ac:dyDescent="0.25">
      <c r="N9623" t="s">
        <v>294</v>
      </c>
    </row>
    <row r="9624" spans="14:14" ht="15" customHeight="1" x14ac:dyDescent="0.25">
      <c r="N9624" t="s">
        <v>294</v>
      </c>
    </row>
    <row r="9625" spans="14:14" ht="15" customHeight="1" x14ac:dyDescent="0.25">
      <c r="N9625" t="s">
        <v>294</v>
      </c>
    </row>
    <row r="9626" spans="14:14" ht="15" customHeight="1" x14ac:dyDescent="0.25">
      <c r="N9626" t="s">
        <v>294</v>
      </c>
    </row>
    <row r="9627" spans="14:14" ht="15" customHeight="1" x14ac:dyDescent="0.25">
      <c r="N9627" t="s">
        <v>715</v>
      </c>
    </row>
    <row r="9628" spans="14:14" ht="15" customHeight="1" x14ac:dyDescent="0.25">
      <c r="N9628" t="s">
        <v>715</v>
      </c>
    </row>
    <row r="9629" spans="14:14" ht="15" customHeight="1" x14ac:dyDescent="0.25">
      <c r="N9629" t="s">
        <v>715</v>
      </c>
    </row>
    <row r="9630" spans="14:14" ht="15" customHeight="1" x14ac:dyDescent="0.25">
      <c r="N9630" t="s">
        <v>715</v>
      </c>
    </row>
    <row r="9631" spans="14:14" ht="15" customHeight="1" x14ac:dyDescent="0.25">
      <c r="N9631" t="s">
        <v>715</v>
      </c>
    </row>
    <row r="9632" spans="14:14" ht="15" customHeight="1" x14ac:dyDescent="0.25">
      <c r="N9632" t="s">
        <v>715</v>
      </c>
    </row>
    <row r="9633" spans="14:14" ht="15" customHeight="1" x14ac:dyDescent="0.25">
      <c r="N9633" t="s">
        <v>715</v>
      </c>
    </row>
    <row r="9634" spans="14:14" ht="15" customHeight="1" x14ac:dyDescent="0.25">
      <c r="N9634" t="s">
        <v>715</v>
      </c>
    </row>
    <row r="9635" spans="14:14" ht="15" customHeight="1" x14ac:dyDescent="0.25">
      <c r="N9635" t="s">
        <v>715</v>
      </c>
    </row>
    <row r="9636" spans="14:14" ht="15" customHeight="1" x14ac:dyDescent="0.25">
      <c r="N9636" t="s">
        <v>715</v>
      </c>
    </row>
    <row r="9637" spans="14:14" ht="15" customHeight="1" x14ac:dyDescent="0.25">
      <c r="N9637" t="s">
        <v>715</v>
      </c>
    </row>
    <row r="9638" spans="14:14" ht="15" customHeight="1" x14ac:dyDescent="0.25">
      <c r="N9638" t="s">
        <v>715</v>
      </c>
    </row>
    <row r="9639" spans="14:14" ht="15" customHeight="1" x14ac:dyDescent="0.25">
      <c r="N9639" t="s">
        <v>715</v>
      </c>
    </row>
    <row r="9640" spans="14:14" ht="15" customHeight="1" x14ac:dyDescent="0.25">
      <c r="N9640" t="s">
        <v>715</v>
      </c>
    </row>
    <row r="9641" spans="14:14" ht="15" customHeight="1" x14ac:dyDescent="0.25">
      <c r="N9641" t="s">
        <v>582</v>
      </c>
    </row>
    <row r="9642" spans="14:14" ht="15" customHeight="1" x14ac:dyDescent="0.25">
      <c r="N9642" t="s">
        <v>582</v>
      </c>
    </row>
    <row r="9643" spans="14:14" ht="15" customHeight="1" x14ac:dyDescent="0.25">
      <c r="N9643" t="s">
        <v>582</v>
      </c>
    </row>
    <row r="9644" spans="14:14" ht="15" customHeight="1" x14ac:dyDescent="0.25">
      <c r="N9644" t="s">
        <v>582</v>
      </c>
    </row>
    <row r="9645" spans="14:14" ht="15" customHeight="1" x14ac:dyDescent="0.25">
      <c r="N9645" t="s">
        <v>582</v>
      </c>
    </row>
    <row r="9646" spans="14:14" ht="15" customHeight="1" x14ac:dyDescent="0.25">
      <c r="N9646" t="s">
        <v>582</v>
      </c>
    </row>
    <row r="9647" spans="14:14" ht="15" customHeight="1" x14ac:dyDescent="0.25">
      <c r="N9647" t="s">
        <v>582</v>
      </c>
    </row>
    <row r="9648" spans="14:14" ht="15" customHeight="1" x14ac:dyDescent="0.25">
      <c r="N9648" t="s">
        <v>747</v>
      </c>
    </row>
    <row r="9649" spans="14:14" ht="15" customHeight="1" x14ac:dyDescent="0.25">
      <c r="N9649" t="s">
        <v>747</v>
      </c>
    </row>
    <row r="9650" spans="14:14" ht="15" customHeight="1" x14ac:dyDescent="0.25">
      <c r="N9650" t="s">
        <v>747</v>
      </c>
    </row>
    <row r="9651" spans="14:14" ht="15" customHeight="1" x14ac:dyDescent="0.25">
      <c r="N9651" t="s">
        <v>747</v>
      </c>
    </row>
    <row r="9652" spans="14:14" ht="15" customHeight="1" x14ac:dyDescent="0.25">
      <c r="N9652" t="s">
        <v>747</v>
      </c>
    </row>
    <row r="9653" spans="14:14" ht="15" customHeight="1" x14ac:dyDescent="0.25">
      <c r="N9653" t="s">
        <v>735</v>
      </c>
    </row>
    <row r="9654" spans="14:14" ht="15" customHeight="1" x14ac:dyDescent="0.25">
      <c r="N9654" t="s">
        <v>709</v>
      </c>
    </row>
    <row r="9655" spans="14:14" ht="15" customHeight="1" x14ac:dyDescent="0.25">
      <c r="N9655" t="s">
        <v>709</v>
      </c>
    </row>
    <row r="9656" spans="14:14" ht="15" customHeight="1" x14ac:dyDescent="0.25">
      <c r="N9656" t="s">
        <v>709</v>
      </c>
    </row>
    <row r="9657" spans="14:14" ht="15" customHeight="1" x14ac:dyDescent="0.25">
      <c r="N9657" t="s">
        <v>709</v>
      </c>
    </row>
    <row r="9658" spans="14:14" ht="15" customHeight="1" x14ac:dyDescent="0.25">
      <c r="N9658" t="s">
        <v>582</v>
      </c>
    </row>
    <row r="9659" spans="14:14" ht="15" customHeight="1" x14ac:dyDescent="0.25">
      <c r="N9659" t="s">
        <v>715</v>
      </c>
    </row>
    <row r="9660" spans="14:14" ht="15" customHeight="1" x14ac:dyDescent="0.25">
      <c r="N9660" t="s">
        <v>715</v>
      </c>
    </row>
    <row r="9661" spans="14:14" ht="15" customHeight="1" x14ac:dyDescent="0.25">
      <c r="N9661" t="s">
        <v>698</v>
      </c>
    </row>
    <row r="9662" spans="14:14" ht="15" customHeight="1" x14ac:dyDescent="0.25">
      <c r="N9662" t="s">
        <v>715</v>
      </c>
    </row>
    <row r="9663" spans="14:14" ht="15" customHeight="1" x14ac:dyDescent="0.25">
      <c r="N9663" t="s">
        <v>341</v>
      </c>
    </row>
    <row r="9664" spans="14:14" ht="15" customHeight="1" x14ac:dyDescent="0.25">
      <c r="N9664" t="s">
        <v>435</v>
      </c>
    </row>
    <row r="9665" spans="14:14" ht="15" customHeight="1" x14ac:dyDescent="0.25">
      <c r="N9665" t="s">
        <v>655</v>
      </c>
    </row>
    <row r="9666" spans="14:14" ht="15" customHeight="1" x14ac:dyDescent="0.25">
      <c r="N9666" t="s">
        <v>746</v>
      </c>
    </row>
    <row r="9667" spans="14:14" ht="15" customHeight="1" x14ac:dyDescent="0.25">
      <c r="N9667" t="s">
        <v>715</v>
      </c>
    </row>
    <row r="9668" spans="14:14" ht="15" customHeight="1" x14ac:dyDescent="0.25">
      <c r="N9668" t="s">
        <v>582</v>
      </c>
    </row>
    <row r="9669" spans="14:14" ht="15" customHeight="1" x14ac:dyDescent="0.25">
      <c r="N9669" t="s">
        <v>715</v>
      </c>
    </row>
    <row r="9670" spans="14:14" ht="15" customHeight="1" x14ac:dyDescent="0.25">
      <c r="N9670" t="s">
        <v>740</v>
      </c>
    </row>
    <row r="9671" spans="14:14" ht="15" customHeight="1" x14ac:dyDescent="0.25">
      <c r="N9671" t="s">
        <v>690</v>
      </c>
    </row>
    <row r="9672" spans="14:14" ht="15" customHeight="1" x14ac:dyDescent="0.25">
      <c r="N9672" t="s">
        <v>715</v>
      </c>
    </row>
    <row r="9673" spans="14:14" ht="15" customHeight="1" x14ac:dyDescent="0.25">
      <c r="N9673" t="s">
        <v>715</v>
      </c>
    </row>
    <row r="9674" spans="14:14" ht="15" customHeight="1" x14ac:dyDescent="0.25">
      <c r="N9674" t="s">
        <v>715</v>
      </c>
    </row>
    <row r="9675" spans="14:14" ht="15" customHeight="1" x14ac:dyDescent="0.25">
      <c r="N9675" t="s">
        <v>715</v>
      </c>
    </row>
    <row r="9676" spans="14:14" ht="15" customHeight="1" x14ac:dyDescent="0.25">
      <c r="N9676" t="s">
        <v>715</v>
      </c>
    </row>
    <row r="9677" spans="14:14" ht="15" customHeight="1" x14ac:dyDescent="0.25">
      <c r="N9677" t="s">
        <v>715</v>
      </c>
    </row>
    <row r="9678" spans="14:14" ht="15" customHeight="1" x14ac:dyDescent="0.25">
      <c r="N9678" t="s">
        <v>715</v>
      </c>
    </row>
    <row r="9679" spans="14:14" ht="15" customHeight="1" x14ac:dyDescent="0.25">
      <c r="N9679" t="s">
        <v>715</v>
      </c>
    </row>
    <row r="9680" spans="14:14" ht="15" customHeight="1" x14ac:dyDescent="0.25">
      <c r="N9680" t="s">
        <v>715</v>
      </c>
    </row>
    <row r="9681" spans="14:14" ht="15" customHeight="1" x14ac:dyDescent="0.25">
      <c r="N9681" t="s">
        <v>715</v>
      </c>
    </row>
    <row r="9682" spans="14:14" ht="15" customHeight="1" x14ac:dyDescent="0.25">
      <c r="N9682" t="s">
        <v>715</v>
      </c>
    </row>
    <row r="9683" spans="14:14" ht="15" customHeight="1" x14ac:dyDescent="0.25">
      <c r="N9683" t="s">
        <v>715</v>
      </c>
    </row>
    <row r="9684" spans="14:14" ht="15" customHeight="1" x14ac:dyDescent="0.25">
      <c r="N9684" t="s">
        <v>715</v>
      </c>
    </row>
    <row r="9685" spans="14:14" ht="15" customHeight="1" x14ac:dyDescent="0.25">
      <c r="N9685" t="s">
        <v>715</v>
      </c>
    </row>
    <row r="9686" spans="14:14" ht="15" customHeight="1" x14ac:dyDescent="0.25">
      <c r="N9686" t="s">
        <v>715</v>
      </c>
    </row>
    <row r="9687" spans="14:14" ht="15" customHeight="1" x14ac:dyDescent="0.25">
      <c r="N9687" t="s">
        <v>715</v>
      </c>
    </row>
    <row r="9688" spans="14:14" ht="15" customHeight="1" x14ac:dyDescent="0.25">
      <c r="N9688" t="s">
        <v>715</v>
      </c>
    </row>
    <row r="9689" spans="14:14" ht="15" customHeight="1" x14ac:dyDescent="0.25">
      <c r="N9689" t="s">
        <v>715</v>
      </c>
    </row>
    <row r="9690" spans="14:14" ht="15" customHeight="1" x14ac:dyDescent="0.25">
      <c r="N9690" t="s">
        <v>715</v>
      </c>
    </row>
    <row r="9691" spans="14:14" ht="15" customHeight="1" x14ac:dyDescent="0.25">
      <c r="N9691" t="s">
        <v>715</v>
      </c>
    </row>
    <row r="9692" spans="14:14" ht="15" customHeight="1" x14ac:dyDescent="0.25">
      <c r="N9692" t="s">
        <v>715</v>
      </c>
    </row>
    <row r="9693" spans="14:14" ht="15" customHeight="1" x14ac:dyDescent="0.25">
      <c r="N9693" t="s">
        <v>715</v>
      </c>
    </row>
    <row r="9694" spans="14:14" ht="15" customHeight="1" x14ac:dyDescent="0.25">
      <c r="N9694" t="s">
        <v>715</v>
      </c>
    </row>
    <row r="9695" spans="14:14" ht="15" customHeight="1" x14ac:dyDescent="0.25">
      <c r="N9695" t="s">
        <v>715</v>
      </c>
    </row>
    <row r="9696" spans="14:14" ht="15" customHeight="1" x14ac:dyDescent="0.25">
      <c r="N9696" t="s">
        <v>715</v>
      </c>
    </row>
    <row r="9697" spans="14:14" ht="15" customHeight="1" x14ac:dyDescent="0.25">
      <c r="N9697" t="s">
        <v>715</v>
      </c>
    </row>
    <row r="9698" spans="14:14" ht="15" customHeight="1" x14ac:dyDescent="0.25">
      <c r="N9698" t="s">
        <v>715</v>
      </c>
    </row>
    <row r="9699" spans="14:14" ht="15" customHeight="1" x14ac:dyDescent="0.25">
      <c r="N9699" t="s">
        <v>690</v>
      </c>
    </row>
    <row r="9700" spans="14:14" ht="15" customHeight="1" x14ac:dyDescent="0.25">
      <c r="N9700" t="s">
        <v>715</v>
      </c>
    </row>
    <row r="9701" spans="14:14" ht="15" customHeight="1" x14ac:dyDescent="0.25">
      <c r="N9701" t="s">
        <v>715</v>
      </c>
    </row>
    <row r="9702" spans="14:14" ht="15" customHeight="1" x14ac:dyDescent="0.25">
      <c r="N9702" t="s">
        <v>606</v>
      </c>
    </row>
    <row r="9703" spans="14:14" ht="15" customHeight="1" x14ac:dyDescent="0.25">
      <c r="N9703" t="s">
        <v>603</v>
      </c>
    </row>
    <row r="9704" spans="14:14" ht="15" customHeight="1" x14ac:dyDescent="0.25">
      <c r="N9704" t="s">
        <v>412</v>
      </c>
    </row>
    <row r="9705" spans="14:14" ht="15" customHeight="1" x14ac:dyDescent="0.25">
      <c r="N9705" t="s">
        <v>713</v>
      </c>
    </row>
    <row r="9706" spans="14:14" ht="15" customHeight="1" x14ac:dyDescent="0.25">
      <c r="N9706" t="s">
        <v>713</v>
      </c>
    </row>
    <row r="9707" spans="14:14" ht="15" customHeight="1" x14ac:dyDescent="0.25">
      <c r="N9707" t="s">
        <v>686</v>
      </c>
    </row>
    <row r="9708" spans="14:14" ht="15" customHeight="1" x14ac:dyDescent="0.25">
      <c r="N9708" t="s">
        <v>715</v>
      </c>
    </row>
    <row r="9709" spans="14:14" ht="15" customHeight="1" x14ac:dyDescent="0.25">
      <c r="N9709" t="s">
        <v>715</v>
      </c>
    </row>
    <row r="9710" spans="14:14" ht="15" customHeight="1" x14ac:dyDescent="0.25">
      <c r="N9710" t="s">
        <v>715</v>
      </c>
    </row>
    <row r="9711" spans="14:14" ht="15" customHeight="1" x14ac:dyDescent="0.25">
      <c r="N9711" t="s">
        <v>715</v>
      </c>
    </row>
    <row r="9712" spans="14:14" ht="15" customHeight="1" x14ac:dyDescent="0.25">
      <c r="N9712" t="s">
        <v>715</v>
      </c>
    </row>
    <row r="9713" spans="14:14" ht="15" customHeight="1" x14ac:dyDescent="0.25">
      <c r="N9713" t="s">
        <v>842</v>
      </c>
    </row>
    <row r="9714" spans="14:14" ht="15" customHeight="1" x14ac:dyDescent="0.25">
      <c r="N9714" t="s">
        <v>828</v>
      </c>
    </row>
    <row r="9715" spans="14:14" ht="15" customHeight="1" x14ac:dyDescent="0.25">
      <c r="N9715" t="s">
        <v>925</v>
      </c>
    </row>
    <row r="9716" spans="14:14" ht="15" customHeight="1" x14ac:dyDescent="0.25">
      <c r="N9716" t="s">
        <v>713</v>
      </c>
    </row>
    <row r="9717" spans="14:14" ht="15" customHeight="1" x14ac:dyDescent="0.25">
      <c r="N9717" t="s">
        <v>713</v>
      </c>
    </row>
    <row r="9718" spans="14:14" ht="15" customHeight="1" x14ac:dyDescent="0.25">
      <c r="N9718" t="s">
        <v>582</v>
      </c>
    </row>
    <row r="9719" spans="14:14" ht="15" customHeight="1" x14ac:dyDescent="0.25">
      <c r="N9719" t="s">
        <v>294</v>
      </c>
    </row>
    <row r="9720" spans="14:14" ht="15" customHeight="1" x14ac:dyDescent="0.25">
      <c r="N9720" t="s">
        <v>294</v>
      </c>
    </row>
    <row r="9721" spans="14:14" ht="15" customHeight="1" x14ac:dyDescent="0.25">
      <c r="N9721" t="s">
        <v>294</v>
      </c>
    </row>
    <row r="9722" spans="14:14" ht="15" customHeight="1" x14ac:dyDescent="0.25">
      <c r="N9722" t="s">
        <v>294</v>
      </c>
    </row>
    <row r="9723" spans="14:14" ht="15" customHeight="1" x14ac:dyDescent="0.25">
      <c r="N9723" t="s">
        <v>715</v>
      </c>
    </row>
    <row r="9724" spans="14:14" ht="15" customHeight="1" x14ac:dyDescent="0.25">
      <c r="N9724" t="s">
        <v>582</v>
      </c>
    </row>
    <row r="9725" spans="14:14" ht="15" customHeight="1" x14ac:dyDescent="0.25">
      <c r="N9725" t="s">
        <v>698</v>
      </c>
    </row>
    <row r="9726" spans="14:14" ht="15" customHeight="1" x14ac:dyDescent="0.25">
      <c r="N9726" t="s">
        <v>342</v>
      </c>
    </row>
    <row r="9727" spans="14:14" ht="15" customHeight="1" x14ac:dyDescent="0.25">
      <c r="N9727" t="s">
        <v>320</v>
      </c>
    </row>
    <row r="9728" spans="14:14" ht="15" customHeight="1" x14ac:dyDescent="0.25">
      <c r="N9728" t="s">
        <v>655</v>
      </c>
    </row>
    <row r="9729" spans="14:14" ht="15" customHeight="1" x14ac:dyDescent="0.25">
      <c r="N9729" t="s">
        <v>582</v>
      </c>
    </row>
    <row r="9730" spans="14:14" ht="15" customHeight="1" x14ac:dyDescent="0.25">
      <c r="N9730" t="s">
        <v>690</v>
      </c>
    </row>
    <row r="9731" spans="14:14" ht="15" customHeight="1" x14ac:dyDescent="0.25">
      <c r="N9731" t="s">
        <v>715</v>
      </c>
    </row>
    <row r="9732" spans="14:14" ht="15" customHeight="1" x14ac:dyDescent="0.25">
      <c r="N9732" t="s">
        <v>715</v>
      </c>
    </row>
    <row r="9733" spans="14:14" ht="15" customHeight="1" x14ac:dyDescent="0.25">
      <c r="N9733" t="s">
        <v>715</v>
      </c>
    </row>
    <row r="9734" spans="14:14" ht="15" customHeight="1" x14ac:dyDescent="0.25">
      <c r="N9734" t="s">
        <v>715</v>
      </c>
    </row>
    <row r="9735" spans="14:14" ht="15" customHeight="1" x14ac:dyDescent="0.25">
      <c r="N9735" t="s">
        <v>715</v>
      </c>
    </row>
    <row r="9736" spans="14:14" ht="15" customHeight="1" x14ac:dyDescent="0.25">
      <c r="N9736" t="s">
        <v>715</v>
      </c>
    </row>
    <row r="9737" spans="14:14" ht="15" customHeight="1" x14ac:dyDescent="0.25">
      <c r="N9737" t="s">
        <v>715</v>
      </c>
    </row>
    <row r="9738" spans="14:14" ht="15" customHeight="1" x14ac:dyDescent="0.25">
      <c r="N9738" t="s">
        <v>715</v>
      </c>
    </row>
    <row r="9739" spans="14:14" ht="15" customHeight="1" x14ac:dyDescent="0.25">
      <c r="N9739" t="s">
        <v>715</v>
      </c>
    </row>
    <row r="9740" spans="14:14" ht="15" customHeight="1" x14ac:dyDescent="0.25">
      <c r="N9740" t="s">
        <v>715</v>
      </c>
    </row>
    <row r="9741" spans="14:14" ht="15" customHeight="1" x14ac:dyDescent="0.25">
      <c r="N9741" t="s">
        <v>715</v>
      </c>
    </row>
    <row r="9742" spans="14:14" ht="15" customHeight="1" x14ac:dyDescent="0.25">
      <c r="N9742" t="s">
        <v>715</v>
      </c>
    </row>
    <row r="9743" spans="14:14" ht="15" customHeight="1" x14ac:dyDescent="0.25">
      <c r="N9743" t="s">
        <v>715</v>
      </c>
    </row>
    <row r="9744" spans="14:14" ht="15" customHeight="1" x14ac:dyDescent="0.25">
      <c r="N9744" t="s">
        <v>715</v>
      </c>
    </row>
    <row r="9745" spans="14:14" ht="15" customHeight="1" x14ac:dyDescent="0.25">
      <c r="N9745" t="s">
        <v>715</v>
      </c>
    </row>
    <row r="9746" spans="14:14" ht="15" customHeight="1" x14ac:dyDescent="0.25">
      <c r="N9746" t="s">
        <v>715</v>
      </c>
    </row>
    <row r="9747" spans="14:14" ht="15" customHeight="1" x14ac:dyDescent="0.25">
      <c r="N9747" t="s">
        <v>715</v>
      </c>
    </row>
    <row r="9748" spans="14:14" ht="15" customHeight="1" x14ac:dyDescent="0.25">
      <c r="N9748" t="s">
        <v>715</v>
      </c>
    </row>
    <row r="9749" spans="14:14" ht="15" customHeight="1" x14ac:dyDescent="0.25">
      <c r="N9749" t="s">
        <v>715</v>
      </c>
    </row>
    <row r="9750" spans="14:14" ht="15" customHeight="1" x14ac:dyDescent="0.25">
      <c r="N9750" t="s">
        <v>715</v>
      </c>
    </row>
    <row r="9751" spans="14:14" ht="15" customHeight="1" x14ac:dyDescent="0.25">
      <c r="N9751" t="s">
        <v>715</v>
      </c>
    </row>
    <row r="9752" spans="14:14" ht="15" customHeight="1" x14ac:dyDescent="0.25">
      <c r="N9752" t="s">
        <v>715</v>
      </c>
    </row>
    <row r="9753" spans="14:14" ht="15" customHeight="1" x14ac:dyDescent="0.25">
      <c r="N9753" t="s">
        <v>715</v>
      </c>
    </row>
    <row r="9754" spans="14:14" ht="15" customHeight="1" x14ac:dyDescent="0.25">
      <c r="N9754" t="s">
        <v>715</v>
      </c>
    </row>
    <row r="9755" spans="14:14" ht="15" customHeight="1" x14ac:dyDescent="0.25">
      <c r="N9755" t="s">
        <v>715</v>
      </c>
    </row>
    <row r="9756" spans="14:14" ht="15" customHeight="1" x14ac:dyDescent="0.25">
      <c r="N9756" t="s">
        <v>715</v>
      </c>
    </row>
    <row r="9757" spans="14:14" ht="15" customHeight="1" x14ac:dyDescent="0.25">
      <c r="N9757" t="s">
        <v>715</v>
      </c>
    </row>
    <row r="9758" spans="14:14" ht="15" customHeight="1" x14ac:dyDescent="0.25">
      <c r="N9758" t="s">
        <v>690</v>
      </c>
    </row>
    <row r="9759" spans="14:14" ht="15" customHeight="1" x14ac:dyDescent="0.25">
      <c r="N9759" t="s">
        <v>715</v>
      </c>
    </row>
    <row r="9760" spans="14:14" ht="15" customHeight="1" x14ac:dyDescent="0.25">
      <c r="N9760" t="s">
        <v>376</v>
      </c>
    </row>
    <row r="9761" spans="14:14" ht="15" customHeight="1" x14ac:dyDescent="0.25">
      <c r="N9761" t="s">
        <v>713</v>
      </c>
    </row>
    <row r="9762" spans="14:14" ht="15" customHeight="1" x14ac:dyDescent="0.25">
      <c r="N9762" t="s">
        <v>411</v>
      </c>
    </row>
    <row r="9763" spans="14:14" ht="15" customHeight="1" x14ac:dyDescent="0.25">
      <c r="N9763" t="s">
        <v>687</v>
      </c>
    </row>
    <row r="9764" spans="14:14" ht="15" customHeight="1" x14ac:dyDescent="0.25">
      <c r="N9764" t="s">
        <v>689</v>
      </c>
    </row>
    <row r="9765" spans="14:14" ht="15" customHeight="1" x14ac:dyDescent="0.25">
      <c r="N9765" t="s">
        <v>715</v>
      </c>
    </row>
    <row r="9766" spans="14:14" ht="15" customHeight="1" x14ac:dyDescent="0.25">
      <c r="N9766" t="s">
        <v>715</v>
      </c>
    </row>
    <row r="9767" spans="14:14" ht="15" customHeight="1" x14ac:dyDescent="0.25">
      <c r="N9767" t="s">
        <v>715</v>
      </c>
    </row>
    <row r="9768" spans="14:14" ht="15" customHeight="1" x14ac:dyDescent="0.25">
      <c r="N9768" t="s">
        <v>715</v>
      </c>
    </row>
    <row r="9769" spans="14:14" ht="15" customHeight="1" x14ac:dyDescent="0.25">
      <c r="N9769" t="s">
        <v>690</v>
      </c>
    </row>
    <row r="9770" spans="14:14" ht="15" customHeight="1" x14ac:dyDescent="0.25">
      <c r="N9770" t="s">
        <v>690</v>
      </c>
    </row>
    <row r="9771" spans="14:14" ht="15" customHeight="1" x14ac:dyDescent="0.25">
      <c r="N9771" t="s">
        <v>930</v>
      </c>
    </row>
    <row r="9772" spans="14:14" ht="15" customHeight="1" x14ac:dyDescent="0.25">
      <c r="N9772" t="s">
        <v>686</v>
      </c>
    </row>
    <row r="9773" spans="14:14" ht="15" customHeight="1" x14ac:dyDescent="0.25">
      <c r="N9773" t="s">
        <v>686</v>
      </c>
    </row>
    <row r="9774" spans="14:14" ht="15" customHeight="1" x14ac:dyDescent="0.25">
      <c r="N9774" t="s">
        <v>636</v>
      </c>
    </row>
    <row r="9775" spans="14:14" ht="15" customHeight="1" x14ac:dyDescent="0.25">
      <c r="N9775" t="s">
        <v>403</v>
      </c>
    </row>
    <row r="9776" spans="14:14" ht="15" customHeight="1" x14ac:dyDescent="0.25">
      <c r="N9776" t="s">
        <v>403</v>
      </c>
    </row>
    <row r="9777" spans="14:14" ht="15" customHeight="1" x14ac:dyDescent="0.25">
      <c r="N9777" t="s">
        <v>403</v>
      </c>
    </row>
    <row r="9778" spans="14:14" ht="15" customHeight="1" x14ac:dyDescent="0.25">
      <c r="N9778" t="s">
        <v>403</v>
      </c>
    </row>
    <row r="9779" spans="14:14" ht="15" customHeight="1" x14ac:dyDescent="0.25">
      <c r="N9779" t="s">
        <v>403</v>
      </c>
    </row>
    <row r="9780" spans="14:14" ht="15" customHeight="1" x14ac:dyDescent="0.25">
      <c r="N9780" t="s">
        <v>403</v>
      </c>
    </row>
    <row r="9781" spans="14:14" ht="15" customHeight="1" x14ac:dyDescent="0.25">
      <c r="N9781" t="s">
        <v>403</v>
      </c>
    </row>
    <row r="9782" spans="14:14" ht="15" customHeight="1" x14ac:dyDescent="0.25">
      <c r="N9782" t="s">
        <v>715</v>
      </c>
    </row>
    <row r="9783" spans="14:14" ht="15" customHeight="1" x14ac:dyDescent="0.25">
      <c r="N9783" t="s">
        <v>698</v>
      </c>
    </row>
    <row r="9784" spans="14:14" ht="15" customHeight="1" x14ac:dyDescent="0.25">
      <c r="N9784" t="s">
        <v>733</v>
      </c>
    </row>
    <row r="9785" spans="14:14" ht="15" customHeight="1" x14ac:dyDescent="0.25">
      <c r="N9785" t="s">
        <v>715</v>
      </c>
    </row>
    <row r="9786" spans="14:14" ht="15" customHeight="1" x14ac:dyDescent="0.25">
      <c r="N9786" t="s">
        <v>715</v>
      </c>
    </row>
    <row r="9787" spans="14:14" ht="15" customHeight="1" x14ac:dyDescent="0.25">
      <c r="N9787" t="s">
        <v>690</v>
      </c>
    </row>
    <row r="9788" spans="14:14" ht="15" customHeight="1" x14ac:dyDescent="0.25">
      <c r="N9788" t="s">
        <v>686</v>
      </c>
    </row>
    <row r="9789" spans="14:14" ht="15" customHeight="1" x14ac:dyDescent="0.25">
      <c r="N9789" t="s">
        <v>405</v>
      </c>
    </row>
    <row r="9790" spans="14:14" ht="15" customHeight="1" x14ac:dyDescent="0.25">
      <c r="N9790" t="s">
        <v>687</v>
      </c>
    </row>
    <row r="9791" spans="14:14" ht="15" customHeight="1" x14ac:dyDescent="0.25">
      <c r="N9791" t="s">
        <v>715</v>
      </c>
    </row>
    <row r="9792" spans="14:14" ht="15" customHeight="1" x14ac:dyDescent="0.25">
      <c r="N9792" t="s">
        <v>732</v>
      </c>
    </row>
    <row r="9793" spans="14:14" ht="15" customHeight="1" x14ac:dyDescent="0.25">
      <c r="N9793" t="s">
        <v>686</v>
      </c>
    </row>
    <row r="9794" spans="14:14" ht="15" customHeight="1" x14ac:dyDescent="0.25">
      <c r="N9794" t="s">
        <v>686</v>
      </c>
    </row>
    <row r="9795" spans="14:14" ht="15" customHeight="1" x14ac:dyDescent="0.25">
      <c r="N9795" t="s">
        <v>732</v>
      </c>
    </row>
    <row r="9796" spans="14:14" ht="15" customHeight="1" x14ac:dyDescent="0.25">
      <c r="N9796" t="s">
        <v>732</v>
      </c>
    </row>
    <row r="9797" spans="14:14" ht="15" customHeight="1" x14ac:dyDescent="0.25">
      <c r="N9797" t="s">
        <v>655</v>
      </c>
    </row>
    <row r="9798" spans="14:14" ht="15" customHeight="1" x14ac:dyDescent="0.25">
      <c r="N9798" t="s">
        <v>406</v>
      </c>
    </row>
    <row r="9799" spans="14:14" ht="15" customHeight="1" x14ac:dyDescent="0.25">
      <c r="N9799" t="s">
        <v>634</v>
      </c>
    </row>
    <row r="9800" spans="14:14" ht="15" customHeight="1" x14ac:dyDescent="0.25">
      <c r="N9800" t="s">
        <v>686</v>
      </c>
    </row>
    <row r="9801" spans="14:14" ht="15" customHeight="1" x14ac:dyDescent="0.25">
      <c r="N9801" t="s">
        <v>686</v>
      </c>
    </row>
    <row r="9802" spans="14:14" ht="15" customHeight="1" x14ac:dyDescent="0.25">
      <c r="N9802" t="s">
        <v>294</v>
      </c>
    </row>
    <row r="9803" spans="14:14" ht="15" customHeight="1" x14ac:dyDescent="0.25">
      <c r="N9803" t="s">
        <v>732</v>
      </c>
    </row>
    <row r="9804" spans="14:14" ht="15" customHeight="1" x14ac:dyDescent="0.25">
      <c r="N9804" t="s">
        <v>732</v>
      </c>
    </row>
    <row r="9805" spans="14:14" ht="15" customHeight="1" x14ac:dyDescent="0.25">
      <c r="N9805" t="s">
        <v>435</v>
      </c>
    </row>
    <row r="9806" spans="14:14" ht="15" customHeight="1" x14ac:dyDescent="0.25">
      <c r="N9806" t="s">
        <v>655</v>
      </c>
    </row>
    <row r="9807" spans="14:14" ht="15" customHeight="1" x14ac:dyDescent="0.25">
      <c r="N9807" t="s">
        <v>732</v>
      </c>
    </row>
    <row r="9808" spans="14:14" ht="15" customHeight="1" x14ac:dyDescent="0.25">
      <c r="N9808" t="s">
        <v>313</v>
      </c>
    </row>
    <row r="9809" spans="14:14" ht="15" customHeight="1" x14ac:dyDescent="0.25">
      <c r="N9809" t="s">
        <v>646</v>
      </c>
    </row>
    <row r="9810" spans="14:14" ht="15" customHeight="1" x14ac:dyDescent="0.25">
      <c r="N9810" t="s">
        <v>683</v>
      </c>
    </row>
    <row r="9811" spans="14:14" ht="15" customHeight="1" x14ac:dyDescent="0.25">
      <c r="N9811" t="s">
        <v>690</v>
      </c>
    </row>
    <row r="9812" spans="14:14" ht="15" customHeight="1" x14ac:dyDescent="0.25">
      <c r="N9812" t="s">
        <v>690</v>
      </c>
    </row>
    <row r="9813" spans="14:14" ht="15" customHeight="1" x14ac:dyDescent="0.25">
      <c r="N9813" t="s">
        <v>555</v>
      </c>
    </row>
    <row r="9814" spans="14:14" ht="15" customHeight="1" x14ac:dyDescent="0.25">
      <c r="N9814" t="s">
        <v>458</v>
      </c>
    </row>
    <row r="9815" spans="14:14" ht="15" customHeight="1" x14ac:dyDescent="0.25">
      <c r="N9815" t="s">
        <v>294</v>
      </c>
    </row>
    <row r="9816" spans="14:14" ht="15" customHeight="1" x14ac:dyDescent="0.25">
      <c r="N9816" t="s">
        <v>843</v>
      </c>
    </row>
    <row r="9817" spans="14:14" ht="15" customHeight="1" x14ac:dyDescent="0.25">
      <c r="N9817" t="s">
        <v>843</v>
      </c>
    </row>
    <row r="9818" spans="14:14" ht="15" customHeight="1" x14ac:dyDescent="0.25">
      <c r="N9818" t="s">
        <v>690</v>
      </c>
    </row>
    <row r="9819" spans="14:14" ht="15" customHeight="1" x14ac:dyDescent="0.25">
      <c r="N9819" t="s">
        <v>582</v>
      </c>
    </row>
    <row r="9820" spans="14:14" ht="15" customHeight="1" x14ac:dyDescent="0.25">
      <c r="N9820" t="s">
        <v>698</v>
      </c>
    </row>
    <row r="9821" spans="14:14" ht="15" customHeight="1" x14ac:dyDescent="0.25">
      <c r="N9821" t="s">
        <v>313</v>
      </c>
    </row>
    <row r="9822" spans="14:14" ht="15" customHeight="1" x14ac:dyDescent="0.25">
      <c r="N9822" t="s">
        <v>646</v>
      </c>
    </row>
    <row r="9823" spans="14:14" ht="15" customHeight="1" x14ac:dyDescent="0.25">
      <c r="N9823" t="s">
        <v>636</v>
      </c>
    </row>
    <row r="9824" spans="14:14" ht="15" customHeight="1" x14ac:dyDescent="0.25">
      <c r="N9824" t="s">
        <v>636</v>
      </c>
    </row>
    <row r="9825" spans="14:14" ht="15" customHeight="1" x14ac:dyDescent="0.25">
      <c r="N9825" t="s">
        <v>636</v>
      </c>
    </row>
    <row r="9826" spans="14:14" ht="15" customHeight="1" x14ac:dyDescent="0.25">
      <c r="N9826" t="s">
        <v>636</v>
      </c>
    </row>
    <row r="9827" spans="14:14" ht="15" customHeight="1" x14ac:dyDescent="0.25">
      <c r="N9827" t="s">
        <v>636</v>
      </c>
    </row>
    <row r="9828" spans="14:14" ht="15" customHeight="1" x14ac:dyDescent="0.25">
      <c r="N9828" t="s">
        <v>636</v>
      </c>
    </row>
    <row r="9829" spans="14:14" ht="15" customHeight="1" x14ac:dyDescent="0.25">
      <c r="N9829" t="s">
        <v>636</v>
      </c>
    </row>
    <row r="9830" spans="14:14" ht="15" customHeight="1" x14ac:dyDescent="0.25">
      <c r="N9830" t="s">
        <v>636</v>
      </c>
    </row>
    <row r="9831" spans="14:14" ht="15" customHeight="1" x14ac:dyDescent="0.25">
      <c r="N9831" t="s">
        <v>683</v>
      </c>
    </row>
    <row r="9832" spans="14:14" ht="15" customHeight="1" x14ac:dyDescent="0.25">
      <c r="N9832" t="s">
        <v>294</v>
      </c>
    </row>
    <row r="9833" spans="14:14" ht="15" customHeight="1" x14ac:dyDescent="0.25">
      <c r="N9833" t="s">
        <v>933</v>
      </c>
    </row>
    <row r="9834" spans="14:14" ht="15" customHeight="1" x14ac:dyDescent="0.25">
      <c r="N9834" t="s">
        <v>636</v>
      </c>
    </row>
    <row r="9835" spans="14:14" ht="15" customHeight="1" x14ac:dyDescent="0.25">
      <c r="N9835" t="s">
        <v>448</v>
      </c>
    </row>
    <row r="9836" spans="14:14" ht="15" customHeight="1" x14ac:dyDescent="0.25">
      <c r="N9836" t="s">
        <v>448</v>
      </c>
    </row>
    <row r="9837" spans="14:14" ht="15" customHeight="1" x14ac:dyDescent="0.25">
      <c r="N9837" t="s">
        <v>448</v>
      </c>
    </row>
    <row r="9838" spans="14:14" ht="15" customHeight="1" x14ac:dyDescent="0.25">
      <c r="N9838" t="s">
        <v>448</v>
      </c>
    </row>
    <row r="9839" spans="14:14" ht="15" customHeight="1" x14ac:dyDescent="0.25">
      <c r="N9839" t="s">
        <v>448</v>
      </c>
    </row>
    <row r="9840" spans="14:14" ht="15" customHeight="1" x14ac:dyDescent="0.25">
      <c r="N9840" t="s">
        <v>448</v>
      </c>
    </row>
    <row r="9841" spans="14:14" ht="15" customHeight="1" x14ac:dyDescent="0.25">
      <c r="N9841" t="s">
        <v>448</v>
      </c>
    </row>
    <row r="9842" spans="14:14" ht="15" customHeight="1" x14ac:dyDescent="0.25">
      <c r="N9842" t="s">
        <v>448</v>
      </c>
    </row>
    <row r="9843" spans="14:14" ht="15" customHeight="1" x14ac:dyDescent="0.25">
      <c r="N9843" t="s">
        <v>448</v>
      </c>
    </row>
    <row r="9844" spans="14:14" ht="15" customHeight="1" x14ac:dyDescent="0.25">
      <c r="N9844" t="s">
        <v>448</v>
      </c>
    </row>
    <row r="9845" spans="14:14" ht="15" customHeight="1" x14ac:dyDescent="0.25">
      <c r="N9845" t="s">
        <v>448</v>
      </c>
    </row>
    <row r="9846" spans="14:14" ht="15" customHeight="1" x14ac:dyDescent="0.25">
      <c r="N9846" t="s">
        <v>448</v>
      </c>
    </row>
    <row r="9847" spans="14:14" ht="15" customHeight="1" x14ac:dyDescent="0.25">
      <c r="N9847" t="s">
        <v>448</v>
      </c>
    </row>
    <row r="9848" spans="14:14" ht="15" customHeight="1" x14ac:dyDescent="0.25">
      <c r="N9848" t="s">
        <v>715</v>
      </c>
    </row>
    <row r="9849" spans="14:14" ht="15" customHeight="1" x14ac:dyDescent="0.25">
      <c r="N9849" t="s">
        <v>698</v>
      </c>
    </row>
    <row r="9850" spans="14:14" ht="15" customHeight="1" x14ac:dyDescent="0.25">
      <c r="N9850" t="s">
        <v>605</v>
      </c>
    </row>
    <row r="9851" spans="14:14" ht="15" customHeight="1" x14ac:dyDescent="0.25">
      <c r="N9851" t="s">
        <v>698</v>
      </c>
    </row>
    <row r="9852" spans="14:14" ht="15" customHeight="1" x14ac:dyDescent="0.25">
      <c r="N9852" t="s">
        <v>350</v>
      </c>
    </row>
    <row r="9853" spans="14:14" ht="15" customHeight="1" x14ac:dyDescent="0.25">
      <c r="N9853" t="s">
        <v>294</v>
      </c>
    </row>
    <row r="9854" spans="14:14" ht="15" customHeight="1" x14ac:dyDescent="0.25">
      <c r="N9854" t="s">
        <v>683</v>
      </c>
    </row>
    <row r="9855" spans="14:14" ht="15" customHeight="1" x14ac:dyDescent="0.25">
      <c r="N9855" t="s">
        <v>933</v>
      </c>
    </row>
    <row r="9856" spans="14:14" ht="15" customHeight="1" x14ac:dyDescent="0.25">
      <c r="N9856" t="s">
        <v>663</v>
      </c>
    </row>
    <row r="9857" spans="14:14" ht="15" customHeight="1" x14ac:dyDescent="0.25">
      <c r="N9857" t="s">
        <v>732</v>
      </c>
    </row>
    <row r="9858" spans="14:14" ht="15" customHeight="1" x14ac:dyDescent="0.25">
      <c r="N9858" t="s">
        <v>732</v>
      </c>
    </row>
    <row r="9859" spans="14:14" ht="15" customHeight="1" x14ac:dyDescent="0.25">
      <c r="N9859" t="s">
        <v>732</v>
      </c>
    </row>
    <row r="9860" spans="14:14" ht="15" customHeight="1" x14ac:dyDescent="0.25">
      <c r="N9860" t="s">
        <v>732</v>
      </c>
    </row>
    <row r="9861" spans="14:14" ht="15" customHeight="1" x14ac:dyDescent="0.25">
      <c r="N9861" t="s">
        <v>732</v>
      </c>
    </row>
    <row r="9862" spans="14:14" ht="15" customHeight="1" x14ac:dyDescent="0.25">
      <c r="N9862" t="s">
        <v>732</v>
      </c>
    </row>
    <row r="9863" spans="14:14" ht="15" customHeight="1" x14ac:dyDescent="0.25">
      <c r="N9863" t="s">
        <v>732</v>
      </c>
    </row>
    <row r="9864" spans="14:14" ht="15" customHeight="1" x14ac:dyDescent="0.25">
      <c r="N9864" t="s">
        <v>698</v>
      </c>
    </row>
    <row r="9865" spans="14:14" ht="15" customHeight="1" x14ac:dyDescent="0.25">
      <c r="N9865" t="s">
        <v>690</v>
      </c>
    </row>
    <row r="9866" spans="14:14" ht="15" customHeight="1" x14ac:dyDescent="0.25">
      <c r="N9866" t="s">
        <v>683</v>
      </c>
    </row>
    <row r="9867" spans="14:14" ht="15" customHeight="1" x14ac:dyDescent="0.25">
      <c r="N9867" t="s">
        <v>636</v>
      </c>
    </row>
    <row r="9868" spans="14:14" ht="15" customHeight="1" x14ac:dyDescent="0.25">
      <c r="N9868" t="s">
        <v>294</v>
      </c>
    </row>
    <row r="9869" spans="14:14" ht="15" customHeight="1" x14ac:dyDescent="0.25">
      <c r="N9869" t="s">
        <v>313</v>
      </c>
    </row>
    <row r="9870" spans="14:14" ht="15" customHeight="1" x14ac:dyDescent="0.25">
      <c r="N9870" t="s">
        <v>313</v>
      </c>
    </row>
    <row r="9871" spans="14:14" ht="15" customHeight="1" x14ac:dyDescent="0.25">
      <c r="N9871" t="s">
        <v>313</v>
      </c>
    </row>
    <row r="9872" spans="14:14" ht="15" customHeight="1" x14ac:dyDescent="0.25">
      <c r="N9872" t="s">
        <v>313</v>
      </c>
    </row>
    <row r="9873" spans="14:14" ht="15" customHeight="1" x14ac:dyDescent="0.25">
      <c r="N9873" t="s">
        <v>313</v>
      </c>
    </row>
    <row r="9874" spans="14:14" ht="15" customHeight="1" x14ac:dyDescent="0.25">
      <c r="N9874" t="s">
        <v>313</v>
      </c>
    </row>
    <row r="9875" spans="14:14" ht="15" customHeight="1" x14ac:dyDescent="0.25">
      <c r="N9875" t="s">
        <v>313</v>
      </c>
    </row>
    <row r="9876" spans="14:14" ht="15" customHeight="1" x14ac:dyDescent="0.25">
      <c r="N9876" t="s">
        <v>634</v>
      </c>
    </row>
    <row r="9877" spans="14:14" ht="15" customHeight="1" x14ac:dyDescent="0.25">
      <c r="N9877" t="s">
        <v>499</v>
      </c>
    </row>
    <row r="9878" spans="14:14" ht="15" customHeight="1" x14ac:dyDescent="0.25">
      <c r="N9878" t="s">
        <v>683</v>
      </c>
    </row>
    <row r="9879" spans="14:14" ht="15" customHeight="1" x14ac:dyDescent="0.25">
      <c r="N9879" t="s">
        <v>934</v>
      </c>
    </row>
    <row r="9880" spans="14:14" ht="15" customHeight="1" x14ac:dyDescent="0.25">
      <c r="N9880" t="s">
        <v>820</v>
      </c>
    </row>
    <row r="9881" spans="14:14" ht="15" customHeight="1" x14ac:dyDescent="0.25">
      <c r="N9881" t="s">
        <v>294</v>
      </c>
    </row>
    <row r="9882" spans="14:14" ht="15" customHeight="1" x14ac:dyDescent="0.25">
      <c r="N9882" t="s">
        <v>636</v>
      </c>
    </row>
    <row r="9883" spans="14:14" ht="15" customHeight="1" x14ac:dyDescent="0.25">
      <c r="N9883" t="s">
        <v>313</v>
      </c>
    </row>
    <row r="9884" spans="14:14" ht="15" customHeight="1" x14ac:dyDescent="0.25">
      <c r="N9884" t="s">
        <v>683</v>
      </c>
    </row>
    <row r="9885" spans="14:14" ht="15" customHeight="1" x14ac:dyDescent="0.25">
      <c r="N9885" t="s">
        <v>579</v>
      </c>
    </row>
    <row r="9886" spans="14:14" ht="15" customHeight="1" x14ac:dyDescent="0.25">
      <c r="N9886" t="s">
        <v>843</v>
      </c>
    </row>
    <row r="9887" spans="14:14" ht="15" customHeight="1" x14ac:dyDescent="0.25">
      <c r="N9887" t="s">
        <v>844</v>
      </c>
    </row>
    <row r="9888" spans="14:14" ht="15" customHeight="1" x14ac:dyDescent="0.25">
      <c r="N9888" t="s">
        <v>895</v>
      </c>
    </row>
    <row r="9889" spans="14:14" ht="15" customHeight="1" x14ac:dyDescent="0.25">
      <c r="N9889" t="s">
        <v>663</v>
      </c>
    </row>
    <row r="9890" spans="14:14" ht="15" customHeight="1" x14ac:dyDescent="0.25">
      <c r="N9890" t="s">
        <v>732</v>
      </c>
    </row>
    <row r="9891" spans="14:14" ht="15" customHeight="1" x14ac:dyDescent="0.25">
      <c r="N9891" t="s">
        <v>895</v>
      </c>
    </row>
    <row r="9892" spans="14:14" ht="15" customHeight="1" x14ac:dyDescent="0.25">
      <c r="N9892" t="s">
        <v>732</v>
      </c>
    </row>
    <row r="9893" spans="14:14" ht="15" customHeight="1" x14ac:dyDescent="0.25">
      <c r="N9893" t="s">
        <v>313</v>
      </c>
    </row>
    <row r="9894" spans="14:14" ht="15" customHeight="1" x14ac:dyDescent="0.25">
      <c r="N9894" t="s">
        <v>463</v>
      </c>
    </row>
    <row r="9895" spans="14:14" ht="15" customHeight="1" x14ac:dyDescent="0.25">
      <c r="N9895" t="s">
        <v>654</v>
      </c>
    </row>
    <row r="9896" spans="14:14" ht="15" customHeight="1" x14ac:dyDescent="0.25">
      <c r="N9896" t="s">
        <v>844</v>
      </c>
    </row>
    <row r="9897" spans="14:14" ht="15" customHeight="1" x14ac:dyDescent="0.25">
      <c r="N9897" t="s">
        <v>732</v>
      </c>
    </row>
    <row r="9898" spans="14:14" ht="15" customHeight="1" x14ac:dyDescent="0.25">
      <c r="N9898" t="s">
        <v>313</v>
      </c>
    </row>
    <row r="9899" spans="14:14" ht="15" customHeight="1" x14ac:dyDescent="0.25">
      <c r="N9899" t="s">
        <v>732</v>
      </c>
    </row>
    <row r="9900" spans="14:14" ht="15" customHeight="1" x14ac:dyDescent="0.25">
      <c r="N9900" t="s">
        <v>934</v>
      </c>
    </row>
    <row r="9901" spans="14:14" ht="15" customHeight="1" x14ac:dyDescent="0.25">
      <c r="N9901" t="s">
        <v>713</v>
      </c>
    </row>
    <row r="9902" spans="14:14" ht="15" customHeight="1" x14ac:dyDescent="0.25">
      <c r="N9902" t="s">
        <v>934</v>
      </c>
    </row>
    <row r="9903" spans="14:14" ht="15" customHeight="1" x14ac:dyDescent="0.25">
      <c r="N9903" t="s">
        <v>579</v>
      </c>
    </row>
    <row r="9904" spans="14:14" ht="15" customHeight="1" x14ac:dyDescent="0.25">
      <c r="N9904" t="s">
        <v>663</v>
      </c>
    </row>
    <row r="9905" spans="14:14" ht="15" customHeight="1" x14ac:dyDescent="0.25">
      <c r="N9905" t="s">
        <v>732</v>
      </c>
    </row>
    <row r="9906" spans="14:14" ht="15" customHeight="1" x14ac:dyDescent="0.25">
      <c r="N9906" t="s">
        <v>355</v>
      </c>
    </row>
    <row r="9907" spans="14:14" ht="15" customHeight="1" x14ac:dyDescent="0.25">
      <c r="N9907" t="s">
        <v>732</v>
      </c>
    </row>
    <row r="9908" spans="14:14" ht="15" customHeight="1" x14ac:dyDescent="0.25">
      <c r="N9908" t="s">
        <v>654</v>
      </c>
    </row>
    <row r="9909" spans="14:14" ht="15" customHeight="1" x14ac:dyDescent="0.25">
      <c r="N9909" t="s">
        <v>485</v>
      </c>
    </row>
    <row r="9910" spans="14:14" ht="15" customHeight="1" x14ac:dyDescent="0.25">
      <c r="N9910" t="s">
        <v>363</v>
      </c>
    </row>
    <row r="9911" spans="14:14" ht="15" customHeight="1" x14ac:dyDescent="0.25">
      <c r="N9911" t="s">
        <v>732</v>
      </c>
    </row>
    <row r="9912" spans="14:14" ht="15" customHeight="1" x14ac:dyDescent="0.25">
      <c r="N9912" t="s">
        <v>713</v>
      </c>
    </row>
    <row r="9913" spans="14:14" ht="15" customHeight="1" x14ac:dyDescent="0.25">
      <c r="N9913" t="s">
        <v>685</v>
      </c>
    </row>
    <row r="9914" spans="14:14" ht="15" customHeight="1" x14ac:dyDescent="0.25">
      <c r="N9914" t="s">
        <v>713</v>
      </c>
    </row>
    <row r="9915" spans="14:14" ht="15" customHeight="1" x14ac:dyDescent="0.25">
      <c r="N9915" t="s">
        <v>687</v>
      </c>
    </row>
    <row r="9916" spans="14:14" ht="15" customHeight="1" x14ac:dyDescent="0.25">
      <c r="N9916" t="s">
        <v>313</v>
      </c>
    </row>
    <row r="9917" spans="14:14" ht="15" customHeight="1" x14ac:dyDescent="0.25">
      <c r="N9917" t="s">
        <v>670</v>
      </c>
    </row>
    <row r="9918" spans="14:14" ht="15" customHeight="1" x14ac:dyDescent="0.25">
      <c r="N9918" t="s">
        <v>732</v>
      </c>
    </row>
    <row r="9919" spans="14:14" ht="15" customHeight="1" x14ac:dyDescent="0.25">
      <c r="N9919" t="s">
        <v>524</v>
      </c>
    </row>
    <row r="9920" spans="14:14" ht="15" customHeight="1" x14ac:dyDescent="0.25">
      <c r="N9920" t="s">
        <v>663</v>
      </c>
    </row>
    <row r="9921" spans="14:14" ht="15" customHeight="1" x14ac:dyDescent="0.25">
      <c r="N9921" t="s">
        <v>732</v>
      </c>
    </row>
    <row r="9922" spans="14:14" ht="15" customHeight="1" x14ac:dyDescent="0.25">
      <c r="N9922" t="s">
        <v>732</v>
      </c>
    </row>
    <row r="9923" spans="14:14" ht="15" customHeight="1" x14ac:dyDescent="0.25">
      <c r="N9923" t="s">
        <v>732</v>
      </c>
    </row>
    <row r="9924" spans="14:14" ht="15" customHeight="1" x14ac:dyDescent="0.25">
      <c r="N9924" t="s">
        <v>732</v>
      </c>
    </row>
    <row r="9925" spans="14:14" ht="15" customHeight="1" x14ac:dyDescent="0.25">
      <c r="N9925" t="s">
        <v>732</v>
      </c>
    </row>
    <row r="9926" spans="14:14" ht="15" customHeight="1" x14ac:dyDescent="0.25">
      <c r="N9926" t="s">
        <v>732</v>
      </c>
    </row>
    <row r="9927" spans="14:14" ht="15" customHeight="1" x14ac:dyDescent="0.25">
      <c r="N9927" t="s">
        <v>732</v>
      </c>
    </row>
    <row r="9928" spans="14:14" ht="15" customHeight="1" x14ac:dyDescent="0.25">
      <c r="N9928" t="s">
        <v>732</v>
      </c>
    </row>
    <row r="9929" spans="14:14" ht="15" customHeight="1" x14ac:dyDescent="0.25">
      <c r="N9929" t="s">
        <v>732</v>
      </c>
    </row>
    <row r="9930" spans="14:14" ht="15" customHeight="1" x14ac:dyDescent="0.25">
      <c r="N9930" t="s">
        <v>732</v>
      </c>
    </row>
    <row r="9931" spans="14:14" ht="15" customHeight="1" x14ac:dyDescent="0.25">
      <c r="N9931" t="s">
        <v>732</v>
      </c>
    </row>
    <row r="9932" spans="14:14" ht="15" customHeight="1" x14ac:dyDescent="0.25">
      <c r="N9932" t="s">
        <v>732</v>
      </c>
    </row>
    <row r="9933" spans="14:14" ht="15" customHeight="1" x14ac:dyDescent="0.25">
      <c r="N9933" t="s">
        <v>732</v>
      </c>
    </row>
    <row r="9934" spans="14:14" ht="15" customHeight="1" x14ac:dyDescent="0.25">
      <c r="N9934" t="s">
        <v>313</v>
      </c>
    </row>
    <row r="9935" spans="14:14" ht="15" customHeight="1" x14ac:dyDescent="0.25">
      <c r="N9935" t="s">
        <v>582</v>
      </c>
    </row>
    <row r="9936" spans="14:14" ht="15" customHeight="1" x14ac:dyDescent="0.25">
      <c r="N9936" t="s">
        <v>582</v>
      </c>
    </row>
    <row r="9937" spans="14:14" ht="15" customHeight="1" x14ac:dyDescent="0.25">
      <c r="N9937" t="s">
        <v>582</v>
      </c>
    </row>
    <row r="9938" spans="14:14" ht="15" customHeight="1" x14ac:dyDescent="0.25">
      <c r="N9938" t="s">
        <v>582</v>
      </c>
    </row>
    <row r="9939" spans="14:14" ht="15" customHeight="1" x14ac:dyDescent="0.25">
      <c r="N9939" t="s">
        <v>582</v>
      </c>
    </row>
    <row r="9940" spans="14:14" ht="15" customHeight="1" x14ac:dyDescent="0.25">
      <c r="N9940" t="s">
        <v>582</v>
      </c>
    </row>
    <row r="9941" spans="14:14" ht="15" customHeight="1" x14ac:dyDescent="0.25">
      <c r="N9941" t="s">
        <v>582</v>
      </c>
    </row>
    <row r="9942" spans="14:14" ht="15" customHeight="1" x14ac:dyDescent="0.25">
      <c r="N9942" t="s">
        <v>582</v>
      </c>
    </row>
    <row r="9943" spans="14:14" ht="15" customHeight="1" x14ac:dyDescent="0.25">
      <c r="N9943" t="s">
        <v>582</v>
      </c>
    </row>
    <row r="9944" spans="14:14" ht="15" customHeight="1" x14ac:dyDescent="0.25">
      <c r="N9944" t="s">
        <v>582</v>
      </c>
    </row>
    <row r="9945" spans="14:14" ht="15" customHeight="1" x14ac:dyDescent="0.25">
      <c r="N9945" t="s">
        <v>582</v>
      </c>
    </row>
    <row r="9946" spans="14:14" ht="15" customHeight="1" x14ac:dyDescent="0.25">
      <c r="N9946" t="s">
        <v>582</v>
      </c>
    </row>
    <row r="9947" spans="14:14" ht="15" customHeight="1" x14ac:dyDescent="0.25">
      <c r="N9947" t="s">
        <v>582</v>
      </c>
    </row>
    <row r="9948" spans="14:14" ht="15" customHeight="1" x14ac:dyDescent="0.25">
      <c r="N9948" t="s">
        <v>582</v>
      </c>
    </row>
    <row r="9949" spans="14:14" ht="15" customHeight="1" x14ac:dyDescent="0.25">
      <c r="N9949" t="s">
        <v>313</v>
      </c>
    </row>
    <row r="9950" spans="14:14" ht="15" customHeight="1" x14ac:dyDescent="0.25">
      <c r="N9950" t="s">
        <v>732</v>
      </c>
    </row>
    <row r="9951" spans="14:14" ht="15" customHeight="1" x14ac:dyDescent="0.25">
      <c r="N9951" t="s">
        <v>68</v>
      </c>
    </row>
    <row r="9952" spans="14:14" ht="15" customHeight="1" x14ac:dyDescent="0.25">
      <c r="N9952" t="s">
        <v>313</v>
      </c>
    </row>
    <row r="9953" spans="14:14" ht="15" customHeight="1" x14ac:dyDescent="0.25">
      <c r="N9953" t="s">
        <v>696</v>
      </c>
    </row>
    <row r="9954" spans="14:14" ht="15" customHeight="1" x14ac:dyDescent="0.25">
      <c r="N9954" t="s">
        <v>304</v>
      </c>
    </row>
    <row r="9955" spans="14:14" ht="15" customHeight="1" x14ac:dyDescent="0.25">
      <c r="N9955" t="s">
        <v>685</v>
      </c>
    </row>
    <row r="9956" spans="14:14" ht="15" customHeight="1" x14ac:dyDescent="0.25">
      <c r="N9956" t="s">
        <v>370</v>
      </c>
    </row>
    <row r="9957" spans="14:14" ht="15" customHeight="1" x14ac:dyDescent="0.25">
      <c r="N9957" t="s">
        <v>698</v>
      </c>
    </row>
    <row r="9958" spans="14:14" ht="15" customHeight="1" x14ac:dyDescent="0.25">
      <c r="N9958" t="s">
        <v>715</v>
      </c>
    </row>
    <row r="9959" spans="14:14" ht="15" customHeight="1" x14ac:dyDescent="0.25">
      <c r="N9959" t="s">
        <v>582</v>
      </c>
    </row>
    <row r="9960" spans="14:14" ht="15" customHeight="1" x14ac:dyDescent="0.25">
      <c r="N9960" t="s">
        <v>732</v>
      </c>
    </row>
    <row r="9961" spans="14:14" ht="15" customHeight="1" x14ac:dyDescent="0.25">
      <c r="N9961" t="s">
        <v>684</v>
      </c>
    </row>
    <row r="9962" spans="14:14" ht="15" customHeight="1" x14ac:dyDescent="0.25">
      <c r="N9962" t="s">
        <v>732</v>
      </c>
    </row>
    <row r="9963" spans="14:14" ht="15" customHeight="1" x14ac:dyDescent="0.25">
      <c r="N9963" t="s">
        <v>732</v>
      </c>
    </row>
    <row r="9964" spans="14:14" ht="15" customHeight="1" x14ac:dyDescent="0.25">
      <c r="N9964" t="s">
        <v>732</v>
      </c>
    </row>
    <row r="9965" spans="14:14" ht="15" customHeight="1" x14ac:dyDescent="0.25">
      <c r="N9965" t="s">
        <v>732</v>
      </c>
    </row>
    <row r="9966" spans="14:14" ht="15" customHeight="1" x14ac:dyDescent="0.25">
      <c r="N9966" t="s">
        <v>732</v>
      </c>
    </row>
    <row r="9967" spans="14:14" ht="15" customHeight="1" x14ac:dyDescent="0.25">
      <c r="N9967" t="s">
        <v>732</v>
      </c>
    </row>
    <row r="9968" spans="14:14" ht="15" customHeight="1" x14ac:dyDescent="0.25">
      <c r="N9968" t="s">
        <v>732</v>
      </c>
    </row>
    <row r="9969" spans="14:14" ht="15" customHeight="1" x14ac:dyDescent="0.25">
      <c r="N9969" t="s">
        <v>732</v>
      </c>
    </row>
    <row r="9970" spans="14:14" ht="15" customHeight="1" x14ac:dyDescent="0.25">
      <c r="N9970" t="s">
        <v>734</v>
      </c>
    </row>
    <row r="9971" spans="14:14" ht="15" customHeight="1" x14ac:dyDescent="0.25">
      <c r="N9971" t="s">
        <v>689</v>
      </c>
    </row>
    <row r="9972" spans="14:14" ht="15" customHeight="1" x14ac:dyDescent="0.25">
      <c r="N9972" t="s">
        <v>732</v>
      </c>
    </row>
    <row r="9973" spans="14:14" ht="15" customHeight="1" x14ac:dyDescent="0.25">
      <c r="N9973" t="s">
        <v>732</v>
      </c>
    </row>
    <row r="9974" spans="14:14" ht="15" customHeight="1" x14ac:dyDescent="0.25">
      <c r="N9974" t="s">
        <v>732</v>
      </c>
    </row>
    <row r="9975" spans="14:14" ht="15" customHeight="1" x14ac:dyDescent="0.25">
      <c r="N9975" t="s">
        <v>732</v>
      </c>
    </row>
    <row r="9976" spans="14:14" ht="15" customHeight="1" x14ac:dyDescent="0.25">
      <c r="N9976" t="s">
        <v>732</v>
      </c>
    </row>
    <row r="9977" spans="14:14" ht="15" customHeight="1" x14ac:dyDescent="0.25">
      <c r="N9977" t="s">
        <v>732</v>
      </c>
    </row>
    <row r="9978" spans="14:14" ht="15" customHeight="1" x14ac:dyDescent="0.25">
      <c r="N9978" t="s">
        <v>732</v>
      </c>
    </row>
    <row r="9979" spans="14:14" ht="15" customHeight="1" x14ac:dyDescent="0.25">
      <c r="N9979" t="s">
        <v>732</v>
      </c>
    </row>
    <row r="9980" spans="14:14" ht="15" customHeight="1" x14ac:dyDescent="0.25">
      <c r="N9980" t="s">
        <v>732</v>
      </c>
    </row>
    <row r="9981" spans="14:14" ht="15" customHeight="1" x14ac:dyDescent="0.25">
      <c r="N9981" t="s">
        <v>732</v>
      </c>
    </row>
    <row r="9982" spans="14:14" ht="15" customHeight="1" x14ac:dyDescent="0.25">
      <c r="N9982" t="s">
        <v>732</v>
      </c>
    </row>
    <row r="9983" spans="14:14" ht="15" customHeight="1" x14ac:dyDescent="0.25">
      <c r="N9983" t="s">
        <v>732</v>
      </c>
    </row>
    <row r="9984" spans="14:14" ht="15" customHeight="1" x14ac:dyDescent="0.25">
      <c r="N9984" t="s">
        <v>732</v>
      </c>
    </row>
    <row r="9985" spans="14:14" ht="15" customHeight="1" x14ac:dyDescent="0.25">
      <c r="N9985" t="s">
        <v>732</v>
      </c>
    </row>
    <row r="9986" spans="14:14" ht="15" customHeight="1" x14ac:dyDescent="0.25">
      <c r="N9986" t="s">
        <v>732</v>
      </c>
    </row>
    <row r="9987" spans="14:14" ht="15" customHeight="1" x14ac:dyDescent="0.25">
      <c r="N9987" t="s">
        <v>732</v>
      </c>
    </row>
    <row r="9988" spans="14:14" ht="15" customHeight="1" x14ac:dyDescent="0.25">
      <c r="N9988" t="s">
        <v>732</v>
      </c>
    </row>
    <row r="9989" spans="14:14" ht="15" customHeight="1" x14ac:dyDescent="0.25">
      <c r="N9989" t="s">
        <v>732</v>
      </c>
    </row>
    <row r="9990" spans="14:14" ht="15" customHeight="1" x14ac:dyDescent="0.25">
      <c r="N9990" t="s">
        <v>732</v>
      </c>
    </row>
    <row r="9991" spans="14:14" ht="15" customHeight="1" x14ac:dyDescent="0.25">
      <c r="N9991" t="s">
        <v>732</v>
      </c>
    </row>
    <row r="9992" spans="14:14" ht="15" customHeight="1" x14ac:dyDescent="0.25">
      <c r="N9992" t="s">
        <v>732</v>
      </c>
    </row>
    <row r="9993" spans="14:14" ht="15" customHeight="1" x14ac:dyDescent="0.25">
      <c r="N9993" t="s">
        <v>732</v>
      </c>
    </row>
    <row r="9994" spans="14:14" ht="15" customHeight="1" x14ac:dyDescent="0.25">
      <c r="N9994" t="s">
        <v>732</v>
      </c>
    </row>
    <row r="9995" spans="14:14" ht="15" customHeight="1" x14ac:dyDescent="0.25">
      <c r="N9995" t="s">
        <v>732</v>
      </c>
    </row>
    <row r="9996" spans="14:14" ht="15" customHeight="1" x14ac:dyDescent="0.25">
      <c r="N9996" t="s">
        <v>732</v>
      </c>
    </row>
    <row r="9997" spans="14:14" ht="15" customHeight="1" x14ac:dyDescent="0.25">
      <c r="N9997" t="s">
        <v>732</v>
      </c>
    </row>
    <row r="9998" spans="14:14" ht="15" customHeight="1" x14ac:dyDescent="0.25">
      <c r="N9998" t="s">
        <v>715</v>
      </c>
    </row>
    <row r="9999" spans="14:14" ht="15" customHeight="1" x14ac:dyDescent="0.25">
      <c r="N9999" t="s">
        <v>732</v>
      </c>
    </row>
    <row r="10000" spans="14:14" ht="15" customHeight="1" x14ac:dyDescent="0.25">
      <c r="N10000" t="s">
        <v>603</v>
      </c>
    </row>
    <row r="10001" spans="14:14" ht="15" customHeight="1" x14ac:dyDescent="0.25">
      <c r="N10001" t="s">
        <v>732</v>
      </c>
    </row>
    <row r="10002" spans="14:14" ht="15" customHeight="1" x14ac:dyDescent="0.25">
      <c r="N10002" t="s">
        <v>654</v>
      </c>
    </row>
    <row r="10003" spans="14:14" ht="15" customHeight="1" x14ac:dyDescent="0.25">
      <c r="N10003" t="s">
        <v>685</v>
      </c>
    </row>
    <row r="10004" spans="14:14" ht="15" customHeight="1" x14ac:dyDescent="0.25">
      <c r="N10004" t="s">
        <v>313</v>
      </c>
    </row>
    <row r="10005" spans="14:14" ht="15" customHeight="1" x14ac:dyDescent="0.25">
      <c r="N10005" t="s">
        <v>685</v>
      </c>
    </row>
    <row r="10006" spans="14:14" ht="15" customHeight="1" x14ac:dyDescent="0.25">
      <c r="N10006" t="s">
        <v>732</v>
      </c>
    </row>
    <row r="10007" spans="14:14" ht="15" customHeight="1" x14ac:dyDescent="0.25">
      <c r="N10007" t="s">
        <v>732</v>
      </c>
    </row>
    <row r="10008" spans="14:14" ht="15" customHeight="1" x14ac:dyDescent="0.25">
      <c r="N10008" t="s">
        <v>582</v>
      </c>
    </row>
    <row r="10009" spans="14:14" ht="15" customHeight="1" x14ac:dyDescent="0.25">
      <c r="N10009" t="s">
        <v>751</v>
      </c>
    </row>
    <row r="10010" spans="14:14" ht="15" customHeight="1" x14ac:dyDescent="0.25">
      <c r="N10010" t="s">
        <v>690</v>
      </c>
    </row>
    <row r="10011" spans="14:14" ht="15" customHeight="1" x14ac:dyDescent="0.25">
      <c r="N10011" t="s">
        <v>690</v>
      </c>
    </row>
    <row r="10012" spans="14:14" ht="15" customHeight="1" x14ac:dyDescent="0.25">
      <c r="N10012" t="s">
        <v>690</v>
      </c>
    </row>
    <row r="10013" spans="14:14" ht="15" customHeight="1" x14ac:dyDescent="0.25">
      <c r="N10013" t="s">
        <v>690</v>
      </c>
    </row>
    <row r="10014" spans="14:14" ht="15" customHeight="1" x14ac:dyDescent="0.25">
      <c r="N10014" t="s">
        <v>313</v>
      </c>
    </row>
    <row r="10015" spans="14:14" ht="15" customHeight="1" x14ac:dyDescent="0.25">
      <c r="N10015" t="s">
        <v>732</v>
      </c>
    </row>
    <row r="10016" spans="14:14" ht="15" customHeight="1" x14ac:dyDescent="0.25">
      <c r="N10016" t="s">
        <v>732</v>
      </c>
    </row>
    <row r="10017" spans="14:14" ht="15" customHeight="1" x14ac:dyDescent="0.25">
      <c r="N10017" t="s">
        <v>732</v>
      </c>
    </row>
    <row r="10018" spans="14:14" ht="15" customHeight="1" x14ac:dyDescent="0.25">
      <c r="N10018" t="s">
        <v>732</v>
      </c>
    </row>
    <row r="10019" spans="14:14" ht="15" customHeight="1" x14ac:dyDescent="0.25">
      <c r="N10019" t="s">
        <v>732</v>
      </c>
    </row>
    <row r="10020" spans="14:14" ht="15" customHeight="1" x14ac:dyDescent="0.25">
      <c r="N10020" t="s">
        <v>732</v>
      </c>
    </row>
    <row r="10021" spans="14:14" ht="15" customHeight="1" x14ac:dyDescent="0.25">
      <c r="N10021" t="s">
        <v>732</v>
      </c>
    </row>
    <row r="10022" spans="14:14" ht="15" customHeight="1" x14ac:dyDescent="0.25">
      <c r="N10022" t="s">
        <v>732</v>
      </c>
    </row>
    <row r="10023" spans="14:14" ht="15" customHeight="1" x14ac:dyDescent="0.25">
      <c r="N10023" t="s">
        <v>732</v>
      </c>
    </row>
    <row r="10024" spans="14:14" ht="15" customHeight="1" x14ac:dyDescent="0.25">
      <c r="N10024" t="s">
        <v>732</v>
      </c>
    </row>
    <row r="10025" spans="14:14" ht="15" customHeight="1" x14ac:dyDescent="0.25">
      <c r="N10025" t="s">
        <v>732</v>
      </c>
    </row>
    <row r="10026" spans="14:14" ht="15" customHeight="1" x14ac:dyDescent="0.25">
      <c r="N10026" t="s">
        <v>732</v>
      </c>
    </row>
    <row r="10027" spans="14:14" ht="15" customHeight="1" x14ac:dyDescent="0.25">
      <c r="N10027" t="s">
        <v>732</v>
      </c>
    </row>
    <row r="10028" spans="14:14" ht="15" customHeight="1" x14ac:dyDescent="0.25">
      <c r="N10028" t="s">
        <v>68</v>
      </c>
    </row>
    <row r="10029" spans="14:14" ht="15" customHeight="1" x14ac:dyDescent="0.25">
      <c r="N10029" t="s">
        <v>68</v>
      </c>
    </row>
    <row r="10030" spans="14:14" ht="15" customHeight="1" x14ac:dyDescent="0.25">
      <c r="N10030" t="s">
        <v>68</v>
      </c>
    </row>
    <row r="10031" spans="14:14" ht="15" customHeight="1" x14ac:dyDescent="0.25">
      <c r="N10031" t="s">
        <v>68</v>
      </c>
    </row>
    <row r="10032" spans="14:14" ht="15" customHeight="1" x14ac:dyDescent="0.25">
      <c r="N10032" t="s">
        <v>68</v>
      </c>
    </row>
    <row r="10033" spans="14:14" ht="15" customHeight="1" x14ac:dyDescent="0.25">
      <c r="N10033" t="s">
        <v>68</v>
      </c>
    </row>
    <row r="10034" spans="14:14" ht="15" customHeight="1" x14ac:dyDescent="0.25">
      <c r="N10034" t="s">
        <v>68</v>
      </c>
    </row>
    <row r="10035" spans="14:14" ht="15" customHeight="1" x14ac:dyDescent="0.25">
      <c r="N10035" t="s">
        <v>735</v>
      </c>
    </row>
    <row r="10036" spans="14:14" ht="15" customHeight="1" x14ac:dyDescent="0.25">
      <c r="N10036" t="s">
        <v>735</v>
      </c>
    </row>
    <row r="10037" spans="14:14" ht="15" customHeight="1" x14ac:dyDescent="0.25">
      <c r="N10037" t="s">
        <v>735</v>
      </c>
    </row>
    <row r="10038" spans="14:14" ht="15" customHeight="1" x14ac:dyDescent="0.25">
      <c r="N10038" t="s">
        <v>735</v>
      </c>
    </row>
    <row r="10039" spans="14:14" ht="15" customHeight="1" x14ac:dyDescent="0.25">
      <c r="N10039" t="s">
        <v>735</v>
      </c>
    </row>
    <row r="10040" spans="14:14" ht="15" customHeight="1" x14ac:dyDescent="0.25">
      <c r="N10040" t="s">
        <v>68</v>
      </c>
    </row>
    <row r="10041" spans="14:14" ht="15" customHeight="1" x14ac:dyDescent="0.25">
      <c r="N10041" t="s">
        <v>732</v>
      </c>
    </row>
    <row r="10042" spans="14:14" ht="15" customHeight="1" x14ac:dyDescent="0.25">
      <c r="N10042" t="s">
        <v>313</v>
      </c>
    </row>
    <row r="10043" spans="14:14" ht="15" customHeight="1" x14ac:dyDescent="0.25">
      <c r="N10043" t="s">
        <v>304</v>
      </c>
    </row>
    <row r="10044" spans="14:14" ht="15" customHeight="1" x14ac:dyDescent="0.25">
      <c r="N10044" t="s">
        <v>675</v>
      </c>
    </row>
    <row r="10045" spans="14:14" ht="15" customHeight="1" x14ac:dyDescent="0.25">
      <c r="N10045" t="s">
        <v>646</v>
      </c>
    </row>
    <row r="10046" spans="14:14" ht="15" customHeight="1" x14ac:dyDescent="0.25">
      <c r="N10046" t="s">
        <v>684</v>
      </c>
    </row>
    <row r="10047" spans="14:14" ht="15" customHeight="1" x14ac:dyDescent="0.25">
      <c r="N10047" t="s">
        <v>732</v>
      </c>
    </row>
    <row r="10048" spans="14:14" ht="15" customHeight="1" x14ac:dyDescent="0.25">
      <c r="N10048" t="s">
        <v>732</v>
      </c>
    </row>
    <row r="10049" spans="14:14" ht="15" customHeight="1" x14ac:dyDescent="0.25">
      <c r="N10049" t="s">
        <v>732</v>
      </c>
    </row>
    <row r="10050" spans="14:14" ht="15" customHeight="1" x14ac:dyDescent="0.25">
      <c r="N10050" t="s">
        <v>732</v>
      </c>
    </row>
    <row r="10051" spans="14:14" ht="15" customHeight="1" x14ac:dyDescent="0.25">
      <c r="N10051" t="s">
        <v>732</v>
      </c>
    </row>
    <row r="10052" spans="14:14" ht="15" customHeight="1" x14ac:dyDescent="0.25">
      <c r="N10052" t="s">
        <v>732</v>
      </c>
    </row>
    <row r="10053" spans="14:14" ht="15" customHeight="1" x14ac:dyDescent="0.25">
      <c r="N10053" t="s">
        <v>732</v>
      </c>
    </row>
    <row r="10054" spans="14:14" ht="15" customHeight="1" x14ac:dyDescent="0.25">
      <c r="N10054" t="s">
        <v>732</v>
      </c>
    </row>
    <row r="10055" spans="14:14" ht="15" customHeight="1" x14ac:dyDescent="0.25">
      <c r="N10055" t="s">
        <v>732</v>
      </c>
    </row>
    <row r="10056" spans="14:14" ht="15" customHeight="1" x14ac:dyDescent="0.25">
      <c r="N10056" t="s">
        <v>732</v>
      </c>
    </row>
    <row r="10057" spans="14:14" ht="15" customHeight="1" x14ac:dyDescent="0.25">
      <c r="N10057" t="s">
        <v>732</v>
      </c>
    </row>
    <row r="10058" spans="14:14" ht="15" customHeight="1" x14ac:dyDescent="0.25">
      <c r="N10058" t="s">
        <v>732</v>
      </c>
    </row>
    <row r="10059" spans="14:14" ht="15" customHeight="1" x14ac:dyDescent="0.25">
      <c r="N10059" t="s">
        <v>732</v>
      </c>
    </row>
    <row r="10060" spans="14:14" ht="15" customHeight="1" x14ac:dyDescent="0.25">
      <c r="N10060" t="s">
        <v>732</v>
      </c>
    </row>
    <row r="10061" spans="14:14" ht="15" customHeight="1" x14ac:dyDescent="0.25">
      <c r="N10061" t="s">
        <v>732</v>
      </c>
    </row>
    <row r="10062" spans="14:14" ht="15" customHeight="1" x14ac:dyDescent="0.25">
      <c r="N10062" t="s">
        <v>732</v>
      </c>
    </row>
    <row r="10063" spans="14:14" ht="15" customHeight="1" x14ac:dyDescent="0.25">
      <c r="N10063" t="s">
        <v>732</v>
      </c>
    </row>
    <row r="10064" spans="14:14" ht="15" customHeight="1" x14ac:dyDescent="0.25">
      <c r="N10064" t="s">
        <v>732</v>
      </c>
    </row>
    <row r="10065" spans="14:14" ht="15" customHeight="1" x14ac:dyDescent="0.25">
      <c r="N10065" t="s">
        <v>732</v>
      </c>
    </row>
    <row r="10066" spans="14:14" ht="15" customHeight="1" x14ac:dyDescent="0.25">
      <c r="N10066" t="s">
        <v>732</v>
      </c>
    </row>
    <row r="10067" spans="14:14" ht="15" customHeight="1" x14ac:dyDescent="0.25">
      <c r="N10067" t="s">
        <v>732</v>
      </c>
    </row>
    <row r="10068" spans="14:14" ht="15" customHeight="1" x14ac:dyDescent="0.25">
      <c r="N10068" t="s">
        <v>732</v>
      </c>
    </row>
    <row r="10069" spans="14:14" ht="15" customHeight="1" x14ac:dyDescent="0.25">
      <c r="N10069" t="s">
        <v>732</v>
      </c>
    </row>
    <row r="10070" spans="14:14" ht="15" customHeight="1" x14ac:dyDescent="0.25">
      <c r="N10070" t="s">
        <v>732</v>
      </c>
    </row>
    <row r="10071" spans="14:14" ht="15" customHeight="1" x14ac:dyDescent="0.25">
      <c r="N10071" t="s">
        <v>732</v>
      </c>
    </row>
    <row r="10072" spans="14:14" ht="15" customHeight="1" x14ac:dyDescent="0.25">
      <c r="N10072" t="s">
        <v>732</v>
      </c>
    </row>
    <row r="10073" spans="14:14" ht="15" customHeight="1" x14ac:dyDescent="0.25">
      <c r="N10073" t="s">
        <v>732</v>
      </c>
    </row>
    <row r="10074" spans="14:14" ht="15" customHeight="1" x14ac:dyDescent="0.25">
      <c r="N10074" t="s">
        <v>715</v>
      </c>
    </row>
    <row r="10075" spans="14:14" ht="15" customHeight="1" x14ac:dyDescent="0.25">
      <c r="N10075" t="s">
        <v>732</v>
      </c>
    </row>
    <row r="10076" spans="14:14" ht="15" customHeight="1" x14ac:dyDescent="0.25">
      <c r="N10076" t="s">
        <v>732</v>
      </c>
    </row>
    <row r="10077" spans="14:14" ht="15" customHeight="1" x14ac:dyDescent="0.25">
      <c r="N10077" t="s">
        <v>558</v>
      </c>
    </row>
    <row r="10078" spans="14:14" ht="15" customHeight="1" x14ac:dyDescent="0.25">
      <c r="N10078" t="s">
        <v>670</v>
      </c>
    </row>
    <row r="10079" spans="14:14" ht="15" customHeight="1" x14ac:dyDescent="0.25">
      <c r="N10079" t="s">
        <v>669</v>
      </c>
    </row>
    <row r="10080" spans="14:14" ht="15" customHeight="1" x14ac:dyDescent="0.25">
      <c r="N10080" t="s">
        <v>669</v>
      </c>
    </row>
    <row r="10081" spans="14:14" ht="15" customHeight="1" x14ac:dyDescent="0.25">
      <c r="N10081" t="s">
        <v>669</v>
      </c>
    </row>
    <row r="10082" spans="14:14" ht="15" customHeight="1" x14ac:dyDescent="0.25">
      <c r="N10082" t="s">
        <v>669</v>
      </c>
    </row>
    <row r="10083" spans="14:14" ht="15" customHeight="1" x14ac:dyDescent="0.25">
      <c r="N10083" t="s">
        <v>732</v>
      </c>
    </row>
    <row r="10084" spans="14:14" ht="15" customHeight="1" x14ac:dyDescent="0.25">
      <c r="N10084" t="s">
        <v>690</v>
      </c>
    </row>
    <row r="10085" spans="14:14" ht="15" customHeight="1" x14ac:dyDescent="0.25">
      <c r="N10085" t="s">
        <v>690</v>
      </c>
    </row>
    <row r="10086" spans="14:14" ht="15" customHeight="1" x14ac:dyDescent="0.25">
      <c r="N10086" t="s">
        <v>690</v>
      </c>
    </row>
    <row r="10087" spans="14:14" ht="15" customHeight="1" x14ac:dyDescent="0.25">
      <c r="N10087" t="s">
        <v>690</v>
      </c>
    </row>
    <row r="10088" spans="14:14" ht="15" customHeight="1" x14ac:dyDescent="0.25">
      <c r="N10088" t="s">
        <v>313</v>
      </c>
    </row>
    <row r="10089" spans="14:14" ht="15" customHeight="1" x14ac:dyDescent="0.25">
      <c r="N10089" t="s">
        <v>675</v>
      </c>
    </row>
    <row r="10090" spans="14:14" ht="15" customHeight="1" x14ac:dyDescent="0.25">
      <c r="N10090" t="s">
        <v>689</v>
      </c>
    </row>
    <row r="10091" spans="14:14" ht="15" customHeight="1" x14ac:dyDescent="0.25">
      <c r="N10091" t="s">
        <v>732</v>
      </c>
    </row>
    <row r="10092" spans="14:14" ht="15" customHeight="1" x14ac:dyDescent="0.25">
      <c r="N10092" t="s">
        <v>732</v>
      </c>
    </row>
    <row r="10093" spans="14:14" ht="15" customHeight="1" x14ac:dyDescent="0.25">
      <c r="N10093" t="s">
        <v>732</v>
      </c>
    </row>
    <row r="10094" spans="14:14" ht="15" customHeight="1" x14ac:dyDescent="0.25">
      <c r="N10094" t="s">
        <v>732</v>
      </c>
    </row>
    <row r="10095" spans="14:14" ht="15" customHeight="1" x14ac:dyDescent="0.25">
      <c r="N10095" t="s">
        <v>732</v>
      </c>
    </row>
    <row r="10096" spans="14:14" ht="15" customHeight="1" x14ac:dyDescent="0.25">
      <c r="N10096" t="s">
        <v>732</v>
      </c>
    </row>
    <row r="10097" spans="14:14" ht="15" customHeight="1" x14ac:dyDescent="0.25">
      <c r="N10097" t="s">
        <v>732</v>
      </c>
    </row>
    <row r="10098" spans="14:14" ht="15" customHeight="1" x14ac:dyDescent="0.25">
      <c r="N10098" t="s">
        <v>732</v>
      </c>
    </row>
    <row r="10099" spans="14:14" ht="15" customHeight="1" x14ac:dyDescent="0.25">
      <c r="N10099" t="s">
        <v>732</v>
      </c>
    </row>
    <row r="10100" spans="14:14" ht="15" customHeight="1" x14ac:dyDescent="0.25">
      <c r="N10100" t="s">
        <v>732</v>
      </c>
    </row>
    <row r="10101" spans="14:14" ht="15" customHeight="1" x14ac:dyDescent="0.25">
      <c r="N10101" t="s">
        <v>732</v>
      </c>
    </row>
    <row r="10102" spans="14:14" ht="15" customHeight="1" x14ac:dyDescent="0.25">
      <c r="N10102" t="s">
        <v>732</v>
      </c>
    </row>
    <row r="10103" spans="14:14" ht="15" customHeight="1" x14ac:dyDescent="0.25">
      <c r="N10103" t="s">
        <v>732</v>
      </c>
    </row>
    <row r="10104" spans="14:14" ht="15" customHeight="1" x14ac:dyDescent="0.25">
      <c r="N10104" t="s">
        <v>732</v>
      </c>
    </row>
    <row r="10105" spans="14:14" ht="15" customHeight="1" x14ac:dyDescent="0.25">
      <c r="N10105" t="s">
        <v>732</v>
      </c>
    </row>
    <row r="10106" spans="14:14" ht="15" customHeight="1" x14ac:dyDescent="0.25">
      <c r="N10106" t="s">
        <v>732</v>
      </c>
    </row>
    <row r="10107" spans="14:14" ht="15" customHeight="1" x14ac:dyDescent="0.25">
      <c r="N10107" t="s">
        <v>732</v>
      </c>
    </row>
    <row r="10108" spans="14:14" ht="15" customHeight="1" x14ac:dyDescent="0.25">
      <c r="N10108" t="s">
        <v>732</v>
      </c>
    </row>
    <row r="10109" spans="14:14" ht="15" customHeight="1" x14ac:dyDescent="0.25">
      <c r="N10109" t="s">
        <v>732</v>
      </c>
    </row>
    <row r="10110" spans="14:14" ht="15" customHeight="1" x14ac:dyDescent="0.25">
      <c r="N10110" t="s">
        <v>732</v>
      </c>
    </row>
    <row r="10111" spans="14:14" ht="15" customHeight="1" x14ac:dyDescent="0.25">
      <c r="N10111" t="s">
        <v>732</v>
      </c>
    </row>
    <row r="10112" spans="14:14" ht="15" customHeight="1" x14ac:dyDescent="0.25">
      <c r="N10112" t="s">
        <v>732</v>
      </c>
    </row>
    <row r="10113" spans="14:14" ht="15" customHeight="1" x14ac:dyDescent="0.25">
      <c r="N10113" t="s">
        <v>732</v>
      </c>
    </row>
    <row r="10114" spans="14:14" ht="15" customHeight="1" x14ac:dyDescent="0.25">
      <c r="N10114" t="s">
        <v>732</v>
      </c>
    </row>
    <row r="10115" spans="14:14" ht="15" customHeight="1" x14ac:dyDescent="0.25">
      <c r="N10115" t="s">
        <v>732</v>
      </c>
    </row>
    <row r="10116" spans="14:14" ht="15" customHeight="1" x14ac:dyDescent="0.25">
      <c r="N10116" t="s">
        <v>732</v>
      </c>
    </row>
    <row r="10117" spans="14:14" ht="15" customHeight="1" x14ac:dyDescent="0.25">
      <c r="N10117" t="s">
        <v>715</v>
      </c>
    </row>
    <row r="10118" spans="14:14" ht="15" customHeight="1" x14ac:dyDescent="0.25">
      <c r="N10118" t="s">
        <v>732</v>
      </c>
    </row>
    <row r="10119" spans="14:14" ht="15" customHeight="1" x14ac:dyDescent="0.25">
      <c r="N10119" t="s">
        <v>670</v>
      </c>
    </row>
    <row r="10120" spans="14:14" ht="15" customHeight="1" x14ac:dyDescent="0.25">
      <c r="N10120" t="s">
        <v>669</v>
      </c>
    </row>
    <row r="10121" spans="14:14" ht="15" customHeight="1" x14ac:dyDescent="0.25">
      <c r="N10121" t="s">
        <v>669</v>
      </c>
    </row>
    <row r="10122" spans="14:14" ht="15" customHeight="1" x14ac:dyDescent="0.25">
      <c r="N10122" t="s">
        <v>669</v>
      </c>
    </row>
    <row r="10123" spans="14:14" ht="15" customHeight="1" x14ac:dyDescent="0.25">
      <c r="N10123" t="s">
        <v>669</v>
      </c>
    </row>
    <row r="10124" spans="14:14" ht="15" customHeight="1" x14ac:dyDescent="0.25">
      <c r="N10124" t="s">
        <v>732</v>
      </c>
    </row>
    <row r="10125" spans="14:14" ht="15" customHeight="1" x14ac:dyDescent="0.25">
      <c r="N10125" t="s">
        <v>686</v>
      </c>
    </row>
    <row r="10126" spans="14:14" ht="15" customHeight="1" x14ac:dyDescent="0.25">
      <c r="N10126" t="s">
        <v>670</v>
      </c>
    </row>
    <row r="10127" spans="14:14" ht="15" customHeight="1" x14ac:dyDescent="0.25">
      <c r="N10127" t="s">
        <v>370</v>
      </c>
    </row>
    <row r="10128" spans="14:14" ht="15" customHeight="1" x14ac:dyDescent="0.25">
      <c r="N10128" t="s">
        <v>714</v>
      </c>
    </row>
    <row r="10129" spans="14:14" ht="15" customHeight="1" x14ac:dyDescent="0.25">
      <c r="N10129" t="s">
        <v>889</v>
      </c>
    </row>
    <row r="10130" spans="14:14" ht="15" customHeight="1" x14ac:dyDescent="0.25">
      <c r="N10130" t="s">
        <v>889</v>
      </c>
    </row>
    <row r="10131" spans="14:14" ht="15" customHeight="1" x14ac:dyDescent="0.25">
      <c r="N10131" t="s">
        <v>304</v>
      </c>
    </row>
    <row r="10132" spans="14:14" ht="15" customHeight="1" x14ac:dyDescent="0.25">
      <c r="N10132" t="s">
        <v>669</v>
      </c>
    </row>
    <row r="10133" spans="14:14" ht="15" customHeight="1" x14ac:dyDescent="0.25">
      <c r="N10133" t="s">
        <v>488</v>
      </c>
    </row>
    <row r="10134" spans="14:14" ht="15" customHeight="1" x14ac:dyDescent="0.25">
      <c r="N10134" t="s">
        <v>715</v>
      </c>
    </row>
    <row r="10135" spans="14:14" ht="15" customHeight="1" x14ac:dyDescent="0.25">
      <c r="N10135" t="s">
        <v>582</v>
      </c>
    </row>
    <row r="10136" spans="14:14" ht="15" customHeight="1" x14ac:dyDescent="0.25">
      <c r="N10136" t="s">
        <v>714</v>
      </c>
    </row>
    <row r="10137" spans="14:14" ht="15" customHeight="1" x14ac:dyDescent="0.25">
      <c r="N10137" t="s">
        <v>714</v>
      </c>
    </row>
    <row r="10138" spans="14:14" ht="15" customHeight="1" x14ac:dyDescent="0.25">
      <c r="N10138" t="s">
        <v>714</v>
      </c>
    </row>
    <row r="10139" spans="14:14" ht="15" customHeight="1" x14ac:dyDescent="0.25">
      <c r="N10139" t="s">
        <v>714</v>
      </c>
    </row>
    <row r="10140" spans="14:14" ht="15" customHeight="1" x14ac:dyDescent="0.25">
      <c r="N10140" t="s">
        <v>714</v>
      </c>
    </row>
    <row r="10141" spans="14:14" ht="15" customHeight="1" x14ac:dyDescent="0.25">
      <c r="N10141" t="s">
        <v>714</v>
      </c>
    </row>
    <row r="10142" spans="14:14" ht="15" customHeight="1" x14ac:dyDescent="0.25">
      <c r="N10142" t="s">
        <v>714</v>
      </c>
    </row>
    <row r="10143" spans="14:14" ht="15" customHeight="1" x14ac:dyDescent="0.25">
      <c r="N10143" t="s">
        <v>714</v>
      </c>
    </row>
    <row r="10144" spans="14:14" ht="15" customHeight="1" x14ac:dyDescent="0.25">
      <c r="N10144" t="s">
        <v>715</v>
      </c>
    </row>
    <row r="10145" spans="14:14" ht="15" customHeight="1" x14ac:dyDescent="0.25">
      <c r="N10145" t="s">
        <v>714</v>
      </c>
    </row>
    <row r="10146" spans="14:14" ht="15" customHeight="1" x14ac:dyDescent="0.25">
      <c r="N10146" t="s">
        <v>732</v>
      </c>
    </row>
    <row r="10147" spans="14:14" ht="15" customHeight="1" x14ac:dyDescent="0.25">
      <c r="N10147" t="s">
        <v>732</v>
      </c>
    </row>
    <row r="10148" spans="14:14" ht="15" customHeight="1" x14ac:dyDescent="0.25">
      <c r="N10148" t="s">
        <v>732</v>
      </c>
    </row>
    <row r="10149" spans="14:14" ht="15" customHeight="1" x14ac:dyDescent="0.25">
      <c r="N10149" t="s">
        <v>732</v>
      </c>
    </row>
    <row r="10150" spans="14:14" ht="15" customHeight="1" x14ac:dyDescent="0.25">
      <c r="N10150" t="s">
        <v>732</v>
      </c>
    </row>
    <row r="10151" spans="14:14" ht="15" customHeight="1" x14ac:dyDescent="0.25">
      <c r="N10151" t="s">
        <v>732</v>
      </c>
    </row>
    <row r="10152" spans="14:14" ht="15" customHeight="1" x14ac:dyDescent="0.25">
      <c r="N10152" t="s">
        <v>732</v>
      </c>
    </row>
    <row r="10153" spans="14:14" ht="15" customHeight="1" x14ac:dyDescent="0.25">
      <c r="N10153" t="s">
        <v>732</v>
      </c>
    </row>
    <row r="10154" spans="14:14" ht="15" customHeight="1" x14ac:dyDescent="0.25">
      <c r="N10154" t="s">
        <v>732</v>
      </c>
    </row>
    <row r="10155" spans="14:14" ht="15" customHeight="1" x14ac:dyDescent="0.25">
      <c r="N10155" t="s">
        <v>732</v>
      </c>
    </row>
    <row r="10156" spans="14:14" ht="15" customHeight="1" x14ac:dyDescent="0.25">
      <c r="N10156" t="s">
        <v>732</v>
      </c>
    </row>
    <row r="10157" spans="14:14" ht="15" customHeight="1" x14ac:dyDescent="0.25">
      <c r="N10157" t="s">
        <v>732</v>
      </c>
    </row>
    <row r="10158" spans="14:14" ht="15" customHeight="1" x14ac:dyDescent="0.25">
      <c r="N10158" t="s">
        <v>732</v>
      </c>
    </row>
    <row r="10159" spans="14:14" ht="15" customHeight="1" x14ac:dyDescent="0.25">
      <c r="N10159" t="s">
        <v>605</v>
      </c>
    </row>
    <row r="10160" spans="14:14" ht="15" customHeight="1" x14ac:dyDescent="0.25">
      <c r="N10160" t="s">
        <v>690</v>
      </c>
    </row>
    <row r="10161" spans="14:14" ht="15" customHeight="1" x14ac:dyDescent="0.25">
      <c r="N10161" t="s">
        <v>828</v>
      </c>
    </row>
    <row r="10162" spans="14:14" ht="15" customHeight="1" x14ac:dyDescent="0.25">
      <c r="N10162" t="s">
        <v>714</v>
      </c>
    </row>
    <row r="10163" spans="14:14" ht="15" customHeight="1" x14ac:dyDescent="0.25">
      <c r="N10163" t="s">
        <v>642</v>
      </c>
    </row>
    <row r="10164" spans="14:14" ht="15" customHeight="1" x14ac:dyDescent="0.25">
      <c r="N10164" t="s">
        <v>642</v>
      </c>
    </row>
    <row r="10165" spans="14:14" ht="15" customHeight="1" x14ac:dyDescent="0.25">
      <c r="N10165" t="s">
        <v>642</v>
      </c>
    </row>
    <row r="10166" spans="14:14" ht="15" customHeight="1" x14ac:dyDescent="0.25">
      <c r="N10166" t="s">
        <v>642</v>
      </c>
    </row>
    <row r="10167" spans="14:14" ht="15" customHeight="1" x14ac:dyDescent="0.25">
      <c r="N10167" t="s">
        <v>642</v>
      </c>
    </row>
    <row r="10168" spans="14:14" ht="15" customHeight="1" x14ac:dyDescent="0.25">
      <c r="N10168" t="s">
        <v>642</v>
      </c>
    </row>
    <row r="10169" spans="14:14" ht="15" customHeight="1" x14ac:dyDescent="0.25">
      <c r="N10169" t="s">
        <v>642</v>
      </c>
    </row>
    <row r="10170" spans="14:14" ht="15" customHeight="1" x14ac:dyDescent="0.25">
      <c r="N10170" t="s">
        <v>304</v>
      </c>
    </row>
    <row r="10171" spans="14:14" ht="15" customHeight="1" x14ac:dyDescent="0.25">
      <c r="N10171" t="s">
        <v>732</v>
      </c>
    </row>
    <row r="10172" spans="14:14" ht="15" customHeight="1" x14ac:dyDescent="0.25">
      <c r="N10172" t="s">
        <v>923</v>
      </c>
    </row>
    <row r="10173" spans="14:14" ht="15" customHeight="1" x14ac:dyDescent="0.25">
      <c r="N10173" t="s">
        <v>582</v>
      </c>
    </row>
    <row r="10174" spans="14:14" ht="15" customHeight="1" x14ac:dyDescent="0.25">
      <c r="N10174" t="s">
        <v>582</v>
      </c>
    </row>
    <row r="10175" spans="14:14" ht="15" customHeight="1" x14ac:dyDescent="0.25">
      <c r="N10175" t="s">
        <v>582</v>
      </c>
    </row>
    <row r="10176" spans="14:14" ht="15" customHeight="1" x14ac:dyDescent="0.25">
      <c r="N10176" t="s">
        <v>582</v>
      </c>
    </row>
    <row r="10177" spans="14:14" ht="15" customHeight="1" x14ac:dyDescent="0.25">
      <c r="N10177" t="s">
        <v>582</v>
      </c>
    </row>
    <row r="10178" spans="14:14" ht="15" customHeight="1" x14ac:dyDescent="0.25">
      <c r="N10178" t="s">
        <v>582</v>
      </c>
    </row>
    <row r="10179" spans="14:14" ht="15" customHeight="1" x14ac:dyDescent="0.25">
      <c r="N10179" t="s">
        <v>582</v>
      </c>
    </row>
    <row r="10180" spans="14:14" ht="15" customHeight="1" x14ac:dyDescent="0.25">
      <c r="N10180" t="s">
        <v>684</v>
      </c>
    </row>
    <row r="10181" spans="14:14" ht="15" customHeight="1" x14ac:dyDescent="0.25">
      <c r="N10181" t="s">
        <v>927</v>
      </c>
    </row>
    <row r="10182" spans="14:14" ht="15" customHeight="1" x14ac:dyDescent="0.25">
      <c r="N10182" t="s">
        <v>714</v>
      </c>
    </row>
    <row r="10183" spans="14:14" ht="15" customHeight="1" x14ac:dyDescent="0.25">
      <c r="N10183" t="s">
        <v>687</v>
      </c>
    </row>
    <row r="10184" spans="14:14" ht="15" customHeight="1" x14ac:dyDescent="0.25">
      <c r="N10184" t="s">
        <v>715</v>
      </c>
    </row>
    <row r="10185" spans="14:14" ht="15" customHeight="1" x14ac:dyDescent="0.25">
      <c r="N10185" t="s">
        <v>638</v>
      </c>
    </row>
    <row r="10186" spans="14:14" ht="15" customHeight="1" x14ac:dyDescent="0.25">
      <c r="N10186" t="s">
        <v>828</v>
      </c>
    </row>
    <row r="10187" spans="14:14" ht="15" customHeight="1" x14ac:dyDescent="0.25">
      <c r="N10187" t="s">
        <v>642</v>
      </c>
    </row>
    <row r="10188" spans="14:14" ht="15" customHeight="1" x14ac:dyDescent="0.25">
      <c r="N10188" t="s">
        <v>732</v>
      </c>
    </row>
    <row r="10189" spans="14:14" ht="15" customHeight="1" x14ac:dyDescent="0.25">
      <c r="N10189" t="s">
        <v>889</v>
      </c>
    </row>
    <row r="10190" spans="14:14" ht="15" customHeight="1" x14ac:dyDescent="0.25">
      <c r="N10190" t="s">
        <v>935</v>
      </c>
    </row>
    <row r="10191" spans="14:14" ht="15" customHeight="1" x14ac:dyDescent="0.25">
      <c r="N10191" t="s">
        <v>889</v>
      </c>
    </row>
    <row r="10192" spans="14:14" ht="15" customHeight="1" x14ac:dyDescent="0.25">
      <c r="N10192" t="s">
        <v>935</v>
      </c>
    </row>
    <row r="10193" spans="14:14" ht="15" customHeight="1" x14ac:dyDescent="0.25">
      <c r="N10193" t="s">
        <v>714</v>
      </c>
    </row>
    <row r="10194" spans="14:14" ht="15" customHeight="1" x14ac:dyDescent="0.25">
      <c r="N10194" t="s">
        <v>638</v>
      </c>
    </row>
    <row r="10195" spans="14:14" ht="15" customHeight="1" x14ac:dyDescent="0.25">
      <c r="N10195" t="s">
        <v>714</v>
      </c>
    </row>
    <row r="10196" spans="14:14" ht="15" customHeight="1" x14ac:dyDescent="0.25">
      <c r="N10196" t="s">
        <v>638</v>
      </c>
    </row>
    <row r="10197" spans="14:14" ht="15" customHeight="1" x14ac:dyDescent="0.25">
      <c r="N10197" t="s">
        <v>689</v>
      </c>
    </row>
    <row r="10198" spans="14:14" ht="15" customHeight="1" x14ac:dyDescent="0.25">
      <c r="N10198" t="s">
        <v>751</v>
      </c>
    </row>
    <row r="10199" spans="14:14" ht="15" customHeight="1" x14ac:dyDescent="0.25">
      <c r="N10199" t="s">
        <v>706</v>
      </c>
    </row>
    <row r="10200" spans="14:14" ht="15" customHeight="1" x14ac:dyDescent="0.25">
      <c r="N10200" t="s">
        <v>706</v>
      </c>
    </row>
    <row r="10201" spans="14:14" ht="15" customHeight="1" x14ac:dyDescent="0.25">
      <c r="N10201" t="s">
        <v>706</v>
      </c>
    </row>
    <row r="10202" spans="14:14" ht="15" customHeight="1" x14ac:dyDescent="0.25">
      <c r="N10202" t="s">
        <v>706</v>
      </c>
    </row>
    <row r="10203" spans="14:14" ht="15" customHeight="1" x14ac:dyDescent="0.25">
      <c r="N10203" t="s">
        <v>706</v>
      </c>
    </row>
    <row r="10204" spans="14:14" ht="15" customHeight="1" x14ac:dyDescent="0.25">
      <c r="N10204" t="s">
        <v>706</v>
      </c>
    </row>
    <row r="10205" spans="14:14" ht="15" customHeight="1" x14ac:dyDescent="0.25">
      <c r="N10205" t="s">
        <v>706</v>
      </c>
    </row>
    <row r="10206" spans="14:14" ht="15" customHeight="1" x14ac:dyDescent="0.25">
      <c r="N10206" t="s">
        <v>706</v>
      </c>
    </row>
    <row r="10207" spans="14:14" ht="15" customHeight="1" x14ac:dyDescent="0.25">
      <c r="N10207" t="s">
        <v>706</v>
      </c>
    </row>
    <row r="10208" spans="14:14" ht="15" customHeight="1" x14ac:dyDescent="0.25">
      <c r="N10208" t="s">
        <v>706</v>
      </c>
    </row>
    <row r="10209" spans="14:14" ht="15" customHeight="1" x14ac:dyDescent="0.25">
      <c r="N10209" t="s">
        <v>706</v>
      </c>
    </row>
    <row r="10210" spans="14:14" ht="15" customHeight="1" x14ac:dyDescent="0.25">
      <c r="N10210" t="s">
        <v>706</v>
      </c>
    </row>
    <row r="10211" spans="14:14" ht="15" customHeight="1" x14ac:dyDescent="0.25">
      <c r="N10211" t="s">
        <v>706</v>
      </c>
    </row>
    <row r="10212" spans="14:14" ht="15" customHeight="1" x14ac:dyDescent="0.25">
      <c r="N10212" t="s">
        <v>68</v>
      </c>
    </row>
    <row r="10213" spans="14:14" ht="15" customHeight="1" x14ac:dyDescent="0.25">
      <c r="N10213" t="s">
        <v>68</v>
      </c>
    </row>
    <row r="10214" spans="14:14" ht="15" customHeight="1" x14ac:dyDescent="0.25">
      <c r="N10214" t="s">
        <v>68</v>
      </c>
    </row>
    <row r="10215" spans="14:14" ht="15" customHeight="1" x14ac:dyDescent="0.25">
      <c r="N10215" t="s">
        <v>68</v>
      </c>
    </row>
    <row r="10216" spans="14:14" ht="15" customHeight="1" x14ac:dyDescent="0.25">
      <c r="N10216" t="s">
        <v>68</v>
      </c>
    </row>
    <row r="10217" spans="14:14" ht="15" customHeight="1" x14ac:dyDescent="0.25">
      <c r="N10217" t="s">
        <v>68</v>
      </c>
    </row>
    <row r="10218" spans="14:14" ht="15" customHeight="1" x14ac:dyDescent="0.25">
      <c r="N10218" t="s">
        <v>68</v>
      </c>
    </row>
    <row r="10219" spans="14:14" ht="15" customHeight="1" x14ac:dyDescent="0.25">
      <c r="N10219" t="s">
        <v>68</v>
      </c>
    </row>
    <row r="10220" spans="14:14" ht="15" customHeight="1" x14ac:dyDescent="0.25">
      <c r="N10220" t="s">
        <v>68</v>
      </c>
    </row>
    <row r="10221" spans="14:14" ht="15" customHeight="1" x14ac:dyDescent="0.25">
      <c r="N10221" t="s">
        <v>68</v>
      </c>
    </row>
    <row r="10222" spans="14:14" ht="15" customHeight="1" x14ac:dyDescent="0.25">
      <c r="N10222" t="s">
        <v>68</v>
      </c>
    </row>
    <row r="10223" spans="14:14" ht="15" customHeight="1" x14ac:dyDescent="0.25">
      <c r="N10223" t="s">
        <v>68</v>
      </c>
    </row>
    <row r="10224" spans="14:14" ht="15" customHeight="1" x14ac:dyDescent="0.25">
      <c r="N10224" t="s">
        <v>68</v>
      </c>
    </row>
    <row r="10225" spans="14:14" ht="15" customHeight="1" x14ac:dyDescent="0.25">
      <c r="N10225" t="s">
        <v>68</v>
      </c>
    </row>
    <row r="10226" spans="14:14" ht="15" customHeight="1" x14ac:dyDescent="0.25">
      <c r="N10226" t="s">
        <v>68</v>
      </c>
    </row>
    <row r="10227" spans="14:14" ht="15" customHeight="1" x14ac:dyDescent="0.25">
      <c r="N10227" t="s">
        <v>582</v>
      </c>
    </row>
    <row r="10228" spans="14:14" ht="15" customHeight="1" x14ac:dyDescent="0.25">
      <c r="N10228" t="s">
        <v>622</v>
      </c>
    </row>
    <row r="10229" spans="14:14" ht="15" customHeight="1" x14ac:dyDescent="0.25">
      <c r="N10229" t="s">
        <v>675</v>
      </c>
    </row>
    <row r="10230" spans="14:14" ht="15" customHeight="1" x14ac:dyDescent="0.25">
      <c r="N10230" t="s">
        <v>675</v>
      </c>
    </row>
    <row r="10231" spans="14:14" ht="15" customHeight="1" x14ac:dyDescent="0.25">
      <c r="N10231" t="s">
        <v>675</v>
      </c>
    </row>
    <row r="10232" spans="14:14" ht="15" customHeight="1" x14ac:dyDescent="0.25">
      <c r="N10232" t="s">
        <v>675</v>
      </c>
    </row>
    <row r="10233" spans="14:14" ht="15" customHeight="1" x14ac:dyDescent="0.25">
      <c r="N10233" t="s">
        <v>675</v>
      </c>
    </row>
    <row r="10234" spans="14:14" ht="15" customHeight="1" x14ac:dyDescent="0.25">
      <c r="N10234" t="s">
        <v>675</v>
      </c>
    </row>
    <row r="10235" spans="14:14" ht="15" customHeight="1" x14ac:dyDescent="0.25">
      <c r="N10235" t="s">
        <v>675</v>
      </c>
    </row>
    <row r="10236" spans="14:14" ht="15" customHeight="1" x14ac:dyDescent="0.25">
      <c r="N10236" t="s">
        <v>675</v>
      </c>
    </row>
    <row r="10237" spans="14:14" ht="15" customHeight="1" x14ac:dyDescent="0.25">
      <c r="N10237" t="s">
        <v>736</v>
      </c>
    </row>
    <row r="10238" spans="14:14" ht="15" customHeight="1" x14ac:dyDescent="0.25">
      <c r="N10238" t="s">
        <v>749</v>
      </c>
    </row>
    <row r="10239" spans="14:14" ht="15" customHeight="1" x14ac:dyDescent="0.25">
      <c r="N10239" t="s">
        <v>749</v>
      </c>
    </row>
    <row r="10240" spans="14:14" ht="15" customHeight="1" x14ac:dyDescent="0.25">
      <c r="N10240" t="s">
        <v>749</v>
      </c>
    </row>
    <row r="10241" spans="14:14" ht="15" customHeight="1" x14ac:dyDescent="0.25">
      <c r="N10241" t="s">
        <v>749</v>
      </c>
    </row>
    <row r="10242" spans="14:14" ht="15" customHeight="1" x14ac:dyDescent="0.25">
      <c r="N10242" t="s">
        <v>749</v>
      </c>
    </row>
    <row r="10243" spans="14:14" ht="15" customHeight="1" x14ac:dyDescent="0.25">
      <c r="N10243" t="s">
        <v>749</v>
      </c>
    </row>
    <row r="10244" spans="14:14" ht="15" customHeight="1" x14ac:dyDescent="0.25">
      <c r="N10244" t="s">
        <v>749</v>
      </c>
    </row>
    <row r="10245" spans="14:14" ht="15" customHeight="1" x14ac:dyDescent="0.25">
      <c r="N10245" t="s">
        <v>749</v>
      </c>
    </row>
    <row r="10246" spans="14:14" ht="15" customHeight="1" x14ac:dyDescent="0.25">
      <c r="N10246" t="s">
        <v>749</v>
      </c>
    </row>
    <row r="10247" spans="14:14" ht="15" customHeight="1" x14ac:dyDescent="0.25">
      <c r="N10247" t="s">
        <v>749</v>
      </c>
    </row>
    <row r="10248" spans="14:14" ht="15" customHeight="1" x14ac:dyDescent="0.25">
      <c r="N10248" t="s">
        <v>749</v>
      </c>
    </row>
    <row r="10249" spans="14:14" ht="15" customHeight="1" x14ac:dyDescent="0.25">
      <c r="N10249" t="s">
        <v>749</v>
      </c>
    </row>
    <row r="10250" spans="14:14" ht="15" customHeight="1" x14ac:dyDescent="0.25">
      <c r="N10250" t="s">
        <v>749</v>
      </c>
    </row>
    <row r="10251" spans="14:14" ht="15" customHeight="1" x14ac:dyDescent="0.25">
      <c r="N10251" t="s">
        <v>749</v>
      </c>
    </row>
    <row r="10252" spans="14:14" ht="15" customHeight="1" x14ac:dyDescent="0.25">
      <c r="N10252" t="s">
        <v>749</v>
      </c>
    </row>
    <row r="10253" spans="14:14" ht="15" customHeight="1" x14ac:dyDescent="0.25">
      <c r="N10253" t="s">
        <v>749</v>
      </c>
    </row>
    <row r="10254" spans="14:14" ht="15" customHeight="1" x14ac:dyDescent="0.25">
      <c r="N10254" t="s">
        <v>749</v>
      </c>
    </row>
    <row r="10255" spans="14:14" ht="15" customHeight="1" x14ac:dyDescent="0.25">
      <c r="N10255" t="s">
        <v>749</v>
      </c>
    </row>
    <row r="10256" spans="14:14" ht="15" customHeight="1" x14ac:dyDescent="0.25">
      <c r="N10256" t="s">
        <v>749</v>
      </c>
    </row>
    <row r="10257" spans="14:14" ht="15" customHeight="1" x14ac:dyDescent="0.25">
      <c r="N10257" t="s">
        <v>749</v>
      </c>
    </row>
    <row r="10258" spans="14:14" ht="15" customHeight="1" x14ac:dyDescent="0.25">
      <c r="N10258" t="s">
        <v>749</v>
      </c>
    </row>
    <row r="10259" spans="14:14" ht="15" customHeight="1" x14ac:dyDescent="0.25">
      <c r="N10259" t="s">
        <v>749</v>
      </c>
    </row>
    <row r="10260" spans="14:14" ht="15" customHeight="1" x14ac:dyDescent="0.25">
      <c r="N10260" t="s">
        <v>749</v>
      </c>
    </row>
    <row r="10261" spans="14:14" ht="15" customHeight="1" x14ac:dyDescent="0.25">
      <c r="N10261" t="s">
        <v>749</v>
      </c>
    </row>
    <row r="10262" spans="14:14" ht="15" customHeight="1" x14ac:dyDescent="0.25">
      <c r="N10262" t="s">
        <v>749</v>
      </c>
    </row>
    <row r="10263" spans="14:14" ht="15" customHeight="1" x14ac:dyDescent="0.25">
      <c r="N10263" t="s">
        <v>749</v>
      </c>
    </row>
    <row r="10264" spans="14:14" ht="15" customHeight="1" x14ac:dyDescent="0.25">
      <c r="N10264" t="s">
        <v>749</v>
      </c>
    </row>
    <row r="10265" spans="14:14" ht="15" customHeight="1" x14ac:dyDescent="0.25">
      <c r="N10265" t="s">
        <v>732</v>
      </c>
    </row>
    <row r="10266" spans="14:14" ht="15" customHeight="1" x14ac:dyDescent="0.25">
      <c r="N10266" t="s">
        <v>496</v>
      </c>
    </row>
    <row r="10267" spans="14:14" ht="15" customHeight="1" x14ac:dyDescent="0.25">
      <c r="N10267" t="s">
        <v>824</v>
      </c>
    </row>
    <row r="10268" spans="14:14" ht="15" customHeight="1" x14ac:dyDescent="0.25">
      <c r="N10268" t="s">
        <v>824</v>
      </c>
    </row>
    <row r="10269" spans="14:14" ht="15" customHeight="1" x14ac:dyDescent="0.25">
      <c r="N10269" t="s">
        <v>715</v>
      </c>
    </row>
    <row r="10270" spans="14:14" ht="15" customHeight="1" x14ac:dyDescent="0.25">
      <c r="N10270" t="s">
        <v>715</v>
      </c>
    </row>
    <row r="10271" spans="14:14" ht="15" customHeight="1" x14ac:dyDescent="0.25">
      <c r="N10271" t="s">
        <v>715</v>
      </c>
    </row>
    <row r="10272" spans="14:14" ht="15" customHeight="1" x14ac:dyDescent="0.25">
      <c r="N10272" t="s">
        <v>715</v>
      </c>
    </row>
    <row r="10273" spans="14:14" ht="15" customHeight="1" x14ac:dyDescent="0.25">
      <c r="N10273" t="s">
        <v>706</v>
      </c>
    </row>
    <row r="10274" spans="14:14" ht="15" customHeight="1" x14ac:dyDescent="0.25">
      <c r="N10274" t="s">
        <v>706</v>
      </c>
    </row>
    <row r="10275" spans="14:14" ht="15" customHeight="1" x14ac:dyDescent="0.25">
      <c r="N10275" t="s">
        <v>706</v>
      </c>
    </row>
    <row r="10276" spans="14:14" ht="15" customHeight="1" x14ac:dyDescent="0.25">
      <c r="N10276" t="s">
        <v>706</v>
      </c>
    </row>
    <row r="10277" spans="14:14" ht="15" customHeight="1" x14ac:dyDescent="0.25">
      <c r="N10277" t="s">
        <v>706</v>
      </c>
    </row>
    <row r="10278" spans="14:14" ht="15" customHeight="1" x14ac:dyDescent="0.25">
      <c r="N10278" t="s">
        <v>706</v>
      </c>
    </row>
    <row r="10279" spans="14:14" ht="15" customHeight="1" x14ac:dyDescent="0.25">
      <c r="N10279" t="s">
        <v>706</v>
      </c>
    </row>
    <row r="10280" spans="14:14" ht="15" customHeight="1" x14ac:dyDescent="0.25">
      <c r="N10280" t="s">
        <v>706</v>
      </c>
    </row>
    <row r="10281" spans="14:14" ht="15" customHeight="1" x14ac:dyDescent="0.25">
      <c r="N10281" t="s">
        <v>706</v>
      </c>
    </row>
    <row r="10282" spans="14:14" ht="15" customHeight="1" x14ac:dyDescent="0.25">
      <c r="N10282" t="s">
        <v>706</v>
      </c>
    </row>
    <row r="10283" spans="14:14" ht="15" customHeight="1" x14ac:dyDescent="0.25">
      <c r="N10283" t="s">
        <v>706</v>
      </c>
    </row>
    <row r="10284" spans="14:14" ht="15" customHeight="1" x14ac:dyDescent="0.25">
      <c r="N10284" t="s">
        <v>706</v>
      </c>
    </row>
    <row r="10285" spans="14:14" ht="15" customHeight="1" x14ac:dyDescent="0.25">
      <c r="N10285" t="s">
        <v>706</v>
      </c>
    </row>
    <row r="10286" spans="14:14" ht="15" customHeight="1" x14ac:dyDescent="0.25">
      <c r="N10286" t="s">
        <v>582</v>
      </c>
    </row>
    <row r="10287" spans="14:14" ht="15" customHeight="1" x14ac:dyDescent="0.25">
      <c r="N10287" t="s">
        <v>689</v>
      </c>
    </row>
    <row r="10288" spans="14:14" ht="15" customHeight="1" x14ac:dyDescent="0.25">
      <c r="N10288" t="s">
        <v>750</v>
      </c>
    </row>
    <row r="10289" spans="14:14" ht="15" customHeight="1" x14ac:dyDescent="0.25">
      <c r="N10289" t="s">
        <v>750</v>
      </c>
    </row>
    <row r="10290" spans="14:14" ht="15" customHeight="1" x14ac:dyDescent="0.25">
      <c r="N10290" t="s">
        <v>750</v>
      </c>
    </row>
    <row r="10291" spans="14:14" ht="15" customHeight="1" x14ac:dyDescent="0.25">
      <c r="N10291" t="s">
        <v>750</v>
      </c>
    </row>
    <row r="10292" spans="14:14" ht="15" customHeight="1" x14ac:dyDescent="0.25">
      <c r="N10292" t="s">
        <v>750</v>
      </c>
    </row>
    <row r="10293" spans="14:14" ht="15" customHeight="1" x14ac:dyDescent="0.25">
      <c r="N10293" t="s">
        <v>750</v>
      </c>
    </row>
    <row r="10294" spans="14:14" ht="15" customHeight="1" x14ac:dyDescent="0.25">
      <c r="N10294" t="s">
        <v>750</v>
      </c>
    </row>
    <row r="10295" spans="14:14" ht="15" customHeight="1" x14ac:dyDescent="0.25">
      <c r="N10295" t="s">
        <v>750</v>
      </c>
    </row>
    <row r="10296" spans="14:14" ht="15" customHeight="1" x14ac:dyDescent="0.25">
      <c r="N10296" t="s">
        <v>750</v>
      </c>
    </row>
    <row r="10297" spans="14:14" ht="15" customHeight="1" x14ac:dyDescent="0.25">
      <c r="N10297" t="s">
        <v>750</v>
      </c>
    </row>
    <row r="10298" spans="14:14" ht="15" customHeight="1" x14ac:dyDescent="0.25">
      <c r="N10298" t="s">
        <v>750</v>
      </c>
    </row>
    <row r="10299" spans="14:14" ht="15" customHeight="1" x14ac:dyDescent="0.25">
      <c r="N10299" t="s">
        <v>750</v>
      </c>
    </row>
    <row r="10300" spans="14:14" ht="15" customHeight="1" x14ac:dyDescent="0.25">
      <c r="N10300" t="s">
        <v>750</v>
      </c>
    </row>
    <row r="10301" spans="14:14" ht="15" customHeight="1" x14ac:dyDescent="0.25">
      <c r="N10301" t="s">
        <v>750</v>
      </c>
    </row>
    <row r="10302" spans="14:14" ht="15" customHeight="1" x14ac:dyDescent="0.25">
      <c r="N10302" t="s">
        <v>750</v>
      </c>
    </row>
    <row r="10303" spans="14:14" ht="15" customHeight="1" x14ac:dyDescent="0.25">
      <c r="N10303" t="s">
        <v>750</v>
      </c>
    </row>
    <row r="10304" spans="14:14" ht="15" customHeight="1" x14ac:dyDescent="0.25">
      <c r="N10304" t="s">
        <v>750</v>
      </c>
    </row>
    <row r="10305" spans="14:14" ht="15" customHeight="1" x14ac:dyDescent="0.25">
      <c r="N10305" t="s">
        <v>750</v>
      </c>
    </row>
    <row r="10306" spans="14:14" ht="15" customHeight="1" x14ac:dyDescent="0.25">
      <c r="N10306" t="s">
        <v>750</v>
      </c>
    </row>
    <row r="10307" spans="14:14" ht="15" customHeight="1" x14ac:dyDescent="0.25">
      <c r="N10307" t="s">
        <v>750</v>
      </c>
    </row>
    <row r="10308" spans="14:14" ht="15" customHeight="1" x14ac:dyDescent="0.25">
      <c r="N10308" t="s">
        <v>750</v>
      </c>
    </row>
    <row r="10309" spans="14:14" ht="15" customHeight="1" x14ac:dyDescent="0.25">
      <c r="N10309" t="s">
        <v>750</v>
      </c>
    </row>
    <row r="10310" spans="14:14" ht="15" customHeight="1" x14ac:dyDescent="0.25">
      <c r="N10310" t="s">
        <v>750</v>
      </c>
    </row>
    <row r="10311" spans="14:14" ht="15" customHeight="1" x14ac:dyDescent="0.25">
      <c r="N10311" t="s">
        <v>750</v>
      </c>
    </row>
    <row r="10312" spans="14:14" ht="15" customHeight="1" x14ac:dyDescent="0.25">
      <c r="N10312" t="s">
        <v>750</v>
      </c>
    </row>
    <row r="10313" spans="14:14" ht="15" customHeight="1" x14ac:dyDescent="0.25">
      <c r="N10313" t="s">
        <v>750</v>
      </c>
    </row>
    <row r="10314" spans="14:14" ht="15" customHeight="1" x14ac:dyDescent="0.25">
      <c r="N10314" t="s">
        <v>750</v>
      </c>
    </row>
    <row r="10315" spans="14:14" ht="15" customHeight="1" x14ac:dyDescent="0.25">
      <c r="N10315" t="s">
        <v>689</v>
      </c>
    </row>
    <row r="10316" spans="14:14" ht="15" customHeight="1" x14ac:dyDescent="0.25">
      <c r="N10316" t="s">
        <v>824</v>
      </c>
    </row>
    <row r="10317" spans="14:14" ht="15" customHeight="1" x14ac:dyDescent="0.25">
      <c r="N10317" t="s">
        <v>715</v>
      </c>
    </row>
    <row r="10318" spans="14:14" ht="15" customHeight="1" x14ac:dyDescent="0.25">
      <c r="N10318" t="s">
        <v>715</v>
      </c>
    </row>
    <row r="10319" spans="14:14" ht="15" customHeight="1" x14ac:dyDescent="0.25">
      <c r="N10319" t="s">
        <v>715</v>
      </c>
    </row>
    <row r="10320" spans="14:14" ht="15" customHeight="1" x14ac:dyDescent="0.25">
      <c r="N10320" t="s">
        <v>715</v>
      </c>
    </row>
    <row r="10321" spans="14:14" ht="15" customHeight="1" x14ac:dyDescent="0.25">
      <c r="N10321" t="s">
        <v>370</v>
      </c>
    </row>
    <row r="10322" spans="14:14" ht="15" customHeight="1" x14ac:dyDescent="0.25">
      <c r="N10322" t="s">
        <v>751</v>
      </c>
    </row>
    <row r="10323" spans="14:14" ht="15" customHeight="1" x14ac:dyDescent="0.25">
      <c r="N10323" t="s">
        <v>751</v>
      </c>
    </row>
    <row r="10324" spans="14:14" ht="15" customHeight="1" x14ac:dyDescent="0.25">
      <c r="N10324" t="s">
        <v>751</v>
      </c>
    </row>
    <row r="10325" spans="14:14" ht="15" customHeight="1" x14ac:dyDescent="0.25">
      <c r="N10325" t="s">
        <v>751</v>
      </c>
    </row>
    <row r="10326" spans="14:14" ht="15" customHeight="1" x14ac:dyDescent="0.25">
      <c r="N10326" t="s">
        <v>751</v>
      </c>
    </row>
    <row r="10327" spans="14:14" ht="15" customHeight="1" x14ac:dyDescent="0.25">
      <c r="N10327" t="s">
        <v>751</v>
      </c>
    </row>
    <row r="10328" spans="14:14" ht="15" customHeight="1" x14ac:dyDescent="0.25">
      <c r="N10328" t="s">
        <v>751</v>
      </c>
    </row>
    <row r="10329" spans="14:14" ht="15" customHeight="1" x14ac:dyDescent="0.25">
      <c r="N10329" t="s">
        <v>751</v>
      </c>
    </row>
    <row r="10330" spans="14:14" ht="15" customHeight="1" x14ac:dyDescent="0.25">
      <c r="N10330" t="s">
        <v>751</v>
      </c>
    </row>
    <row r="10331" spans="14:14" ht="15" customHeight="1" x14ac:dyDescent="0.25">
      <c r="N10331" t="s">
        <v>751</v>
      </c>
    </row>
    <row r="10332" spans="14:14" ht="15" customHeight="1" x14ac:dyDescent="0.25">
      <c r="N10332" t="s">
        <v>751</v>
      </c>
    </row>
    <row r="10333" spans="14:14" ht="15" customHeight="1" x14ac:dyDescent="0.25">
      <c r="N10333" t="s">
        <v>751</v>
      </c>
    </row>
    <row r="10334" spans="14:14" ht="15" customHeight="1" x14ac:dyDescent="0.25">
      <c r="N10334" t="s">
        <v>751</v>
      </c>
    </row>
    <row r="10335" spans="14:14" ht="15" customHeight="1" x14ac:dyDescent="0.25">
      <c r="N10335" t="s">
        <v>751</v>
      </c>
    </row>
    <row r="10336" spans="14:14" ht="15" customHeight="1" x14ac:dyDescent="0.25">
      <c r="N10336" t="s">
        <v>751</v>
      </c>
    </row>
    <row r="10337" spans="14:14" ht="15" customHeight="1" x14ac:dyDescent="0.25">
      <c r="N10337" t="s">
        <v>751</v>
      </c>
    </row>
    <row r="10338" spans="14:14" ht="15" customHeight="1" x14ac:dyDescent="0.25">
      <c r="N10338" t="s">
        <v>751</v>
      </c>
    </row>
    <row r="10339" spans="14:14" ht="15" customHeight="1" x14ac:dyDescent="0.25">
      <c r="N10339" t="s">
        <v>751</v>
      </c>
    </row>
    <row r="10340" spans="14:14" ht="15" customHeight="1" x14ac:dyDescent="0.25">
      <c r="N10340" t="s">
        <v>751</v>
      </c>
    </row>
    <row r="10341" spans="14:14" ht="15" customHeight="1" x14ac:dyDescent="0.25">
      <c r="N10341" t="s">
        <v>751</v>
      </c>
    </row>
    <row r="10342" spans="14:14" ht="15" customHeight="1" x14ac:dyDescent="0.25">
      <c r="N10342" t="s">
        <v>751</v>
      </c>
    </row>
    <row r="10343" spans="14:14" ht="15" customHeight="1" x14ac:dyDescent="0.25">
      <c r="N10343" t="s">
        <v>751</v>
      </c>
    </row>
    <row r="10344" spans="14:14" ht="15" customHeight="1" x14ac:dyDescent="0.25">
      <c r="N10344" t="s">
        <v>751</v>
      </c>
    </row>
    <row r="10345" spans="14:14" ht="15" customHeight="1" x14ac:dyDescent="0.25">
      <c r="N10345" t="s">
        <v>751</v>
      </c>
    </row>
    <row r="10346" spans="14:14" ht="15" customHeight="1" x14ac:dyDescent="0.25">
      <c r="N10346" t="s">
        <v>751</v>
      </c>
    </row>
    <row r="10347" spans="14:14" ht="15" customHeight="1" x14ac:dyDescent="0.25">
      <c r="N10347" t="s">
        <v>751</v>
      </c>
    </row>
    <row r="10348" spans="14:14" ht="15" customHeight="1" x14ac:dyDescent="0.25">
      <c r="N10348" t="s">
        <v>751</v>
      </c>
    </row>
    <row r="10349" spans="14:14" ht="15" customHeight="1" x14ac:dyDescent="0.25">
      <c r="N10349" t="s">
        <v>689</v>
      </c>
    </row>
    <row r="10350" spans="14:14" ht="15" customHeight="1" x14ac:dyDescent="0.25">
      <c r="N10350" t="s">
        <v>68</v>
      </c>
    </row>
    <row r="10351" spans="14:14" ht="15" customHeight="1" x14ac:dyDescent="0.25">
      <c r="N10351" t="s">
        <v>675</v>
      </c>
    </row>
    <row r="10352" spans="14:14" ht="15" customHeight="1" x14ac:dyDescent="0.25">
      <c r="N10352" t="s">
        <v>675</v>
      </c>
    </row>
    <row r="10353" spans="14:14" ht="15" customHeight="1" x14ac:dyDescent="0.25">
      <c r="N10353" t="s">
        <v>675</v>
      </c>
    </row>
    <row r="10354" spans="14:14" ht="15" customHeight="1" x14ac:dyDescent="0.25">
      <c r="N10354" t="s">
        <v>675</v>
      </c>
    </row>
    <row r="10355" spans="14:14" ht="15" customHeight="1" x14ac:dyDescent="0.25">
      <c r="N10355" t="s">
        <v>675</v>
      </c>
    </row>
    <row r="10356" spans="14:14" ht="15" customHeight="1" x14ac:dyDescent="0.25">
      <c r="N10356" t="s">
        <v>675</v>
      </c>
    </row>
    <row r="10357" spans="14:14" ht="15" customHeight="1" x14ac:dyDescent="0.25">
      <c r="N10357" t="s">
        <v>675</v>
      </c>
    </row>
    <row r="10358" spans="14:14" ht="15" customHeight="1" x14ac:dyDescent="0.25">
      <c r="N10358" t="s">
        <v>675</v>
      </c>
    </row>
    <row r="10359" spans="14:14" ht="15" customHeight="1" x14ac:dyDescent="0.25">
      <c r="N10359" t="s">
        <v>706</v>
      </c>
    </row>
    <row r="10360" spans="14:14" ht="15" customHeight="1" x14ac:dyDescent="0.25">
      <c r="N10360" t="s">
        <v>706</v>
      </c>
    </row>
    <row r="10361" spans="14:14" ht="15" customHeight="1" x14ac:dyDescent="0.25">
      <c r="N10361" t="s">
        <v>706</v>
      </c>
    </row>
    <row r="10362" spans="14:14" ht="15" customHeight="1" x14ac:dyDescent="0.25">
      <c r="N10362" t="s">
        <v>706</v>
      </c>
    </row>
    <row r="10363" spans="14:14" ht="15" customHeight="1" x14ac:dyDescent="0.25">
      <c r="N10363" t="s">
        <v>706</v>
      </c>
    </row>
    <row r="10364" spans="14:14" ht="15" customHeight="1" x14ac:dyDescent="0.25">
      <c r="N10364" t="s">
        <v>706</v>
      </c>
    </row>
    <row r="10365" spans="14:14" ht="15" customHeight="1" x14ac:dyDescent="0.25">
      <c r="N10365" t="s">
        <v>706</v>
      </c>
    </row>
    <row r="10366" spans="14:14" ht="15" customHeight="1" x14ac:dyDescent="0.25">
      <c r="N10366" t="s">
        <v>706</v>
      </c>
    </row>
    <row r="10367" spans="14:14" ht="15" customHeight="1" x14ac:dyDescent="0.25">
      <c r="N10367" t="s">
        <v>706</v>
      </c>
    </row>
    <row r="10368" spans="14:14" ht="15" customHeight="1" x14ac:dyDescent="0.25">
      <c r="N10368" t="s">
        <v>706</v>
      </c>
    </row>
    <row r="10369" spans="14:14" ht="15" customHeight="1" x14ac:dyDescent="0.25">
      <c r="N10369" t="s">
        <v>706</v>
      </c>
    </row>
    <row r="10370" spans="14:14" ht="15" customHeight="1" x14ac:dyDescent="0.25">
      <c r="N10370" t="s">
        <v>706</v>
      </c>
    </row>
    <row r="10371" spans="14:14" ht="15" customHeight="1" x14ac:dyDescent="0.25">
      <c r="N10371" t="s">
        <v>706</v>
      </c>
    </row>
    <row r="10372" spans="14:14" ht="15" customHeight="1" x14ac:dyDescent="0.25">
      <c r="N10372" t="s">
        <v>313</v>
      </c>
    </row>
    <row r="10373" spans="14:14" ht="15" customHeight="1" x14ac:dyDescent="0.25">
      <c r="N10373" t="s">
        <v>313</v>
      </c>
    </row>
    <row r="10374" spans="14:14" ht="15" customHeight="1" x14ac:dyDescent="0.25">
      <c r="N10374" t="s">
        <v>313</v>
      </c>
    </row>
    <row r="10375" spans="14:14" ht="15" customHeight="1" x14ac:dyDescent="0.25">
      <c r="N10375" t="s">
        <v>313</v>
      </c>
    </row>
    <row r="10376" spans="14:14" ht="15" customHeight="1" x14ac:dyDescent="0.25">
      <c r="N10376" t="s">
        <v>313</v>
      </c>
    </row>
    <row r="10377" spans="14:14" ht="15" customHeight="1" x14ac:dyDescent="0.25">
      <c r="N10377" t="s">
        <v>313</v>
      </c>
    </row>
    <row r="10378" spans="14:14" ht="15" customHeight="1" x14ac:dyDescent="0.25">
      <c r="N10378" t="s">
        <v>313</v>
      </c>
    </row>
    <row r="10379" spans="14:14" ht="15" customHeight="1" x14ac:dyDescent="0.25">
      <c r="N10379" t="s">
        <v>68</v>
      </c>
    </row>
    <row r="10380" spans="14:14" ht="15" customHeight="1" x14ac:dyDescent="0.25">
      <c r="N10380" t="s">
        <v>68</v>
      </c>
    </row>
    <row r="10381" spans="14:14" ht="15" customHeight="1" x14ac:dyDescent="0.25">
      <c r="N10381" t="s">
        <v>68</v>
      </c>
    </row>
    <row r="10382" spans="14:14" ht="15" customHeight="1" x14ac:dyDescent="0.25">
      <c r="N10382" t="s">
        <v>68</v>
      </c>
    </row>
    <row r="10383" spans="14:14" ht="15" customHeight="1" x14ac:dyDescent="0.25">
      <c r="N10383" t="s">
        <v>68</v>
      </c>
    </row>
    <row r="10384" spans="14:14" ht="15" customHeight="1" x14ac:dyDescent="0.25">
      <c r="N10384" t="s">
        <v>68</v>
      </c>
    </row>
    <row r="10385" spans="14:14" ht="15" customHeight="1" x14ac:dyDescent="0.25">
      <c r="N10385" t="s">
        <v>68</v>
      </c>
    </row>
    <row r="10386" spans="14:14" ht="15" customHeight="1" x14ac:dyDescent="0.25">
      <c r="N10386" t="s">
        <v>677</v>
      </c>
    </row>
    <row r="10387" spans="14:14" ht="15" customHeight="1" x14ac:dyDescent="0.25">
      <c r="N10387" t="s">
        <v>313</v>
      </c>
    </row>
    <row r="10388" spans="14:14" ht="15" customHeight="1" x14ac:dyDescent="0.25">
      <c r="N10388" t="s">
        <v>824</v>
      </c>
    </row>
    <row r="10389" spans="14:14" ht="15" customHeight="1" x14ac:dyDescent="0.25">
      <c r="N10389" t="s">
        <v>677</v>
      </c>
    </row>
    <row r="10390" spans="14:14" ht="15" customHeight="1" x14ac:dyDescent="0.25">
      <c r="N10390" t="s">
        <v>677</v>
      </c>
    </row>
    <row r="10391" spans="14:14" ht="15" customHeight="1" x14ac:dyDescent="0.25">
      <c r="N10391" t="s">
        <v>68</v>
      </c>
    </row>
    <row r="10392" spans="14:14" ht="15" customHeight="1" x14ac:dyDescent="0.25">
      <c r="N10392" t="s">
        <v>752</v>
      </c>
    </row>
    <row r="10393" spans="14:14" ht="15" customHeight="1" x14ac:dyDescent="0.25">
      <c r="N10393" t="s">
        <v>752</v>
      </c>
    </row>
    <row r="10394" spans="14:14" ht="15" customHeight="1" x14ac:dyDescent="0.25">
      <c r="N10394" t="s">
        <v>752</v>
      </c>
    </row>
    <row r="10395" spans="14:14" ht="15" customHeight="1" x14ac:dyDescent="0.25">
      <c r="N10395" t="s">
        <v>752</v>
      </c>
    </row>
    <row r="10396" spans="14:14" ht="15" customHeight="1" x14ac:dyDescent="0.25">
      <c r="N10396" t="s">
        <v>752</v>
      </c>
    </row>
    <row r="10397" spans="14:14" ht="15" customHeight="1" x14ac:dyDescent="0.25">
      <c r="N10397" t="s">
        <v>752</v>
      </c>
    </row>
    <row r="10398" spans="14:14" ht="15" customHeight="1" x14ac:dyDescent="0.25">
      <c r="N10398" t="s">
        <v>752</v>
      </c>
    </row>
    <row r="10399" spans="14:14" ht="15" customHeight="1" x14ac:dyDescent="0.25">
      <c r="N10399" t="s">
        <v>752</v>
      </c>
    </row>
    <row r="10400" spans="14:14" ht="15" customHeight="1" x14ac:dyDescent="0.25">
      <c r="N10400" t="s">
        <v>752</v>
      </c>
    </row>
    <row r="10401" spans="14:14" ht="15" customHeight="1" x14ac:dyDescent="0.25">
      <c r="N10401" t="s">
        <v>752</v>
      </c>
    </row>
    <row r="10402" spans="14:14" ht="15" customHeight="1" x14ac:dyDescent="0.25">
      <c r="N10402" t="s">
        <v>752</v>
      </c>
    </row>
    <row r="10403" spans="14:14" ht="15" customHeight="1" x14ac:dyDescent="0.25">
      <c r="N10403" t="s">
        <v>752</v>
      </c>
    </row>
    <row r="10404" spans="14:14" ht="15" customHeight="1" x14ac:dyDescent="0.25">
      <c r="N10404" t="s">
        <v>752</v>
      </c>
    </row>
    <row r="10405" spans="14:14" ht="15" customHeight="1" x14ac:dyDescent="0.25">
      <c r="N10405" t="s">
        <v>752</v>
      </c>
    </row>
    <row r="10406" spans="14:14" ht="15" customHeight="1" x14ac:dyDescent="0.25">
      <c r="N10406" t="s">
        <v>752</v>
      </c>
    </row>
    <row r="10407" spans="14:14" ht="15" customHeight="1" x14ac:dyDescent="0.25">
      <c r="N10407" t="s">
        <v>752</v>
      </c>
    </row>
    <row r="10408" spans="14:14" ht="15" customHeight="1" x14ac:dyDescent="0.25">
      <c r="N10408" t="s">
        <v>752</v>
      </c>
    </row>
    <row r="10409" spans="14:14" ht="15" customHeight="1" x14ac:dyDescent="0.25">
      <c r="N10409" t="s">
        <v>752</v>
      </c>
    </row>
    <row r="10410" spans="14:14" ht="15" customHeight="1" x14ac:dyDescent="0.25">
      <c r="N10410" t="s">
        <v>752</v>
      </c>
    </row>
    <row r="10411" spans="14:14" ht="15" customHeight="1" x14ac:dyDescent="0.25">
      <c r="N10411" t="s">
        <v>752</v>
      </c>
    </row>
    <row r="10412" spans="14:14" ht="15" customHeight="1" x14ac:dyDescent="0.25">
      <c r="N10412" t="s">
        <v>752</v>
      </c>
    </row>
    <row r="10413" spans="14:14" ht="15" customHeight="1" x14ac:dyDescent="0.25">
      <c r="N10413" t="s">
        <v>752</v>
      </c>
    </row>
    <row r="10414" spans="14:14" ht="15" customHeight="1" x14ac:dyDescent="0.25">
      <c r="N10414" t="s">
        <v>752</v>
      </c>
    </row>
    <row r="10415" spans="14:14" ht="15" customHeight="1" x14ac:dyDescent="0.25">
      <c r="N10415" t="s">
        <v>752</v>
      </c>
    </row>
    <row r="10416" spans="14:14" ht="15" customHeight="1" x14ac:dyDescent="0.25">
      <c r="N10416" t="s">
        <v>752</v>
      </c>
    </row>
    <row r="10417" spans="14:14" ht="15" customHeight="1" x14ac:dyDescent="0.25">
      <c r="N10417" t="s">
        <v>752</v>
      </c>
    </row>
    <row r="10418" spans="14:14" ht="15" customHeight="1" x14ac:dyDescent="0.25">
      <c r="N10418" t="s">
        <v>752</v>
      </c>
    </row>
    <row r="10419" spans="14:14" ht="15" customHeight="1" x14ac:dyDescent="0.25">
      <c r="N10419" t="s">
        <v>687</v>
      </c>
    </row>
    <row r="10420" spans="14:14" ht="15" customHeight="1" x14ac:dyDescent="0.25">
      <c r="N10420" t="s">
        <v>68</v>
      </c>
    </row>
    <row r="10421" spans="14:14" ht="15" customHeight="1" x14ac:dyDescent="0.25">
      <c r="N10421" t="s">
        <v>752</v>
      </c>
    </row>
    <row r="10422" spans="14:14" ht="15" customHeight="1" x14ac:dyDescent="0.25">
      <c r="N10422" t="s">
        <v>752</v>
      </c>
    </row>
    <row r="10423" spans="14:14" ht="15" customHeight="1" x14ac:dyDescent="0.25">
      <c r="N10423" t="s">
        <v>752</v>
      </c>
    </row>
    <row r="10424" spans="14:14" ht="15" customHeight="1" x14ac:dyDescent="0.25">
      <c r="N10424" t="s">
        <v>752</v>
      </c>
    </row>
    <row r="10425" spans="14:14" ht="15" customHeight="1" x14ac:dyDescent="0.25">
      <c r="N10425" t="s">
        <v>752</v>
      </c>
    </row>
    <row r="10426" spans="14:14" ht="15" customHeight="1" x14ac:dyDescent="0.25">
      <c r="N10426" t="s">
        <v>752</v>
      </c>
    </row>
    <row r="10427" spans="14:14" ht="15" customHeight="1" x14ac:dyDescent="0.25">
      <c r="N10427" t="s">
        <v>752</v>
      </c>
    </row>
    <row r="10428" spans="14:14" ht="15" customHeight="1" x14ac:dyDescent="0.25">
      <c r="N10428" t="s">
        <v>752</v>
      </c>
    </row>
    <row r="10429" spans="14:14" ht="15" customHeight="1" x14ac:dyDescent="0.25">
      <c r="N10429" t="s">
        <v>752</v>
      </c>
    </row>
    <row r="10430" spans="14:14" ht="15" customHeight="1" x14ac:dyDescent="0.25">
      <c r="N10430" t="s">
        <v>752</v>
      </c>
    </row>
    <row r="10431" spans="14:14" ht="15" customHeight="1" x14ac:dyDescent="0.25">
      <c r="N10431" t="s">
        <v>752</v>
      </c>
    </row>
    <row r="10432" spans="14:14" ht="15" customHeight="1" x14ac:dyDescent="0.25">
      <c r="N10432" t="s">
        <v>752</v>
      </c>
    </row>
    <row r="10433" spans="14:14" ht="15" customHeight="1" x14ac:dyDescent="0.25">
      <c r="N10433" t="s">
        <v>752</v>
      </c>
    </row>
    <row r="10434" spans="14:14" ht="15" customHeight="1" x14ac:dyDescent="0.25">
      <c r="N10434" t="s">
        <v>752</v>
      </c>
    </row>
    <row r="10435" spans="14:14" ht="15" customHeight="1" x14ac:dyDescent="0.25">
      <c r="N10435" t="s">
        <v>752</v>
      </c>
    </row>
    <row r="10436" spans="14:14" ht="15" customHeight="1" x14ac:dyDescent="0.25">
      <c r="N10436" t="s">
        <v>752</v>
      </c>
    </row>
    <row r="10437" spans="14:14" ht="15" customHeight="1" x14ac:dyDescent="0.25">
      <c r="N10437" t="s">
        <v>752</v>
      </c>
    </row>
    <row r="10438" spans="14:14" ht="15" customHeight="1" x14ac:dyDescent="0.25">
      <c r="N10438" t="s">
        <v>752</v>
      </c>
    </row>
    <row r="10439" spans="14:14" ht="15" customHeight="1" x14ac:dyDescent="0.25">
      <c r="N10439" t="s">
        <v>752</v>
      </c>
    </row>
    <row r="10440" spans="14:14" ht="15" customHeight="1" x14ac:dyDescent="0.25">
      <c r="N10440" t="s">
        <v>752</v>
      </c>
    </row>
    <row r="10441" spans="14:14" ht="15" customHeight="1" x14ac:dyDescent="0.25">
      <c r="N10441" t="s">
        <v>752</v>
      </c>
    </row>
    <row r="10442" spans="14:14" ht="15" customHeight="1" x14ac:dyDescent="0.25">
      <c r="N10442" t="s">
        <v>752</v>
      </c>
    </row>
    <row r="10443" spans="14:14" ht="15" customHeight="1" x14ac:dyDescent="0.25">
      <c r="N10443" t="s">
        <v>752</v>
      </c>
    </row>
    <row r="10444" spans="14:14" ht="15" customHeight="1" x14ac:dyDescent="0.25">
      <c r="N10444" t="s">
        <v>752</v>
      </c>
    </row>
    <row r="10445" spans="14:14" ht="15" customHeight="1" x14ac:dyDescent="0.25">
      <c r="N10445" t="s">
        <v>752</v>
      </c>
    </row>
    <row r="10446" spans="14:14" ht="15" customHeight="1" x14ac:dyDescent="0.25">
      <c r="N10446" t="s">
        <v>752</v>
      </c>
    </row>
    <row r="10447" spans="14:14" ht="15" customHeight="1" x14ac:dyDescent="0.25">
      <c r="N10447" t="s">
        <v>752</v>
      </c>
    </row>
    <row r="10448" spans="14:14" ht="15" customHeight="1" x14ac:dyDescent="0.25">
      <c r="N10448" t="s">
        <v>304</v>
      </c>
    </row>
    <row r="10449" spans="14:14" ht="15" customHeight="1" x14ac:dyDescent="0.25">
      <c r="N10449" t="s">
        <v>304</v>
      </c>
    </row>
    <row r="10450" spans="14:14" ht="15" customHeight="1" x14ac:dyDescent="0.25">
      <c r="N10450" t="s">
        <v>304</v>
      </c>
    </row>
    <row r="10451" spans="14:14" ht="15" customHeight="1" x14ac:dyDescent="0.25">
      <c r="N10451" t="s">
        <v>304</v>
      </c>
    </row>
    <row r="10452" spans="14:14" ht="15" customHeight="1" x14ac:dyDescent="0.25">
      <c r="N10452" t="s">
        <v>752</v>
      </c>
    </row>
    <row r="10453" spans="14:14" ht="15" customHeight="1" x14ac:dyDescent="0.25">
      <c r="N10453" t="s">
        <v>752</v>
      </c>
    </row>
    <row r="10454" spans="14:14" ht="15" customHeight="1" x14ac:dyDescent="0.25">
      <c r="N10454" t="s">
        <v>752</v>
      </c>
    </row>
    <row r="10455" spans="14:14" ht="15" customHeight="1" x14ac:dyDescent="0.25">
      <c r="N10455" t="s">
        <v>752</v>
      </c>
    </row>
    <row r="10456" spans="14:14" ht="15" customHeight="1" x14ac:dyDescent="0.25">
      <c r="N10456" t="s">
        <v>752</v>
      </c>
    </row>
    <row r="10457" spans="14:14" ht="15" customHeight="1" x14ac:dyDescent="0.25">
      <c r="N10457" t="s">
        <v>752</v>
      </c>
    </row>
    <row r="10458" spans="14:14" ht="15" customHeight="1" x14ac:dyDescent="0.25">
      <c r="N10458" t="s">
        <v>752</v>
      </c>
    </row>
    <row r="10459" spans="14:14" ht="15" customHeight="1" x14ac:dyDescent="0.25">
      <c r="N10459" t="s">
        <v>752</v>
      </c>
    </row>
    <row r="10460" spans="14:14" ht="15" customHeight="1" x14ac:dyDescent="0.25">
      <c r="N10460" t="s">
        <v>752</v>
      </c>
    </row>
    <row r="10461" spans="14:14" ht="15" customHeight="1" x14ac:dyDescent="0.25">
      <c r="N10461" t="s">
        <v>752</v>
      </c>
    </row>
    <row r="10462" spans="14:14" ht="15" customHeight="1" x14ac:dyDescent="0.25">
      <c r="N10462" t="s">
        <v>752</v>
      </c>
    </row>
    <row r="10463" spans="14:14" ht="15" customHeight="1" x14ac:dyDescent="0.25">
      <c r="N10463" t="s">
        <v>752</v>
      </c>
    </row>
    <row r="10464" spans="14:14" ht="15" customHeight="1" x14ac:dyDescent="0.25">
      <c r="N10464" t="s">
        <v>752</v>
      </c>
    </row>
    <row r="10465" spans="14:14" ht="15" customHeight="1" x14ac:dyDescent="0.25">
      <c r="N10465" t="s">
        <v>752</v>
      </c>
    </row>
    <row r="10466" spans="14:14" ht="15" customHeight="1" x14ac:dyDescent="0.25">
      <c r="N10466" t="s">
        <v>752</v>
      </c>
    </row>
    <row r="10467" spans="14:14" ht="15" customHeight="1" x14ac:dyDescent="0.25">
      <c r="N10467" t="s">
        <v>752</v>
      </c>
    </row>
    <row r="10468" spans="14:14" ht="15" customHeight="1" x14ac:dyDescent="0.25">
      <c r="N10468" t="s">
        <v>752</v>
      </c>
    </row>
    <row r="10469" spans="14:14" ht="15" customHeight="1" x14ac:dyDescent="0.25">
      <c r="N10469" t="s">
        <v>752</v>
      </c>
    </row>
    <row r="10470" spans="14:14" ht="15" customHeight="1" x14ac:dyDescent="0.25">
      <c r="N10470" t="s">
        <v>752</v>
      </c>
    </row>
    <row r="10471" spans="14:14" ht="15" customHeight="1" x14ac:dyDescent="0.25">
      <c r="N10471" t="s">
        <v>752</v>
      </c>
    </row>
    <row r="10472" spans="14:14" ht="15" customHeight="1" x14ac:dyDescent="0.25">
      <c r="N10472" t="s">
        <v>752</v>
      </c>
    </row>
    <row r="10473" spans="14:14" ht="15" customHeight="1" x14ac:dyDescent="0.25">
      <c r="N10473" t="s">
        <v>752</v>
      </c>
    </row>
    <row r="10474" spans="14:14" ht="15" customHeight="1" x14ac:dyDescent="0.25">
      <c r="N10474" t="s">
        <v>752</v>
      </c>
    </row>
    <row r="10475" spans="14:14" ht="15" customHeight="1" x14ac:dyDescent="0.25">
      <c r="N10475" t="s">
        <v>752</v>
      </c>
    </row>
    <row r="10476" spans="14:14" ht="15" customHeight="1" x14ac:dyDescent="0.25">
      <c r="N10476" t="s">
        <v>752</v>
      </c>
    </row>
    <row r="10477" spans="14:14" ht="15" customHeight="1" x14ac:dyDescent="0.25">
      <c r="N10477" t="s">
        <v>752</v>
      </c>
    </row>
    <row r="10478" spans="14:14" ht="15" customHeight="1" x14ac:dyDescent="0.25">
      <c r="N10478" t="s">
        <v>752</v>
      </c>
    </row>
    <row r="10479" spans="14:14" ht="15" customHeight="1" x14ac:dyDescent="0.25">
      <c r="N10479" t="s">
        <v>370</v>
      </c>
    </row>
    <row r="10480" spans="14:14" ht="15" customHeight="1" x14ac:dyDescent="0.25">
      <c r="N10480" t="s">
        <v>582</v>
      </c>
    </row>
    <row r="10481" spans="14:14" ht="15" customHeight="1" x14ac:dyDescent="0.25">
      <c r="N10481" t="s">
        <v>582</v>
      </c>
    </row>
    <row r="10482" spans="14:14" ht="15" customHeight="1" x14ac:dyDescent="0.25">
      <c r="N10482" t="s">
        <v>582</v>
      </c>
    </row>
    <row r="10483" spans="14:14" ht="15" customHeight="1" x14ac:dyDescent="0.25">
      <c r="N10483" t="s">
        <v>582</v>
      </c>
    </row>
    <row r="10484" spans="14:14" ht="15" customHeight="1" x14ac:dyDescent="0.25">
      <c r="N10484" t="s">
        <v>582</v>
      </c>
    </row>
    <row r="10485" spans="14:14" ht="15" customHeight="1" x14ac:dyDescent="0.25">
      <c r="N10485" t="s">
        <v>582</v>
      </c>
    </row>
    <row r="10486" spans="14:14" ht="15" customHeight="1" x14ac:dyDescent="0.25">
      <c r="N10486" t="s">
        <v>582</v>
      </c>
    </row>
    <row r="10487" spans="14:14" ht="15" customHeight="1" x14ac:dyDescent="0.25">
      <c r="N10487" t="s">
        <v>687</v>
      </c>
    </row>
    <row r="10488" spans="14:14" ht="15" customHeight="1" x14ac:dyDescent="0.25">
      <c r="N10488" t="s">
        <v>68</v>
      </c>
    </row>
    <row r="10489" spans="14:14" ht="15" customHeight="1" x14ac:dyDescent="0.25">
      <c r="N10489" t="s">
        <v>68</v>
      </c>
    </row>
    <row r="10490" spans="14:14" ht="15" customHeight="1" x14ac:dyDescent="0.25">
      <c r="N10490" t="s">
        <v>68</v>
      </c>
    </row>
    <row r="10491" spans="14:14" ht="15" customHeight="1" x14ac:dyDescent="0.25">
      <c r="N10491" t="s">
        <v>68</v>
      </c>
    </row>
    <row r="10492" spans="14:14" ht="15" customHeight="1" x14ac:dyDescent="0.25">
      <c r="N10492" t="s">
        <v>68</v>
      </c>
    </row>
    <row r="10493" spans="14:14" ht="15" customHeight="1" x14ac:dyDescent="0.25">
      <c r="N10493" t="s">
        <v>68</v>
      </c>
    </row>
    <row r="10494" spans="14:14" ht="15" customHeight="1" x14ac:dyDescent="0.25">
      <c r="N10494" t="s">
        <v>68</v>
      </c>
    </row>
    <row r="10495" spans="14:14" ht="15" customHeight="1" x14ac:dyDescent="0.25">
      <c r="N10495" t="s">
        <v>715</v>
      </c>
    </row>
    <row r="10496" spans="14:14" ht="15" customHeight="1" x14ac:dyDescent="0.25">
      <c r="N10496" t="s">
        <v>713</v>
      </c>
    </row>
    <row r="10497" spans="14:14" ht="15" customHeight="1" x14ac:dyDescent="0.25">
      <c r="N10497" t="s">
        <v>408</v>
      </c>
    </row>
    <row r="10498" spans="14:14" ht="15" customHeight="1" x14ac:dyDescent="0.25">
      <c r="N10498" t="s">
        <v>713</v>
      </c>
    </row>
    <row r="10499" spans="14:14" ht="15" customHeight="1" x14ac:dyDescent="0.25">
      <c r="N10499" t="s">
        <v>713</v>
      </c>
    </row>
    <row r="10500" spans="14:14" ht="15" customHeight="1" x14ac:dyDescent="0.25">
      <c r="N10500" t="s">
        <v>606</v>
      </c>
    </row>
    <row r="10501" spans="14:14" ht="15" customHeight="1" x14ac:dyDescent="0.25">
      <c r="N10501" t="s">
        <v>558</v>
      </c>
    </row>
    <row r="10502" spans="14:14" ht="15" customHeight="1" x14ac:dyDescent="0.25">
      <c r="N10502" t="s">
        <v>458</v>
      </c>
    </row>
    <row r="10503" spans="14:14" ht="15" customHeight="1" x14ac:dyDescent="0.25">
      <c r="N10503" t="s">
        <v>686</v>
      </c>
    </row>
    <row r="10504" spans="14:14" ht="15" customHeight="1" x14ac:dyDescent="0.25">
      <c r="N10504" t="s">
        <v>689</v>
      </c>
    </row>
    <row r="10505" spans="14:14" ht="15" customHeight="1" x14ac:dyDescent="0.25">
      <c r="N10505" t="s">
        <v>689</v>
      </c>
    </row>
    <row r="10506" spans="14:14" ht="15" customHeight="1" x14ac:dyDescent="0.25">
      <c r="N10506" t="s">
        <v>715</v>
      </c>
    </row>
    <row r="10507" spans="14:14" ht="15" customHeight="1" x14ac:dyDescent="0.25">
      <c r="N10507" t="s">
        <v>828</v>
      </c>
    </row>
    <row r="10508" spans="14:14" ht="15" customHeight="1" x14ac:dyDescent="0.25">
      <c r="N10508" t="s">
        <v>606</v>
      </c>
    </row>
    <row r="10509" spans="14:14" ht="15" customHeight="1" x14ac:dyDescent="0.25">
      <c r="N10509" t="s">
        <v>854</v>
      </c>
    </row>
    <row r="10510" spans="14:14" ht="15" customHeight="1" x14ac:dyDescent="0.25">
      <c r="N10510" t="s">
        <v>854</v>
      </c>
    </row>
    <row r="10511" spans="14:14" ht="15" customHeight="1" x14ac:dyDescent="0.25">
      <c r="N10511" t="s">
        <v>713</v>
      </c>
    </row>
    <row r="10512" spans="14:14" ht="15" customHeight="1" x14ac:dyDescent="0.25">
      <c r="N10512" t="s">
        <v>715</v>
      </c>
    </row>
    <row r="10513" spans="14:14" ht="15" customHeight="1" x14ac:dyDescent="0.25">
      <c r="N10513" t="s">
        <v>713</v>
      </c>
    </row>
    <row r="10514" spans="14:14" ht="15" customHeight="1" x14ac:dyDescent="0.25">
      <c r="N10514" t="s">
        <v>713</v>
      </c>
    </row>
    <row r="10515" spans="14:14" ht="15" customHeight="1" x14ac:dyDescent="0.25">
      <c r="N10515" t="s">
        <v>713</v>
      </c>
    </row>
    <row r="10516" spans="14:14" ht="15" customHeight="1" x14ac:dyDescent="0.25">
      <c r="N10516" t="s">
        <v>923</v>
      </c>
    </row>
    <row r="10517" spans="14:14" ht="15" customHeight="1" x14ac:dyDescent="0.25">
      <c r="N10517" t="s">
        <v>669</v>
      </c>
    </row>
    <row r="10518" spans="14:14" ht="15" customHeight="1" x14ac:dyDescent="0.25">
      <c r="N10518" t="s">
        <v>696</v>
      </c>
    </row>
    <row r="10519" spans="14:14" ht="15" customHeight="1" x14ac:dyDescent="0.25">
      <c r="N10519" t="s">
        <v>690</v>
      </c>
    </row>
    <row r="10520" spans="14:14" ht="15" customHeight="1" x14ac:dyDescent="0.25">
      <c r="N10520" t="s">
        <v>690</v>
      </c>
    </row>
    <row r="10521" spans="14:14" ht="15" customHeight="1" x14ac:dyDescent="0.25">
      <c r="N10521" t="s">
        <v>690</v>
      </c>
    </row>
    <row r="10522" spans="14:14" ht="15" customHeight="1" x14ac:dyDescent="0.25">
      <c r="N10522" t="s">
        <v>690</v>
      </c>
    </row>
    <row r="10523" spans="14:14" ht="15" customHeight="1" x14ac:dyDescent="0.25">
      <c r="N10523" t="s">
        <v>715</v>
      </c>
    </row>
    <row r="10524" spans="14:14" ht="15" customHeight="1" x14ac:dyDescent="0.25">
      <c r="N10524" t="s">
        <v>715</v>
      </c>
    </row>
    <row r="10525" spans="14:14" ht="15" customHeight="1" x14ac:dyDescent="0.25">
      <c r="N10525" t="s">
        <v>715</v>
      </c>
    </row>
    <row r="10526" spans="14:14" ht="15" customHeight="1" x14ac:dyDescent="0.25">
      <c r="N10526" t="s">
        <v>715</v>
      </c>
    </row>
    <row r="10527" spans="14:14" ht="15" customHeight="1" x14ac:dyDescent="0.25">
      <c r="N10527" t="s">
        <v>715</v>
      </c>
    </row>
    <row r="10528" spans="14:14" ht="15" customHeight="1" x14ac:dyDescent="0.25">
      <c r="N10528" t="s">
        <v>715</v>
      </c>
    </row>
    <row r="10529" spans="14:14" ht="15" customHeight="1" x14ac:dyDescent="0.25">
      <c r="N10529" t="s">
        <v>715</v>
      </c>
    </row>
    <row r="10530" spans="14:14" ht="15" customHeight="1" x14ac:dyDescent="0.25">
      <c r="N10530" t="s">
        <v>715</v>
      </c>
    </row>
    <row r="10531" spans="14:14" ht="15" customHeight="1" x14ac:dyDescent="0.25">
      <c r="N10531" t="s">
        <v>715</v>
      </c>
    </row>
    <row r="10532" spans="14:14" ht="15" customHeight="1" x14ac:dyDescent="0.25">
      <c r="N10532" t="s">
        <v>715</v>
      </c>
    </row>
    <row r="10533" spans="14:14" ht="15" customHeight="1" x14ac:dyDescent="0.25">
      <c r="N10533" t="s">
        <v>715</v>
      </c>
    </row>
    <row r="10534" spans="14:14" ht="15" customHeight="1" x14ac:dyDescent="0.25">
      <c r="N10534" t="s">
        <v>715</v>
      </c>
    </row>
    <row r="10535" spans="14:14" ht="15" customHeight="1" x14ac:dyDescent="0.25">
      <c r="N10535" t="s">
        <v>715</v>
      </c>
    </row>
    <row r="10536" spans="14:14" ht="15" customHeight="1" x14ac:dyDescent="0.25">
      <c r="N10536" t="s">
        <v>715</v>
      </c>
    </row>
    <row r="10537" spans="14:14" ht="15" customHeight="1" x14ac:dyDescent="0.25">
      <c r="N10537" t="s">
        <v>403</v>
      </c>
    </row>
    <row r="10538" spans="14:14" ht="15" customHeight="1" x14ac:dyDescent="0.25">
      <c r="N10538" t="s">
        <v>403</v>
      </c>
    </row>
    <row r="10539" spans="14:14" ht="15" customHeight="1" x14ac:dyDescent="0.25">
      <c r="N10539" t="s">
        <v>403</v>
      </c>
    </row>
    <row r="10540" spans="14:14" ht="15" customHeight="1" x14ac:dyDescent="0.25">
      <c r="N10540" t="s">
        <v>403</v>
      </c>
    </row>
    <row r="10541" spans="14:14" ht="15" customHeight="1" x14ac:dyDescent="0.25">
      <c r="N10541" t="s">
        <v>403</v>
      </c>
    </row>
    <row r="10542" spans="14:14" ht="15" customHeight="1" x14ac:dyDescent="0.25">
      <c r="N10542" t="s">
        <v>403</v>
      </c>
    </row>
    <row r="10543" spans="14:14" ht="15" customHeight="1" x14ac:dyDescent="0.25">
      <c r="N10543" t="s">
        <v>403</v>
      </c>
    </row>
    <row r="10544" spans="14:14" ht="15" customHeight="1" x14ac:dyDescent="0.25">
      <c r="N10544" t="s">
        <v>592</v>
      </c>
    </row>
    <row r="10545" spans="14:14" ht="15" customHeight="1" x14ac:dyDescent="0.25">
      <c r="N10545" t="s">
        <v>592</v>
      </c>
    </row>
    <row r="10546" spans="14:14" ht="15" customHeight="1" x14ac:dyDescent="0.25">
      <c r="N10546" t="s">
        <v>592</v>
      </c>
    </row>
    <row r="10547" spans="14:14" ht="15" customHeight="1" x14ac:dyDescent="0.25">
      <c r="N10547" t="s">
        <v>592</v>
      </c>
    </row>
    <row r="10548" spans="14:14" ht="15" customHeight="1" x14ac:dyDescent="0.25">
      <c r="N10548" t="s">
        <v>592</v>
      </c>
    </row>
    <row r="10549" spans="14:14" ht="15" customHeight="1" x14ac:dyDescent="0.25">
      <c r="N10549" t="s">
        <v>696</v>
      </c>
    </row>
    <row r="10550" spans="14:14" ht="15" customHeight="1" x14ac:dyDescent="0.25">
      <c r="N10550" t="s">
        <v>715</v>
      </c>
    </row>
    <row r="10551" spans="14:14" ht="15" customHeight="1" x14ac:dyDescent="0.25">
      <c r="N10551" t="s">
        <v>313</v>
      </c>
    </row>
    <row r="10552" spans="14:14" ht="15" customHeight="1" x14ac:dyDescent="0.25">
      <c r="N10552" t="s">
        <v>313</v>
      </c>
    </row>
    <row r="10553" spans="14:14" ht="15" customHeight="1" x14ac:dyDescent="0.25">
      <c r="N10553" t="s">
        <v>313</v>
      </c>
    </row>
    <row r="10554" spans="14:14" ht="15" customHeight="1" x14ac:dyDescent="0.25">
      <c r="N10554" t="s">
        <v>313</v>
      </c>
    </row>
    <row r="10555" spans="14:14" ht="15" customHeight="1" x14ac:dyDescent="0.25">
      <c r="N10555" t="s">
        <v>715</v>
      </c>
    </row>
    <row r="10556" spans="14:14" ht="15" customHeight="1" x14ac:dyDescent="0.25">
      <c r="N10556" t="s">
        <v>715</v>
      </c>
    </row>
    <row r="10557" spans="14:14" ht="15" customHeight="1" x14ac:dyDescent="0.25">
      <c r="N10557" t="s">
        <v>715</v>
      </c>
    </row>
    <row r="10558" spans="14:14" ht="15" customHeight="1" x14ac:dyDescent="0.25">
      <c r="N10558" t="s">
        <v>715</v>
      </c>
    </row>
    <row r="10559" spans="14:14" ht="15" customHeight="1" x14ac:dyDescent="0.25">
      <c r="N10559" t="s">
        <v>715</v>
      </c>
    </row>
    <row r="10560" spans="14:14" ht="15" customHeight="1" x14ac:dyDescent="0.25">
      <c r="N10560" t="s">
        <v>715</v>
      </c>
    </row>
    <row r="10561" spans="14:14" ht="15" customHeight="1" x14ac:dyDescent="0.25">
      <c r="N10561" t="s">
        <v>715</v>
      </c>
    </row>
    <row r="10562" spans="14:14" ht="15" customHeight="1" x14ac:dyDescent="0.25">
      <c r="N10562" t="s">
        <v>715</v>
      </c>
    </row>
    <row r="10563" spans="14:14" ht="15" customHeight="1" x14ac:dyDescent="0.25">
      <c r="N10563" t="s">
        <v>715</v>
      </c>
    </row>
    <row r="10564" spans="14:14" ht="15" customHeight="1" x14ac:dyDescent="0.25">
      <c r="N10564" t="s">
        <v>582</v>
      </c>
    </row>
    <row r="10565" spans="14:14" ht="15" customHeight="1" x14ac:dyDescent="0.25">
      <c r="N10565" t="s">
        <v>715</v>
      </c>
    </row>
    <row r="10566" spans="14:14" ht="15" customHeight="1" x14ac:dyDescent="0.25">
      <c r="N10566" t="s">
        <v>696</v>
      </c>
    </row>
    <row r="10567" spans="14:14" ht="15" customHeight="1" x14ac:dyDescent="0.25">
      <c r="N10567" t="s">
        <v>741</v>
      </c>
    </row>
    <row r="10568" spans="14:14" ht="15" customHeight="1" x14ac:dyDescent="0.25">
      <c r="N10568" t="s">
        <v>743</v>
      </c>
    </row>
    <row r="10569" spans="14:14" ht="15" customHeight="1" x14ac:dyDescent="0.25">
      <c r="N10569" t="s">
        <v>715</v>
      </c>
    </row>
    <row r="10570" spans="14:14" ht="15" customHeight="1" x14ac:dyDescent="0.25">
      <c r="N10570" t="s">
        <v>317</v>
      </c>
    </row>
    <row r="10571" spans="14:14" ht="15" customHeight="1" x14ac:dyDescent="0.25">
      <c r="N10571" t="s">
        <v>714</v>
      </c>
    </row>
    <row r="10572" spans="14:14" ht="15" customHeight="1" x14ac:dyDescent="0.25">
      <c r="N10572" t="s">
        <v>675</v>
      </c>
    </row>
    <row r="10573" spans="14:14" ht="15" customHeight="1" x14ac:dyDescent="0.25">
      <c r="N10573" t="s">
        <v>715</v>
      </c>
    </row>
    <row r="10574" spans="14:14" ht="15" customHeight="1" x14ac:dyDescent="0.25">
      <c r="N10574" t="s">
        <v>739</v>
      </c>
    </row>
    <row r="10575" spans="14:14" ht="15" customHeight="1" x14ac:dyDescent="0.25">
      <c r="N10575" t="s">
        <v>463</v>
      </c>
    </row>
    <row r="10576" spans="14:14" ht="15" customHeight="1" x14ac:dyDescent="0.25">
      <c r="N10576" t="s">
        <v>611</v>
      </c>
    </row>
    <row r="10577" spans="14:14" ht="15" customHeight="1" x14ac:dyDescent="0.25">
      <c r="N10577" t="s">
        <v>666</v>
      </c>
    </row>
    <row r="10578" spans="14:14" ht="15" customHeight="1" x14ac:dyDescent="0.25">
      <c r="N10578" t="s">
        <v>732</v>
      </c>
    </row>
    <row r="10579" spans="14:14" ht="15" customHeight="1" x14ac:dyDescent="0.25">
      <c r="N10579" t="s">
        <v>715</v>
      </c>
    </row>
    <row r="10580" spans="14:14" ht="15" customHeight="1" x14ac:dyDescent="0.25">
      <c r="N10580" t="s">
        <v>715</v>
      </c>
    </row>
    <row r="10581" spans="14:14" ht="15" customHeight="1" x14ac:dyDescent="0.25">
      <c r="N10581" t="s">
        <v>715</v>
      </c>
    </row>
    <row r="10582" spans="14:14" ht="15" customHeight="1" x14ac:dyDescent="0.25">
      <c r="N10582" t="s">
        <v>715</v>
      </c>
    </row>
    <row r="10583" spans="14:14" ht="15" customHeight="1" x14ac:dyDescent="0.25">
      <c r="N10583" t="s">
        <v>715</v>
      </c>
    </row>
    <row r="10584" spans="14:14" ht="15" customHeight="1" x14ac:dyDescent="0.25">
      <c r="N10584" t="s">
        <v>715</v>
      </c>
    </row>
    <row r="10585" spans="14:14" ht="15" customHeight="1" x14ac:dyDescent="0.25">
      <c r="N10585" t="s">
        <v>715</v>
      </c>
    </row>
    <row r="10586" spans="14:14" ht="15" customHeight="1" x14ac:dyDescent="0.25">
      <c r="N10586" t="s">
        <v>715</v>
      </c>
    </row>
    <row r="10587" spans="14:14" ht="15" customHeight="1" x14ac:dyDescent="0.25">
      <c r="N10587" t="s">
        <v>740</v>
      </c>
    </row>
    <row r="10588" spans="14:14" ht="15" customHeight="1" x14ac:dyDescent="0.25">
      <c r="N10588" t="s">
        <v>744</v>
      </c>
    </row>
    <row r="10589" spans="14:14" ht="15" customHeight="1" x14ac:dyDescent="0.25">
      <c r="N10589" t="s">
        <v>690</v>
      </c>
    </row>
    <row r="10590" spans="14:14" ht="15" customHeight="1" x14ac:dyDescent="0.25">
      <c r="N10590" t="s">
        <v>715</v>
      </c>
    </row>
    <row r="10591" spans="14:14" ht="15" customHeight="1" x14ac:dyDescent="0.25">
      <c r="N10591" t="s">
        <v>715</v>
      </c>
    </row>
    <row r="10592" spans="14:14" ht="15" customHeight="1" x14ac:dyDescent="0.25">
      <c r="N10592" t="s">
        <v>690</v>
      </c>
    </row>
    <row r="10593" spans="14:14" ht="15" customHeight="1" x14ac:dyDescent="0.25">
      <c r="N10593" t="s">
        <v>715</v>
      </c>
    </row>
    <row r="10594" spans="14:14" ht="15" customHeight="1" x14ac:dyDescent="0.25">
      <c r="N10594" t="s">
        <v>715</v>
      </c>
    </row>
    <row r="10595" spans="14:14" ht="15" customHeight="1" x14ac:dyDescent="0.25">
      <c r="N10595" t="s">
        <v>715</v>
      </c>
    </row>
    <row r="10596" spans="14:14" ht="15" customHeight="1" x14ac:dyDescent="0.25">
      <c r="N10596" t="s">
        <v>715</v>
      </c>
    </row>
    <row r="10597" spans="14:14" ht="15" customHeight="1" x14ac:dyDescent="0.25">
      <c r="N10597" t="s">
        <v>715</v>
      </c>
    </row>
    <row r="10598" spans="14:14" ht="15" customHeight="1" x14ac:dyDescent="0.25">
      <c r="N10598" t="s">
        <v>715</v>
      </c>
    </row>
    <row r="10599" spans="14:14" ht="15" customHeight="1" x14ac:dyDescent="0.25">
      <c r="N10599" t="s">
        <v>715</v>
      </c>
    </row>
    <row r="10600" spans="14:14" ht="15" customHeight="1" x14ac:dyDescent="0.25">
      <c r="N10600" t="s">
        <v>715</v>
      </c>
    </row>
    <row r="10601" spans="14:14" ht="15" customHeight="1" x14ac:dyDescent="0.25">
      <c r="N10601" t="s">
        <v>715</v>
      </c>
    </row>
    <row r="10602" spans="14:14" ht="15" customHeight="1" x14ac:dyDescent="0.25">
      <c r="N10602" t="s">
        <v>715</v>
      </c>
    </row>
    <row r="10603" spans="14:14" ht="15" customHeight="1" x14ac:dyDescent="0.25">
      <c r="N10603" t="s">
        <v>715</v>
      </c>
    </row>
    <row r="10604" spans="14:14" ht="15" customHeight="1" x14ac:dyDescent="0.25">
      <c r="N10604" t="s">
        <v>715</v>
      </c>
    </row>
    <row r="10605" spans="14:14" ht="15" customHeight="1" x14ac:dyDescent="0.25">
      <c r="N10605" t="s">
        <v>715</v>
      </c>
    </row>
    <row r="10606" spans="14:14" ht="15" customHeight="1" x14ac:dyDescent="0.25">
      <c r="N10606" t="s">
        <v>715</v>
      </c>
    </row>
    <row r="10607" spans="14:14" ht="15" customHeight="1" x14ac:dyDescent="0.25">
      <c r="N10607" t="s">
        <v>715</v>
      </c>
    </row>
    <row r="10608" spans="14:14" ht="15" customHeight="1" x14ac:dyDescent="0.25">
      <c r="N10608" t="s">
        <v>715</v>
      </c>
    </row>
    <row r="10609" spans="14:14" ht="15" customHeight="1" x14ac:dyDescent="0.25">
      <c r="N10609" t="s">
        <v>715</v>
      </c>
    </row>
    <row r="10610" spans="14:14" ht="15" customHeight="1" x14ac:dyDescent="0.25">
      <c r="N10610" t="s">
        <v>715</v>
      </c>
    </row>
    <row r="10611" spans="14:14" ht="15" customHeight="1" x14ac:dyDescent="0.25">
      <c r="N10611" t="s">
        <v>715</v>
      </c>
    </row>
    <row r="10612" spans="14:14" ht="15" customHeight="1" x14ac:dyDescent="0.25">
      <c r="N10612" t="s">
        <v>715</v>
      </c>
    </row>
    <row r="10613" spans="14:14" ht="15" customHeight="1" x14ac:dyDescent="0.25">
      <c r="N10613" t="s">
        <v>715</v>
      </c>
    </row>
    <row r="10614" spans="14:14" ht="15" customHeight="1" x14ac:dyDescent="0.25">
      <c r="N10614" t="s">
        <v>715</v>
      </c>
    </row>
    <row r="10615" spans="14:14" ht="15" customHeight="1" x14ac:dyDescent="0.25">
      <c r="N10615" t="s">
        <v>715</v>
      </c>
    </row>
    <row r="10616" spans="14:14" ht="15" customHeight="1" x14ac:dyDescent="0.25">
      <c r="N10616" t="s">
        <v>715</v>
      </c>
    </row>
    <row r="10617" spans="14:14" ht="15" customHeight="1" x14ac:dyDescent="0.25">
      <c r="N10617" t="s">
        <v>715</v>
      </c>
    </row>
    <row r="10618" spans="14:14" ht="15" customHeight="1" x14ac:dyDescent="0.25">
      <c r="N10618" t="s">
        <v>715</v>
      </c>
    </row>
    <row r="10619" spans="14:14" ht="15" customHeight="1" x14ac:dyDescent="0.25">
      <c r="N10619" t="s">
        <v>555</v>
      </c>
    </row>
    <row r="10620" spans="14:14" ht="15" customHeight="1" x14ac:dyDescent="0.25">
      <c r="N10620" t="s">
        <v>606</v>
      </c>
    </row>
    <row r="10621" spans="14:14" ht="15" customHeight="1" x14ac:dyDescent="0.25">
      <c r="N10621" t="s">
        <v>408</v>
      </c>
    </row>
    <row r="10622" spans="14:14" ht="15" customHeight="1" x14ac:dyDescent="0.25">
      <c r="N10622" t="s">
        <v>713</v>
      </c>
    </row>
    <row r="10623" spans="14:14" ht="15" customHeight="1" x14ac:dyDescent="0.25">
      <c r="N10623" t="s">
        <v>713</v>
      </c>
    </row>
    <row r="10624" spans="14:14" ht="15" customHeight="1" x14ac:dyDescent="0.25">
      <c r="N10624" t="s">
        <v>715</v>
      </c>
    </row>
    <row r="10625" spans="14:14" ht="15" customHeight="1" x14ac:dyDescent="0.25">
      <c r="N10625" t="s">
        <v>558</v>
      </c>
    </row>
    <row r="10626" spans="14:14" ht="15" customHeight="1" x14ac:dyDescent="0.25">
      <c r="N10626" t="s">
        <v>713</v>
      </c>
    </row>
    <row r="10627" spans="14:14" ht="15" customHeight="1" x14ac:dyDescent="0.25">
      <c r="N10627" t="s">
        <v>713</v>
      </c>
    </row>
    <row r="10628" spans="14:14" ht="15" customHeight="1" x14ac:dyDescent="0.25">
      <c r="N10628" t="s">
        <v>686</v>
      </c>
    </row>
    <row r="10629" spans="14:14" ht="15" customHeight="1" x14ac:dyDescent="0.25">
      <c r="N10629" t="s">
        <v>715</v>
      </c>
    </row>
    <row r="10630" spans="14:14" ht="15" customHeight="1" x14ac:dyDescent="0.25">
      <c r="N10630" t="s">
        <v>689</v>
      </c>
    </row>
    <row r="10631" spans="14:14" ht="15" customHeight="1" x14ac:dyDescent="0.25">
      <c r="N10631" t="s">
        <v>715</v>
      </c>
    </row>
    <row r="10632" spans="14:14" ht="15" customHeight="1" x14ac:dyDescent="0.25">
      <c r="N10632" t="s">
        <v>689</v>
      </c>
    </row>
    <row r="10633" spans="14:14" ht="15" customHeight="1" x14ac:dyDescent="0.25">
      <c r="N10633" t="s">
        <v>524</v>
      </c>
    </row>
    <row r="10634" spans="14:14" ht="15" customHeight="1" x14ac:dyDescent="0.25">
      <c r="N10634" t="s">
        <v>689</v>
      </c>
    </row>
    <row r="10635" spans="14:14" ht="15" customHeight="1" x14ac:dyDescent="0.25">
      <c r="N10635" t="s">
        <v>841</v>
      </c>
    </row>
    <row r="10636" spans="14:14" ht="15" customHeight="1" x14ac:dyDescent="0.25">
      <c r="N10636" t="s">
        <v>828</v>
      </c>
    </row>
    <row r="10637" spans="14:14" ht="15" customHeight="1" x14ac:dyDescent="0.25">
      <c r="N10637" t="s">
        <v>715</v>
      </c>
    </row>
    <row r="10638" spans="14:14" ht="15" customHeight="1" x14ac:dyDescent="0.25">
      <c r="N10638" t="s">
        <v>925</v>
      </c>
    </row>
    <row r="10639" spans="14:14" ht="15" customHeight="1" x14ac:dyDescent="0.25">
      <c r="N10639" t="s">
        <v>690</v>
      </c>
    </row>
    <row r="10640" spans="14:14" ht="15" customHeight="1" x14ac:dyDescent="0.25">
      <c r="N10640" t="s">
        <v>690</v>
      </c>
    </row>
    <row r="10641" spans="14:14" ht="15" customHeight="1" x14ac:dyDescent="0.25">
      <c r="N10641" t="s">
        <v>713</v>
      </c>
    </row>
    <row r="10642" spans="14:14" ht="15" customHeight="1" x14ac:dyDescent="0.25">
      <c r="N10642" t="s">
        <v>663</v>
      </c>
    </row>
    <row r="10643" spans="14:14" ht="15" customHeight="1" x14ac:dyDescent="0.25">
      <c r="N10643" t="s">
        <v>713</v>
      </c>
    </row>
    <row r="10644" spans="14:14" ht="15" customHeight="1" x14ac:dyDescent="0.25">
      <c r="N10644" t="s">
        <v>713</v>
      </c>
    </row>
    <row r="10645" spans="14:14" ht="15" customHeight="1" x14ac:dyDescent="0.25">
      <c r="N10645" t="s">
        <v>927</v>
      </c>
    </row>
    <row r="10646" spans="14:14" ht="15" customHeight="1" x14ac:dyDescent="0.25">
      <c r="N10646" t="s">
        <v>294</v>
      </c>
    </row>
    <row r="10647" spans="14:14" ht="15" customHeight="1" x14ac:dyDescent="0.25">
      <c r="N10647" t="s">
        <v>294</v>
      </c>
    </row>
    <row r="10648" spans="14:14" ht="15" customHeight="1" x14ac:dyDescent="0.25">
      <c r="N10648" t="s">
        <v>294</v>
      </c>
    </row>
    <row r="10649" spans="14:14" ht="15" customHeight="1" x14ac:dyDescent="0.25">
      <c r="N10649" t="s">
        <v>294</v>
      </c>
    </row>
    <row r="10650" spans="14:14" ht="15" customHeight="1" x14ac:dyDescent="0.25">
      <c r="N10650" t="s">
        <v>715</v>
      </c>
    </row>
    <row r="10651" spans="14:14" ht="15" customHeight="1" x14ac:dyDescent="0.25">
      <c r="N10651" t="s">
        <v>715</v>
      </c>
    </row>
    <row r="10652" spans="14:14" ht="15" customHeight="1" x14ac:dyDescent="0.25">
      <c r="N10652" t="s">
        <v>715</v>
      </c>
    </row>
    <row r="10653" spans="14:14" ht="15" customHeight="1" x14ac:dyDescent="0.25">
      <c r="N10653" t="s">
        <v>715</v>
      </c>
    </row>
    <row r="10654" spans="14:14" ht="15" customHeight="1" x14ac:dyDescent="0.25">
      <c r="N10654" t="s">
        <v>715</v>
      </c>
    </row>
    <row r="10655" spans="14:14" ht="15" customHeight="1" x14ac:dyDescent="0.25">
      <c r="N10655" t="s">
        <v>715</v>
      </c>
    </row>
    <row r="10656" spans="14:14" ht="15" customHeight="1" x14ac:dyDescent="0.25">
      <c r="N10656" t="s">
        <v>715</v>
      </c>
    </row>
    <row r="10657" spans="14:14" ht="15" customHeight="1" x14ac:dyDescent="0.25">
      <c r="N10657" t="s">
        <v>715</v>
      </c>
    </row>
    <row r="10658" spans="14:14" ht="15" customHeight="1" x14ac:dyDescent="0.25">
      <c r="N10658" t="s">
        <v>715</v>
      </c>
    </row>
    <row r="10659" spans="14:14" ht="15" customHeight="1" x14ac:dyDescent="0.25">
      <c r="N10659" t="s">
        <v>715</v>
      </c>
    </row>
    <row r="10660" spans="14:14" ht="15" customHeight="1" x14ac:dyDescent="0.25">
      <c r="N10660" t="s">
        <v>715</v>
      </c>
    </row>
    <row r="10661" spans="14:14" ht="15" customHeight="1" x14ac:dyDescent="0.25">
      <c r="N10661" t="s">
        <v>715</v>
      </c>
    </row>
    <row r="10662" spans="14:14" ht="15" customHeight="1" x14ac:dyDescent="0.25">
      <c r="N10662" t="s">
        <v>715</v>
      </c>
    </row>
    <row r="10663" spans="14:14" ht="15" customHeight="1" x14ac:dyDescent="0.25">
      <c r="N10663" t="s">
        <v>715</v>
      </c>
    </row>
    <row r="10664" spans="14:14" ht="15" customHeight="1" x14ac:dyDescent="0.25">
      <c r="N10664" t="s">
        <v>582</v>
      </c>
    </row>
    <row r="10665" spans="14:14" ht="15" customHeight="1" x14ac:dyDescent="0.25">
      <c r="N10665" t="s">
        <v>582</v>
      </c>
    </row>
    <row r="10666" spans="14:14" ht="15" customHeight="1" x14ac:dyDescent="0.25">
      <c r="N10666" t="s">
        <v>582</v>
      </c>
    </row>
    <row r="10667" spans="14:14" ht="15" customHeight="1" x14ac:dyDescent="0.25">
      <c r="N10667" t="s">
        <v>582</v>
      </c>
    </row>
    <row r="10668" spans="14:14" ht="15" customHeight="1" x14ac:dyDescent="0.25">
      <c r="N10668" t="s">
        <v>582</v>
      </c>
    </row>
    <row r="10669" spans="14:14" ht="15" customHeight="1" x14ac:dyDescent="0.25">
      <c r="N10669" t="s">
        <v>582</v>
      </c>
    </row>
    <row r="10670" spans="14:14" ht="15" customHeight="1" x14ac:dyDescent="0.25">
      <c r="N10670" t="s">
        <v>582</v>
      </c>
    </row>
    <row r="10671" spans="14:14" ht="15" customHeight="1" x14ac:dyDescent="0.25">
      <c r="N10671" t="s">
        <v>747</v>
      </c>
    </row>
    <row r="10672" spans="14:14" ht="15" customHeight="1" x14ac:dyDescent="0.25">
      <c r="N10672" t="s">
        <v>747</v>
      </c>
    </row>
    <row r="10673" spans="14:14" ht="15" customHeight="1" x14ac:dyDescent="0.25">
      <c r="N10673" t="s">
        <v>747</v>
      </c>
    </row>
    <row r="10674" spans="14:14" ht="15" customHeight="1" x14ac:dyDescent="0.25">
      <c r="N10674" t="s">
        <v>747</v>
      </c>
    </row>
    <row r="10675" spans="14:14" ht="15" customHeight="1" x14ac:dyDescent="0.25">
      <c r="N10675" t="s">
        <v>747</v>
      </c>
    </row>
    <row r="10676" spans="14:14" ht="15" customHeight="1" x14ac:dyDescent="0.25">
      <c r="N10676" t="s">
        <v>735</v>
      </c>
    </row>
    <row r="10677" spans="14:14" ht="15" customHeight="1" x14ac:dyDescent="0.25">
      <c r="N10677" t="s">
        <v>709</v>
      </c>
    </row>
    <row r="10678" spans="14:14" ht="15" customHeight="1" x14ac:dyDescent="0.25">
      <c r="N10678" t="s">
        <v>709</v>
      </c>
    </row>
    <row r="10679" spans="14:14" ht="15" customHeight="1" x14ac:dyDescent="0.25">
      <c r="N10679" t="s">
        <v>709</v>
      </c>
    </row>
    <row r="10680" spans="14:14" ht="15" customHeight="1" x14ac:dyDescent="0.25">
      <c r="N10680" t="s">
        <v>709</v>
      </c>
    </row>
    <row r="10681" spans="14:14" ht="15" customHeight="1" x14ac:dyDescent="0.25">
      <c r="N10681" t="s">
        <v>582</v>
      </c>
    </row>
    <row r="10682" spans="14:14" ht="15" customHeight="1" x14ac:dyDescent="0.25">
      <c r="N10682" t="s">
        <v>715</v>
      </c>
    </row>
    <row r="10683" spans="14:14" ht="15" customHeight="1" x14ac:dyDescent="0.25">
      <c r="N10683" t="s">
        <v>715</v>
      </c>
    </row>
    <row r="10684" spans="14:14" ht="15" customHeight="1" x14ac:dyDescent="0.25">
      <c r="N10684" t="s">
        <v>698</v>
      </c>
    </row>
    <row r="10685" spans="14:14" ht="15" customHeight="1" x14ac:dyDescent="0.25">
      <c r="N10685" t="s">
        <v>715</v>
      </c>
    </row>
    <row r="10686" spans="14:14" ht="15" customHeight="1" x14ac:dyDescent="0.25">
      <c r="N10686" t="s">
        <v>341</v>
      </c>
    </row>
    <row r="10687" spans="14:14" ht="15" customHeight="1" x14ac:dyDescent="0.25">
      <c r="N10687" t="s">
        <v>435</v>
      </c>
    </row>
    <row r="10688" spans="14:14" ht="15" customHeight="1" x14ac:dyDescent="0.25">
      <c r="N10688" t="s">
        <v>655</v>
      </c>
    </row>
    <row r="10689" spans="14:14" ht="15" customHeight="1" x14ac:dyDescent="0.25">
      <c r="N10689" t="s">
        <v>746</v>
      </c>
    </row>
    <row r="10690" spans="14:14" ht="15" customHeight="1" x14ac:dyDescent="0.25">
      <c r="N10690" t="s">
        <v>715</v>
      </c>
    </row>
    <row r="10691" spans="14:14" ht="15" customHeight="1" x14ac:dyDescent="0.25">
      <c r="N10691" t="s">
        <v>582</v>
      </c>
    </row>
    <row r="10692" spans="14:14" ht="15" customHeight="1" x14ac:dyDescent="0.25">
      <c r="N10692" t="s">
        <v>715</v>
      </c>
    </row>
    <row r="10693" spans="14:14" ht="15" customHeight="1" x14ac:dyDescent="0.25">
      <c r="N10693" t="s">
        <v>740</v>
      </c>
    </row>
    <row r="10694" spans="14:14" ht="15" customHeight="1" x14ac:dyDescent="0.25">
      <c r="N10694" t="s">
        <v>690</v>
      </c>
    </row>
    <row r="10695" spans="14:14" ht="15" customHeight="1" x14ac:dyDescent="0.25">
      <c r="N10695" t="s">
        <v>715</v>
      </c>
    </row>
    <row r="10696" spans="14:14" ht="15" customHeight="1" x14ac:dyDescent="0.25">
      <c r="N10696" t="s">
        <v>690</v>
      </c>
    </row>
    <row r="10697" spans="14:14" ht="15" customHeight="1" x14ac:dyDescent="0.25">
      <c r="N10697" t="s">
        <v>715</v>
      </c>
    </row>
    <row r="10698" spans="14:14" ht="15" customHeight="1" x14ac:dyDescent="0.25">
      <c r="N10698" t="s">
        <v>715</v>
      </c>
    </row>
    <row r="10699" spans="14:14" ht="15" customHeight="1" x14ac:dyDescent="0.25">
      <c r="N10699" t="s">
        <v>715</v>
      </c>
    </row>
    <row r="10700" spans="14:14" ht="15" customHeight="1" x14ac:dyDescent="0.25">
      <c r="N10700" t="s">
        <v>715</v>
      </c>
    </row>
    <row r="10701" spans="14:14" ht="15" customHeight="1" x14ac:dyDescent="0.25">
      <c r="N10701" t="s">
        <v>715</v>
      </c>
    </row>
    <row r="10702" spans="14:14" ht="15" customHeight="1" x14ac:dyDescent="0.25">
      <c r="N10702" t="s">
        <v>715</v>
      </c>
    </row>
    <row r="10703" spans="14:14" ht="15" customHeight="1" x14ac:dyDescent="0.25">
      <c r="N10703" t="s">
        <v>715</v>
      </c>
    </row>
    <row r="10704" spans="14:14" ht="15" customHeight="1" x14ac:dyDescent="0.25">
      <c r="N10704" t="s">
        <v>715</v>
      </c>
    </row>
    <row r="10705" spans="14:14" ht="15" customHeight="1" x14ac:dyDescent="0.25">
      <c r="N10705" t="s">
        <v>715</v>
      </c>
    </row>
    <row r="10706" spans="14:14" ht="15" customHeight="1" x14ac:dyDescent="0.25">
      <c r="N10706" t="s">
        <v>715</v>
      </c>
    </row>
    <row r="10707" spans="14:14" ht="15" customHeight="1" x14ac:dyDescent="0.25">
      <c r="N10707" t="s">
        <v>715</v>
      </c>
    </row>
    <row r="10708" spans="14:14" ht="15" customHeight="1" x14ac:dyDescent="0.25">
      <c r="N10708" t="s">
        <v>715</v>
      </c>
    </row>
    <row r="10709" spans="14:14" ht="15" customHeight="1" x14ac:dyDescent="0.25">
      <c r="N10709" t="s">
        <v>715</v>
      </c>
    </row>
    <row r="10710" spans="14:14" ht="15" customHeight="1" x14ac:dyDescent="0.25">
      <c r="N10710" t="s">
        <v>715</v>
      </c>
    </row>
    <row r="10711" spans="14:14" ht="15" customHeight="1" x14ac:dyDescent="0.25">
      <c r="N10711" t="s">
        <v>715</v>
      </c>
    </row>
    <row r="10712" spans="14:14" ht="15" customHeight="1" x14ac:dyDescent="0.25">
      <c r="N10712" t="s">
        <v>715</v>
      </c>
    </row>
    <row r="10713" spans="14:14" ht="15" customHeight="1" x14ac:dyDescent="0.25">
      <c r="N10713" t="s">
        <v>715</v>
      </c>
    </row>
    <row r="10714" spans="14:14" ht="15" customHeight="1" x14ac:dyDescent="0.25">
      <c r="N10714" t="s">
        <v>715</v>
      </c>
    </row>
    <row r="10715" spans="14:14" ht="15" customHeight="1" x14ac:dyDescent="0.25">
      <c r="N10715" t="s">
        <v>715</v>
      </c>
    </row>
    <row r="10716" spans="14:14" ht="15" customHeight="1" x14ac:dyDescent="0.25">
      <c r="N10716" t="s">
        <v>715</v>
      </c>
    </row>
    <row r="10717" spans="14:14" ht="15" customHeight="1" x14ac:dyDescent="0.25">
      <c r="N10717" t="s">
        <v>715</v>
      </c>
    </row>
    <row r="10718" spans="14:14" ht="15" customHeight="1" x14ac:dyDescent="0.25">
      <c r="N10718" t="s">
        <v>715</v>
      </c>
    </row>
    <row r="10719" spans="14:14" ht="15" customHeight="1" x14ac:dyDescent="0.25">
      <c r="N10719" t="s">
        <v>715</v>
      </c>
    </row>
    <row r="10720" spans="14:14" ht="15" customHeight="1" x14ac:dyDescent="0.25">
      <c r="N10720" t="s">
        <v>715</v>
      </c>
    </row>
    <row r="10721" spans="14:14" ht="15" customHeight="1" x14ac:dyDescent="0.25">
      <c r="N10721" t="s">
        <v>715</v>
      </c>
    </row>
    <row r="10722" spans="14:14" ht="15" customHeight="1" x14ac:dyDescent="0.25">
      <c r="N10722" t="s">
        <v>715</v>
      </c>
    </row>
    <row r="10723" spans="14:14" ht="15" customHeight="1" x14ac:dyDescent="0.25">
      <c r="N10723" t="s">
        <v>715</v>
      </c>
    </row>
    <row r="10724" spans="14:14" ht="15" customHeight="1" x14ac:dyDescent="0.25">
      <c r="N10724" t="s">
        <v>606</v>
      </c>
    </row>
    <row r="10725" spans="14:14" ht="15" customHeight="1" x14ac:dyDescent="0.25">
      <c r="N10725" t="s">
        <v>603</v>
      </c>
    </row>
    <row r="10726" spans="14:14" ht="15" customHeight="1" x14ac:dyDescent="0.25">
      <c r="N10726" t="s">
        <v>412</v>
      </c>
    </row>
    <row r="10727" spans="14:14" ht="15" customHeight="1" x14ac:dyDescent="0.25">
      <c r="N10727" t="s">
        <v>713</v>
      </c>
    </row>
    <row r="10728" spans="14:14" ht="15" customHeight="1" x14ac:dyDescent="0.25">
      <c r="N10728" t="s">
        <v>713</v>
      </c>
    </row>
    <row r="10729" spans="14:14" ht="15" customHeight="1" x14ac:dyDescent="0.25">
      <c r="N10729" t="s">
        <v>686</v>
      </c>
    </row>
    <row r="10730" spans="14:14" ht="15" customHeight="1" x14ac:dyDescent="0.25">
      <c r="N10730" t="s">
        <v>715</v>
      </c>
    </row>
    <row r="10731" spans="14:14" ht="15" customHeight="1" x14ac:dyDescent="0.25">
      <c r="N10731" t="s">
        <v>715</v>
      </c>
    </row>
    <row r="10732" spans="14:14" ht="15" customHeight="1" x14ac:dyDescent="0.25">
      <c r="N10732" t="s">
        <v>715</v>
      </c>
    </row>
    <row r="10733" spans="14:14" ht="15" customHeight="1" x14ac:dyDescent="0.25">
      <c r="N10733" t="s">
        <v>715</v>
      </c>
    </row>
    <row r="10734" spans="14:14" ht="15" customHeight="1" x14ac:dyDescent="0.25">
      <c r="N10734" t="s">
        <v>715</v>
      </c>
    </row>
    <row r="10735" spans="14:14" ht="15" customHeight="1" x14ac:dyDescent="0.25">
      <c r="N10735" t="s">
        <v>842</v>
      </c>
    </row>
    <row r="10736" spans="14:14" ht="15" customHeight="1" x14ac:dyDescent="0.25">
      <c r="N10736" t="s">
        <v>828</v>
      </c>
    </row>
    <row r="10737" spans="14:14" ht="15" customHeight="1" x14ac:dyDescent="0.25">
      <c r="N10737" t="s">
        <v>925</v>
      </c>
    </row>
    <row r="10738" spans="14:14" ht="15" customHeight="1" x14ac:dyDescent="0.25">
      <c r="N10738" t="s">
        <v>713</v>
      </c>
    </row>
    <row r="10739" spans="14:14" ht="15" customHeight="1" x14ac:dyDescent="0.25">
      <c r="N10739" t="s">
        <v>713</v>
      </c>
    </row>
    <row r="10740" spans="14:14" ht="15" customHeight="1" x14ac:dyDescent="0.25">
      <c r="N10740" t="s">
        <v>582</v>
      </c>
    </row>
    <row r="10741" spans="14:14" ht="15" customHeight="1" x14ac:dyDescent="0.25">
      <c r="N10741" t="s">
        <v>294</v>
      </c>
    </row>
    <row r="10742" spans="14:14" ht="15" customHeight="1" x14ac:dyDescent="0.25">
      <c r="N10742" t="s">
        <v>294</v>
      </c>
    </row>
    <row r="10743" spans="14:14" ht="15" customHeight="1" x14ac:dyDescent="0.25">
      <c r="N10743" t="s">
        <v>294</v>
      </c>
    </row>
    <row r="10744" spans="14:14" ht="15" customHeight="1" x14ac:dyDescent="0.25">
      <c r="N10744" t="s">
        <v>294</v>
      </c>
    </row>
    <row r="10745" spans="14:14" ht="15" customHeight="1" x14ac:dyDescent="0.25">
      <c r="N10745" t="s">
        <v>715</v>
      </c>
    </row>
    <row r="10746" spans="14:14" ht="15" customHeight="1" x14ac:dyDescent="0.25">
      <c r="N10746" t="s">
        <v>582</v>
      </c>
    </row>
    <row r="10747" spans="14:14" ht="15" customHeight="1" x14ac:dyDescent="0.25">
      <c r="N10747" t="s">
        <v>698</v>
      </c>
    </row>
    <row r="10748" spans="14:14" ht="15" customHeight="1" x14ac:dyDescent="0.25">
      <c r="N10748" t="s">
        <v>342</v>
      </c>
    </row>
    <row r="10749" spans="14:14" ht="15" customHeight="1" x14ac:dyDescent="0.25">
      <c r="N10749" t="s">
        <v>320</v>
      </c>
    </row>
    <row r="10750" spans="14:14" ht="15" customHeight="1" x14ac:dyDescent="0.25">
      <c r="N10750" t="s">
        <v>655</v>
      </c>
    </row>
    <row r="10751" spans="14:14" ht="15" customHeight="1" x14ac:dyDescent="0.25">
      <c r="N10751" t="s">
        <v>582</v>
      </c>
    </row>
    <row r="10752" spans="14:14" ht="15" customHeight="1" x14ac:dyDescent="0.25">
      <c r="N10752" t="s">
        <v>690</v>
      </c>
    </row>
    <row r="10753" spans="14:14" ht="15" customHeight="1" x14ac:dyDescent="0.25">
      <c r="N10753" t="s">
        <v>715</v>
      </c>
    </row>
    <row r="10754" spans="14:14" ht="15" customHeight="1" x14ac:dyDescent="0.25">
      <c r="N10754" t="s">
        <v>690</v>
      </c>
    </row>
    <row r="10755" spans="14:14" ht="15" customHeight="1" x14ac:dyDescent="0.25">
      <c r="N10755" t="s">
        <v>715</v>
      </c>
    </row>
    <row r="10756" spans="14:14" ht="15" customHeight="1" x14ac:dyDescent="0.25">
      <c r="N10756" t="s">
        <v>715</v>
      </c>
    </row>
    <row r="10757" spans="14:14" ht="15" customHeight="1" x14ac:dyDescent="0.25">
      <c r="N10757" t="s">
        <v>715</v>
      </c>
    </row>
    <row r="10758" spans="14:14" ht="15" customHeight="1" x14ac:dyDescent="0.25">
      <c r="N10758" t="s">
        <v>715</v>
      </c>
    </row>
    <row r="10759" spans="14:14" ht="15" customHeight="1" x14ac:dyDescent="0.25">
      <c r="N10759" t="s">
        <v>715</v>
      </c>
    </row>
    <row r="10760" spans="14:14" ht="15" customHeight="1" x14ac:dyDescent="0.25">
      <c r="N10760" t="s">
        <v>715</v>
      </c>
    </row>
    <row r="10761" spans="14:14" ht="15" customHeight="1" x14ac:dyDescent="0.25">
      <c r="N10761" t="s">
        <v>715</v>
      </c>
    </row>
    <row r="10762" spans="14:14" ht="15" customHeight="1" x14ac:dyDescent="0.25">
      <c r="N10762" t="s">
        <v>715</v>
      </c>
    </row>
    <row r="10763" spans="14:14" ht="15" customHeight="1" x14ac:dyDescent="0.25">
      <c r="N10763" t="s">
        <v>715</v>
      </c>
    </row>
    <row r="10764" spans="14:14" ht="15" customHeight="1" x14ac:dyDescent="0.25">
      <c r="N10764" t="s">
        <v>715</v>
      </c>
    </row>
    <row r="10765" spans="14:14" ht="15" customHeight="1" x14ac:dyDescent="0.25">
      <c r="N10765" t="s">
        <v>715</v>
      </c>
    </row>
    <row r="10766" spans="14:14" ht="15" customHeight="1" x14ac:dyDescent="0.25">
      <c r="N10766" t="s">
        <v>715</v>
      </c>
    </row>
    <row r="10767" spans="14:14" ht="15" customHeight="1" x14ac:dyDescent="0.25">
      <c r="N10767" t="s">
        <v>715</v>
      </c>
    </row>
    <row r="10768" spans="14:14" ht="15" customHeight="1" x14ac:dyDescent="0.25">
      <c r="N10768" t="s">
        <v>715</v>
      </c>
    </row>
    <row r="10769" spans="14:14" ht="15" customHeight="1" x14ac:dyDescent="0.25">
      <c r="N10769" t="s">
        <v>715</v>
      </c>
    </row>
    <row r="10770" spans="14:14" ht="15" customHeight="1" x14ac:dyDescent="0.25">
      <c r="N10770" t="s">
        <v>715</v>
      </c>
    </row>
    <row r="10771" spans="14:14" ht="15" customHeight="1" x14ac:dyDescent="0.25">
      <c r="N10771" t="s">
        <v>715</v>
      </c>
    </row>
    <row r="10772" spans="14:14" ht="15" customHeight="1" x14ac:dyDescent="0.25">
      <c r="N10772" t="s">
        <v>715</v>
      </c>
    </row>
    <row r="10773" spans="14:14" ht="15" customHeight="1" x14ac:dyDescent="0.25">
      <c r="N10773" t="s">
        <v>715</v>
      </c>
    </row>
    <row r="10774" spans="14:14" ht="15" customHeight="1" x14ac:dyDescent="0.25">
      <c r="N10774" t="s">
        <v>715</v>
      </c>
    </row>
    <row r="10775" spans="14:14" ht="15" customHeight="1" x14ac:dyDescent="0.25">
      <c r="N10775" t="s">
        <v>715</v>
      </c>
    </row>
    <row r="10776" spans="14:14" ht="15" customHeight="1" x14ac:dyDescent="0.25">
      <c r="N10776" t="s">
        <v>715</v>
      </c>
    </row>
    <row r="10777" spans="14:14" ht="15" customHeight="1" x14ac:dyDescent="0.25">
      <c r="N10777" t="s">
        <v>715</v>
      </c>
    </row>
    <row r="10778" spans="14:14" ht="15" customHeight="1" x14ac:dyDescent="0.25">
      <c r="N10778" t="s">
        <v>715</v>
      </c>
    </row>
    <row r="10779" spans="14:14" ht="15" customHeight="1" x14ac:dyDescent="0.25">
      <c r="N10779" t="s">
        <v>715</v>
      </c>
    </row>
    <row r="10780" spans="14:14" ht="15" customHeight="1" x14ac:dyDescent="0.25">
      <c r="N10780" t="s">
        <v>715</v>
      </c>
    </row>
    <row r="10781" spans="14:14" ht="15" customHeight="1" x14ac:dyDescent="0.25">
      <c r="N10781" t="s">
        <v>376</v>
      </c>
    </row>
    <row r="10782" spans="14:14" ht="15" customHeight="1" x14ac:dyDescent="0.25">
      <c r="N10782" t="s">
        <v>713</v>
      </c>
    </row>
    <row r="10783" spans="14:14" ht="15" customHeight="1" x14ac:dyDescent="0.25">
      <c r="N10783" t="s">
        <v>411</v>
      </c>
    </row>
    <row r="10784" spans="14:14" ht="15" customHeight="1" x14ac:dyDescent="0.25">
      <c r="N10784" t="s">
        <v>687</v>
      </c>
    </row>
    <row r="10785" spans="14:14" ht="15" customHeight="1" x14ac:dyDescent="0.25">
      <c r="N10785" t="s">
        <v>689</v>
      </c>
    </row>
    <row r="10786" spans="14:14" ht="15" customHeight="1" x14ac:dyDescent="0.25">
      <c r="N10786" t="s">
        <v>715</v>
      </c>
    </row>
    <row r="10787" spans="14:14" ht="15" customHeight="1" x14ac:dyDescent="0.25">
      <c r="N10787" t="s">
        <v>715</v>
      </c>
    </row>
    <row r="10788" spans="14:14" ht="15" customHeight="1" x14ac:dyDescent="0.25">
      <c r="N10788" t="s">
        <v>715</v>
      </c>
    </row>
    <row r="10789" spans="14:14" ht="15" customHeight="1" x14ac:dyDescent="0.25">
      <c r="N10789" t="s">
        <v>715</v>
      </c>
    </row>
    <row r="10790" spans="14:14" ht="15" customHeight="1" x14ac:dyDescent="0.25">
      <c r="N10790" t="s">
        <v>690</v>
      </c>
    </row>
    <row r="10791" spans="14:14" ht="15" customHeight="1" x14ac:dyDescent="0.25">
      <c r="N10791" t="s">
        <v>690</v>
      </c>
    </row>
    <row r="10792" spans="14:14" ht="15" customHeight="1" x14ac:dyDescent="0.25">
      <c r="N10792" t="s">
        <v>930</v>
      </c>
    </row>
    <row r="10793" spans="14:14" ht="15" customHeight="1" x14ac:dyDescent="0.25">
      <c r="N10793" t="s">
        <v>686</v>
      </c>
    </row>
    <row r="10794" spans="14:14" ht="15" customHeight="1" x14ac:dyDescent="0.25">
      <c r="N10794" t="s">
        <v>686</v>
      </c>
    </row>
    <row r="10795" spans="14:14" ht="15" customHeight="1" x14ac:dyDescent="0.25">
      <c r="N10795" t="s">
        <v>636</v>
      </c>
    </row>
    <row r="10796" spans="14:14" ht="15" customHeight="1" x14ac:dyDescent="0.25">
      <c r="N10796" t="s">
        <v>403</v>
      </c>
    </row>
    <row r="10797" spans="14:14" ht="15" customHeight="1" x14ac:dyDescent="0.25">
      <c r="N10797" t="s">
        <v>403</v>
      </c>
    </row>
    <row r="10798" spans="14:14" ht="15" customHeight="1" x14ac:dyDescent="0.25">
      <c r="N10798" t="s">
        <v>403</v>
      </c>
    </row>
    <row r="10799" spans="14:14" ht="15" customHeight="1" x14ac:dyDescent="0.25">
      <c r="N10799" t="s">
        <v>403</v>
      </c>
    </row>
    <row r="10800" spans="14:14" ht="15" customHeight="1" x14ac:dyDescent="0.25">
      <c r="N10800" t="s">
        <v>403</v>
      </c>
    </row>
    <row r="10801" spans="14:14" ht="15" customHeight="1" x14ac:dyDescent="0.25">
      <c r="N10801" t="s">
        <v>403</v>
      </c>
    </row>
    <row r="10802" spans="14:14" ht="15" customHeight="1" x14ac:dyDescent="0.25">
      <c r="N10802" t="s">
        <v>403</v>
      </c>
    </row>
    <row r="10803" spans="14:14" ht="15" customHeight="1" x14ac:dyDescent="0.25">
      <c r="N10803" t="s">
        <v>715</v>
      </c>
    </row>
    <row r="10804" spans="14:14" ht="15" customHeight="1" x14ac:dyDescent="0.25">
      <c r="N10804" t="s">
        <v>698</v>
      </c>
    </row>
    <row r="10805" spans="14:14" ht="15" customHeight="1" x14ac:dyDescent="0.25">
      <c r="N10805" t="s">
        <v>733</v>
      </c>
    </row>
    <row r="10806" spans="14:14" ht="15" customHeight="1" x14ac:dyDescent="0.25">
      <c r="N10806" t="s">
        <v>715</v>
      </c>
    </row>
    <row r="10807" spans="14:14" ht="15" customHeight="1" x14ac:dyDescent="0.25">
      <c r="N10807" t="s">
        <v>715</v>
      </c>
    </row>
    <row r="10808" spans="14:14" ht="15" customHeight="1" x14ac:dyDescent="0.25">
      <c r="N10808" t="s">
        <v>690</v>
      </c>
    </row>
    <row r="10809" spans="14:14" ht="15" customHeight="1" x14ac:dyDescent="0.25">
      <c r="N10809" t="s">
        <v>732</v>
      </c>
    </row>
    <row r="10810" spans="14:14" ht="15" customHeight="1" x14ac:dyDescent="0.25">
      <c r="N10810" t="s">
        <v>732</v>
      </c>
    </row>
    <row r="10811" spans="14:14" ht="15" customHeight="1" x14ac:dyDescent="0.25">
      <c r="N10811" t="s">
        <v>732</v>
      </c>
    </row>
    <row r="10812" spans="14:14" ht="15" customHeight="1" x14ac:dyDescent="0.25">
      <c r="N10812" t="s">
        <v>732</v>
      </c>
    </row>
    <row r="10813" spans="14:14" ht="15" customHeight="1" x14ac:dyDescent="0.25">
      <c r="N10813" t="s">
        <v>686</v>
      </c>
    </row>
    <row r="10814" spans="14:14" ht="15" customHeight="1" x14ac:dyDescent="0.25">
      <c r="N10814" t="s">
        <v>405</v>
      </c>
    </row>
    <row r="10815" spans="14:14" ht="15" customHeight="1" x14ac:dyDescent="0.25">
      <c r="N10815" t="s">
        <v>687</v>
      </c>
    </row>
    <row r="10816" spans="14:14" ht="15" customHeight="1" x14ac:dyDescent="0.25">
      <c r="N10816" t="s">
        <v>715</v>
      </c>
    </row>
    <row r="10817" spans="14:14" ht="15" customHeight="1" x14ac:dyDescent="0.25">
      <c r="N10817" t="s">
        <v>732</v>
      </c>
    </row>
    <row r="10818" spans="14:14" ht="15" customHeight="1" x14ac:dyDescent="0.25">
      <c r="N10818" t="s">
        <v>686</v>
      </c>
    </row>
    <row r="10819" spans="14:14" ht="15" customHeight="1" x14ac:dyDescent="0.25">
      <c r="N10819" t="s">
        <v>686</v>
      </c>
    </row>
    <row r="10820" spans="14:14" ht="15" customHeight="1" x14ac:dyDescent="0.25">
      <c r="N10820" t="s">
        <v>732</v>
      </c>
    </row>
    <row r="10821" spans="14:14" ht="15" customHeight="1" x14ac:dyDescent="0.25">
      <c r="N10821" t="s">
        <v>732</v>
      </c>
    </row>
    <row r="10822" spans="14:14" ht="15" customHeight="1" x14ac:dyDescent="0.25">
      <c r="N10822" t="s">
        <v>655</v>
      </c>
    </row>
    <row r="10823" spans="14:14" ht="15" customHeight="1" x14ac:dyDescent="0.25">
      <c r="N10823" t="s">
        <v>406</v>
      </c>
    </row>
    <row r="10824" spans="14:14" ht="15" customHeight="1" x14ac:dyDescent="0.25">
      <c r="N10824" t="s">
        <v>634</v>
      </c>
    </row>
    <row r="10825" spans="14:14" ht="15" customHeight="1" x14ac:dyDescent="0.25">
      <c r="N10825" t="s">
        <v>732</v>
      </c>
    </row>
    <row r="10826" spans="14:14" ht="15" customHeight="1" x14ac:dyDescent="0.25">
      <c r="N10826" t="s">
        <v>732</v>
      </c>
    </row>
    <row r="10827" spans="14:14" ht="15" customHeight="1" x14ac:dyDescent="0.25">
      <c r="N10827" t="s">
        <v>732</v>
      </c>
    </row>
    <row r="10828" spans="14:14" ht="15" customHeight="1" x14ac:dyDescent="0.25">
      <c r="N10828" t="s">
        <v>732</v>
      </c>
    </row>
    <row r="10829" spans="14:14" ht="15" customHeight="1" x14ac:dyDescent="0.25">
      <c r="N10829" t="s">
        <v>686</v>
      </c>
    </row>
    <row r="10830" spans="14:14" ht="15" customHeight="1" x14ac:dyDescent="0.25">
      <c r="N10830" t="s">
        <v>686</v>
      </c>
    </row>
    <row r="10831" spans="14:14" ht="15" customHeight="1" x14ac:dyDescent="0.25">
      <c r="N10831" t="s">
        <v>294</v>
      </c>
    </row>
    <row r="10832" spans="14:14" ht="15" customHeight="1" x14ac:dyDescent="0.25">
      <c r="N10832" t="s">
        <v>732</v>
      </c>
    </row>
    <row r="10833" spans="14:14" ht="15" customHeight="1" x14ac:dyDescent="0.25">
      <c r="N10833" t="s">
        <v>732</v>
      </c>
    </row>
    <row r="10834" spans="14:14" ht="15" customHeight="1" x14ac:dyDescent="0.25">
      <c r="N10834" t="s">
        <v>435</v>
      </c>
    </row>
    <row r="10835" spans="14:14" ht="15" customHeight="1" x14ac:dyDescent="0.25">
      <c r="N10835" t="s">
        <v>655</v>
      </c>
    </row>
    <row r="10836" spans="14:14" ht="15" customHeight="1" x14ac:dyDescent="0.25">
      <c r="N10836" t="s">
        <v>732</v>
      </c>
    </row>
    <row r="10837" spans="14:14" ht="15" customHeight="1" x14ac:dyDescent="0.25">
      <c r="N10837" t="s">
        <v>313</v>
      </c>
    </row>
    <row r="10838" spans="14:14" ht="15" customHeight="1" x14ac:dyDescent="0.25">
      <c r="N10838" t="s">
        <v>646</v>
      </c>
    </row>
    <row r="10839" spans="14:14" ht="15" customHeight="1" x14ac:dyDescent="0.25">
      <c r="N10839" t="s">
        <v>683</v>
      </c>
    </row>
    <row r="10840" spans="14:14" ht="15" customHeight="1" x14ac:dyDescent="0.25">
      <c r="N10840" t="s">
        <v>690</v>
      </c>
    </row>
    <row r="10841" spans="14:14" ht="15" customHeight="1" x14ac:dyDescent="0.25">
      <c r="N10841" t="s">
        <v>690</v>
      </c>
    </row>
    <row r="10842" spans="14:14" ht="15" customHeight="1" x14ac:dyDescent="0.25">
      <c r="N10842" t="s">
        <v>939</v>
      </c>
    </row>
    <row r="10843" spans="14:14" ht="15" customHeight="1" x14ac:dyDescent="0.25">
      <c r="N10843" t="s">
        <v>939</v>
      </c>
    </row>
    <row r="10844" spans="14:14" ht="15" customHeight="1" x14ac:dyDescent="0.25">
      <c r="N10844" t="s">
        <v>939</v>
      </c>
    </row>
    <row r="10845" spans="14:14" ht="15" customHeight="1" x14ac:dyDescent="0.25">
      <c r="N10845" t="s">
        <v>939</v>
      </c>
    </row>
    <row r="10846" spans="14:14" ht="15" customHeight="1" x14ac:dyDescent="0.25">
      <c r="N10846" t="s">
        <v>555</v>
      </c>
    </row>
    <row r="10847" spans="14:14" ht="15" customHeight="1" x14ac:dyDescent="0.25">
      <c r="N10847" t="s">
        <v>458</v>
      </c>
    </row>
    <row r="10848" spans="14:14" ht="15" customHeight="1" x14ac:dyDescent="0.25">
      <c r="N10848" t="s">
        <v>294</v>
      </c>
    </row>
    <row r="10849" spans="14:14" ht="15" customHeight="1" x14ac:dyDescent="0.25">
      <c r="N10849" t="s">
        <v>843</v>
      </c>
    </row>
    <row r="10850" spans="14:14" ht="15" customHeight="1" x14ac:dyDescent="0.25">
      <c r="N10850" t="s">
        <v>843</v>
      </c>
    </row>
    <row r="10851" spans="14:14" ht="15" customHeight="1" x14ac:dyDescent="0.25">
      <c r="N10851" t="s">
        <v>690</v>
      </c>
    </row>
    <row r="10852" spans="14:14" ht="15" customHeight="1" x14ac:dyDescent="0.25">
      <c r="N10852" t="s">
        <v>582</v>
      </c>
    </row>
    <row r="10853" spans="14:14" ht="15" customHeight="1" x14ac:dyDescent="0.25">
      <c r="N10853" t="s">
        <v>698</v>
      </c>
    </row>
    <row r="10854" spans="14:14" ht="15" customHeight="1" x14ac:dyDescent="0.25">
      <c r="N10854" t="s">
        <v>313</v>
      </c>
    </row>
    <row r="10855" spans="14:14" ht="15" customHeight="1" x14ac:dyDescent="0.25">
      <c r="N10855" t="s">
        <v>646</v>
      </c>
    </row>
    <row r="10856" spans="14:14" ht="15" customHeight="1" x14ac:dyDescent="0.25">
      <c r="N10856" t="s">
        <v>636</v>
      </c>
    </row>
    <row r="10857" spans="14:14" ht="15" customHeight="1" x14ac:dyDescent="0.25">
      <c r="N10857" t="s">
        <v>636</v>
      </c>
    </row>
    <row r="10858" spans="14:14" ht="15" customHeight="1" x14ac:dyDescent="0.25">
      <c r="N10858" t="s">
        <v>636</v>
      </c>
    </row>
    <row r="10859" spans="14:14" ht="15" customHeight="1" x14ac:dyDescent="0.25">
      <c r="N10859" t="s">
        <v>636</v>
      </c>
    </row>
    <row r="10860" spans="14:14" ht="15" customHeight="1" x14ac:dyDescent="0.25">
      <c r="N10860" t="s">
        <v>636</v>
      </c>
    </row>
    <row r="10861" spans="14:14" ht="15" customHeight="1" x14ac:dyDescent="0.25">
      <c r="N10861" t="s">
        <v>636</v>
      </c>
    </row>
    <row r="10862" spans="14:14" ht="15" customHeight="1" x14ac:dyDescent="0.25">
      <c r="N10862" t="s">
        <v>636</v>
      </c>
    </row>
    <row r="10863" spans="14:14" ht="15" customHeight="1" x14ac:dyDescent="0.25">
      <c r="N10863" t="s">
        <v>636</v>
      </c>
    </row>
    <row r="10864" spans="14:14" ht="15" customHeight="1" x14ac:dyDescent="0.25">
      <c r="N10864" t="s">
        <v>683</v>
      </c>
    </row>
    <row r="10865" spans="14:14" ht="15" customHeight="1" x14ac:dyDescent="0.25">
      <c r="N10865" t="s">
        <v>294</v>
      </c>
    </row>
    <row r="10866" spans="14:14" ht="15" customHeight="1" x14ac:dyDescent="0.25">
      <c r="N10866" t="s">
        <v>933</v>
      </c>
    </row>
    <row r="10867" spans="14:14" ht="15" customHeight="1" x14ac:dyDescent="0.25">
      <c r="N10867" t="s">
        <v>636</v>
      </c>
    </row>
    <row r="10868" spans="14:14" ht="15" customHeight="1" x14ac:dyDescent="0.25">
      <c r="N10868" t="s">
        <v>448</v>
      </c>
    </row>
    <row r="10869" spans="14:14" ht="15" customHeight="1" x14ac:dyDescent="0.25">
      <c r="N10869" t="s">
        <v>448</v>
      </c>
    </row>
    <row r="10870" spans="14:14" ht="15" customHeight="1" x14ac:dyDescent="0.25">
      <c r="N10870" t="s">
        <v>448</v>
      </c>
    </row>
    <row r="10871" spans="14:14" ht="15" customHeight="1" x14ac:dyDescent="0.25">
      <c r="N10871" t="s">
        <v>448</v>
      </c>
    </row>
    <row r="10872" spans="14:14" ht="15" customHeight="1" x14ac:dyDescent="0.25">
      <c r="N10872" t="s">
        <v>448</v>
      </c>
    </row>
    <row r="10873" spans="14:14" ht="15" customHeight="1" x14ac:dyDescent="0.25">
      <c r="N10873" t="s">
        <v>448</v>
      </c>
    </row>
    <row r="10874" spans="14:14" ht="15" customHeight="1" x14ac:dyDescent="0.25">
      <c r="N10874" t="s">
        <v>448</v>
      </c>
    </row>
    <row r="10875" spans="14:14" ht="15" customHeight="1" x14ac:dyDescent="0.25">
      <c r="N10875" t="s">
        <v>448</v>
      </c>
    </row>
    <row r="10876" spans="14:14" ht="15" customHeight="1" x14ac:dyDescent="0.25">
      <c r="N10876" t="s">
        <v>448</v>
      </c>
    </row>
    <row r="10877" spans="14:14" ht="15" customHeight="1" x14ac:dyDescent="0.25">
      <c r="N10877" t="s">
        <v>448</v>
      </c>
    </row>
    <row r="10878" spans="14:14" ht="15" customHeight="1" x14ac:dyDescent="0.25">
      <c r="N10878" t="s">
        <v>448</v>
      </c>
    </row>
    <row r="10879" spans="14:14" ht="15" customHeight="1" x14ac:dyDescent="0.25">
      <c r="N10879" t="s">
        <v>448</v>
      </c>
    </row>
    <row r="10880" spans="14:14" ht="15" customHeight="1" x14ac:dyDescent="0.25">
      <c r="N10880" t="s">
        <v>448</v>
      </c>
    </row>
    <row r="10881" spans="14:14" ht="15" customHeight="1" x14ac:dyDescent="0.25">
      <c r="N10881" t="s">
        <v>715</v>
      </c>
    </row>
    <row r="10882" spans="14:14" ht="15" customHeight="1" x14ac:dyDescent="0.25">
      <c r="N10882" t="s">
        <v>698</v>
      </c>
    </row>
    <row r="10883" spans="14:14" ht="15" customHeight="1" x14ac:dyDescent="0.25">
      <c r="N10883" t="s">
        <v>605</v>
      </c>
    </row>
    <row r="10884" spans="14:14" ht="15" customHeight="1" x14ac:dyDescent="0.25">
      <c r="N10884" t="s">
        <v>698</v>
      </c>
    </row>
    <row r="10885" spans="14:14" ht="15" customHeight="1" x14ac:dyDescent="0.25">
      <c r="N10885" t="s">
        <v>350</v>
      </c>
    </row>
    <row r="10886" spans="14:14" ht="15" customHeight="1" x14ac:dyDescent="0.25">
      <c r="N10886" t="s">
        <v>294</v>
      </c>
    </row>
    <row r="10887" spans="14:14" ht="15" customHeight="1" x14ac:dyDescent="0.25">
      <c r="N10887" t="s">
        <v>683</v>
      </c>
    </row>
    <row r="10888" spans="14:14" ht="15" customHeight="1" x14ac:dyDescent="0.25">
      <c r="N10888" t="s">
        <v>933</v>
      </c>
    </row>
    <row r="10889" spans="14:14" ht="15" customHeight="1" x14ac:dyDescent="0.25">
      <c r="N10889" t="s">
        <v>663</v>
      </c>
    </row>
    <row r="10890" spans="14:14" ht="15" customHeight="1" x14ac:dyDescent="0.25">
      <c r="N10890" t="s">
        <v>732</v>
      </c>
    </row>
    <row r="10891" spans="14:14" ht="15" customHeight="1" x14ac:dyDescent="0.25">
      <c r="N10891" t="s">
        <v>732</v>
      </c>
    </row>
    <row r="10892" spans="14:14" ht="15" customHeight="1" x14ac:dyDescent="0.25">
      <c r="N10892" t="s">
        <v>732</v>
      </c>
    </row>
    <row r="10893" spans="14:14" ht="15" customHeight="1" x14ac:dyDescent="0.25">
      <c r="N10893" t="s">
        <v>732</v>
      </c>
    </row>
    <row r="10894" spans="14:14" ht="15" customHeight="1" x14ac:dyDescent="0.25">
      <c r="N10894" t="s">
        <v>732</v>
      </c>
    </row>
    <row r="10895" spans="14:14" ht="15" customHeight="1" x14ac:dyDescent="0.25">
      <c r="N10895" t="s">
        <v>732</v>
      </c>
    </row>
    <row r="10896" spans="14:14" ht="15" customHeight="1" x14ac:dyDescent="0.25">
      <c r="N10896" t="s">
        <v>732</v>
      </c>
    </row>
    <row r="10897" spans="14:14" ht="15" customHeight="1" x14ac:dyDescent="0.25">
      <c r="N10897" t="s">
        <v>698</v>
      </c>
    </row>
    <row r="10898" spans="14:14" ht="15" customHeight="1" x14ac:dyDescent="0.25">
      <c r="N10898" t="s">
        <v>690</v>
      </c>
    </row>
    <row r="10899" spans="14:14" ht="15" customHeight="1" x14ac:dyDescent="0.25">
      <c r="N10899" t="s">
        <v>683</v>
      </c>
    </row>
    <row r="10900" spans="14:14" ht="15" customHeight="1" x14ac:dyDescent="0.25">
      <c r="N10900" t="s">
        <v>636</v>
      </c>
    </row>
    <row r="10901" spans="14:14" ht="15" customHeight="1" x14ac:dyDescent="0.25">
      <c r="N10901" t="s">
        <v>294</v>
      </c>
    </row>
    <row r="10902" spans="14:14" ht="15" customHeight="1" x14ac:dyDescent="0.25">
      <c r="N10902" t="s">
        <v>313</v>
      </c>
    </row>
    <row r="10903" spans="14:14" ht="15" customHeight="1" x14ac:dyDescent="0.25">
      <c r="N10903" t="s">
        <v>313</v>
      </c>
    </row>
    <row r="10904" spans="14:14" ht="15" customHeight="1" x14ac:dyDescent="0.25">
      <c r="N10904" t="s">
        <v>313</v>
      </c>
    </row>
    <row r="10905" spans="14:14" ht="15" customHeight="1" x14ac:dyDescent="0.25">
      <c r="N10905" t="s">
        <v>313</v>
      </c>
    </row>
    <row r="10906" spans="14:14" ht="15" customHeight="1" x14ac:dyDescent="0.25">
      <c r="N10906" t="s">
        <v>313</v>
      </c>
    </row>
    <row r="10907" spans="14:14" ht="15" customHeight="1" x14ac:dyDescent="0.25">
      <c r="N10907" t="s">
        <v>313</v>
      </c>
    </row>
    <row r="10908" spans="14:14" ht="15" customHeight="1" x14ac:dyDescent="0.25">
      <c r="N10908" t="s">
        <v>313</v>
      </c>
    </row>
    <row r="10909" spans="14:14" ht="15" customHeight="1" x14ac:dyDescent="0.25">
      <c r="N10909" t="s">
        <v>634</v>
      </c>
    </row>
    <row r="10910" spans="14:14" ht="15" customHeight="1" x14ac:dyDescent="0.25">
      <c r="N10910" t="s">
        <v>499</v>
      </c>
    </row>
    <row r="10911" spans="14:14" ht="15" customHeight="1" x14ac:dyDescent="0.25">
      <c r="N10911" t="s">
        <v>683</v>
      </c>
    </row>
    <row r="10912" spans="14:14" ht="15" customHeight="1" x14ac:dyDescent="0.25">
      <c r="N10912" t="s">
        <v>934</v>
      </c>
    </row>
    <row r="10913" spans="14:14" ht="15" customHeight="1" x14ac:dyDescent="0.25">
      <c r="N10913" t="s">
        <v>820</v>
      </c>
    </row>
    <row r="10914" spans="14:14" ht="15" customHeight="1" x14ac:dyDescent="0.25">
      <c r="N10914" t="s">
        <v>294</v>
      </c>
    </row>
    <row r="10915" spans="14:14" ht="15" customHeight="1" x14ac:dyDescent="0.25">
      <c r="N10915" t="s">
        <v>636</v>
      </c>
    </row>
    <row r="10916" spans="14:14" ht="15" customHeight="1" x14ac:dyDescent="0.25">
      <c r="N10916" t="s">
        <v>313</v>
      </c>
    </row>
    <row r="10917" spans="14:14" ht="15" customHeight="1" x14ac:dyDescent="0.25">
      <c r="N10917" t="s">
        <v>683</v>
      </c>
    </row>
    <row r="10918" spans="14:14" ht="15" customHeight="1" x14ac:dyDescent="0.25">
      <c r="N10918" t="s">
        <v>579</v>
      </c>
    </row>
    <row r="10919" spans="14:14" ht="15" customHeight="1" x14ac:dyDescent="0.25">
      <c r="N10919" t="s">
        <v>843</v>
      </c>
    </row>
    <row r="10920" spans="14:14" ht="15" customHeight="1" x14ac:dyDescent="0.25">
      <c r="N10920" t="s">
        <v>844</v>
      </c>
    </row>
    <row r="10921" spans="14:14" ht="15" customHeight="1" x14ac:dyDescent="0.25">
      <c r="N10921" t="s">
        <v>895</v>
      </c>
    </row>
    <row r="10922" spans="14:14" ht="15" customHeight="1" x14ac:dyDescent="0.25">
      <c r="N10922" t="s">
        <v>663</v>
      </c>
    </row>
    <row r="10923" spans="14:14" ht="15" customHeight="1" x14ac:dyDescent="0.25">
      <c r="N10923" t="s">
        <v>732</v>
      </c>
    </row>
    <row r="10924" spans="14:14" ht="15" customHeight="1" x14ac:dyDescent="0.25">
      <c r="N10924" t="s">
        <v>895</v>
      </c>
    </row>
    <row r="10925" spans="14:14" ht="15" customHeight="1" x14ac:dyDescent="0.25">
      <c r="N10925" t="s">
        <v>732</v>
      </c>
    </row>
    <row r="10926" spans="14:14" ht="15" customHeight="1" x14ac:dyDescent="0.25">
      <c r="N10926" t="s">
        <v>313</v>
      </c>
    </row>
    <row r="10927" spans="14:14" ht="15" customHeight="1" x14ac:dyDescent="0.25">
      <c r="N10927" t="s">
        <v>463</v>
      </c>
    </row>
    <row r="10928" spans="14:14" ht="15" customHeight="1" x14ac:dyDescent="0.25">
      <c r="N10928" t="s">
        <v>654</v>
      </c>
    </row>
    <row r="10929" spans="14:14" ht="15" customHeight="1" x14ac:dyDescent="0.25">
      <c r="N10929" t="s">
        <v>844</v>
      </c>
    </row>
    <row r="10930" spans="14:14" ht="15" customHeight="1" x14ac:dyDescent="0.25">
      <c r="N10930" t="s">
        <v>732</v>
      </c>
    </row>
    <row r="10931" spans="14:14" ht="15" customHeight="1" x14ac:dyDescent="0.25">
      <c r="N10931" t="s">
        <v>313</v>
      </c>
    </row>
    <row r="10932" spans="14:14" ht="15" customHeight="1" x14ac:dyDescent="0.25">
      <c r="N10932" t="s">
        <v>732</v>
      </c>
    </row>
    <row r="10933" spans="14:14" ht="15" customHeight="1" x14ac:dyDescent="0.25">
      <c r="N10933" t="s">
        <v>934</v>
      </c>
    </row>
    <row r="10934" spans="14:14" ht="15" customHeight="1" x14ac:dyDescent="0.25">
      <c r="N10934" t="s">
        <v>713</v>
      </c>
    </row>
    <row r="10935" spans="14:14" ht="15" customHeight="1" x14ac:dyDescent="0.25">
      <c r="N10935" t="s">
        <v>934</v>
      </c>
    </row>
    <row r="10936" spans="14:14" ht="15" customHeight="1" x14ac:dyDescent="0.25">
      <c r="N10936" t="s">
        <v>579</v>
      </c>
    </row>
    <row r="10937" spans="14:14" ht="15" customHeight="1" x14ac:dyDescent="0.25">
      <c r="N10937" t="s">
        <v>663</v>
      </c>
    </row>
    <row r="10938" spans="14:14" ht="15" customHeight="1" x14ac:dyDescent="0.25">
      <c r="N10938" t="s">
        <v>732</v>
      </c>
    </row>
    <row r="10939" spans="14:14" ht="15" customHeight="1" x14ac:dyDescent="0.25">
      <c r="N10939" t="s">
        <v>355</v>
      </c>
    </row>
    <row r="10940" spans="14:14" ht="15" customHeight="1" x14ac:dyDescent="0.25">
      <c r="N10940" t="s">
        <v>732</v>
      </c>
    </row>
    <row r="10941" spans="14:14" ht="15" customHeight="1" x14ac:dyDescent="0.25">
      <c r="N10941" t="s">
        <v>654</v>
      </c>
    </row>
    <row r="10942" spans="14:14" ht="15" customHeight="1" x14ac:dyDescent="0.25">
      <c r="N10942" t="s">
        <v>485</v>
      </c>
    </row>
    <row r="10943" spans="14:14" ht="15" customHeight="1" x14ac:dyDescent="0.25">
      <c r="N10943" t="s">
        <v>363</v>
      </c>
    </row>
    <row r="10944" spans="14:14" ht="15" customHeight="1" x14ac:dyDescent="0.25">
      <c r="N10944" t="s">
        <v>732</v>
      </c>
    </row>
    <row r="10945" spans="14:14" ht="15" customHeight="1" x14ac:dyDescent="0.25">
      <c r="N10945" t="s">
        <v>713</v>
      </c>
    </row>
    <row r="10946" spans="14:14" ht="15" customHeight="1" x14ac:dyDescent="0.25">
      <c r="N10946" t="s">
        <v>685</v>
      </c>
    </row>
    <row r="10947" spans="14:14" ht="15" customHeight="1" x14ac:dyDescent="0.25">
      <c r="N10947" t="s">
        <v>713</v>
      </c>
    </row>
    <row r="10948" spans="14:14" ht="15" customHeight="1" x14ac:dyDescent="0.25">
      <c r="N10948" t="s">
        <v>687</v>
      </c>
    </row>
    <row r="10949" spans="14:14" ht="15" customHeight="1" x14ac:dyDescent="0.25">
      <c r="N10949" t="s">
        <v>313</v>
      </c>
    </row>
    <row r="10950" spans="14:14" ht="15" customHeight="1" x14ac:dyDescent="0.25">
      <c r="N10950" t="s">
        <v>670</v>
      </c>
    </row>
    <row r="10951" spans="14:14" ht="15" customHeight="1" x14ac:dyDescent="0.25">
      <c r="N10951" t="s">
        <v>732</v>
      </c>
    </row>
    <row r="10952" spans="14:14" ht="15" customHeight="1" x14ac:dyDescent="0.25">
      <c r="N10952" t="s">
        <v>524</v>
      </c>
    </row>
    <row r="10953" spans="14:14" ht="15" customHeight="1" x14ac:dyDescent="0.25">
      <c r="N10953" t="s">
        <v>663</v>
      </c>
    </row>
    <row r="10954" spans="14:14" ht="15" customHeight="1" x14ac:dyDescent="0.25">
      <c r="N10954" t="s">
        <v>732</v>
      </c>
    </row>
    <row r="10955" spans="14:14" ht="15" customHeight="1" x14ac:dyDescent="0.25">
      <c r="N10955" t="s">
        <v>732</v>
      </c>
    </row>
    <row r="10956" spans="14:14" ht="15" customHeight="1" x14ac:dyDescent="0.25">
      <c r="N10956" t="s">
        <v>732</v>
      </c>
    </row>
    <row r="10957" spans="14:14" ht="15" customHeight="1" x14ac:dyDescent="0.25">
      <c r="N10957" t="s">
        <v>732</v>
      </c>
    </row>
    <row r="10958" spans="14:14" ht="15" customHeight="1" x14ac:dyDescent="0.25">
      <c r="N10958" t="s">
        <v>732</v>
      </c>
    </row>
    <row r="10959" spans="14:14" ht="15" customHeight="1" x14ac:dyDescent="0.25">
      <c r="N10959" t="s">
        <v>732</v>
      </c>
    </row>
    <row r="10960" spans="14:14" ht="15" customHeight="1" x14ac:dyDescent="0.25">
      <c r="N10960" t="s">
        <v>732</v>
      </c>
    </row>
    <row r="10961" spans="14:14" ht="15" customHeight="1" x14ac:dyDescent="0.25">
      <c r="N10961" t="s">
        <v>732</v>
      </c>
    </row>
    <row r="10962" spans="14:14" ht="15" customHeight="1" x14ac:dyDescent="0.25">
      <c r="N10962" t="s">
        <v>732</v>
      </c>
    </row>
    <row r="10963" spans="14:14" ht="15" customHeight="1" x14ac:dyDescent="0.25">
      <c r="N10963" t="s">
        <v>732</v>
      </c>
    </row>
    <row r="10964" spans="14:14" ht="15" customHeight="1" x14ac:dyDescent="0.25">
      <c r="N10964" t="s">
        <v>732</v>
      </c>
    </row>
    <row r="10965" spans="14:14" ht="15" customHeight="1" x14ac:dyDescent="0.25">
      <c r="N10965" t="s">
        <v>732</v>
      </c>
    </row>
    <row r="10966" spans="14:14" ht="15" customHeight="1" x14ac:dyDescent="0.25">
      <c r="N10966" t="s">
        <v>732</v>
      </c>
    </row>
    <row r="10967" spans="14:14" ht="15" customHeight="1" x14ac:dyDescent="0.25">
      <c r="N10967" t="s">
        <v>313</v>
      </c>
    </row>
    <row r="10968" spans="14:14" ht="15" customHeight="1" x14ac:dyDescent="0.25">
      <c r="N10968" t="s">
        <v>582</v>
      </c>
    </row>
    <row r="10969" spans="14:14" ht="15" customHeight="1" x14ac:dyDescent="0.25">
      <c r="N10969" t="s">
        <v>582</v>
      </c>
    </row>
    <row r="10970" spans="14:14" ht="15" customHeight="1" x14ac:dyDescent="0.25">
      <c r="N10970" t="s">
        <v>582</v>
      </c>
    </row>
    <row r="10971" spans="14:14" ht="15" customHeight="1" x14ac:dyDescent="0.25">
      <c r="N10971" t="s">
        <v>582</v>
      </c>
    </row>
    <row r="10972" spans="14:14" ht="15" customHeight="1" x14ac:dyDescent="0.25">
      <c r="N10972" t="s">
        <v>582</v>
      </c>
    </row>
    <row r="10973" spans="14:14" ht="15" customHeight="1" x14ac:dyDescent="0.25">
      <c r="N10973" t="s">
        <v>582</v>
      </c>
    </row>
    <row r="10974" spans="14:14" ht="15" customHeight="1" x14ac:dyDescent="0.25">
      <c r="N10974" t="s">
        <v>582</v>
      </c>
    </row>
    <row r="10975" spans="14:14" ht="15" customHeight="1" x14ac:dyDescent="0.25">
      <c r="N10975" t="s">
        <v>582</v>
      </c>
    </row>
    <row r="10976" spans="14:14" ht="15" customHeight="1" x14ac:dyDescent="0.25">
      <c r="N10976" t="s">
        <v>582</v>
      </c>
    </row>
    <row r="10977" spans="14:14" ht="15" customHeight="1" x14ac:dyDescent="0.25">
      <c r="N10977" t="s">
        <v>582</v>
      </c>
    </row>
    <row r="10978" spans="14:14" ht="15" customHeight="1" x14ac:dyDescent="0.25">
      <c r="N10978" t="s">
        <v>582</v>
      </c>
    </row>
    <row r="10979" spans="14:14" ht="15" customHeight="1" x14ac:dyDescent="0.25">
      <c r="N10979" t="s">
        <v>582</v>
      </c>
    </row>
    <row r="10980" spans="14:14" ht="15" customHeight="1" x14ac:dyDescent="0.25">
      <c r="N10980" t="s">
        <v>582</v>
      </c>
    </row>
    <row r="10981" spans="14:14" ht="15" customHeight="1" x14ac:dyDescent="0.25">
      <c r="N10981" t="s">
        <v>582</v>
      </c>
    </row>
    <row r="10982" spans="14:14" ht="15" customHeight="1" x14ac:dyDescent="0.25">
      <c r="N10982" t="s">
        <v>313</v>
      </c>
    </row>
    <row r="10983" spans="14:14" ht="15" customHeight="1" x14ac:dyDescent="0.25">
      <c r="N10983" t="s">
        <v>732</v>
      </c>
    </row>
    <row r="10984" spans="14:14" ht="15" customHeight="1" x14ac:dyDescent="0.25">
      <c r="N10984" t="s">
        <v>68</v>
      </c>
    </row>
    <row r="10985" spans="14:14" ht="15" customHeight="1" x14ac:dyDescent="0.25">
      <c r="N10985" t="s">
        <v>313</v>
      </c>
    </row>
    <row r="10986" spans="14:14" ht="15" customHeight="1" x14ac:dyDescent="0.25">
      <c r="N10986" t="s">
        <v>696</v>
      </c>
    </row>
    <row r="10987" spans="14:14" ht="15" customHeight="1" x14ac:dyDescent="0.25">
      <c r="N10987" t="s">
        <v>304</v>
      </c>
    </row>
    <row r="10988" spans="14:14" ht="15" customHeight="1" x14ac:dyDescent="0.25">
      <c r="N10988" t="s">
        <v>685</v>
      </c>
    </row>
    <row r="10989" spans="14:14" ht="15" customHeight="1" x14ac:dyDescent="0.25">
      <c r="N10989" t="s">
        <v>370</v>
      </c>
    </row>
    <row r="10990" spans="14:14" ht="15" customHeight="1" x14ac:dyDescent="0.25">
      <c r="N10990" t="s">
        <v>698</v>
      </c>
    </row>
    <row r="10991" spans="14:14" ht="15" customHeight="1" x14ac:dyDescent="0.25">
      <c r="N10991" t="s">
        <v>715</v>
      </c>
    </row>
    <row r="10992" spans="14:14" ht="15" customHeight="1" x14ac:dyDescent="0.25">
      <c r="N10992" t="s">
        <v>582</v>
      </c>
    </row>
    <row r="10993" spans="14:14" ht="15" customHeight="1" x14ac:dyDescent="0.25">
      <c r="N10993" t="s">
        <v>732</v>
      </c>
    </row>
    <row r="10994" spans="14:14" ht="15" customHeight="1" x14ac:dyDescent="0.25">
      <c r="N10994" t="s">
        <v>684</v>
      </c>
    </row>
    <row r="10995" spans="14:14" ht="15" customHeight="1" x14ac:dyDescent="0.25">
      <c r="N10995" t="s">
        <v>732</v>
      </c>
    </row>
    <row r="10996" spans="14:14" ht="15" customHeight="1" x14ac:dyDescent="0.25">
      <c r="N10996" t="s">
        <v>732</v>
      </c>
    </row>
    <row r="10997" spans="14:14" ht="15" customHeight="1" x14ac:dyDescent="0.25">
      <c r="N10997" t="s">
        <v>732</v>
      </c>
    </row>
    <row r="10998" spans="14:14" ht="15" customHeight="1" x14ac:dyDescent="0.25">
      <c r="N10998" t="s">
        <v>732</v>
      </c>
    </row>
    <row r="10999" spans="14:14" ht="15" customHeight="1" x14ac:dyDescent="0.25">
      <c r="N10999" t="s">
        <v>732</v>
      </c>
    </row>
    <row r="11000" spans="14:14" ht="15" customHeight="1" x14ac:dyDescent="0.25">
      <c r="N11000" t="s">
        <v>732</v>
      </c>
    </row>
    <row r="11001" spans="14:14" ht="15" customHeight="1" x14ac:dyDescent="0.25">
      <c r="N11001" t="s">
        <v>732</v>
      </c>
    </row>
    <row r="11002" spans="14:14" ht="15" customHeight="1" x14ac:dyDescent="0.25">
      <c r="N11002" t="s">
        <v>732</v>
      </c>
    </row>
    <row r="11003" spans="14:14" ht="15" customHeight="1" x14ac:dyDescent="0.25">
      <c r="N11003" t="s">
        <v>734</v>
      </c>
    </row>
    <row r="11004" spans="14:14" ht="15" customHeight="1" x14ac:dyDescent="0.25">
      <c r="N11004" t="s">
        <v>689</v>
      </c>
    </row>
    <row r="11005" spans="14:14" ht="15" customHeight="1" x14ac:dyDescent="0.25">
      <c r="N11005" t="s">
        <v>715</v>
      </c>
    </row>
    <row r="11006" spans="14:14" ht="15" customHeight="1" x14ac:dyDescent="0.25">
      <c r="N11006" t="s">
        <v>732</v>
      </c>
    </row>
    <row r="11007" spans="14:14" ht="15" customHeight="1" x14ac:dyDescent="0.25">
      <c r="N11007" t="s">
        <v>732</v>
      </c>
    </row>
    <row r="11008" spans="14:14" ht="15" customHeight="1" x14ac:dyDescent="0.25">
      <c r="N11008" t="s">
        <v>732</v>
      </c>
    </row>
    <row r="11009" spans="14:14" ht="15" customHeight="1" x14ac:dyDescent="0.25">
      <c r="N11009" t="s">
        <v>732</v>
      </c>
    </row>
    <row r="11010" spans="14:14" ht="15" customHeight="1" x14ac:dyDescent="0.25">
      <c r="N11010" t="s">
        <v>732</v>
      </c>
    </row>
    <row r="11011" spans="14:14" ht="15" customHeight="1" x14ac:dyDescent="0.25">
      <c r="N11011" t="s">
        <v>732</v>
      </c>
    </row>
    <row r="11012" spans="14:14" ht="15" customHeight="1" x14ac:dyDescent="0.25">
      <c r="N11012" t="s">
        <v>732</v>
      </c>
    </row>
    <row r="11013" spans="14:14" ht="15" customHeight="1" x14ac:dyDescent="0.25">
      <c r="N11013" t="s">
        <v>732</v>
      </c>
    </row>
    <row r="11014" spans="14:14" ht="15" customHeight="1" x14ac:dyDescent="0.25">
      <c r="N11014" t="s">
        <v>732</v>
      </c>
    </row>
    <row r="11015" spans="14:14" ht="15" customHeight="1" x14ac:dyDescent="0.25">
      <c r="N11015" t="s">
        <v>732</v>
      </c>
    </row>
    <row r="11016" spans="14:14" ht="15" customHeight="1" x14ac:dyDescent="0.25">
      <c r="N11016" t="s">
        <v>732</v>
      </c>
    </row>
    <row r="11017" spans="14:14" ht="15" customHeight="1" x14ac:dyDescent="0.25">
      <c r="N11017" t="s">
        <v>732</v>
      </c>
    </row>
    <row r="11018" spans="14:14" ht="15" customHeight="1" x14ac:dyDescent="0.25">
      <c r="N11018" t="s">
        <v>732</v>
      </c>
    </row>
    <row r="11019" spans="14:14" ht="15" customHeight="1" x14ac:dyDescent="0.25">
      <c r="N11019" t="s">
        <v>732</v>
      </c>
    </row>
    <row r="11020" spans="14:14" ht="15" customHeight="1" x14ac:dyDescent="0.25">
      <c r="N11020" t="s">
        <v>732</v>
      </c>
    </row>
    <row r="11021" spans="14:14" ht="15" customHeight="1" x14ac:dyDescent="0.25">
      <c r="N11021" t="s">
        <v>732</v>
      </c>
    </row>
    <row r="11022" spans="14:14" ht="15" customHeight="1" x14ac:dyDescent="0.25">
      <c r="N11022" t="s">
        <v>732</v>
      </c>
    </row>
    <row r="11023" spans="14:14" ht="15" customHeight="1" x14ac:dyDescent="0.25">
      <c r="N11023" t="s">
        <v>732</v>
      </c>
    </row>
    <row r="11024" spans="14:14" ht="15" customHeight="1" x14ac:dyDescent="0.25">
      <c r="N11024" t="s">
        <v>732</v>
      </c>
    </row>
    <row r="11025" spans="14:14" ht="15" customHeight="1" x14ac:dyDescent="0.25">
      <c r="N11025" t="s">
        <v>732</v>
      </c>
    </row>
    <row r="11026" spans="14:14" ht="15" customHeight="1" x14ac:dyDescent="0.25">
      <c r="N11026" t="s">
        <v>732</v>
      </c>
    </row>
    <row r="11027" spans="14:14" ht="15" customHeight="1" x14ac:dyDescent="0.25">
      <c r="N11027" t="s">
        <v>732</v>
      </c>
    </row>
    <row r="11028" spans="14:14" ht="15" customHeight="1" x14ac:dyDescent="0.25">
      <c r="N11028" t="s">
        <v>732</v>
      </c>
    </row>
    <row r="11029" spans="14:14" ht="15" customHeight="1" x14ac:dyDescent="0.25">
      <c r="N11029" t="s">
        <v>732</v>
      </c>
    </row>
    <row r="11030" spans="14:14" ht="15" customHeight="1" x14ac:dyDescent="0.25">
      <c r="N11030" t="s">
        <v>732</v>
      </c>
    </row>
    <row r="11031" spans="14:14" ht="15" customHeight="1" x14ac:dyDescent="0.25">
      <c r="N11031" t="s">
        <v>732</v>
      </c>
    </row>
    <row r="11032" spans="14:14" ht="15" customHeight="1" x14ac:dyDescent="0.25">
      <c r="N11032" t="s">
        <v>603</v>
      </c>
    </row>
    <row r="11033" spans="14:14" ht="15" customHeight="1" x14ac:dyDescent="0.25">
      <c r="N11033" t="s">
        <v>732</v>
      </c>
    </row>
    <row r="11034" spans="14:14" ht="15" customHeight="1" x14ac:dyDescent="0.25">
      <c r="N11034" t="s">
        <v>654</v>
      </c>
    </row>
    <row r="11035" spans="14:14" ht="15" customHeight="1" x14ac:dyDescent="0.25">
      <c r="N11035" t="s">
        <v>685</v>
      </c>
    </row>
    <row r="11036" spans="14:14" ht="15" customHeight="1" x14ac:dyDescent="0.25">
      <c r="N11036" t="s">
        <v>313</v>
      </c>
    </row>
    <row r="11037" spans="14:14" ht="15" customHeight="1" x14ac:dyDescent="0.25">
      <c r="N11037" t="s">
        <v>685</v>
      </c>
    </row>
    <row r="11038" spans="14:14" ht="15" customHeight="1" x14ac:dyDescent="0.25">
      <c r="N11038" t="s">
        <v>732</v>
      </c>
    </row>
    <row r="11039" spans="14:14" ht="15" customHeight="1" x14ac:dyDescent="0.25">
      <c r="N11039" t="s">
        <v>732</v>
      </c>
    </row>
    <row r="11040" spans="14:14" ht="15" customHeight="1" x14ac:dyDescent="0.25">
      <c r="N11040" t="s">
        <v>582</v>
      </c>
    </row>
    <row r="11041" spans="14:14" ht="15" customHeight="1" x14ac:dyDescent="0.25">
      <c r="N11041" t="s">
        <v>751</v>
      </c>
    </row>
    <row r="11042" spans="14:14" ht="15" customHeight="1" x14ac:dyDescent="0.25">
      <c r="N11042" t="s">
        <v>690</v>
      </c>
    </row>
    <row r="11043" spans="14:14" ht="15" customHeight="1" x14ac:dyDescent="0.25">
      <c r="N11043" t="s">
        <v>690</v>
      </c>
    </row>
    <row r="11044" spans="14:14" ht="15" customHeight="1" x14ac:dyDescent="0.25">
      <c r="N11044" t="s">
        <v>690</v>
      </c>
    </row>
    <row r="11045" spans="14:14" ht="15" customHeight="1" x14ac:dyDescent="0.25">
      <c r="N11045" t="s">
        <v>690</v>
      </c>
    </row>
    <row r="11046" spans="14:14" ht="15" customHeight="1" x14ac:dyDescent="0.25">
      <c r="N11046" t="s">
        <v>313</v>
      </c>
    </row>
    <row r="11047" spans="14:14" ht="15" customHeight="1" x14ac:dyDescent="0.25">
      <c r="N11047" t="s">
        <v>732</v>
      </c>
    </row>
    <row r="11048" spans="14:14" ht="15" customHeight="1" x14ac:dyDescent="0.25">
      <c r="N11048" t="s">
        <v>732</v>
      </c>
    </row>
    <row r="11049" spans="14:14" ht="15" customHeight="1" x14ac:dyDescent="0.25">
      <c r="N11049" t="s">
        <v>732</v>
      </c>
    </row>
    <row r="11050" spans="14:14" ht="15" customHeight="1" x14ac:dyDescent="0.25">
      <c r="N11050" t="s">
        <v>732</v>
      </c>
    </row>
    <row r="11051" spans="14:14" ht="15" customHeight="1" x14ac:dyDescent="0.25">
      <c r="N11051" t="s">
        <v>732</v>
      </c>
    </row>
    <row r="11052" spans="14:14" ht="15" customHeight="1" x14ac:dyDescent="0.25">
      <c r="N11052" t="s">
        <v>732</v>
      </c>
    </row>
    <row r="11053" spans="14:14" ht="15" customHeight="1" x14ac:dyDescent="0.25">
      <c r="N11053" t="s">
        <v>732</v>
      </c>
    </row>
    <row r="11054" spans="14:14" ht="15" customHeight="1" x14ac:dyDescent="0.25">
      <c r="N11054" t="s">
        <v>732</v>
      </c>
    </row>
    <row r="11055" spans="14:14" ht="15" customHeight="1" x14ac:dyDescent="0.25">
      <c r="N11055" t="s">
        <v>732</v>
      </c>
    </row>
    <row r="11056" spans="14:14" ht="15" customHeight="1" x14ac:dyDescent="0.25">
      <c r="N11056" t="s">
        <v>732</v>
      </c>
    </row>
    <row r="11057" spans="14:14" ht="15" customHeight="1" x14ac:dyDescent="0.25">
      <c r="N11057" t="s">
        <v>732</v>
      </c>
    </row>
    <row r="11058" spans="14:14" ht="15" customHeight="1" x14ac:dyDescent="0.25">
      <c r="N11058" t="s">
        <v>732</v>
      </c>
    </row>
    <row r="11059" spans="14:14" ht="15" customHeight="1" x14ac:dyDescent="0.25">
      <c r="N11059" t="s">
        <v>732</v>
      </c>
    </row>
    <row r="11060" spans="14:14" ht="15" customHeight="1" x14ac:dyDescent="0.25">
      <c r="N11060" t="s">
        <v>68</v>
      </c>
    </row>
    <row r="11061" spans="14:14" ht="15" customHeight="1" x14ac:dyDescent="0.25">
      <c r="N11061" t="s">
        <v>68</v>
      </c>
    </row>
    <row r="11062" spans="14:14" ht="15" customHeight="1" x14ac:dyDescent="0.25">
      <c r="N11062" t="s">
        <v>68</v>
      </c>
    </row>
    <row r="11063" spans="14:14" ht="15" customHeight="1" x14ac:dyDescent="0.25">
      <c r="N11063" t="s">
        <v>68</v>
      </c>
    </row>
    <row r="11064" spans="14:14" ht="15" customHeight="1" x14ac:dyDescent="0.25">
      <c r="N11064" t="s">
        <v>68</v>
      </c>
    </row>
    <row r="11065" spans="14:14" ht="15" customHeight="1" x14ac:dyDescent="0.25">
      <c r="N11065" t="s">
        <v>68</v>
      </c>
    </row>
    <row r="11066" spans="14:14" ht="15" customHeight="1" x14ac:dyDescent="0.25">
      <c r="N11066" t="s">
        <v>68</v>
      </c>
    </row>
    <row r="11067" spans="14:14" ht="15" customHeight="1" x14ac:dyDescent="0.25">
      <c r="N11067" t="s">
        <v>735</v>
      </c>
    </row>
    <row r="11068" spans="14:14" ht="15" customHeight="1" x14ac:dyDescent="0.25">
      <c r="N11068" t="s">
        <v>735</v>
      </c>
    </row>
    <row r="11069" spans="14:14" ht="15" customHeight="1" x14ac:dyDescent="0.25">
      <c r="N11069" t="s">
        <v>735</v>
      </c>
    </row>
    <row r="11070" spans="14:14" ht="15" customHeight="1" x14ac:dyDescent="0.25">
      <c r="N11070" t="s">
        <v>735</v>
      </c>
    </row>
    <row r="11071" spans="14:14" ht="15" customHeight="1" x14ac:dyDescent="0.25">
      <c r="N11071" t="s">
        <v>735</v>
      </c>
    </row>
    <row r="11072" spans="14:14" ht="15" customHeight="1" x14ac:dyDescent="0.25">
      <c r="N11072" t="s">
        <v>68</v>
      </c>
    </row>
    <row r="11073" spans="14:14" ht="15" customHeight="1" x14ac:dyDescent="0.25">
      <c r="N11073" t="s">
        <v>732</v>
      </c>
    </row>
    <row r="11074" spans="14:14" ht="15" customHeight="1" x14ac:dyDescent="0.25">
      <c r="N11074" t="s">
        <v>313</v>
      </c>
    </row>
    <row r="11075" spans="14:14" ht="15" customHeight="1" x14ac:dyDescent="0.25">
      <c r="N11075" t="s">
        <v>304</v>
      </c>
    </row>
    <row r="11076" spans="14:14" ht="15" customHeight="1" x14ac:dyDescent="0.25">
      <c r="N11076" t="s">
        <v>675</v>
      </c>
    </row>
    <row r="11077" spans="14:14" ht="15" customHeight="1" x14ac:dyDescent="0.25">
      <c r="N11077" t="s">
        <v>646</v>
      </c>
    </row>
    <row r="11078" spans="14:14" ht="15" customHeight="1" x14ac:dyDescent="0.25">
      <c r="N11078" t="s">
        <v>684</v>
      </c>
    </row>
    <row r="11079" spans="14:14" ht="15" customHeight="1" x14ac:dyDescent="0.25">
      <c r="N11079" t="s">
        <v>732</v>
      </c>
    </row>
    <row r="11080" spans="14:14" ht="15" customHeight="1" x14ac:dyDescent="0.25">
      <c r="N11080" t="s">
        <v>715</v>
      </c>
    </row>
    <row r="11081" spans="14:14" ht="15" customHeight="1" x14ac:dyDescent="0.25">
      <c r="N11081" t="s">
        <v>732</v>
      </c>
    </row>
    <row r="11082" spans="14:14" ht="15" customHeight="1" x14ac:dyDescent="0.25">
      <c r="N11082" t="s">
        <v>732</v>
      </c>
    </row>
    <row r="11083" spans="14:14" ht="15" customHeight="1" x14ac:dyDescent="0.25">
      <c r="N11083" t="s">
        <v>732</v>
      </c>
    </row>
    <row r="11084" spans="14:14" ht="15" customHeight="1" x14ac:dyDescent="0.25">
      <c r="N11084" t="s">
        <v>732</v>
      </c>
    </row>
    <row r="11085" spans="14:14" ht="15" customHeight="1" x14ac:dyDescent="0.25">
      <c r="N11085" t="s">
        <v>732</v>
      </c>
    </row>
    <row r="11086" spans="14:14" ht="15" customHeight="1" x14ac:dyDescent="0.25">
      <c r="N11086" t="s">
        <v>732</v>
      </c>
    </row>
    <row r="11087" spans="14:14" ht="15" customHeight="1" x14ac:dyDescent="0.25">
      <c r="N11087" t="s">
        <v>732</v>
      </c>
    </row>
    <row r="11088" spans="14:14" ht="15" customHeight="1" x14ac:dyDescent="0.25">
      <c r="N11088" t="s">
        <v>732</v>
      </c>
    </row>
    <row r="11089" spans="14:14" ht="15" customHeight="1" x14ac:dyDescent="0.25">
      <c r="N11089" t="s">
        <v>732</v>
      </c>
    </row>
    <row r="11090" spans="14:14" ht="15" customHeight="1" x14ac:dyDescent="0.25">
      <c r="N11090" t="s">
        <v>732</v>
      </c>
    </row>
    <row r="11091" spans="14:14" ht="15" customHeight="1" x14ac:dyDescent="0.25">
      <c r="N11091" t="s">
        <v>732</v>
      </c>
    </row>
    <row r="11092" spans="14:14" ht="15" customHeight="1" x14ac:dyDescent="0.25">
      <c r="N11092" t="s">
        <v>732</v>
      </c>
    </row>
    <row r="11093" spans="14:14" ht="15" customHeight="1" x14ac:dyDescent="0.25">
      <c r="N11093" t="s">
        <v>732</v>
      </c>
    </row>
    <row r="11094" spans="14:14" ht="15" customHeight="1" x14ac:dyDescent="0.25">
      <c r="N11094" t="s">
        <v>732</v>
      </c>
    </row>
    <row r="11095" spans="14:14" ht="15" customHeight="1" x14ac:dyDescent="0.25">
      <c r="N11095" t="s">
        <v>732</v>
      </c>
    </row>
    <row r="11096" spans="14:14" ht="15" customHeight="1" x14ac:dyDescent="0.25">
      <c r="N11096" t="s">
        <v>732</v>
      </c>
    </row>
    <row r="11097" spans="14:14" ht="15" customHeight="1" x14ac:dyDescent="0.25">
      <c r="N11097" t="s">
        <v>732</v>
      </c>
    </row>
    <row r="11098" spans="14:14" ht="15" customHeight="1" x14ac:dyDescent="0.25">
      <c r="N11098" t="s">
        <v>732</v>
      </c>
    </row>
    <row r="11099" spans="14:14" ht="15" customHeight="1" x14ac:dyDescent="0.25">
      <c r="N11099" t="s">
        <v>732</v>
      </c>
    </row>
    <row r="11100" spans="14:14" ht="15" customHeight="1" x14ac:dyDescent="0.25">
      <c r="N11100" t="s">
        <v>732</v>
      </c>
    </row>
    <row r="11101" spans="14:14" ht="15" customHeight="1" x14ac:dyDescent="0.25">
      <c r="N11101" t="s">
        <v>732</v>
      </c>
    </row>
    <row r="11102" spans="14:14" ht="15" customHeight="1" x14ac:dyDescent="0.25">
      <c r="N11102" t="s">
        <v>732</v>
      </c>
    </row>
    <row r="11103" spans="14:14" ht="15" customHeight="1" x14ac:dyDescent="0.25">
      <c r="N11103" t="s">
        <v>732</v>
      </c>
    </row>
    <row r="11104" spans="14:14" ht="15" customHeight="1" x14ac:dyDescent="0.25">
      <c r="N11104" t="s">
        <v>732</v>
      </c>
    </row>
    <row r="11105" spans="14:14" ht="15" customHeight="1" x14ac:dyDescent="0.25">
      <c r="N11105" t="s">
        <v>732</v>
      </c>
    </row>
    <row r="11106" spans="14:14" ht="15" customHeight="1" x14ac:dyDescent="0.25">
      <c r="N11106" t="s">
        <v>732</v>
      </c>
    </row>
    <row r="11107" spans="14:14" ht="15" customHeight="1" x14ac:dyDescent="0.25">
      <c r="N11107" t="s">
        <v>732</v>
      </c>
    </row>
    <row r="11108" spans="14:14" ht="15" customHeight="1" x14ac:dyDescent="0.25">
      <c r="N11108" t="s">
        <v>558</v>
      </c>
    </row>
    <row r="11109" spans="14:14" ht="15" customHeight="1" x14ac:dyDescent="0.25">
      <c r="N11109" t="s">
        <v>670</v>
      </c>
    </row>
    <row r="11110" spans="14:14" ht="15" customHeight="1" x14ac:dyDescent="0.25">
      <c r="N11110" t="s">
        <v>669</v>
      </c>
    </row>
    <row r="11111" spans="14:14" ht="15" customHeight="1" x14ac:dyDescent="0.25">
      <c r="N11111" t="s">
        <v>669</v>
      </c>
    </row>
    <row r="11112" spans="14:14" ht="15" customHeight="1" x14ac:dyDescent="0.25">
      <c r="N11112" t="s">
        <v>669</v>
      </c>
    </row>
    <row r="11113" spans="14:14" ht="15" customHeight="1" x14ac:dyDescent="0.25">
      <c r="N11113" t="s">
        <v>669</v>
      </c>
    </row>
    <row r="11114" spans="14:14" ht="15" customHeight="1" x14ac:dyDescent="0.25">
      <c r="N11114" t="s">
        <v>732</v>
      </c>
    </row>
    <row r="11115" spans="14:14" ht="15" customHeight="1" x14ac:dyDescent="0.25">
      <c r="N11115" t="s">
        <v>690</v>
      </c>
    </row>
    <row r="11116" spans="14:14" ht="15" customHeight="1" x14ac:dyDescent="0.25">
      <c r="N11116" t="s">
        <v>690</v>
      </c>
    </row>
    <row r="11117" spans="14:14" ht="15" customHeight="1" x14ac:dyDescent="0.25">
      <c r="N11117" t="s">
        <v>690</v>
      </c>
    </row>
    <row r="11118" spans="14:14" ht="15" customHeight="1" x14ac:dyDescent="0.25">
      <c r="N11118" t="s">
        <v>690</v>
      </c>
    </row>
    <row r="11119" spans="14:14" ht="15" customHeight="1" x14ac:dyDescent="0.25">
      <c r="N11119" t="s">
        <v>313</v>
      </c>
    </row>
    <row r="11120" spans="14:14" ht="15" customHeight="1" x14ac:dyDescent="0.25">
      <c r="N11120" t="s">
        <v>675</v>
      </c>
    </row>
    <row r="11121" spans="14:14" ht="15" customHeight="1" x14ac:dyDescent="0.25">
      <c r="N11121" t="s">
        <v>689</v>
      </c>
    </row>
    <row r="11122" spans="14:14" ht="15" customHeight="1" x14ac:dyDescent="0.25">
      <c r="N11122" t="s">
        <v>715</v>
      </c>
    </row>
    <row r="11123" spans="14:14" ht="15" customHeight="1" x14ac:dyDescent="0.25">
      <c r="N11123" t="s">
        <v>732</v>
      </c>
    </row>
    <row r="11124" spans="14:14" ht="15" customHeight="1" x14ac:dyDescent="0.25">
      <c r="N11124" t="s">
        <v>732</v>
      </c>
    </row>
    <row r="11125" spans="14:14" ht="15" customHeight="1" x14ac:dyDescent="0.25">
      <c r="N11125" t="s">
        <v>732</v>
      </c>
    </row>
    <row r="11126" spans="14:14" ht="15" customHeight="1" x14ac:dyDescent="0.25">
      <c r="N11126" t="s">
        <v>732</v>
      </c>
    </row>
    <row r="11127" spans="14:14" ht="15" customHeight="1" x14ac:dyDescent="0.25">
      <c r="N11127" t="s">
        <v>732</v>
      </c>
    </row>
    <row r="11128" spans="14:14" ht="15" customHeight="1" x14ac:dyDescent="0.25">
      <c r="N11128" t="s">
        <v>732</v>
      </c>
    </row>
    <row r="11129" spans="14:14" ht="15" customHeight="1" x14ac:dyDescent="0.25">
      <c r="N11129" t="s">
        <v>732</v>
      </c>
    </row>
    <row r="11130" spans="14:14" ht="15" customHeight="1" x14ac:dyDescent="0.25">
      <c r="N11130" t="s">
        <v>732</v>
      </c>
    </row>
    <row r="11131" spans="14:14" ht="15" customHeight="1" x14ac:dyDescent="0.25">
      <c r="N11131" t="s">
        <v>732</v>
      </c>
    </row>
    <row r="11132" spans="14:14" ht="15" customHeight="1" x14ac:dyDescent="0.25">
      <c r="N11132" t="s">
        <v>732</v>
      </c>
    </row>
    <row r="11133" spans="14:14" ht="15" customHeight="1" x14ac:dyDescent="0.25">
      <c r="N11133" t="s">
        <v>732</v>
      </c>
    </row>
    <row r="11134" spans="14:14" ht="15" customHeight="1" x14ac:dyDescent="0.25">
      <c r="N11134" t="s">
        <v>732</v>
      </c>
    </row>
    <row r="11135" spans="14:14" ht="15" customHeight="1" x14ac:dyDescent="0.25">
      <c r="N11135" t="s">
        <v>732</v>
      </c>
    </row>
    <row r="11136" spans="14:14" ht="15" customHeight="1" x14ac:dyDescent="0.25">
      <c r="N11136" t="s">
        <v>732</v>
      </c>
    </row>
    <row r="11137" spans="14:14" ht="15" customHeight="1" x14ac:dyDescent="0.25">
      <c r="N11137" t="s">
        <v>732</v>
      </c>
    </row>
    <row r="11138" spans="14:14" ht="15" customHeight="1" x14ac:dyDescent="0.25">
      <c r="N11138" t="s">
        <v>732</v>
      </c>
    </row>
    <row r="11139" spans="14:14" ht="15" customHeight="1" x14ac:dyDescent="0.25">
      <c r="N11139" t="s">
        <v>732</v>
      </c>
    </row>
    <row r="11140" spans="14:14" ht="15" customHeight="1" x14ac:dyDescent="0.25">
      <c r="N11140" t="s">
        <v>732</v>
      </c>
    </row>
    <row r="11141" spans="14:14" ht="15" customHeight="1" x14ac:dyDescent="0.25">
      <c r="N11141" t="s">
        <v>732</v>
      </c>
    </row>
    <row r="11142" spans="14:14" ht="15" customHeight="1" x14ac:dyDescent="0.25">
      <c r="N11142" t="s">
        <v>732</v>
      </c>
    </row>
    <row r="11143" spans="14:14" ht="15" customHeight="1" x14ac:dyDescent="0.25">
      <c r="N11143" t="s">
        <v>732</v>
      </c>
    </row>
    <row r="11144" spans="14:14" ht="15" customHeight="1" x14ac:dyDescent="0.25">
      <c r="N11144" t="s">
        <v>732</v>
      </c>
    </row>
    <row r="11145" spans="14:14" ht="15" customHeight="1" x14ac:dyDescent="0.25">
      <c r="N11145" t="s">
        <v>732</v>
      </c>
    </row>
    <row r="11146" spans="14:14" ht="15" customHeight="1" x14ac:dyDescent="0.25">
      <c r="N11146" t="s">
        <v>732</v>
      </c>
    </row>
    <row r="11147" spans="14:14" ht="15" customHeight="1" x14ac:dyDescent="0.25">
      <c r="N11147" t="s">
        <v>732</v>
      </c>
    </row>
    <row r="11148" spans="14:14" ht="15" customHeight="1" x14ac:dyDescent="0.25">
      <c r="N11148" t="s">
        <v>732</v>
      </c>
    </row>
    <row r="11149" spans="14:14" ht="15" customHeight="1" x14ac:dyDescent="0.25">
      <c r="N11149" t="s">
        <v>670</v>
      </c>
    </row>
    <row r="11150" spans="14:14" ht="15" customHeight="1" x14ac:dyDescent="0.25">
      <c r="N11150" t="s">
        <v>669</v>
      </c>
    </row>
    <row r="11151" spans="14:14" ht="15" customHeight="1" x14ac:dyDescent="0.25">
      <c r="N11151" t="s">
        <v>669</v>
      </c>
    </row>
    <row r="11152" spans="14:14" ht="15" customHeight="1" x14ac:dyDescent="0.25">
      <c r="N11152" t="s">
        <v>669</v>
      </c>
    </row>
    <row r="11153" spans="14:14" ht="15" customHeight="1" x14ac:dyDescent="0.25">
      <c r="N11153" t="s">
        <v>669</v>
      </c>
    </row>
    <row r="11154" spans="14:14" ht="15" customHeight="1" x14ac:dyDescent="0.25">
      <c r="N11154" t="s">
        <v>732</v>
      </c>
    </row>
    <row r="11155" spans="14:14" ht="15" customHeight="1" x14ac:dyDescent="0.25">
      <c r="N11155" t="s">
        <v>686</v>
      </c>
    </row>
    <row r="11156" spans="14:14" ht="15" customHeight="1" x14ac:dyDescent="0.25">
      <c r="N11156" t="s">
        <v>670</v>
      </c>
    </row>
    <row r="11157" spans="14:14" ht="15" customHeight="1" x14ac:dyDescent="0.25">
      <c r="N11157" t="s">
        <v>370</v>
      </c>
    </row>
    <row r="11158" spans="14:14" ht="15" customHeight="1" x14ac:dyDescent="0.25">
      <c r="N11158" t="s">
        <v>889</v>
      </c>
    </row>
    <row r="11159" spans="14:14" ht="15" customHeight="1" x14ac:dyDescent="0.25">
      <c r="N11159" t="s">
        <v>889</v>
      </c>
    </row>
    <row r="11160" spans="14:14" ht="15" customHeight="1" x14ac:dyDescent="0.25">
      <c r="N11160" t="s">
        <v>889</v>
      </c>
    </row>
    <row r="11161" spans="14:14" ht="15" customHeight="1" x14ac:dyDescent="0.25">
      <c r="N11161" t="s">
        <v>889</v>
      </c>
    </row>
    <row r="11162" spans="14:14" ht="15" customHeight="1" x14ac:dyDescent="0.25">
      <c r="N11162" t="s">
        <v>714</v>
      </c>
    </row>
    <row r="11163" spans="14:14" ht="15" customHeight="1" x14ac:dyDescent="0.25">
      <c r="N11163" t="s">
        <v>889</v>
      </c>
    </row>
    <row r="11164" spans="14:14" ht="15" customHeight="1" x14ac:dyDescent="0.25">
      <c r="N11164" t="s">
        <v>889</v>
      </c>
    </row>
    <row r="11165" spans="14:14" ht="15" customHeight="1" x14ac:dyDescent="0.25">
      <c r="N11165" t="s">
        <v>304</v>
      </c>
    </row>
    <row r="11166" spans="14:14" ht="15" customHeight="1" x14ac:dyDescent="0.25">
      <c r="N11166" t="s">
        <v>669</v>
      </c>
    </row>
    <row r="11167" spans="14:14" ht="15" customHeight="1" x14ac:dyDescent="0.25">
      <c r="N11167" t="s">
        <v>488</v>
      </c>
    </row>
    <row r="11168" spans="14:14" ht="15" customHeight="1" x14ac:dyDescent="0.25">
      <c r="N11168" t="s">
        <v>715</v>
      </c>
    </row>
    <row r="11169" spans="14:14" ht="15" customHeight="1" x14ac:dyDescent="0.25">
      <c r="N11169" t="s">
        <v>582</v>
      </c>
    </row>
    <row r="11170" spans="14:14" ht="15" customHeight="1" x14ac:dyDescent="0.25">
      <c r="N11170" t="s">
        <v>714</v>
      </c>
    </row>
    <row r="11171" spans="14:14" ht="15" customHeight="1" x14ac:dyDescent="0.25">
      <c r="N11171" t="s">
        <v>714</v>
      </c>
    </row>
    <row r="11172" spans="14:14" ht="15" customHeight="1" x14ac:dyDescent="0.25">
      <c r="N11172" t="s">
        <v>714</v>
      </c>
    </row>
    <row r="11173" spans="14:14" ht="15" customHeight="1" x14ac:dyDescent="0.25">
      <c r="N11173" t="s">
        <v>714</v>
      </c>
    </row>
    <row r="11174" spans="14:14" ht="15" customHeight="1" x14ac:dyDescent="0.25">
      <c r="N11174" t="s">
        <v>714</v>
      </c>
    </row>
    <row r="11175" spans="14:14" ht="15" customHeight="1" x14ac:dyDescent="0.25">
      <c r="N11175" t="s">
        <v>714</v>
      </c>
    </row>
    <row r="11176" spans="14:14" ht="15" customHeight="1" x14ac:dyDescent="0.25">
      <c r="N11176" t="s">
        <v>714</v>
      </c>
    </row>
    <row r="11177" spans="14:14" ht="15" customHeight="1" x14ac:dyDescent="0.25">
      <c r="N11177" t="s">
        <v>714</v>
      </c>
    </row>
    <row r="11178" spans="14:14" ht="15" customHeight="1" x14ac:dyDescent="0.25">
      <c r="N11178" t="s">
        <v>715</v>
      </c>
    </row>
    <row r="11179" spans="14:14" ht="15" customHeight="1" x14ac:dyDescent="0.25">
      <c r="N11179" t="s">
        <v>714</v>
      </c>
    </row>
    <row r="11180" spans="14:14" ht="15" customHeight="1" x14ac:dyDescent="0.25">
      <c r="N11180" t="s">
        <v>732</v>
      </c>
    </row>
    <row r="11181" spans="14:14" ht="15" customHeight="1" x14ac:dyDescent="0.25">
      <c r="N11181" t="s">
        <v>732</v>
      </c>
    </row>
    <row r="11182" spans="14:14" ht="15" customHeight="1" x14ac:dyDescent="0.25">
      <c r="N11182" t="s">
        <v>732</v>
      </c>
    </row>
    <row r="11183" spans="14:14" ht="15" customHeight="1" x14ac:dyDescent="0.25">
      <c r="N11183" t="s">
        <v>732</v>
      </c>
    </row>
    <row r="11184" spans="14:14" ht="15" customHeight="1" x14ac:dyDescent="0.25">
      <c r="N11184" t="s">
        <v>732</v>
      </c>
    </row>
    <row r="11185" spans="14:14" ht="15" customHeight="1" x14ac:dyDescent="0.25">
      <c r="N11185" t="s">
        <v>732</v>
      </c>
    </row>
    <row r="11186" spans="14:14" ht="15" customHeight="1" x14ac:dyDescent="0.25">
      <c r="N11186" t="s">
        <v>732</v>
      </c>
    </row>
    <row r="11187" spans="14:14" ht="15" customHeight="1" x14ac:dyDescent="0.25">
      <c r="N11187" t="s">
        <v>732</v>
      </c>
    </row>
    <row r="11188" spans="14:14" ht="15" customHeight="1" x14ac:dyDescent="0.25">
      <c r="N11188" t="s">
        <v>732</v>
      </c>
    </row>
    <row r="11189" spans="14:14" ht="15" customHeight="1" x14ac:dyDescent="0.25">
      <c r="N11189" t="s">
        <v>732</v>
      </c>
    </row>
    <row r="11190" spans="14:14" ht="15" customHeight="1" x14ac:dyDescent="0.25">
      <c r="N11190" t="s">
        <v>732</v>
      </c>
    </row>
    <row r="11191" spans="14:14" ht="15" customHeight="1" x14ac:dyDescent="0.25">
      <c r="N11191" t="s">
        <v>732</v>
      </c>
    </row>
    <row r="11192" spans="14:14" ht="15" customHeight="1" x14ac:dyDescent="0.25">
      <c r="N11192" t="s">
        <v>732</v>
      </c>
    </row>
    <row r="11193" spans="14:14" ht="15" customHeight="1" x14ac:dyDescent="0.25">
      <c r="N11193" t="s">
        <v>605</v>
      </c>
    </row>
    <row r="11194" spans="14:14" ht="15" customHeight="1" x14ac:dyDescent="0.25">
      <c r="N11194" t="s">
        <v>690</v>
      </c>
    </row>
    <row r="11195" spans="14:14" ht="15" customHeight="1" x14ac:dyDescent="0.25">
      <c r="N11195" t="s">
        <v>828</v>
      </c>
    </row>
    <row r="11196" spans="14:14" ht="15" customHeight="1" x14ac:dyDescent="0.25">
      <c r="N11196" t="s">
        <v>714</v>
      </c>
    </row>
    <row r="11197" spans="14:14" ht="15" customHeight="1" x14ac:dyDescent="0.25">
      <c r="N11197" t="s">
        <v>642</v>
      </c>
    </row>
    <row r="11198" spans="14:14" ht="15" customHeight="1" x14ac:dyDescent="0.25">
      <c r="N11198" t="s">
        <v>642</v>
      </c>
    </row>
    <row r="11199" spans="14:14" ht="15" customHeight="1" x14ac:dyDescent="0.25">
      <c r="N11199" t="s">
        <v>642</v>
      </c>
    </row>
    <row r="11200" spans="14:14" ht="15" customHeight="1" x14ac:dyDescent="0.25">
      <c r="N11200" t="s">
        <v>642</v>
      </c>
    </row>
    <row r="11201" spans="14:14" ht="15" customHeight="1" x14ac:dyDescent="0.25">
      <c r="N11201" t="s">
        <v>642</v>
      </c>
    </row>
    <row r="11202" spans="14:14" ht="15" customHeight="1" x14ac:dyDescent="0.25">
      <c r="N11202" t="s">
        <v>642</v>
      </c>
    </row>
    <row r="11203" spans="14:14" ht="15" customHeight="1" x14ac:dyDescent="0.25">
      <c r="N11203" t="s">
        <v>642</v>
      </c>
    </row>
    <row r="11204" spans="14:14" ht="15" customHeight="1" x14ac:dyDescent="0.25">
      <c r="N11204" t="s">
        <v>304</v>
      </c>
    </row>
    <row r="11205" spans="14:14" ht="15" customHeight="1" x14ac:dyDescent="0.25">
      <c r="N11205" t="s">
        <v>732</v>
      </c>
    </row>
    <row r="11206" spans="14:14" ht="15" customHeight="1" x14ac:dyDescent="0.25">
      <c r="N11206" t="s">
        <v>923</v>
      </c>
    </row>
    <row r="11207" spans="14:14" ht="15" customHeight="1" x14ac:dyDescent="0.25">
      <c r="N11207" t="s">
        <v>582</v>
      </c>
    </row>
    <row r="11208" spans="14:14" ht="15" customHeight="1" x14ac:dyDescent="0.25">
      <c r="N11208" t="s">
        <v>582</v>
      </c>
    </row>
    <row r="11209" spans="14:14" ht="15" customHeight="1" x14ac:dyDescent="0.25">
      <c r="N11209" t="s">
        <v>582</v>
      </c>
    </row>
    <row r="11210" spans="14:14" ht="15" customHeight="1" x14ac:dyDescent="0.25">
      <c r="N11210" t="s">
        <v>582</v>
      </c>
    </row>
    <row r="11211" spans="14:14" ht="15" customHeight="1" x14ac:dyDescent="0.25">
      <c r="N11211" t="s">
        <v>582</v>
      </c>
    </row>
    <row r="11212" spans="14:14" ht="15" customHeight="1" x14ac:dyDescent="0.25">
      <c r="N11212" t="s">
        <v>582</v>
      </c>
    </row>
    <row r="11213" spans="14:14" ht="15" customHeight="1" x14ac:dyDescent="0.25">
      <c r="N11213" t="s">
        <v>582</v>
      </c>
    </row>
    <row r="11214" spans="14:14" ht="15" customHeight="1" x14ac:dyDescent="0.25">
      <c r="N11214" t="s">
        <v>684</v>
      </c>
    </row>
    <row r="11215" spans="14:14" ht="15" customHeight="1" x14ac:dyDescent="0.25">
      <c r="N11215" t="s">
        <v>927</v>
      </c>
    </row>
    <row r="11216" spans="14:14" ht="15" customHeight="1" x14ac:dyDescent="0.25">
      <c r="N11216" t="s">
        <v>714</v>
      </c>
    </row>
    <row r="11217" spans="14:14" ht="15" customHeight="1" x14ac:dyDescent="0.25">
      <c r="N11217" t="s">
        <v>687</v>
      </c>
    </row>
    <row r="11218" spans="14:14" ht="15" customHeight="1" x14ac:dyDescent="0.25">
      <c r="N11218" t="s">
        <v>715</v>
      </c>
    </row>
    <row r="11219" spans="14:14" ht="15" customHeight="1" x14ac:dyDescent="0.25">
      <c r="N11219" t="s">
        <v>638</v>
      </c>
    </row>
    <row r="11220" spans="14:14" ht="15" customHeight="1" x14ac:dyDescent="0.25">
      <c r="N11220" t="s">
        <v>828</v>
      </c>
    </row>
    <row r="11221" spans="14:14" ht="15" customHeight="1" x14ac:dyDescent="0.25">
      <c r="N11221" t="s">
        <v>642</v>
      </c>
    </row>
    <row r="11222" spans="14:14" ht="15" customHeight="1" x14ac:dyDescent="0.25">
      <c r="N11222" t="s">
        <v>732</v>
      </c>
    </row>
    <row r="11223" spans="14:14" ht="15" customHeight="1" x14ac:dyDescent="0.25">
      <c r="N11223" t="s">
        <v>889</v>
      </c>
    </row>
    <row r="11224" spans="14:14" ht="15" customHeight="1" x14ac:dyDescent="0.25">
      <c r="N11224" t="s">
        <v>935</v>
      </c>
    </row>
    <row r="11225" spans="14:14" ht="15" customHeight="1" x14ac:dyDescent="0.25">
      <c r="N11225" t="s">
        <v>889</v>
      </c>
    </row>
    <row r="11226" spans="14:14" ht="15" customHeight="1" x14ac:dyDescent="0.25">
      <c r="N11226" t="s">
        <v>935</v>
      </c>
    </row>
    <row r="11227" spans="14:14" ht="15" customHeight="1" x14ac:dyDescent="0.25">
      <c r="N11227" t="s">
        <v>714</v>
      </c>
    </row>
    <row r="11228" spans="14:14" ht="15" customHeight="1" x14ac:dyDescent="0.25">
      <c r="N11228" t="s">
        <v>638</v>
      </c>
    </row>
    <row r="11229" spans="14:14" ht="15" customHeight="1" x14ac:dyDescent="0.25">
      <c r="N11229" t="s">
        <v>714</v>
      </c>
    </row>
    <row r="11230" spans="14:14" ht="15" customHeight="1" x14ac:dyDescent="0.25">
      <c r="N11230" t="s">
        <v>638</v>
      </c>
    </row>
    <row r="11231" spans="14:14" ht="15" customHeight="1" x14ac:dyDescent="0.25">
      <c r="N11231" t="s">
        <v>689</v>
      </c>
    </row>
    <row r="11232" spans="14:14" ht="15" customHeight="1" x14ac:dyDescent="0.25">
      <c r="N11232" t="s">
        <v>751</v>
      </c>
    </row>
    <row r="11233" spans="14:14" ht="15" customHeight="1" x14ac:dyDescent="0.25">
      <c r="N11233" t="s">
        <v>706</v>
      </c>
    </row>
    <row r="11234" spans="14:14" ht="15" customHeight="1" x14ac:dyDescent="0.25">
      <c r="N11234" t="s">
        <v>706</v>
      </c>
    </row>
    <row r="11235" spans="14:14" ht="15" customHeight="1" x14ac:dyDescent="0.25">
      <c r="N11235" t="s">
        <v>706</v>
      </c>
    </row>
    <row r="11236" spans="14:14" ht="15" customHeight="1" x14ac:dyDescent="0.25">
      <c r="N11236" t="s">
        <v>706</v>
      </c>
    </row>
    <row r="11237" spans="14:14" ht="15" customHeight="1" x14ac:dyDescent="0.25">
      <c r="N11237" t="s">
        <v>706</v>
      </c>
    </row>
    <row r="11238" spans="14:14" ht="15" customHeight="1" x14ac:dyDescent="0.25">
      <c r="N11238" t="s">
        <v>706</v>
      </c>
    </row>
    <row r="11239" spans="14:14" ht="15" customHeight="1" x14ac:dyDescent="0.25">
      <c r="N11239" t="s">
        <v>706</v>
      </c>
    </row>
    <row r="11240" spans="14:14" ht="15" customHeight="1" x14ac:dyDescent="0.25">
      <c r="N11240" t="s">
        <v>706</v>
      </c>
    </row>
    <row r="11241" spans="14:14" ht="15" customHeight="1" x14ac:dyDescent="0.25">
      <c r="N11241" t="s">
        <v>706</v>
      </c>
    </row>
    <row r="11242" spans="14:14" ht="15" customHeight="1" x14ac:dyDescent="0.25">
      <c r="N11242" t="s">
        <v>706</v>
      </c>
    </row>
    <row r="11243" spans="14:14" ht="15" customHeight="1" x14ac:dyDescent="0.25">
      <c r="N11243" t="s">
        <v>706</v>
      </c>
    </row>
    <row r="11244" spans="14:14" ht="15" customHeight="1" x14ac:dyDescent="0.25">
      <c r="N11244" t="s">
        <v>706</v>
      </c>
    </row>
    <row r="11245" spans="14:14" ht="15" customHeight="1" x14ac:dyDescent="0.25">
      <c r="N11245" t="s">
        <v>706</v>
      </c>
    </row>
    <row r="11246" spans="14:14" ht="15" customHeight="1" x14ac:dyDescent="0.25">
      <c r="N11246" t="s">
        <v>68</v>
      </c>
    </row>
    <row r="11247" spans="14:14" ht="15" customHeight="1" x14ac:dyDescent="0.25">
      <c r="N11247" t="s">
        <v>68</v>
      </c>
    </row>
    <row r="11248" spans="14:14" ht="15" customHeight="1" x14ac:dyDescent="0.25">
      <c r="N11248" t="s">
        <v>68</v>
      </c>
    </row>
    <row r="11249" spans="14:14" ht="15" customHeight="1" x14ac:dyDescent="0.25">
      <c r="N11249" t="s">
        <v>68</v>
      </c>
    </row>
    <row r="11250" spans="14:14" ht="15" customHeight="1" x14ac:dyDescent="0.25">
      <c r="N11250" t="s">
        <v>68</v>
      </c>
    </row>
    <row r="11251" spans="14:14" ht="15" customHeight="1" x14ac:dyDescent="0.25">
      <c r="N11251" t="s">
        <v>68</v>
      </c>
    </row>
    <row r="11252" spans="14:14" ht="15" customHeight="1" x14ac:dyDescent="0.25">
      <c r="N11252" t="s">
        <v>68</v>
      </c>
    </row>
    <row r="11253" spans="14:14" ht="15" customHeight="1" x14ac:dyDescent="0.25">
      <c r="N11253" t="s">
        <v>68</v>
      </c>
    </row>
    <row r="11254" spans="14:14" ht="15" customHeight="1" x14ac:dyDescent="0.25">
      <c r="N11254" t="s">
        <v>68</v>
      </c>
    </row>
    <row r="11255" spans="14:14" ht="15" customHeight="1" x14ac:dyDescent="0.25">
      <c r="N11255" t="s">
        <v>68</v>
      </c>
    </row>
    <row r="11256" spans="14:14" ht="15" customHeight="1" x14ac:dyDescent="0.25">
      <c r="N11256" t="s">
        <v>68</v>
      </c>
    </row>
    <row r="11257" spans="14:14" ht="15" customHeight="1" x14ac:dyDescent="0.25">
      <c r="N11257" t="s">
        <v>68</v>
      </c>
    </row>
    <row r="11258" spans="14:14" ht="15" customHeight="1" x14ac:dyDescent="0.25">
      <c r="N11258" t="s">
        <v>68</v>
      </c>
    </row>
    <row r="11259" spans="14:14" ht="15" customHeight="1" x14ac:dyDescent="0.25">
      <c r="N11259" t="s">
        <v>68</v>
      </c>
    </row>
    <row r="11260" spans="14:14" ht="15" customHeight="1" x14ac:dyDescent="0.25">
      <c r="N11260" t="s">
        <v>68</v>
      </c>
    </row>
    <row r="11261" spans="14:14" ht="15" customHeight="1" x14ac:dyDescent="0.25">
      <c r="N11261" t="s">
        <v>582</v>
      </c>
    </row>
    <row r="11262" spans="14:14" ht="15" customHeight="1" x14ac:dyDescent="0.25">
      <c r="N11262" t="s">
        <v>622</v>
      </c>
    </row>
    <row r="11263" spans="14:14" ht="15" customHeight="1" x14ac:dyDescent="0.25">
      <c r="N11263" t="s">
        <v>675</v>
      </c>
    </row>
    <row r="11264" spans="14:14" ht="15" customHeight="1" x14ac:dyDescent="0.25">
      <c r="N11264" t="s">
        <v>675</v>
      </c>
    </row>
    <row r="11265" spans="14:14" ht="15" customHeight="1" x14ac:dyDescent="0.25">
      <c r="N11265" t="s">
        <v>675</v>
      </c>
    </row>
    <row r="11266" spans="14:14" ht="15" customHeight="1" x14ac:dyDescent="0.25">
      <c r="N11266" t="s">
        <v>675</v>
      </c>
    </row>
    <row r="11267" spans="14:14" ht="15" customHeight="1" x14ac:dyDescent="0.25">
      <c r="N11267" t="s">
        <v>675</v>
      </c>
    </row>
    <row r="11268" spans="14:14" ht="15" customHeight="1" x14ac:dyDescent="0.25">
      <c r="N11268" t="s">
        <v>675</v>
      </c>
    </row>
    <row r="11269" spans="14:14" ht="15" customHeight="1" x14ac:dyDescent="0.25">
      <c r="N11269" t="s">
        <v>675</v>
      </c>
    </row>
    <row r="11270" spans="14:14" ht="15" customHeight="1" x14ac:dyDescent="0.25">
      <c r="N11270" t="s">
        <v>675</v>
      </c>
    </row>
    <row r="11271" spans="14:14" ht="15" customHeight="1" x14ac:dyDescent="0.25">
      <c r="N11271" t="s">
        <v>736</v>
      </c>
    </row>
    <row r="11272" spans="14:14" ht="15" customHeight="1" x14ac:dyDescent="0.25">
      <c r="N11272" t="s">
        <v>749</v>
      </c>
    </row>
    <row r="11273" spans="14:14" ht="15" customHeight="1" x14ac:dyDescent="0.25">
      <c r="N11273" t="s">
        <v>749</v>
      </c>
    </row>
    <row r="11274" spans="14:14" ht="15" customHeight="1" x14ac:dyDescent="0.25">
      <c r="N11274" t="s">
        <v>749</v>
      </c>
    </row>
    <row r="11275" spans="14:14" ht="15" customHeight="1" x14ac:dyDescent="0.25">
      <c r="N11275" t="s">
        <v>749</v>
      </c>
    </row>
    <row r="11276" spans="14:14" ht="15" customHeight="1" x14ac:dyDescent="0.25">
      <c r="N11276" t="s">
        <v>749</v>
      </c>
    </row>
    <row r="11277" spans="14:14" ht="15" customHeight="1" x14ac:dyDescent="0.25">
      <c r="N11277" t="s">
        <v>749</v>
      </c>
    </row>
    <row r="11278" spans="14:14" ht="15" customHeight="1" x14ac:dyDescent="0.25">
      <c r="N11278" t="s">
        <v>749</v>
      </c>
    </row>
    <row r="11279" spans="14:14" ht="15" customHeight="1" x14ac:dyDescent="0.25">
      <c r="N11279" t="s">
        <v>749</v>
      </c>
    </row>
    <row r="11280" spans="14:14" ht="15" customHeight="1" x14ac:dyDescent="0.25">
      <c r="N11280" t="s">
        <v>749</v>
      </c>
    </row>
    <row r="11281" spans="14:14" ht="15" customHeight="1" x14ac:dyDescent="0.25">
      <c r="N11281" t="s">
        <v>749</v>
      </c>
    </row>
    <row r="11282" spans="14:14" ht="15" customHeight="1" x14ac:dyDescent="0.25">
      <c r="N11282" t="s">
        <v>749</v>
      </c>
    </row>
    <row r="11283" spans="14:14" ht="15" customHeight="1" x14ac:dyDescent="0.25">
      <c r="N11283" t="s">
        <v>749</v>
      </c>
    </row>
    <row r="11284" spans="14:14" ht="15" customHeight="1" x14ac:dyDescent="0.25">
      <c r="N11284" t="s">
        <v>749</v>
      </c>
    </row>
    <row r="11285" spans="14:14" ht="15" customHeight="1" x14ac:dyDescent="0.25">
      <c r="N11285" t="s">
        <v>749</v>
      </c>
    </row>
    <row r="11286" spans="14:14" ht="15" customHeight="1" x14ac:dyDescent="0.25">
      <c r="N11286" t="s">
        <v>749</v>
      </c>
    </row>
    <row r="11287" spans="14:14" ht="15" customHeight="1" x14ac:dyDescent="0.25">
      <c r="N11287" t="s">
        <v>749</v>
      </c>
    </row>
    <row r="11288" spans="14:14" ht="15" customHeight="1" x14ac:dyDescent="0.25">
      <c r="N11288" t="s">
        <v>749</v>
      </c>
    </row>
    <row r="11289" spans="14:14" ht="15" customHeight="1" x14ac:dyDescent="0.25">
      <c r="N11289" t="s">
        <v>749</v>
      </c>
    </row>
    <row r="11290" spans="14:14" ht="15" customHeight="1" x14ac:dyDescent="0.25">
      <c r="N11290" t="s">
        <v>749</v>
      </c>
    </row>
    <row r="11291" spans="14:14" ht="15" customHeight="1" x14ac:dyDescent="0.25">
      <c r="N11291" t="s">
        <v>749</v>
      </c>
    </row>
    <row r="11292" spans="14:14" ht="15" customHeight="1" x14ac:dyDescent="0.25">
      <c r="N11292" t="s">
        <v>749</v>
      </c>
    </row>
    <row r="11293" spans="14:14" ht="15" customHeight="1" x14ac:dyDescent="0.25">
      <c r="N11293" t="s">
        <v>749</v>
      </c>
    </row>
    <row r="11294" spans="14:14" ht="15" customHeight="1" x14ac:dyDescent="0.25">
      <c r="N11294" t="s">
        <v>749</v>
      </c>
    </row>
    <row r="11295" spans="14:14" ht="15" customHeight="1" x14ac:dyDescent="0.25">
      <c r="N11295" t="s">
        <v>749</v>
      </c>
    </row>
    <row r="11296" spans="14:14" ht="15" customHeight="1" x14ac:dyDescent="0.25">
      <c r="N11296" t="s">
        <v>749</v>
      </c>
    </row>
    <row r="11297" spans="14:14" ht="15" customHeight="1" x14ac:dyDescent="0.25">
      <c r="N11297" t="s">
        <v>749</v>
      </c>
    </row>
    <row r="11298" spans="14:14" ht="15" customHeight="1" x14ac:dyDescent="0.25">
      <c r="N11298" t="s">
        <v>732</v>
      </c>
    </row>
    <row r="11299" spans="14:14" ht="15" customHeight="1" x14ac:dyDescent="0.25">
      <c r="N11299" t="s">
        <v>496</v>
      </c>
    </row>
    <row r="11300" spans="14:14" ht="15" customHeight="1" x14ac:dyDescent="0.25">
      <c r="N11300" t="s">
        <v>824</v>
      </c>
    </row>
    <row r="11301" spans="14:14" ht="15" customHeight="1" x14ac:dyDescent="0.25">
      <c r="N11301" t="s">
        <v>824</v>
      </c>
    </row>
    <row r="11302" spans="14:14" ht="15" customHeight="1" x14ac:dyDescent="0.25">
      <c r="N11302" t="s">
        <v>715</v>
      </c>
    </row>
    <row r="11303" spans="14:14" ht="15" customHeight="1" x14ac:dyDescent="0.25">
      <c r="N11303" t="s">
        <v>715</v>
      </c>
    </row>
    <row r="11304" spans="14:14" ht="15" customHeight="1" x14ac:dyDescent="0.25">
      <c r="N11304" t="s">
        <v>715</v>
      </c>
    </row>
    <row r="11305" spans="14:14" ht="15" customHeight="1" x14ac:dyDescent="0.25">
      <c r="N11305" t="s">
        <v>715</v>
      </c>
    </row>
    <row r="11306" spans="14:14" ht="15" customHeight="1" x14ac:dyDescent="0.25">
      <c r="N11306" t="s">
        <v>706</v>
      </c>
    </row>
    <row r="11307" spans="14:14" ht="15" customHeight="1" x14ac:dyDescent="0.25">
      <c r="N11307" t="s">
        <v>706</v>
      </c>
    </row>
    <row r="11308" spans="14:14" ht="15" customHeight="1" x14ac:dyDescent="0.25">
      <c r="N11308" t="s">
        <v>706</v>
      </c>
    </row>
    <row r="11309" spans="14:14" ht="15" customHeight="1" x14ac:dyDescent="0.25">
      <c r="N11309" t="s">
        <v>706</v>
      </c>
    </row>
    <row r="11310" spans="14:14" ht="15" customHeight="1" x14ac:dyDescent="0.25">
      <c r="N11310" t="s">
        <v>706</v>
      </c>
    </row>
    <row r="11311" spans="14:14" ht="15" customHeight="1" x14ac:dyDescent="0.25">
      <c r="N11311" t="s">
        <v>706</v>
      </c>
    </row>
    <row r="11312" spans="14:14" ht="15" customHeight="1" x14ac:dyDescent="0.25">
      <c r="N11312" t="s">
        <v>706</v>
      </c>
    </row>
    <row r="11313" spans="14:14" ht="15" customHeight="1" x14ac:dyDescent="0.25">
      <c r="N11313" t="s">
        <v>706</v>
      </c>
    </row>
    <row r="11314" spans="14:14" ht="15" customHeight="1" x14ac:dyDescent="0.25">
      <c r="N11314" t="s">
        <v>706</v>
      </c>
    </row>
    <row r="11315" spans="14:14" ht="15" customHeight="1" x14ac:dyDescent="0.25">
      <c r="N11315" t="s">
        <v>706</v>
      </c>
    </row>
    <row r="11316" spans="14:14" ht="15" customHeight="1" x14ac:dyDescent="0.25">
      <c r="N11316" t="s">
        <v>706</v>
      </c>
    </row>
    <row r="11317" spans="14:14" ht="15" customHeight="1" x14ac:dyDescent="0.25">
      <c r="N11317" t="s">
        <v>706</v>
      </c>
    </row>
    <row r="11318" spans="14:14" ht="15" customHeight="1" x14ac:dyDescent="0.25">
      <c r="N11318" t="s">
        <v>706</v>
      </c>
    </row>
    <row r="11319" spans="14:14" ht="15" customHeight="1" x14ac:dyDescent="0.25">
      <c r="N11319" t="s">
        <v>582</v>
      </c>
    </row>
    <row r="11320" spans="14:14" ht="15" customHeight="1" x14ac:dyDescent="0.25">
      <c r="N11320" t="s">
        <v>689</v>
      </c>
    </row>
    <row r="11321" spans="14:14" ht="15" customHeight="1" x14ac:dyDescent="0.25">
      <c r="N11321" t="s">
        <v>750</v>
      </c>
    </row>
    <row r="11322" spans="14:14" ht="15" customHeight="1" x14ac:dyDescent="0.25">
      <c r="N11322" t="s">
        <v>750</v>
      </c>
    </row>
    <row r="11323" spans="14:14" ht="15" customHeight="1" x14ac:dyDescent="0.25">
      <c r="N11323" t="s">
        <v>750</v>
      </c>
    </row>
    <row r="11324" spans="14:14" ht="15" customHeight="1" x14ac:dyDescent="0.25">
      <c r="N11324" t="s">
        <v>750</v>
      </c>
    </row>
    <row r="11325" spans="14:14" ht="15" customHeight="1" x14ac:dyDescent="0.25">
      <c r="N11325" t="s">
        <v>750</v>
      </c>
    </row>
    <row r="11326" spans="14:14" ht="15" customHeight="1" x14ac:dyDescent="0.25">
      <c r="N11326" t="s">
        <v>750</v>
      </c>
    </row>
    <row r="11327" spans="14:14" ht="15" customHeight="1" x14ac:dyDescent="0.25">
      <c r="N11327" t="s">
        <v>750</v>
      </c>
    </row>
    <row r="11328" spans="14:14" ht="15" customHeight="1" x14ac:dyDescent="0.25">
      <c r="N11328" t="s">
        <v>750</v>
      </c>
    </row>
    <row r="11329" spans="14:14" ht="15" customHeight="1" x14ac:dyDescent="0.25">
      <c r="N11329" t="s">
        <v>750</v>
      </c>
    </row>
    <row r="11330" spans="14:14" ht="15" customHeight="1" x14ac:dyDescent="0.25">
      <c r="N11330" t="s">
        <v>750</v>
      </c>
    </row>
    <row r="11331" spans="14:14" ht="15" customHeight="1" x14ac:dyDescent="0.25">
      <c r="N11331" t="s">
        <v>750</v>
      </c>
    </row>
    <row r="11332" spans="14:14" ht="15" customHeight="1" x14ac:dyDescent="0.25">
      <c r="N11332" t="s">
        <v>750</v>
      </c>
    </row>
    <row r="11333" spans="14:14" ht="15" customHeight="1" x14ac:dyDescent="0.25">
      <c r="N11333" t="s">
        <v>750</v>
      </c>
    </row>
    <row r="11334" spans="14:14" ht="15" customHeight="1" x14ac:dyDescent="0.25">
      <c r="N11334" t="s">
        <v>750</v>
      </c>
    </row>
    <row r="11335" spans="14:14" ht="15" customHeight="1" x14ac:dyDescent="0.25">
      <c r="N11335" t="s">
        <v>750</v>
      </c>
    </row>
    <row r="11336" spans="14:14" ht="15" customHeight="1" x14ac:dyDescent="0.25">
      <c r="N11336" t="s">
        <v>750</v>
      </c>
    </row>
    <row r="11337" spans="14:14" ht="15" customHeight="1" x14ac:dyDescent="0.25">
      <c r="N11337" t="s">
        <v>750</v>
      </c>
    </row>
    <row r="11338" spans="14:14" ht="15" customHeight="1" x14ac:dyDescent="0.25">
      <c r="N11338" t="s">
        <v>750</v>
      </c>
    </row>
    <row r="11339" spans="14:14" ht="15" customHeight="1" x14ac:dyDescent="0.25">
      <c r="N11339" t="s">
        <v>750</v>
      </c>
    </row>
    <row r="11340" spans="14:14" ht="15" customHeight="1" x14ac:dyDescent="0.25">
      <c r="N11340" t="s">
        <v>750</v>
      </c>
    </row>
    <row r="11341" spans="14:14" ht="15" customHeight="1" x14ac:dyDescent="0.25">
      <c r="N11341" t="s">
        <v>750</v>
      </c>
    </row>
    <row r="11342" spans="14:14" ht="15" customHeight="1" x14ac:dyDescent="0.25">
      <c r="N11342" t="s">
        <v>750</v>
      </c>
    </row>
    <row r="11343" spans="14:14" ht="15" customHeight="1" x14ac:dyDescent="0.25">
      <c r="N11343" t="s">
        <v>750</v>
      </c>
    </row>
    <row r="11344" spans="14:14" ht="15" customHeight="1" x14ac:dyDescent="0.25">
      <c r="N11344" t="s">
        <v>750</v>
      </c>
    </row>
    <row r="11345" spans="14:14" ht="15" customHeight="1" x14ac:dyDescent="0.25">
      <c r="N11345" t="s">
        <v>750</v>
      </c>
    </row>
    <row r="11346" spans="14:14" ht="15" customHeight="1" x14ac:dyDescent="0.25">
      <c r="N11346" t="s">
        <v>750</v>
      </c>
    </row>
    <row r="11347" spans="14:14" ht="15" customHeight="1" x14ac:dyDescent="0.25">
      <c r="N11347" t="s">
        <v>689</v>
      </c>
    </row>
    <row r="11348" spans="14:14" ht="15" customHeight="1" x14ac:dyDescent="0.25">
      <c r="N11348" t="s">
        <v>824</v>
      </c>
    </row>
    <row r="11349" spans="14:14" ht="15" customHeight="1" x14ac:dyDescent="0.25">
      <c r="N11349" t="s">
        <v>715</v>
      </c>
    </row>
    <row r="11350" spans="14:14" ht="15" customHeight="1" x14ac:dyDescent="0.25">
      <c r="N11350" t="s">
        <v>715</v>
      </c>
    </row>
    <row r="11351" spans="14:14" ht="15" customHeight="1" x14ac:dyDescent="0.25">
      <c r="N11351" t="s">
        <v>715</v>
      </c>
    </row>
    <row r="11352" spans="14:14" ht="15" customHeight="1" x14ac:dyDescent="0.25">
      <c r="N11352" t="s">
        <v>715</v>
      </c>
    </row>
    <row r="11353" spans="14:14" ht="15" customHeight="1" x14ac:dyDescent="0.25">
      <c r="N11353" t="s">
        <v>370</v>
      </c>
    </row>
    <row r="11354" spans="14:14" ht="15" customHeight="1" x14ac:dyDescent="0.25">
      <c r="N11354" t="s">
        <v>751</v>
      </c>
    </row>
    <row r="11355" spans="14:14" ht="15" customHeight="1" x14ac:dyDescent="0.25">
      <c r="N11355" t="s">
        <v>751</v>
      </c>
    </row>
    <row r="11356" spans="14:14" ht="15" customHeight="1" x14ac:dyDescent="0.25">
      <c r="N11356" t="s">
        <v>751</v>
      </c>
    </row>
    <row r="11357" spans="14:14" ht="15" customHeight="1" x14ac:dyDescent="0.25">
      <c r="N11357" t="s">
        <v>751</v>
      </c>
    </row>
    <row r="11358" spans="14:14" ht="15" customHeight="1" x14ac:dyDescent="0.25">
      <c r="N11358" t="s">
        <v>751</v>
      </c>
    </row>
    <row r="11359" spans="14:14" ht="15" customHeight="1" x14ac:dyDescent="0.25">
      <c r="N11359" t="s">
        <v>751</v>
      </c>
    </row>
    <row r="11360" spans="14:14" ht="15" customHeight="1" x14ac:dyDescent="0.25">
      <c r="N11360" t="s">
        <v>751</v>
      </c>
    </row>
    <row r="11361" spans="14:14" ht="15" customHeight="1" x14ac:dyDescent="0.25">
      <c r="N11361" t="s">
        <v>751</v>
      </c>
    </row>
    <row r="11362" spans="14:14" ht="15" customHeight="1" x14ac:dyDescent="0.25">
      <c r="N11362" t="s">
        <v>751</v>
      </c>
    </row>
    <row r="11363" spans="14:14" ht="15" customHeight="1" x14ac:dyDescent="0.25">
      <c r="N11363" t="s">
        <v>751</v>
      </c>
    </row>
    <row r="11364" spans="14:14" ht="15" customHeight="1" x14ac:dyDescent="0.25">
      <c r="N11364" t="s">
        <v>751</v>
      </c>
    </row>
    <row r="11365" spans="14:14" ht="15" customHeight="1" x14ac:dyDescent="0.25">
      <c r="N11365" t="s">
        <v>751</v>
      </c>
    </row>
    <row r="11366" spans="14:14" ht="15" customHeight="1" x14ac:dyDescent="0.25">
      <c r="N11366" t="s">
        <v>751</v>
      </c>
    </row>
    <row r="11367" spans="14:14" ht="15" customHeight="1" x14ac:dyDescent="0.25">
      <c r="N11367" t="s">
        <v>751</v>
      </c>
    </row>
    <row r="11368" spans="14:14" ht="15" customHeight="1" x14ac:dyDescent="0.25">
      <c r="N11368" t="s">
        <v>751</v>
      </c>
    </row>
    <row r="11369" spans="14:14" ht="15" customHeight="1" x14ac:dyDescent="0.25">
      <c r="N11369" t="s">
        <v>751</v>
      </c>
    </row>
    <row r="11370" spans="14:14" ht="15" customHeight="1" x14ac:dyDescent="0.25">
      <c r="N11370" t="s">
        <v>751</v>
      </c>
    </row>
    <row r="11371" spans="14:14" ht="15" customHeight="1" x14ac:dyDescent="0.25">
      <c r="N11371" t="s">
        <v>751</v>
      </c>
    </row>
    <row r="11372" spans="14:14" ht="15" customHeight="1" x14ac:dyDescent="0.25">
      <c r="N11372" t="s">
        <v>751</v>
      </c>
    </row>
    <row r="11373" spans="14:14" ht="15" customHeight="1" x14ac:dyDescent="0.25">
      <c r="N11373" t="s">
        <v>751</v>
      </c>
    </row>
    <row r="11374" spans="14:14" ht="15" customHeight="1" x14ac:dyDescent="0.25">
      <c r="N11374" t="s">
        <v>751</v>
      </c>
    </row>
    <row r="11375" spans="14:14" ht="15" customHeight="1" x14ac:dyDescent="0.25">
      <c r="N11375" t="s">
        <v>751</v>
      </c>
    </row>
    <row r="11376" spans="14:14" ht="15" customHeight="1" x14ac:dyDescent="0.25">
      <c r="N11376" t="s">
        <v>751</v>
      </c>
    </row>
    <row r="11377" spans="14:14" ht="15" customHeight="1" x14ac:dyDescent="0.25">
      <c r="N11377" t="s">
        <v>751</v>
      </c>
    </row>
    <row r="11378" spans="14:14" ht="15" customHeight="1" x14ac:dyDescent="0.25">
      <c r="N11378" t="s">
        <v>751</v>
      </c>
    </row>
    <row r="11379" spans="14:14" ht="15" customHeight="1" x14ac:dyDescent="0.25">
      <c r="N11379" t="s">
        <v>751</v>
      </c>
    </row>
    <row r="11380" spans="14:14" ht="15" customHeight="1" x14ac:dyDescent="0.25">
      <c r="N11380" t="s">
        <v>689</v>
      </c>
    </row>
    <row r="11381" spans="14:14" ht="15" customHeight="1" x14ac:dyDescent="0.25">
      <c r="N11381" t="s">
        <v>68</v>
      </c>
    </row>
    <row r="11382" spans="14:14" ht="15" customHeight="1" x14ac:dyDescent="0.25">
      <c r="N11382" t="s">
        <v>675</v>
      </c>
    </row>
    <row r="11383" spans="14:14" ht="15" customHeight="1" x14ac:dyDescent="0.25">
      <c r="N11383" t="s">
        <v>675</v>
      </c>
    </row>
    <row r="11384" spans="14:14" ht="15" customHeight="1" x14ac:dyDescent="0.25">
      <c r="N11384" t="s">
        <v>675</v>
      </c>
    </row>
    <row r="11385" spans="14:14" ht="15" customHeight="1" x14ac:dyDescent="0.25">
      <c r="N11385" t="s">
        <v>675</v>
      </c>
    </row>
    <row r="11386" spans="14:14" ht="15" customHeight="1" x14ac:dyDescent="0.25">
      <c r="N11386" t="s">
        <v>675</v>
      </c>
    </row>
    <row r="11387" spans="14:14" ht="15" customHeight="1" x14ac:dyDescent="0.25">
      <c r="N11387" t="s">
        <v>675</v>
      </c>
    </row>
    <row r="11388" spans="14:14" ht="15" customHeight="1" x14ac:dyDescent="0.25">
      <c r="N11388" t="s">
        <v>675</v>
      </c>
    </row>
    <row r="11389" spans="14:14" ht="15" customHeight="1" x14ac:dyDescent="0.25">
      <c r="N11389" t="s">
        <v>675</v>
      </c>
    </row>
    <row r="11390" spans="14:14" ht="15" customHeight="1" x14ac:dyDescent="0.25">
      <c r="N11390" t="s">
        <v>706</v>
      </c>
    </row>
    <row r="11391" spans="14:14" ht="15" customHeight="1" x14ac:dyDescent="0.25">
      <c r="N11391" t="s">
        <v>706</v>
      </c>
    </row>
    <row r="11392" spans="14:14" ht="15" customHeight="1" x14ac:dyDescent="0.25">
      <c r="N11392" t="s">
        <v>706</v>
      </c>
    </row>
    <row r="11393" spans="14:14" ht="15" customHeight="1" x14ac:dyDescent="0.25">
      <c r="N11393" t="s">
        <v>706</v>
      </c>
    </row>
    <row r="11394" spans="14:14" ht="15" customHeight="1" x14ac:dyDescent="0.25">
      <c r="N11394" t="s">
        <v>706</v>
      </c>
    </row>
    <row r="11395" spans="14:14" ht="15" customHeight="1" x14ac:dyDescent="0.25">
      <c r="N11395" t="s">
        <v>706</v>
      </c>
    </row>
    <row r="11396" spans="14:14" ht="15" customHeight="1" x14ac:dyDescent="0.25">
      <c r="N11396" t="s">
        <v>706</v>
      </c>
    </row>
    <row r="11397" spans="14:14" ht="15" customHeight="1" x14ac:dyDescent="0.25">
      <c r="N11397" t="s">
        <v>706</v>
      </c>
    </row>
    <row r="11398" spans="14:14" ht="15" customHeight="1" x14ac:dyDescent="0.25">
      <c r="N11398" t="s">
        <v>706</v>
      </c>
    </row>
    <row r="11399" spans="14:14" ht="15" customHeight="1" x14ac:dyDescent="0.25">
      <c r="N11399" t="s">
        <v>706</v>
      </c>
    </row>
    <row r="11400" spans="14:14" ht="15" customHeight="1" x14ac:dyDescent="0.25">
      <c r="N11400" t="s">
        <v>706</v>
      </c>
    </row>
    <row r="11401" spans="14:14" ht="15" customHeight="1" x14ac:dyDescent="0.25">
      <c r="N11401" t="s">
        <v>706</v>
      </c>
    </row>
    <row r="11402" spans="14:14" ht="15" customHeight="1" x14ac:dyDescent="0.25">
      <c r="N11402" t="s">
        <v>706</v>
      </c>
    </row>
    <row r="11403" spans="14:14" ht="15" customHeight="1" x14ac:dyDescent="0.25">
      <c r="N11403" t="s">
        <v>313</v>
      </c>
    </row>
    <row r="11404" spans="14:14" ht="15" customHeight="1" x14ac:dyDescent="0.25">
      <c r="N11404" t="s">
        <v>313</v>
      </c>
    </row>
    <row r="11405" spans="14:14" ht="15" customHeight="1" x14ac:dyDescent="0.25">
      <c r="N11405" t="s">
        <v>313</v>
      </c>
    </row>
    <row r="11406" spans="14:14" ht="15" customHeight="1" x14ac:dyDescent="0.25">
      <c r="N11406" t="s">
        <v>313</v>
      </c>
    </row>
    <row r="11407" spans="14:14" ht="15" customHeight="1" x14ac:dyDescent="0.25">
      <c r="N11407" t="s">
        <v>313</v>
      </c>
    </row>
    <row r="11408" spans="14:14" ht="15" customHeight="1" x14ac:dyDescent="0.25">
      <c r="N11408" t="s">
        <v>313</v>
      </c>
    </row>
    <row r="11409" spans="14:14" ht="15" customHeight="1" x14ac:dyDescent="0.25">
      <c r="N11409" t="s">
        <v>313</v>
      </c>
    </row>
    <row r="11410" spans="14:14" ht="15" customHeight="1" x14ac:dyDescent="0.25">
      <c r="N11410" t="s">
        <v>68</v>
      </c>
    </row>
    <row r="11411" spans="14:14" ht="15" customHeight="1" x14ac:dyDescent="0.25">
      <c r="N11411" t="s">
        <v>68</v>
      </c>
    </row>
    <row r="11412" spans="14:14" ht="15" customHeight="1" x14ac:dyDescent="0.25">
      <c r="N11412" t="s">
        <v>68</v>
      </c>
    </row>
    <row r="11413" spans="14:14" ht="15" customHeight="1" x14ac:dyDescent="0.25">
      <c r="N11413" t="s">
        <v>68</v>
      </c>
    </row>
    <row r="11414" spans="14:14" ht="15" customHeight="1" x14ac:dyDescent="0.25">
      <c r="N11414" t="s">
        <v>68</v>
      </c>
    </row>
    <row r="11415" spans="14:14" ht="15" customHeight="1" x14ac:dyDescent="0.25">
      <c r="N11415" t="s">
        <v>68</v>
      </c>
    </row>
    <row r="11416" spans="14:14" ht="15" customHeight="1" x14ac:dyDescent="0.25">
      <c r="N11416" t="s">
        <v>68</v>
      </c>
    </row>
    <row r="11417" spans="14:14" ht="15" customHeight="1" x14ac:dyDescent="0.25">
      <c r="N11417" t="s">
        <v>677</v>
      </c>
    </row>
    <row r="11418" spans="14:14" ht="15" customHeight="1" x14ac:dyDescent="0.25">
      <c r="N11418" t="s">
        <v>313</v>
      </c>
    </row>
    <row r="11419" spans="14:14" ht="15" customHeight="1" x14ac:dyDescent="0.25">
      <c r="N11419" t="s">
        <v>824</v>
      </c>
    </row>
    <row r="11420" spans="14:14" ht="15" customHeight="1" x14ac:dyDescent="0.25">
      <c r="N11420" t="s">
        <v>677</v>
      </c>
    </row>
    <row r="11421" spans="14:14" ht="15" customHeight="1" x14ac:dyDescent="0.25">
      <c r="N11421" t="s">
        <v>677</v>
      </c>
    </row>
    <row r="11422" spans="14:14" ht="15" customHeight="1" x14ac:dyDescent="0.25">
      <c r="N11422" t="s">
        <v>68</v>
      </c>
    </row>
    <row r="11423" spans="14:14" ht="15" customHeight="1" x14ac:dyDescent="0.25">
      <c r="N11423" t="s">
        <v>752</v>
      </c>
    </row>
    <row r="11424" spans="14:14" ht="15" customHeight="1" x14ac:dyDescent="0.25">
      <c r="N11424" t="s">
        <v>752</v>
      </c>
    </row>
    <row r="11425" spans="14:14" ht="15" customHeight="1" x14ac:dyDescent="0.25">
      <c r="N11425" t="s">
        <v>752</v>
      </c>
    </row>
    <row r="11426" spans="14:14" ht="15" customHeight="1" x14ac:dyDescent="0.25">
      <c r="N11426" t="s">
        <v>752</v>
      </c>
    </row>
    <row r="11427" spans="14:14" ht="15" customHeight="1" x14ac:dyDescent="0.25">
      <c r="N11427" t="s">
        <v>752</v>
      </c>
    </row>
    <row r="11428" spans="14:14" ht="15" customHeight="1" x14ac:dyDescent="0.25">
      <c r="N11428" t="s">
        <v>752</v>
      </c>
    </row>
    <row r="11429" spans="14:14" ht="15" customHeight="1" x14ac:dyDescent="0.25">
      <c r="N11429" t="s">
        <v>752</v>
      </c>
    </row>
    <row r="11430" spans="14:14" ht="15" customHeight="1" x14ac:dyDescent="0.25">
      <c r="N11430" t="s">
        <v>752</v>
      </c>
    </row>
    <row r="11431" spans="14:14" ht="15" customHeight="1" x14ac:dyDescent="0.25">
      <c r="N11431" t="s">
        <v>752</v>
      </c>
    </row>
    <row r="11432" spans="14:14" ht="15" customHeight="1" x14ac:dyDescent="0.25">
      <c r="N11432" t="s">
        <v>752</v>
      </c>
    </row>
    <row r="11433" spans="14:14" ht="15" customHeight="1" x14ac:dyDescent="0.25">
      <c r="N11433" t="s">
        <v>752</v>
      </c>
    </row>
    <row r="11434" spans="14:14" ht="15" customHeight="1" x14ac:dyDescent="0.25">
      <c r="N11434" t="s">
        <v>752</v>
      </c>
    </row>
    <row r="11435" spans="14:14" ht="15" customHeight="1" x14ac:dyDescent="0.25">
      <c r="N11435" t="s">
        <v>752</v>
      </c>
    </row>
    <row r="11436" spans="14:14" ht="15" customHeight="1" x14ac:dyDescent="0.25">
      <c r="N11436" t="s">
        <v>752</v>
      </c>
    </row>
    <row r="11437" spans="14:14" ht="15" customHeight="1" x14ac:dyDescent="0.25">
      <c r="N11437" t="s">
        <v>752</v>
      </c>
    </row>
    <row r="11438" spans="14:14" ht="15" customHeight="1" x14ac:dyDescent="0.25">
      <c r="N11438" t="s">
        <v>752</v>
      </c>
    </row>
    <row r="11439" spans="14:14" ht="15" customHeight="1" x14ac:dyDescent="0.25">
      <c r="N11439" t="s">
        <v>752</v>
      </c>
    </row>
    <row r="11440" spans="14:14" ht="15" customHeight="1" x14ac:dyDescent="0.25">
      <c r="N11440" t="s">
        <v>752</v>
      </c>
    </row>
    <row r="11441" spans="14:14" ht="15" customHeight="1" x14ac:dyDescent="0.25">
      <c r="N11441" t="s">
        <v>752</v>
      </c>
    </row>
    <row r="11442" spans="14:14" ht="15" customHeight="1" x14ac:dyDescent="0.25">
      <c r="N11442" t="s">
        <v>752</v>
      </c>
    </row>
    <row r="11443" spans="14:14" ht="15" customHeight="1" x14ac:dyDescent="0.25">
      <c r="N11443" t="s">
        <v>752</v>
      </c>
    </row>
    <row r="11444" spans="14:14" ht="15" customHeight="1" x14ac:dyDescent="0.25">
      <c r="N11444" t="s">
        <v>752</v>
      </c>
    </row>
    <row r="11445" spans="14:14" ht="15" customHeight="1" x14ac:dyDescent="0.25">
      <c r="N11445" t="s">
        <v>752</v>
      </c>
    </row>
    <row r="11446" spans="14:14" ht="15" customHeight="1" x14ac:dyDescent="0.25">
      <c r="N11446" t="s">
        <v>752</v>
      </c>
    </row>
    <row r="11447" spans="14:14" ht="15" customHeight="1" x14ac:dyDescent="0.25">
      <c r="N11447" t="s">
        <v>752</v>
      </c>
    </row>
    <row r="11448" spans="14:14" ht="15" customHeight="1" x14ac:dyDescent="0.25">
      <c r="N11448" t="s">
        <v>752</v>
      </c>
    </row>
    <row r="11449" spans="14:14" ht="15" customHeight="1" x14ac:dyDescent="0.25">
      <c r="N11449" t="s">
        <v>687</v>
      </c>
    </row>
    <row r="11450" spans="14:14" ht="15" customHeight="1" x14ac:dyDescent="0.25">
      <c r="N11450" t="s">
        <v>68</v>
      </c>
    </row>
    <row r="11451" spans="14:14" ht="15" customHeight="1" x14ac:dyDescent="0.25">
      <c r="N11451" t="s">
        <v>752</v>
      </c>
    </row>
    <row r="11452" spans="14:14" ht="15" customHeight="1" x14ac:dyDescent="0.25">
      <c r="N11452" t="s">
        <v>752</v>
      </c>
    </row>
    <row r="11453" spans="14:14" ht="15" customHeight="1" x14ac:dyDescent="0.25">
      <c r="N11453" t="s">
        <v>752</v>
      </c>
    </row>
    <row r="11454" spans="14:14" ht="15" customHeight="1" x14ac:dyDescent="0.25">
      <c r="N11454" t="s">
        <v>752</v>
      </c>
    </row>
    <row r="11455" spans="14:14" ht="15" customHeight="1" x14ac:dyDescent="0.25">
      <c r="N11455" t="s">
        <v>752</v>
      </c>
    </row>
    <row r="11456" spans="14:14" ht="15" customHeight="1" x14ac:dyDescent="0.25">
      <c r="N11456" t="s">
        <v>752</v>
      </c>
    </row>
    <row r="11457" spans="14:14" ht="15" customHeight="1" x14ac:dyDescent="0.25">
      <c r="N11457" t="s">
        <v>752</v>
      </c>
    </row>
    <row r="11458" spans="14:14" ht="15" customHeight="1" x14ac:dyDescent="0.25">
      <c r="N11458" t="s">
        <v>752</v>
      </c>
    </row>
    <row r="11459" spans="14:14" ht="15" customHeight="1" x14ac:dyDescent="0.25">
      <c r="N11459" t="s">
        <v>752</v>
      </c>
    </row>
    <row r="11460" spans="14:14" ht="15" customHeight="1" x14ac:dyDescent="0.25">
      <c r="N11460" t="s">
        <v>752</v>
      </c>
    </row>
    <row r="11461" spans="14:14" ht="15" customHeight="1" x14ac:dyDescent="0.25">
      <c r="N11461" t="s">
        <v>752</v>
      </c>
    </row>
    <row r="11462" spans="14:14" ht="15" customHeight="1" x14ac:dyDescent="0.25">
      <c r="N11462" t="s">
        <v>752</v>
      </c>
    </row>
    <row r="11463" spans="14:14" ht="15" customHeight="1" x14ac:dyDescent="0.25">
      <c r="N11463" t="s">
        <v>752</v>
      </c>
    </row>
    <row r="11464" spans="14:14" ht="15" customHeight="1" x14ac:dyDescent="0.25">
      <c r="N11464" t="s">
        <v>752</v>
      </c>
    </row>
    <row r="11465" spans="14:14" ht="15" customHeight="1" x14ac:dyDescent="0.25">
      <c r="N11465" t="s">
        <v>752</v>
      </c>
    </row>
    <row r="11466" spans="14:14" ht="15" customHeight="1" x14ac:dyDescent="0.25">
      <c r="N11466" t="s">
        <v>752</v>
      </c>
    </row>
    <row r="11467" spans="14:14" ht="15" customHeight="1" x14ac:dyDescent="0.25">
      <c r="N11467" t="s">
        <v>752</v>
      </c>
    </row>
    <row r="11468" spans="14:14" ht="15" customHeight="1" x14ac:dyDescent="0.25">
      <c r="N11468" t="s">
        <v>752</v>
      </c>
    </row>
    <row r="11469" spans="14:14" ht="15" customHeight="1" x14ac:dyDescent="0.25">
      <c r="N11469" t="s">
        <v>752</v>
      </c>
    </row>
    <row r="11470" spans="14:14" ht="15" customHeight="1" x14ac:dyDescent="0.25">
      <c r="N11470" t="s">
        <v>752</v>
      </c>
    </row>
    <row r="11471" spans="14:14" ht="15" customHeight="1" x14ac:dyDescent="0.25">
      <c r="N11471" t="s">
        <v>752</v>
      </c>
    </row>
    <row r="11472" spans="14:14" ht="15" customHeight="1" x14ac:dyDescent="0.25">
      <c r="N11472" t="s">
        <v>752</v>
      </c>
    </row>
    <row r="11473" spans="14:14" ht="15" customHeight="1" x14ac:dyDescent="0.25">
      <c r="N11473" t="s">
        <v>752</v>
      </c>
    </row>
    <row r="11474" spans="14:14" ht="15" customHeight="1" x14ac:dyDescent="0.25">
      <c r="N11474" t="s">
        <v>752</v>
      </c>
    </row>
    <row r="11475" spans="14:14" ht="15" customHeight="1" x14ac:dyDescent="0.25">
      <c r="N11475" t="s">
        <v>752</v>
      </c>
    </row>
    <row r="11476" spans="14:14" ht="15" customHeight="1" x14ac:dyDescent="0.25">
      <c r="N11476" t="s">
        <v>752</v>
      </c>
    </row>
    <row r="11477" spans="14:14" ht="15" customHeight="1" x14ac:dyDescent="0.25">
      <c r="N11477" t="s">
        <v>304</v>
      </c>
    </row>
    <row r="11478" spans="14:14" ht="15" customHeight="1" x14ac:dyDescent="0.25">
      <c r="N11478" t="s">
        <v>304</v>
      </c>
    </row>
    <row r="11479" spans="14:14" ht="15" customHeight="1" x14ac:dyDescent="0.25">
      <c r="N11479" t="s">
        <v>304</v>
      </c>
    </row>
    <row r="11480" spans="14:14" ht="15" customHeight="1" x14ac:dyDescent="0.25">
      <c r="N11480" t="s">
        <v>304</v>
      </c>
    </row>
    <row r="11481" spans="14:14" ht="15" customHeight="1" x14ac:dyDescent="0.25">
      <c r="N11481" t="s">
        <v>752</v>
      </c>
    </row>
    <row r="11482" spans="14:14" ht="15" customHeight="1" x14ac:dyDescent="0.25">
      <c r="N11482" t="s">
        <v>752</v>
      </c>
    </row>
    <row r="11483" spans="14:14" ht="15" customHeight="1" x14ac:dyDescent="0.25">
      <c r="N11483" t="s">
        <v>752</v>
      </c>
    </row>
    <row r="11484" spans="14:14" ht="15" customHeight="1" x14ac:dyDescent="0.25">
      <c r="N11484" t="s">
        <v>752</v>
      </c>
    </row>
    <row r="11485" spans="14:14" ht="15" customHeight="1" x14ac:dyDescent="0.25">
      <c r="N11485" t="s">
        <v>752</v>
      </c>
    </row>
    <row r="11486" spans="14:14" ht="15" customHeight="1" x14ac:dyDescent="0.25">
      <c r="N11486" t="s">
        <v>752</v>
      </c>
    </row>
    <row r="11487" spans="14:14" ht="15" customHeight="1" x14ac:dyDescent="0.25">
      <c r="N11487" t="s">
        <v>752</v>
      </c>
    </row>
    <row r="11488" spans="14:14" ht="15" customHeight="1" x14ac:dyDescent="0.25">
      <c r="N11488" t="s">
        <v>752</v>
      </c>
    </row>
    <row r="11489" spans="14:14" ht="15" customHeight="1" x14ac:dyDescent="0.25">
      <c r="N11489" t="s">
        <v>752</v>
      </c>
    </row>
    <row r="11490" spans="14:14" ht="15" customHeight="1" x14ac:dyDescent="0.25">
      <c r="N11490" t="s">
        <v>752</v>
      </c>
    </row>
    <row r="11491" spans="14:14" ht="15" customHeight="1" x14ac:dyDescent="0.25">
      <c r="N11491" t="s">
        <v>752</v>
      </c>
    </row>
    <row r="11492" spans="14:14" ht="15" customHeight="1" x14ac:dyDescent="0.25">
      <c r="N11492" t="s">
        <v>752</v>
      </c>
    </row>
    <row r="11493" spans="14:14" ht="15" customHeight="1" x14ac:dyDescent="0.25">
      <c r="N11493" t="s">
        <v>752</v>
      </c>
    </row>
    <row r="11494" spans="14:14" ht="15" customHeight="1" x14ac:dyDescent="0.25">
      <c r="N11494" t="s">
        <v>752</v>
      </c>
    </row>
    <row r="11495" spans="14:14" ht="15" customHeight="1" x14ac:dyDescent="0.25">
      <c r="N11495" t="s">
        <v>752</v>
      </c>
    </row>
    <row r="11496" spans="14:14" ht="15" customHeight="1" x14ac:dyDescent="0.25">
      <c r="N11496" t="s">
        <v>752</v>
      </c>
    </row>
    <row r="11497" spans="14:14" ht="15" customHeight="1" x14ac:dyDescent="0.25">
      <c r="N11497" t="s">
        <v>752</v>
      </c>
    </row>
    <row r="11498" spans="14:14" ht="15" customHeight="1" x14ac:dyDescent="0.25">
      <c r="N11498" t="s">
        <v>752</v>
      </c>
    </row>
    <row r="11499" spans="14:14" ht="15" customHeight="1" x14ac:dyDescent="0.25">
      <c r="N11499" t="s">
        <v>752</v>
      </c>
    </row>
    <row r="11500" spans="14:14" ht="15" customHeight="1" x14ac:dyDescent="0.25">
      <c r="N11500" t="s">
        <v>752</v>
      </c>
    </row>
    <row r="11501" spans="14:14" ht="15" customHeight="1" x14ac:dyDescent="0.25">
      <c r="N11501" t="s">
        <v>752</v>
      </c>
    </row>
    <row r="11502" spans="14:14" ht="15" customHeight="1" x14ac:dyDescent="0.25">
      <c r="N11502" t="s">
        <v>752</v>
      </c>
    </row>
    <row r="11503" spans="14:14" ht="15" customHeight="1" x14ac:dyDescent="0.25">
      <c r="N11503" t="s">
        <v>752</v>
      </c>
    </row>
    <row r="11504" spans="14:14" ht="15" customHeight="1" x14ac:dyDescent="0.25">
      <c r="N11504" t="s">
        <v>752</v>
      </c>
    </row>
    <row r="11505" spans="14:14" ht="15" customHeight="1" x14ac:dyDescent="0.25">
      <c r="N11505" t="s">
        <v>752</v>
      </c>
    </row>
    <row r="11506" spans="14:14" ht="15" customHeight="1" x14ac:dyDescent="0.25">
      <c r="N11506" t="s">
        <v>752</v>
      </c>
    </row>
    <row r="11507" spans="14:14" ht="15" customHeight="1" x14ac:dyDescent="0.25">
      <c r="N11507" t="s">
        <v>370</v>
      </c>
    </row>
    <row r="11508" spans="14:14" ht="15" customHeight="1" x14ac:dyDescent="0.25">
      <c r="N11508" t="s">
        <v>582</v>
      </c>
    </row>
    <row r="11509" spans="14:14" ht="15" customHeight="1" x14ac:dyDescent="0.25">
      <c r="N11509" t="s">
        <v>582</v>
      </c>
    </row>
    <row r="11510" spans="14:14" ht="15" customHeight="1" x14ac:dyDescent="0.25">
      <c r="N11510" t="s">
        <v>582</v>
      </c>
    </row>
    <row r="11511" spans="14:14" ht="15" customHeight="1" x14ac:dyDescent="0.25">
      <c r="N11511" t="s">
        <v>582</v>
      </c>
    </row>
    <row r="11512" spans="14:14" ht="15" customHeight="1" x14ac:dyDescent="0.25">
      <c r="N11512" t="s">
        <v>582</v>
      </c>
    </row>
    <row r="11513" spans="14:14" ht="15" customHeight="1" x14ac:dyDescent="0.25">
      <c r="N11513" t="s">
        <v>582</v>
      </c>
    </row>
    <row r="11514" spans="14:14" ht="15" customHeight="1" x14ac:dyDescent="0.25">
      <c r="N11514" t="s">
        <v>582</v>
      </c>
    </row>
    <row r="11515" spans="14:14" ht="15" customHeight="1" x14ac:dyDescent="0.25">
      <c r="N11515" t="s">
        <v>687</v>
      </c>
    </row>
    <row r="11516" spans="14:14" ht="15" customHeight="1" x14ac:dyDescent="0.25">
      <c r="N11516" t="s">
        <v>68</v>
      </c>
    </row>
    <row r="11517" spans="14:14" ht="15" customHeight="1" x14ac:dyDescent="0.25">
      <c r="N11517" t="s">
        <v>68</v>
      </c>
    </row>
    <row r="11518" spans="14:14" ht="15" customHeight="1" x14ac:dyDescent="0.25">
      <c r="N11518" t="s">
        <v>68</v>
      </c>
    </row>
    <row r="11519" spans="14:14" ht="15" customHeight="1" x14ac:dyDescent="0.25">
      <c r="N11519" t="s">
        <v>68</v>
      </c>
    </row>
    <row r="11520" spans="14:14" ht="15" customHeight="1" x14ac:dyDescent="0.25">
      <c r="N11520" t="s">
        <v>68</v>
      </c>
    </row>
    <row r="11521" spans="14:14" ht="15" customHeight="1" x14ac:dyDescent="0.25">
      <c r="N11521" t="s">
        <v>68</v>
      </c>
    </row>
    <row r="11522" spans="14:14" ht="15" customHeight="1" x14ac:dyDescent="0.25">
      <c r="N11522" t="s">
        <v>68</v>
      </c>
    </row>
    <row r="11523" spans="14:14" ht="15" customHeight="1" x14ac:dyDescent="0.25">
      <c r="N11523" t="s">
        <v>944</v>
      </c>
    </row>
    <row r="11524" spans="14:14" ht="15" customHeight="1" x14ac:dyDescent="0.25">
      <c r="N11524" t="s">
        <v>951</v>
      </c>
    </row>
    <row r="11525" spans="14:14" ht="15" customHeight="1" x14ac:dyDescent="0.25">
      <c r="N11525" t="s">
        <v>715</v>
      </c>
    </row>
    <row r="11526" spans="14:14" ht="15" customHeight="1" x14ac:dyDescent="0.25">
      <c r="N11526" t="s">
        <v>715</v>
      </c>
    </row>
    <row r="11527" spans="14:14" ht="15" customHeight="1" x14ac:dyDescent="0.25">
      <c r="N11527" t="s">
        <v>713</v>
      </c>
    </row>
    <row r="11528" spans="14:14" ht="15" customHeight="1" x14ac:dyDescent="0.25">
      <c r="N11528" t="s">
        <v>408</v>
      </c>
    </row>
    <row r="11529" spans="14:14" ht="15" customHeight="1" x14ac:dyDescent="0.25">
      <c r="N11529" t="s">
        <v>713</v>
      </c>
    </row>
    <row r="11530" spans="14:14" ht="15" customHeight="1" x14ac:dyDescent="0.25">
      <c r="N11530" t="s">
        <v>713</v>
      </c>
    </row>
    <row r="11531" spans="14:14" ht="15" customHeight="1" x14ac:dyDescent="0.25">
      <c r="N11531" t="s">
        <v>606</v>
      </c>
    </row>
    <row r="11532" spans="14:14" ht="15" customHeight="1" x14ac:dyDescent="0.25">
      <c r="N11532" t="s">
        <v>558</v>
      </c>
    </row>
    <row r="11533" spans="14:14" ht="15" customHeight="1" x14ac:dyDescent="0.25">
      <c r="N11533" t="s">
        <v>458</v>
      </c>
    </row>
    <row r="11534" spans="14:14" ht="15" customHeight="1" x14ac:dyDescent="0.25">
      <c r="N11534" t="s">
        <v>686</v>
      </c>
    </row>
    <row r="11535" spans="14:14" ht="15" customHeight="1" x14ac:dyDescent="0.25">
      <c r="N11535" t="s">
        <v>689</v>
      </c>
    </row>
    <row r="11536" spans="14:14" ht="15" customHeight="1" x14ac:dyDescent="0.25">
      <c r="N11536" t="s">
        <v>689</v>
      </c>
    </row>
    <row r="11537" spans="14:14" ht="15" customHeight="1" x14ac:dyDescent="0.25">
      <c r="N11537" t="s">
        <v>715</v>
      </c>
    </row>
    <row r="11538" spans="14:14" ht="15" customHeight="1" x14ac:dyDescent="0.25">
      <c r="N11538" t="s">
        <v>828</v>
      </c>
    </row>
    <row r="11539" spans="14:14" ht="15" customHeight="1" x14ac:dyDescent="0.25">
      <c r="N11539" t="s">
        <v>606</v>
      </c>
    </row>
    <row r="11540" spans="14:14" ht="15" customHeight="1" x14ac:dyDescent="0.25">
      <c r="N11540" t="s">
        <v>854</v>
      </c>
    </row>
    <row r="11541" spans="14:14" ht="15" customHeight="1" x14ac:dyDescent="0.25">
      <c r="N11541" t="s">
        <v>854</v>
      </c>
    </row>
    <row r="11542" spans="14:14" ht="15" customHeight="1" x14ac:dyDescent="0.25">
      <c r="N11542" t="s">
        <v>713</v>
      </c>
    </row>
    <row r="11543" spans="14:14" ht="15" customHeight="1" x14ac:dyDescent="0.25">
      <c r="N11543" t="s">
        <v>715</v>
      </c>
    </row>
    <row r="11544" spans="14:14" ht="15" customHeight="1" x14ac:dyDescent="0.25">
      <c r="N11544" t="s">
        <v>713</v>
      </c>
    </row>
    <row r="11545" spans="14:14" ht="15" customHeight="1" x14ac:dyDescent="0.25">
      <c r="N11545" t="s">
        <v>713</v>
      </c>
    </row>
    <row r="11546" spans="14:14" ht="15" customHeight="1" x14ac:dyDescent="0.25">
      <c r="N11546" t="s">
        <v>713</v>
      </c>
    </row>
    <row r="11547" spans="14:14" ht="15" customHeight="1" x14ac:dyDescent="0.25">
      <c r="N11547" t="s">
        <v>923</v>
      </c>
    </row>
    <row r="11548" spans="14:14" ht="15" customHeight="1" x14ac:dyDescent="0.25">
      <c r="N11548" t="s">
        <v>669</v>
      </c>
    </row>
    <row r="11549" spans="14:14" ht="15" customHeight="1" x14ac:dyDescent="0.25">
      <c r="N11549" t="s">
        <v>696</v>
      </c>
    </row>
    <row r="11550" spans="14:14" ht="15" customHeight="1" x14ac:dyDescent="0.25">
      <c r="N11550" t="s">
        <v>690</v>
      </c>
    </row>
    <row r="11551" spans="14:14" ht="15" customHeight="1" x14ac:dyDescent="0.25">
      <c r="N11551" t="s">
        <v>690</v>
      </c>
    </row>
    <row r="11552" spans="14:14" ht="15" customHeight="1" x14ac:dyDescent="0.25">
      <c r="N11552" t="s">
        <v>690</v>
      </c>
    </row>
    <row r="11553" spans="14:14" ht="15" customHeight="1" x14ac:dyDescent="0.25">
      <c r="N11553" t="s">
        <v>690</v>
      </c>
    </row>
    <row r="11554" spans="14:14" ht="15" customHeight="1" x14ac:dyDescent="0.25">
      <c r="N11554" t="s">
        <v>715</v>
      </c>
    </row>
    <row r="11555" spans="14:14" ht="15" customHeight="1" x14ac:dyDescent="0.25">
      <c r="N11555" t="s">
        <v>715</v>
      </c>
    </row>
    <row r="11556" spans="14:14" ht="15" customHeight="1" x14ac:dyDescent="0.25">
      <c r="N11556" t="s">
        <v>715</v>
      </c>
    </row>
    <row r="11557" spans="14:14" ht="15" customHeight="1" x14ac:dyDescent="0.25">
      <c r="N11557" t="s">
        <v>715</v>
      </c>
    </row>
    <row r="11558" spans="14:14" ht="15" customHeight="1" x14ac:dyDescent="0.25">
      <c r="N11558" t="s">
        <v>715</v>
      </c>
    </row>
    <row r="11559" spans="14:14" ht="15" customHeight="1" x14ac:dyDescent="0.25">
      <c r="N11559" t="s">
        <v>715</v>
      </c>
    </row>
    <row r="11560" spans="14:14" ht="15" customHeight="1" x14ac:dyDescent="0.25">
      <c r="N11560" t="s">
        <v>715</v>
      </c>
    </row>
    <row r="11561" spans="14:14" ht="15" customHeight="1" x14ac:dyDescent="0.25">
      <c r="N11561" t="s">
        <v>715</v>
      </c>
    </row>
    <row r="11562" spans="14:14" ht="15" customHeight="1" x14ac:dyDescent="0.25">
      <c r="N11562" t="s">
        <v>715</v>
      </c>
    </row>
    <row r="11563" spans="14:14" ht="15" customHeight="1" x14ac:dyDescent="0.25">
      <c r="N11563" t="s">
        <v>715</v>
      </c>
    </row>
    <row r="11564" spans="14:14" ht="15" customHeight="1" x14ac:dyDescent="0.25">
      <c r="N11564" t="s">
        <v>715</v>
      </c>
    </row>
    <row r="11565" spans="14:14" ht="15" customHeight="1" x14ac:dyDescent="0.25">
      <c r="N11565" t="s">
        <v>715</v>
      </c>
    </row>
    <row r="11566" spans="14:14" ht="15" customHeight="1" x14ac:dyDescent="0.25">
      <c r="N11566" t="s">
        <v>715</v>
      </c>
    </row>
    <row r="11567" spans="14:14" ht="15" customHeight="1" x14ac:dyDescent="0.25">
      <c r="N11567" t="s">
        <v>715</v>
      </c>
    </row>
    <row r="11568" spans="14:14" ht="15" customHeight="1" x14ac:dyDescent="0.25">
      <c r="N11568" t="s">
        <v>403</v>
      </c>
    </row>
    <row r="11569" spans="14:14" ht="15" customHeight="1" x14ac:dyDescent="0.25">
      <c r="N11569" t="s">
        <v>403</v>
      </c>
    </row>
    <row r="11570" spans="14:14" ht="15" customHeight="1" x14ac:dyDescent="0.25">
      <c r="N11570" t="s">
        <v>403</v>
      </c>
    </row>
    <row r="11571" spans="14:14" ht="15" customHeight="1" x14ac:dyDescent="0.25">
      <c r="N11571" t="s">
        <v>403</v>
      </c>
    </row>
    <row r="11572" spans="14:14" ht="15" customHeight="1" x14ac:dyDescent="0.25">
      <c r="N11572" t="s">
        <v>403</v>
      </c>
    </row>
    <row r="11573" spans="14:14" ht="15" customHeight="1" x14ac:dyDescent="0.25">
      <c r="N11573" t="s">
        <v>403</v>
      </c>
    </row>
    <row r="11574" spans="14:14" ht="15" customHeight="1" x14ac:dyDescent="0.25">
      <c r="N11574" t="s">
        <v>403</v>
      </c>
    </row>
    <row r="11575" spans="14:14" ht="15" customHeight="1" x14ac:dyDescent="0.25">
      <c r="N11575" t="s">
        <v>592</v>
      </c>
    </row>
    <row r="11576" spans="14:14" ht="15" customHeight="1" x14ac:dyDescent="0.25">
      <c r="N11576" t="s">
        <v>592</v>
      </c>
    </row>
    <row r="11577" spans="14:14" ht="15" customHeight="1" x14ac:dyDescent="0.25">
      <c r="N11577" t="s">
        <v>592</v>
      </c>
    </row>
    <row r="11578" spans="14:14" ht="15" customHeight="1" x14ac:dyDescent="0.25">
      <c r="N11578" t="s">
        <v>592</v>
      </c>
    </row>
    <row r="11579" spans="14:14" ht="15" customHeight="1" x14ac:dyDescent="0.25">
      <c r="N11579" t="s">
        <v>592</v>
      </c>
    </row>
    <row r="11580" spans="14:14" ht="15" customHeight="1" x14ac:dyDescent="0.25">
      <c r="N11580" t="s">
        <v>696</v>
      </c>
    </row>
    <row r="11581" spans="14:14" ht="15" customHeight="1" x14ac:dyDescent="0.25">
      <c r="N11581" t="s">
        <v>715</v>
      </c>
    </row>
    <row r="11582" spans="14:14" ht="15" customHeight="1" x14ac:dyDescent="0.25">
      <c r="N11582" t="s">
        <v>313</v>
      </c>
    </row>
    <row r="11583" spans="14:14" ht="15" customHeight="1" x14ac:dyDescent="0.25">
      <c r="N11583" t="s">
        <v>313</v>
      </c>
    </row>
    <row r="11584" spans="14:14" ht="15" customHeight="1" x14ac:dyDescent="0.25">
      <c r="N11584" t="s">
        <v>313</v>
      </c>
    </row>
    <row r="11585" spans="14:14" ht="15" customHeight="1" x14ac:dyDescent="0.25">
      <c r="N11585" t="s">
        <v>313</v>
      </c>
    </row>
    <row r="11586" spans="14:14" ht="15" customHeight="1" x14ac:dyDescent="0.25">
      <c r="N11586" t="s">
        <v>715</v>
      </c>
    </row>
    <row r="11587" spans="14:14" ht="15" customHeight="1" x14ac:dyDescent="0.25">
      <c r="N11587" t="s">
        <v>715</v>
      </c>
    </row>
    <row r="11588" spans="14:14" ht="15" customHeight="1" x14ac:dyDescent="0.25">
      <c r="N11588" t="s">
        <v>715</v>
      </c>
    </row>
    <row r="11589" spans="14:14" ht="15" customHeight="1" x14ac:dyDescent="0.25">
      <c r="N11589" t="s">
        <v>715</v>
      </c>
    </row>
    <row r="11590" spans="14:14" ht="15" customHeight="1" x14ac:dyDescent="0.25">
      <c r="N11590" t="s">
        <v>715</v>
      </c>
    </row>
    <row r="11591" spans="14:14" ht="15" customHeight="1" x14ac:dyDescent="0.25">
      <c r="N11591" t="s">
        <v>715</v>
      </c>
    </row>
    <row r="11592" spans="14:14" ht="15" customHeight="1" x14ac:dyDescent="0.25">
      <c r="N11592" t="s">
        <v>715</v>
      </c>
    </row>
    <row r="11593" spans="14:14" ht="15" customHeight="1" x14ac:dyDescent="0.25">
      <c r="N11593" t="s">
        <v>715</v>
      </c>
    </row>
    <row r="11594" spans="14:14" ht="15" customHeight="1" x14ac:dyDescent="0.25">
      <c r="N11594" t="s">
        <v>715</v>
      </c>
    </row>
    <row r="11595" spans="14:14" ht="15" customHeight="1" x14ac:dyDescent="0.25">
      <c r="N11595" t="s">
        <v>582</v>
      </c>
    </row>
    <row r="11596" spans="14:14" ht="15" customHeight="1" x14ac:dyDescent="0.25">
      <c r="N11596" t="s">
        <v>715</v>
      </c>
    </row>
    <row r="11597" spans="14:14" ht="15" customHeight="1" x14ac:dyDescent="0.25">
      <c r="N11597" t="s">
        <v>696</v>
      </c>
    </row>
    <row r="11598" spans="14:14" ht="15" customHeight="1" x14ac:dyDescent="0.25">
      <c r="N11598" t="s">
        <v>741</v>
      </c>
    </row>
    <row r="11599" spans="14:14" ht="15" customHeight="1" x14ac:dyDescent="0.25">
      <c r="N11599" t="s">
        <v>743</v>
      </c>
    </row>
    <row r="11600" spans="14:14" ht="15" customHeight="1" x14ac:dyDescent="0.25">
      <c r="N11600" t="s">
        <v>715</v>
      </c>
    </row>
    <row r="11601" spans="14:14" ht="15" customHeight="1" x14ac:dyDescent="0.25">
      <c r="N11601" t="s">
        <v>317</v>
      </c>
    </row>
    <row r="11602" spans="14:14" ht="15" customHeight="1" x14ac:dyDescent="0.25">
      <c r="N11602" t="s">
        <v>714</v>
      </c>
    </row>
    <row r="11603" spans="14:14" ht="15" customHeight="1" x14ac:dyDescent="0.25">
      <c r="N11603" t="s">
        <v>675</v>
      </c>
    </row>
    <row r="11604" spans="14:14" ht="15" customHeight="1" x14ac:dyDescent="0.25">
      <c r="N11604" t="s">
        <v>715</v>
      </c>
    </row>
    <row r="11605" spans="14:14" ht="15" customHeight="1" x14ac:dyDescent="0.25">
      <c r="N11605" t="s">
        <v>739</v>
      </c>
    </row>
    <row r="11606" spans="14:14" ht="15" customHeight="1" x14ac:dyDescent="0.25">
      <c r="N11606" t="s">
        <v>463</v>
      </c>
    </row>
    <row r="11607" spans="14:14" ht="15" customHeight="1" x14ac:dyDescent="0.25">
      <c r="N11607" t="s">
        <v>611</v>
      </c>
    </row>
    <row r="11608" spans="14:14" ht="15" customHeight="1" x14ac:dyDescent="0.25">
      <c r="N11608" t="s">
        <v>666</v>
      </c>
    </row>
    <row r="11609" spans="14:14" ht="15" customHeight="1" x14ac:dyDescent="0.25">
      <c r="N11609" t="s">
        <v>732</v>
      </c>
    </row>
    <row r="11610" spans="14:14" ht="15" customHeight="1" x14ac:dyDescent="0.25">
      <c r="N11610" t="s">
        <v>715</v>
      </c>
    </row>
    <row r="11611" spans="14:14" ht="15" customHeight="1" x14ac:dyDescent="0.25">
      <c r="N11611" t="s">
        <v>715</v>
      </c>
    </row>
    <row r="11612" spans="14:14" ht="15" customHeight="1" x14ac:dyDescent="0.25">
      <c r="N11612" t="s">
        <v>715</v>
      </c>
    </row>
    <row r="11613" spans="14:14" ht="15" customHeight="1" x14ac:dyDescent="0.25">
      <c r="N11613" t="s">
        <v>715</v>
      </c>
    </row>
    <row r="11614" spans="14:14" ht="15" customHeight="1" x14ac:dyDescent="0.25">
      <c r="N11614" t="s">
        <v>715</v>
      </c>
    </row>
    <row r="11615" spans="14:14" ht="15" customHeight="1" x14ac:dyDescent="0.25">
      <c r="N11615" t="s">
        <v>715</v>
      </c>
    </row>
    <row r="11616" spans="14:14" ht="15" customHeight="1" x14ac:dyDescent="0.25">
      <c r="N11616" t="s">
        <v>715</v>
      </c>
    </row>
    <row r="11617" spans="14:14" ht="15" customHeight="1" x14ac:dyDescent="0.25">
      <c r="N11617" t="s">
        <v>715</v>
      </c>
    </row>
    <row r="11618" spans="14:14" ht="15" customHeight="1" x14ac:dyDescent="0.25">
      <c r="N11618" t="s">
        <v>740</v>
      </c>
    </row>
    <row r="11619" spans="14:14" ht="15" customHeight="1" x14ac:dyDescent="0.25">
      <c r="N11619" t="s">
        <v>744</v>
      </c>
    </row>
    <row r="11620" spans="14:14" ht="15" customHeight="1" x14ac:dyDescent="0.25">
      <c r="N11620" t="s">
        <v>690</v>
      </c>
    </row>
    <row r="11621" spans="14:14" ht="15" customHeight="1" x14ac:dyDescent="0.25">
      <c r="N11621" t="s">
        <v>715</v>
      </c>
    </row>
    <row r="11622" spans="14:14" ht="15" customHeight="1" x14ac:dyDescent="0.25">
      <c r="N11622" t="s">
        <v>715</v>
      </c>
    </row>
    <row r="11623" spans="14:14" ht="15" customHeight="1" x14ac:dyDescent="0.25">
      <c r="N11623" t="s">
        <v>690</v>
      </c>
    </row>
    <row r="11624" spans="14:14" ht="15" customHeight="1" x14ac:dyDescent="0.25">
      <c r="N11624" t="s">
        <v>715</v>
      </c>
    </row>
    <row r="11625" spans="14:14" ht="15" customHeight="1" x14ac:dyDescent="0.25">
      <c r="N11625" t="s">
        <v>715</v>
      </c>
    </row>
    <row r="11626" spans="14:14" ht="15" customHeight="1" x14ac:dyDescent="0.25">
      <c r="N11626" t="s">
        <v>715</v>
      </c>
    </row>
    <row r="11627" spans="14:14" ht="15" customHeight="1" x14ac:dyDescent="0.25">
      <c r="N11627" t="s">
        <v>715</v>
      </c>
    </row>
    <row r="11628" spans="14:14" ht="15" customHeight="1" x14ac:dyDescent="0.25">
      <c r="N11628" t="s">
        <v>715</v>
      </c>
    </row>
    <row r="11629" spans="14:14" ht="15" customHeight="1" x14ac:dyDescent="0.25">
      <c r="N11629" t="s">
        <v>715</v>
      </c>
    </row>
    <row r="11630" spans="14:14" ht="15" customHeight="1" x14ac:dyDescent="0.25">
      <c r="N11630" t="s">
        <v>715</v>
      </c>
    </row>
    <row r="11631" spans="14:14" ht="15" customHeight="1" x14ac:dyDescent="0.25">
      <c r="N11631" t="s">
        <v>715</v>
      </c>
    </row>
    <row r="11632" spans="14:14" ht="15" customHeight="1" x14ac:dyDescent="0.25">
      <c r="N11632" t="s">
        <v>715</v>
      </c>
    </row>
    <row r="11633" spans="14:14" ht="15" customHeight="1" x14ac:dyDescent="0.25">
      <c r="N11633" t="s">
        <v>715</v>
      </c>
    </row>
    <row r="11634" spans="14:14" ht="15" customHeight="1" x14ac:dyDescent="0.25">
      <c r="N11634" t="s">
        <v>715</v>
      </c>
    </row>
    <row r="11635" spans="14:14" ht="15" customHeight="1" x14ac:dyDescent="0.25">
      <c r="N11635" t="s">
        <v>715</v>
      </c>
    </row>
    <row r="11636" spans="14:14" ht="15" customHeight="1" x14ac:dyDescent="0.25">
      <c r="N11636" t="s">
        <v>715</v>
      </c>
    </row>
    <row r="11637" spans="14:14" ht="15" customHeight="1" x14ac:dyDescent="0.25">
      <c r="N11637" t="s">
        <v>715</v>
      </c>
    </row>
    <row r="11638" spans="14:14" ht="15" customHeight="1" x14ac:dyDescent="0.25">
      <c r="N11638" t="s">
        <v>715</v>
      </c>
    </row>
    <row r="11639" spans="14:14" ht="15" customHeight="1" x14ac:dyDescent="0.25">
      <c r="N11639" t="s">
        <v>715</v>
      </c>
    </row>
    <row r="11640" spans="14:14" ht="15" customHeight="1" x14ac:dyDescent="0.25">
      <c r="N11640" t="s">
        <v>715</v>
      </c>
    </row>
    <row r="11641" spans="14:14" ht="15" customHeight="1" x14ac:dyDescent="0.25">
      <c r="N11641" t="s">
        <v>715</v>
      </c>
    </row>
    <row r="11642" spans="14:14" ht="15" customHeight="1" x14ac:dyDescent="0.25">
      <c r="N11642" t="s">
        <v>715</v>
      </c>
    </row>
    <row r="11643" spans="14:14" ht="15" customHeight="1" x14ac:dyDescent="0.25">
      <c r="N11643" t="s">
        <v>715</v>
      </c>
    </row>
    <row r="11644" spans="14:14" ht="15" customHeight="1" x14ac:dyDescent="0.25">
      <c r="N11644" t="s">
        <v>715</v>
      </c>
    </row>
    <row r="11645" spans="14:14" ht="15" customHeight="1" x14ac:dyDescent="0.25">
      <c r="N11645" t="s">
        <v>715</v>
      </c>
    </row>
    <row r="11646" spans="14:14" ht="15" customHeight="1" x14ac:dyDescent="0.25">
      <c r="N11646" t="s">
        <v>715</v>
      </c>
    </row>
    <row r="11647" spans="14:14" ht="15" customHeight="1" x14ac:dyDescent="0.25">
      <c r="N11647" t="s">
        <v>715</v>
      </c>
    </row>
    <row r="11648" spans="14:14" ht="15" customHeight="1" x14ac:dyDescent="0.25">
      <c r="N11648" t="s">
        <v>715</v>
      </c>
    </row>
    <row r="11649" spans="14:14" ht="15" customHeight="1" x14ac:dyDescent="0.25">
      <c r="N11649" t="s">
        <v>715</v>
      </c>
    </row>
    <row r="11650" spans="14:14" ht="15" customHeight="1" x14ac:dyDescent="0.25">
      <c r="N11650" t="s">
        <v>951</v>
      </c>
    </row>
    <row r="11651" spans="14:14" ht="15" customHeight="1" x14ac:dyDescent="0.25">
      <c r="N11651" t="s">
        <v>715</v>
      </c>
    </row>
    <row r="11652" spans="14:14" ht="15" customHeight="1" x14ac:dyDescent="0.25">
      <c r="N11652" t="s">
        <v>555</v>
      </c>
    </row>
    <row r="11653" spans="14:14" ht="15" customHeight="1" x14ac:dyDescent="0.25">
      <c r="N11653" t="s">
        <v>606</v>
      </c>
    </row>
    <row r="11654" spans="14:14" ht="15" customHeight="1" x14ac:dyDescent="0.25">
      <c r="N11654" t="s">
        <v>408</v>
      </c>
    </row>
    <row r="11655" spans="14:14" ht="15" customHeight="1" x14ac:dyDescent="0.25">
      <c r="N11655" t="s">
        <v>713</v>
      </c>
    </row>
    <row r="11656" spans="14:14" ht="15" customHeight="1" x14ac:dyDescent="0.25">
      <c r="N11656" t="s">
        <v>713</v>
      </c>
    </row>
    <row r="11657" spans="14:14" ht="15" customHeight="1" x14ac:dyDescent="0.25">
      <c r="N11657" t="s">
        <v>715</v>
      </c>
    </row>
    <row r="11658" spans="14:14" ht="15" customHeight="1" x14ac:dyDescent="0.25">
      <c r="N11658" t="s">
        <v>558</v>
      </c>
    </row>
    <row r="11659" spans="14:14" ht="15" customHeight="1" x14ac:dyDescent="0.25">
      <c r="N11659" t="s">
        <v>713</v>
      </c>
    </row>
    <row r="11660" spans="14:14" ht="15" customHeight="1" x14ac:dyDescent="0.25">
      <c r="N11660" t="s">
        <v>713</v>
      </c>
    </row>
    <row r="11661" spans="14:14" ht="15" customHeight="1" x14ac:dyDescent="0.25">
      <c r="N11661" t="s">
        <v>686</v>
      </c>
    </row>
    <row r="11662" spans="14:14" ht="15" customHeight="1" x14ac:dyDescent="0.25">
      <c r="N11662" t="s">
        <v>715</v>
      </c>
    </row>
    <row r="11663" spans="14:14" ht="15" customHeight="1" x14ac:dyDescent="0.25">
      <c r="N11663" t="s">
        <v>689</v>
      </c>
    </row>
    <row r="11664" spans="14:14" ht="15" customHeight="1" x14ac:dyDescent="0.25">
      <c r="N11664" t="s">
        <v>715</v>
      </c>
    </row>
    <row r="11665" spans="14:14" ht="15" customHeight="1" x14ac:dyDescent="0.25">
      <c r="N11665" t="s">
        <v>689</v>
      </c>
    </row>
    <row r="11666" spans="14:14" ht="15" customHeight="1" x14ac:dyDescent="0.25">
      <c r="N11666" t="s">
        <v>524</v>
      </c>
    </row>
    <row r="11667" spans="14:14" ht="15" customHeight="1" x14ac:dyDescent="0.25">
      <c r="N11667" t="s">
        <v>689</v>
      </c>
    </row>
    <row r="11668" spans="14:14" ht="15" customHeight="1" x14ac:dyDescent="0.25">
      <c r="N11668" t="s">
        <v>841</v>
      </c>
    </row>
    <row r="11669" spans="14:14" ht="15" customHeight="1" x14ac:dyDescent="0.25">
      <c r="N11669" t="s">
        <v>828</v>
      </c>
    </row>
    <row r="11670" spans="14:14" ht="15" customHeight="1" x14ac:dyDescent="0.25">
      <c r="N11670" t="s">
        <v>715</v>
      </c>
    </row>
    <row r="11671" spans="14:14" ht="15" customHeight="1" x14ac:dyDescent="0.25">
      <c r="N11671" t="s">
        <v>925</v>
      </c>
    </row>
    <row r="11672" spans="14:14" ht="15" customHeight="1" x14ac:dyDescent="0.25">
      <c r="N11672" t="s">
        <v>690</v>
      </c>
    </row>
    <row r="11673" spans="14:14" ht="15" customHeight="1" x14ac:dyDescent="0.25">
      <c r="N11673" t="s">
        <v>690</v>
      </c>
    </row>
    <row r="11674" spans="14:14" ht="15" customHeight="1" x14ac:dyDescent="0.25">
      <c r="N11674" t="s">
        <v>713</v>
      </c>
    </row>
    <row r="11675" spans="14:14" ht="15" customHeight="1" x14ac:dyDescent="0.25">
      <c r="N11675" t="s">
        <v>663</v>
      </c>
    </row>
    <row r="11676" spans="14:14" ht="15" customHeight="1" x14ac:dyDescent="0.25">
      <c r="N11676" t="s">
        <v>713</v>
      </c>
    </row>
    <row r="11677" spans="14:14" ht="15" customHeight="1" x14ac:dyDescent="0.25">
      <c r="N11677" t="s">
        <v>713</v>
      </c>
    </row>
    <row r="11678" spans="14:14" ht="15" customHeight="1" x14ac:dyDescent="0.25">
      <c r="N11678" t="s">
        <v>927</v>
      </c>
    </row>
    <row r="11679" spans="14:14" ht="15" customHeight="1" x14ac:dyDescent="0.25">
      <c r="N11679" t="s">
        <v>294</v>
      </c>
    </row>
    <row r="11680" spans="14:14" ht="15" customHeight="1" x14ac:dyDescent="0.25">
      <c r="N11680" t="s">
        <v>294</v>
      </c>
    </row>
    <row r="11681" spans="14:14" ht="15" customHeight="1" x14ac:dyDescent="0.25">
      <c r="N11681" t="s">
        <v>294</v>
      </c>
    </row>
    <row r="11682" spans="14:14" ht="15" customHeight="1" x14ac:dyDescent="0.25">
      <c r="N11682" t="s">
        <v>294</v>
      </c>
    </row>
    <row r="11683" spans="14:14" ht="15" customHeight="1" x14ac:dyDescent="0.25">
      <c r="N11683" t="s">
        <v>715</v>
      </c>
    </row>
    <row r="11684" spans="14:14" ht="15" customHeight="1" x14ac:dyDescent="0.25">
      <c r="N11684" t="s">
        <v>715</v>
      </c>
    </row>
    <row r="11685" spans="14:14" ht="15" customHeight="1" x14ac:dyDescent="0.25">
      <c r="N11685" t="s">
        <v>715</v>
      </c>
    </row>
    <row r="11686" spans="14:14" ht="15" customHeight="1" x14ac:dyDescent="0.25">
      <c r="N11686" t="s">
        <v>715</v>
      </c>
    </row>
    <row r="11687" spans="14:14" ht="15" customHeight="1" x14ac:dyDescent="0.25">
      <c r="N11687" t="s">
        <v>715</v>
      </c>
    </row>
    <row r="11688" spans="14:14" ht="15" customHeight="1" x14ac:dyDescent="0.25">
      <c r="N11688" t="s">
        <v>715</v>
      </c>
    </row>
    <row r="11689" spans="14:14" ht="15" customHeight="1" x14ac:dyDescent="0.25">
      <c r="N11689" t="s">
        <v>715</v>
      </c>
    </row>
    <row r="11690" spans="14:14" ht="15" customHeight="1" x14ac:dyDescent="0.25">
      <c r="N11690" t="s">
        <v>715</v>
      </c>
    </row>
    <row r="11691" spans="14:14" ht="15" customHeight="1" x14ac:dyDescent="0.25">
      <c r="N11691" t="s">
        <v>715</v>
      </c>
    </row>
    <row r="11692" spans="14:14" ht="15" customHeight="1" x14ac:dyDescent="0.25">
      <c r="N11692" t="s">
        <v>715</v>
      </c>
    </row>
    <row r="11693" spans="14:14" ht="15" customHeight="1" x14ac:dyDescent="0.25">
      <c r="N11693" t="s">
        <v>715</v>
      </c>
    </row>
    <row r="11694" spans="14:14" ht="15" customHeight="1" x14ac:dyDescent="0.25">
      <c r="N11694" t="s">
        <v>715</v>
      </c>
    </row>
    <row r="11695" spans="14:14" ht="15" customHeight="1" x14ac:dyDescent="0.25">
      <c r="N11695" t="s">
        <v>715</v>
      </c>
    </row>
    <row r="11696" spans="14:14" ht="15" customHeight="1" x14ac:dyDescent="0.25">
      <c r="N11696" t="s">
        <v>715</v>
      </c>
    </row>
    <row r="11697" spans="14:14" ht="15" customHeight="1" x14ac:dyDescent="0.25">
      <c r="N11697" t="s">
        <v>582</v>
      </c>
    </row>
    <row r="11698" spans="14:14" ht="15" customHeight="1" x14ac:dyDescent="0.25">
      <c r="N11698" t="s">
        <v>582</v>
      </c>
    </row>
    <row r="11699" spans="14:14" ht="15" customHeight="1" x14ac:dyDescent="0.25">
      <c r="N11699" t="s">
        <v>582</v>
      </c>
    </row>
    <row r="11700" spans="14:14" ht="15" customHeight="1" x14ac:dyDescent="0.25">
      <c r="N11700" t="s">
        <v>582</v>
      </c>
    </row>
    <row r="11701" spans="14:14" ht="15" customHeight="1" x14ac:dyDescent="0.25">
      <c r="N11701" t="s">
        <v>582</v>
      </c>
    </row>
    <row r="11702" spans="14:14" ht="15" customHeight="1" x14ac:dyDescent="0.25">
      <c r="N11702" t="s">
        <v>582</v>
      </c>
    </row>
    <row r="11703" spans="14:14" ht="15" customHeight="1" x14ac:dyDescent="0.25">
      <c r="N11703" t="s">
        <v>582</v>
      </c>
    </row>
    <row r="11704" spans="14:14" ht="15" customHeight="1" x14ac:dyDescent="0.25">
      <c r="N11704" t="s">
        <v>747</v>
      </c>
    </row>
    <row r="11705" spans="14:14" ht="15" customHeight="1" x14ac:dyDescent="0.25">
      <c r="N11705" t="s">
        <v>747</v>
      </c>
    </row>
    <row r="11706" spans="14:14" ht="15" customHeight="1" x14ac:dyDescent="0.25">
      <c r="N11706" t="s">
        <v>747</v>
      </c>
    </row>
    <row r="11707" spans="14:14" ht="15" customHeight="1" x14ac:dyDescent="0.25">
      <c r="N11707" t="s">
        <v>747</v>
      </c>
    </row>
    <row r="11708" spans="14:14" ht="15" customHeight="1" x14ac:dyDescent="0.25">
      <c r="N11708" t="s">
        <v>747</v>
      </c>
    </row>
    <row r="11709" spans="14:14" ht="15" customHeight="1" x14ac:dyDescent="0.25">
      <c r="N11709" t="s">
        <v>735</v>
      </c>
    </row>
    <row r="11710" spans="14:14" ht="15" customHeight="1" x14ac:dyDescent="0.25">
      <c r="N11710" t="s">
        <v>709</v>
      </c>
    </row>
    <row r="11711" spans="14:14" ht="15" customHeight="1" x14ac:dyDescent="0.25">
      <c r="N11711" t="s">
        <v>709</v>
      </c>
    </row>
    <row r="11712" spans="14:14" ht="15" customHeight="1" x14ac:dyDescent="0.25">
      <c r="N11712" t="s">
        <v>709</v>
      </c>
    </row>
    <row r="11713" spans="14:14" ht="15" customHeight="1" x14ac:dyDescent="0.25">
      <c r="N11713" t="s">
        <v>709</v>
      </c>
    </row>
    <row r="11714" spans="14:14" ht="15" customHeight="1" x14ac:dyDescent="0.25">
      <c r="N11714" t="s">
        <v>582</v>
      </c>
    </row>
    <row r="11715" spans="14:14" ht="15" customHeight="1" x14ac:dyDescent="0.25">
      <c r="N11715" t="s">
        <v>715</v>
      </c>
    </row>
    <row r="11716" spans="14:14" ht="15" customHeight="1" x14ac:dyDescent="0.25">
      <c r="N11716" t="s">
        <v>715</v>
      </c>
    </row>
    <row r="11717" spans="14:14" ht="15" customHeight="1" x14ac:dyDescent="0.25">
      <c r="N11717" t="s">
        <v>698</v>
      </c>
    </row>
    <row r="11718" spans="14:14" ht="15" customHeight="1" x14ac:dyDescent="0.25">
      <c r="N11718" t="s">
        <v>715</v>
      </c>
    </row>
    <row r="11719" spans="14:14" ht="15" customHeight="1" x14ac:dyDescent="0.25">
      <c r="N11719" t="s">
        <v>341</v>
      </c>
    </row>
    <row r="11720" spans="14:14" ht="15" customHeight="1" x14ac:dyDescent="0.25">
      <c r="N11720" t="s">
        <v>435</v>
      </c>
    </row>
    <row r="11721" spans="14:14" ht="15" customHeight="1" x14ac:dyDescent="0.25">
      <c r="N11721" t="s">
        <v>655</v>
      </c>
    </row>
    <row r="11722" spans="14:14" ht="15" customHeight="1" x14ac:dyDescent="0.25">
      <c r="N11722" t="s">
        <v>746</v>
      </c>
    </row>
    <row r="11723" spans="14:14" ht="15" customHeight="1" x14ac:dyDescent="0.25">
      <c r="N11723" t="s">
        <v>715</v>
      </c>
    </row>
    <row r="11724" spans="14:14" ht="15" customHeight="1" x14ac:dyDescent="0.25">
      <c r="N11724" t="s">
        <v>582</v>
      </c>
    </row>
    <row r="11725" spans="14:14" ht="15" customHeight="1" x14ac:dyDescent="0.25">
      <c r="N11725" t="s">
        <v>715</v>
      </c>
    </row>
    <row r="11726" spans="14:14" ht="15" customHeight="1" x14ac:dyDescent="0.25">
      <c r="N11726" t="s">
        <v>740</v>
      </c>
    </row>
    <row r="11727" spans="14:14" ht="15" customHeight="1" x14ac:dyDescent="0.25">
      <c r="N11727" t="s">
        <v>690</v>
      </c>
    </row>
    <row r="11728" spans="14:14" ht="15" customHeight="1" x14ac:dyDescent="0.25">
      <c r="N11728" t="s">
        <v>715</v>
      </c>
    </row>
    <row r="11729" spans="14:14" ht="15" customHeight="1" x14ac:dyDescent="0.25">
      <c r="N11729" t="s">
        <v>690</v>
      </c>
    </row>
    <row r="11730" spans="14:14" ht="15" customHeight="1" x14ac:dyDescent="0.25">
      <c r="N11730" t="s">
        <v>715</v>
      </c>
    </row>
    <row r="11731" spans="14:14" ht="15" customHeight="1" x14ac:dyDescent="0.25">
      <c r="N11731" t="s">
        <v>715</v>
      </c>
    </row>
    <row r="11732" spans="14:14" ht="15" customHeight="1" x14ac:dyDescent="0.25">
      <c r="N11732" t="s">
        <v>715</v>
      </c>
    </row>
    <row r="11733" spans="14:14" ht="15" customHeight="1" x14ac:dyDescent="0.25">
      <c r="N11733" t="s">
        <v>715</v>
      </c>
    </row>
    <row r="11734" spans="14:14" ht="15" customHeight="1" x14ac:dyDescent="0.25">
      <c r="N11734" t="s">
        <v>715</v>
      </c>
    </row>
    <row r="11735" spans="14:14" ht="15" customHeight="1" x14ac:dyDescent="0.25">
      <c r="N11735" t="s">
        <v>715</v>
      </c>
    </row>
    <row r="11736" spans="14:14" ht="15" customHeight="1" x14ac:dyDescent="0.25">
      <c r="N11736" t="s">
        <v>715</v>
      </c>
    </row>
    <row r="11737" spans="14:14" ht="15" customHeight="1" x14ac:dyDescent="0.25">
      <c r="N11737" t="s">
        <v>715</v>
      </c>
    </row>
    <row r="11738" spans="14:14" ht="15" customHeight="1" x14ac:dyDescent="0.25">
      <c r="N11738" t="s">
        <v>715</v>
      </c>
    </row>
    <row r="11739" spans="14:14" ht="15" customHeight="1" x14ac:dyDescent="0.25">
      <c r="N11739" t="s">
        <v>715</v>
      </c>
    </row>
    <row r="11740" spans="14:14" ht="15" customHeight="1" x14ac:dyDescent="0.25">
      <c r="N11740" t="s">
        <v>715</v>
      </c>
    </row>
    <row r="11741" spans="14:14" ht="15" customHeight="1" x14ac:dyDescent="0.25">
      <c r="N11741" t="s">
        <v>715</v>
      </c>
    </row>
    <row r="11742" spans="14:14" ht="15" customHeight="1" x14ac:dyDescent="0.25">
      <c r="N11742" t="s">
        <v>715</v>
      </c>
    </row>
    <row r="11743" spans="14:14" ht="15" customHeight="1" x14ac:dyDescent="0.25">
      <c r="N11743" t="s">
        <v>715</v>
      </c>
    </row>
    <row r="11744" spans="14:14" ht="15" customHeight="1" x14ac:dyDescent="0.25">
      <c r="N11744" t="s">
        <v>715</v>
      </c>
    </row>
    <row r="11745" spans="14:14" ht="15" customHeight="1" x14ac:dyDescent="0.25">
      <c r="N11745" t="s">
        <v>715</v>
      </c>
    </row>
    <row r="11746" spans="14:14" ht="15" customHeight="1" x14ac:dyDescent="0.25">
      <c r="N11746" t="s">
        <v>715</v>
      </c>
    </row>
    <row r="11747" spans="14:14" ht="15" customHeight="1" x14ac:dyDescent="0.25">
      <c r="N11747" t="s">
        <v>715</v>
      </c>
    </row>
    <row r="11748" spans="14:14" ht="15" customHeight="1" x14ac:dyDescent="0.25">
      <c r="N11748" t="s">
        <v>715</v>
      </c>
    </row>
    <row r="11749" spans="14:14" ht="15" customHeight="1" x14ac:dyDescent="0.25">
      <c r="N11749" t="s">
        <v>715</v>
      </c>
    </row>
    <row r="11750" spans="14:14" ht="15" customHeight="1" x14ac:dyDescent="0.25">
      <c r="N11750" t="s">
        <v>715</v>
      </c>
    </row>
    <row r="11751" spans="14:14" ht="15" customHeight="1" x14ac:dyDescent="0.25">
      <c r="N11751" t="s">
        <v>715</v>
      </c>
    </row>
    <row r="11752" spans="14:14" ht="15" customHeight="1" x14ac:dyDescent="0.25">
      <c r="N11752" t="s">
        <v>715</v>
      </c>
    </row>
    <row r="11753" spans="14:14" ht="15" customHeight="1" x14ac:dyDescent="0.25">
      <c r="N11753" t="s">
        <v>715</v>
      </c>
    </row>
    <row r="11754" spans="14:14" ht="15" customHeight="1" x14ac:dyDescent="0.25">
      <c r="N11754" t="s">
        <v>715</v>
      </c>
    </row>
    <row r="11755" spans="14:14" ht="15" customHeight="1" x14ac:dyDescent="0.25">
      <c r="N11755" t="s">
        <v>715</v>
      </c>
    </row>
    <row r="11756" spans="14:14" ht="15" customHeight="1" x14ac:dyDescent="0.25">
      <c r="N11756" t="s">
        <v>966</v>
      </c>
    </row>
    <row r="11757" spans="14:14" ht="15" customHeight="1" x14ac:dyDescent="0.25">
      <c r="N11757" t="s">
        <v>715</v>
      </c>
    </row>
    <row r="11758" spans="14:14" ht="15" customHeight="1" x14ac:dyDescent="0.25">
      <c r="N11758" t="s">
        <v>606</v>
      </c>
    </row>
    <row r="11759" spans="14:14" ht="15" customHeight="1" x14ac:dyDescent="0.25">
      <c r="N11759" t="s">
        <v>603</v>
      </c>
    </row>
    <row r="11760" spans="14:14" ht="15" customHeight="1" x14ac:dyDescent="0.25">
      <c r="N11760" t="s">
        <v>412</v>
      </c>
    </row>
    <row r="11761" spans="14:14" ht="15" customHeight="1" x14ac:dyDescent="0.25">
      <c r="N11761" t="s">
        <v>713</v>
      </c>
    </row>
    <row r="11762" spans="14:14" ht="15" customHeight="1" x14ac:dyDescent="0.25">
      <c r="N11762" t="s">
        <v>713</v>
      </c>
    </row>
    <row r="11763" spans="14:14" ht="15" customHeight="1" x14ac:dyDescent="0.25">
      <c r="N11763" t="s">
        <v>686</v>
      </c>
    </row>
    <row r="11764" spans="14:14" ht="15" customHeight="1" x14ac:dyDescent="0.25">
      <c r="N11764" t="s">
        <v>715</v>
      </c>
    </row>
    <row r="11765" spans="14:14" ht="15" customHeight="1" x14ac:dyDescent="0.25">
      <c r="N11765" t="s">
        <v>715</v>
      </c>
    </row>
    <row r="11766" spans="14:14" ht="15" customHeight="1" x14ac:dyDescent="0.25">
      <c r="N11766" t="s">
        <v>715</v>
      </c>
    </row>
    <row r="11767" spans="14:14" ht="15" customHeight="1" x14ac:dyDescent="0.25">
      <c r="N11767" t="s">
        <v>715</v>
      </c>
    </row>
    <row r="11768" spans="14:14" ht="15" customHeight="1" x14ac:dyDescent="0.25">
      <c r="N11768" t="s">
        <v>715</v>
      </c>
    </row>
    <row r="11769" spans="14:14" ht="15" customHeight="1" x14ac:dyDescent="0.25">
      <c r="N11769" t="s">
        <v>842</v>
      </c>
    </row>
    <row r="11770" spans="14:14" ht="15" customHeight="1" x14ac:dyDescent="0.25">
      <c r="N11770" t="s">
        <v>828</v>
      </c>
    </row>
    <row r="11771" spans="14:14" ht="15" customHeight="1" x14ac:dyDescent="0.25">
      <c r="N11771" t="s">
        <v>925</v>
      </c>
    </row>
    <row r="11772" spans="14:14" ht="15" customHeight="1" x14ac:dyDescent="0.25">
      <c r="N11772" t="s">
        <v>713</v>
      </c>
    </row>
    <row r="11773" spans="14:14" ht="15" customHeight="1" x14ac:dyDescent="0.25">
      <c r="N11773" t="s">
        <v>713</v>
      </c>
    </row>
    <row r="11774" spans="14:14" ht="15" customHeight="1" x14ac:dyDescent="0.25">
      <c r="N11774" t="s">
        <v>582</v>
      </c>
    </row>
    <row r="11775" spans="14:14" ht="15" customHeight="1" x14ac:dyDescent="0.25">
      <c r="N11775" t="s">
        <v>294</v>
      </c>
    </row>
    <row r="11776" spans="14:14" ht="15" customHeight="1" x14ac:dyDescent="0.25">
      <c r="N11776" t="s">
        <v>294</v>
      </c>
    </row>
    <row r="11777" spans="14:14" ht="15" customHeight="1" x14ac:dyDescent="0.25">
      <c r="N11777" t="s">
        <v>294</v>
      </c>
    </row>
    <row r="11778" spans="14:14" ht="15" customHeight="1" x14ac:dyDescent="0.25">
      <c r="N11778" t="s">
        <v>294</v>
      </c>
    </row>
    <row r="11779" spans="14:14" ht="15" customHeight="1" x14ac:dyDescent="0.25">
      <c r="N11779" t="s">
        <v>715</v>
      </c>
    </row>
    <row r="11780" spans="14:14" ht="15" customHeight="1" x14ac:dyDescent="0.25">
      <c r="N11780" t="s">
        <v>582</v>
      </c>
    </row>
    <row r="11781" spans="14:14" ht="15" customHeight="1" x14ac:dyDescent="0.25">
      <c r="N11781" t="s">
        <v>698</v>
      </c>
    </row>
    <row r="11782" spans="14:14" ht="15" customHeight="1" x14ac:dyDescent="0.25">
      <c r="N11782" t="s">
        <v>342</v>
      </c>
    </row>
    <row r="11783" spans="14:14" ht="15" customHeight="1" x14ac:dyDescent="0.25">
      <c r="N11783" t="s">
        <v>320</v>
      </c>
    </row>
    <row r="11784" spans="14:14" ht="15" customHeight="1" x14ac:dyDescent="0.25">
      <c r="N11784" t="s">
        <v>655</v>
      </c>
    </row>
    <row r="11785" spans="14:14" ht="15" customHeight="1" x14ac:dyDescent="0.25">
      <c r="N11785" t="s">
        <v>582</v>
      </c>
    </row>
    <row r="11786" spans="14:14" ht="15" customHeight="1" x14ac:dyDescent="0.25">
      <c r="N11786" t="s">
        <v>690</v>
      </c>
    </row>
    <row r="11787" spans="14:14" ht="15" customHeight="1" x14ac:dyDescent="0.25">
      <c r="N11787" t="s">
        <v>715</v>
      </c>
    </row>
    <row r="11788" spans="14:14" ht="15" customHeight="1" x14ac:dyDescent="0.25">
      <c r="N11788" t="s">
        <v>690</v>
      </c>
    </row>
    <row r="11789" spans="14:14" ht="15" customHeight="1" x14ac:dyDescent="0.25">
      <c r="N11789" t="s">
        <v>715</v>
      </c>
    </row>
    <row r="11790" spans="14:14" ht="15" customHeight="1" x14ac:dyDescent="0.25">
      <c r="N11790" t="s">
        <v>715</v>
      </c>
    </row>
    <row r="11791" spans="14:14" ht="15" customHeight="1" x14ac:dyDescent="0.25">
      <c r="N11791" t="s">
        <v>715</v>
      </c>
    </row>
    <row r="11792" spans="14:14" ht="15" customHeight="1" x14ac:dyDescent="0.25">
      <c r="N11792" t="s">
        <v>715</v>
      </c>
    </row>
    <row r="11793" spans="14:14" ht="15" customHeight="1" x14ac:dyDescent="0.25">
      <c r="N11793" t="s">
        <v>715</v>
      </c>
    </row>
    <row r="11794" spans="14:14" ht="15" customHeight="1" x14ac:dyDescent="0.25">
      <c r="N11794" t="s">
        <v>715</v>
      </c>
    </row>
    <row r="11795" spans="14:14" ht="15" customHeight="1" x14ac:dyDescent="0.25">
      <c r="N11795" t="s">
        <v>715</v>
      </c>
    </row>
    <row r="11796" spans="14:14" ht="15" customHeight="1" x14ac:dyDescent="0.25">
      <c r="N11796" t="s">
        <v>715</v>
      </c>
    </row>
    <row r="11797" spans="14:14" ht="15" customHeight="1" x14ac:dyDescent="0.25">
      <c r="N11797" t="s">
        <v>715</v>
      </c>
    </row>
    <row r="11798" spans="14:14" ht="15" customHeight="1" x14ac:dyDescent="0.25">
      <c r="N11798" t="s">
        <v>715</v>
      </c>
    </row>
    <row r="11799" spans="14:14" ht="15" customHeight="1" x14ac:dyDescent="0.25">
      <c r="N11799" t="s">
        <v>715</v>
      </c>
    </row>
    <row r="11800" spans="14:14" ht="15" customHeight="1" x14ac:dyDescent="0.25">
      <c r="N11800" t="s">
        <v>715</v>
      </c>
    </row>
    <row r="11801" spans="14:14" ht="15" customHeight="1" x14ac:dyDescent="0.25">
      <c r="N11801" t="s">
        <v>715</v>
      </c>
    </row>
    <row r="11802" spans="14:14" ht="15" customHeight="1" x14ac:dyDescent="0.25">
      <c r="N11802" t="s">
        <v>715</v>
      </c>
    </row>
    <row r="11803" spans="14:14" ht="15" customHeight="1" x14ac:dyDescent="0.25">
      <c r="N11803" t="s">
        <v>715</v>
      </c>
    </row>
    <row r="11804" spans="14:14" ht="15" customHeight="1" x14ac:dyDescent="0.25">
      <c r="N11804" t="s">
        <v>715</v>
      </c>
    </row>
    <row r="11805" spans="14:14" ht="15" customHeight="1" x14ac:dyDescent="0.25">
      <c r="N11805" t="s">
        <v>715</v>
      </c>
    </row>
    <row r="11806" spans="14:14" ht="15" customHeight="1" x14ac:dyDescent="0.25">
      <c r="N11806" t="s">
        <v>715</v>
      </c>
    </row>
    <row r="11807" spans="14:14" ht="15" customHeight="1" x14ac:dyDescent="0.25">
      <c r="N11807" t="s">
        <v>715</v>
      </c>
    </row>
    <row r="11808" spans="14:14" ht="15" customHeight="1" x14ac:dyDescent="0.25">
      <c r="N11808" t="s">
        <v>715</v>
      </c>
    </row>
    <row r="11809" spans="14:14" ht="15" customHeight="1" x14ac:dyDescent="0.25">
      <c r="N11809" t="s">
        <v>715</v>
      </c>
    </row>
    <row r="11810" spans="14:14" ht="15" customHeight="1" x14ac:dyDescent="0.25">
      <c r="N11810" t="s">
        <v>715</v>
      </c>
    </row>
    <row r="11811" spans="14:14" ht="15" customHeight="1" x14ac:dyDescent="0.25">
      <c r="N11811" t="s">
        <v>715</v>
      </c>
    </row>
    <row r="11812" spans="14:14" ht="15" customHeight="1" x14ac:dyDescent="0.25">
      <c r="N11812" t="s">
        <v>715</v>
      </c>
    </row>
    <row r="11813" spans="14:14" ht="15" customHeight="1" x14ac:dyDescent="0.25">
      <c r="N11813" t="s">
        <v>715</v>
      </c>
    </row>
    <row r="11814" spans="14:14" ht="15" customHeight="1" x14ac:dyDescent="0.25">
      <c r="N11814" t="s">
        <v>715</v>
      </c>
    </row>
    <row r="11815" spans="14:14" ht="15" customHeight="1" x14ac:dyDescent="0.25">
      <c r="N11815" t="s">
        <v>689</v>
      </c>
    </row>
    <row r="11816" spans="14:14" ht="15" customHeight="1" x14ac:dyDescent="0.25">
      <c r="N11816" t="s">
        <v>732</v>
      </c>
    </row>
    <row r="11817" spans="14:14" ht="15" customHeight="1" x14ac:dyDescent="0.25">
      <c r="N11817" t="s">
        <v>732</v>
      </c>
    </row>
    <row r="11818" spans="14:14" ht="15" customHeight="1" x14ac:dyDescent="0.25">
      <c r="N11818" t="s">
        <v>732</v>
      </c>
    </row>
    <row r="11819" spans="14:14" ht="15" customHeight="1" x14ac:dyDescent="0.25">
      <c r="N11819" t="s">
        <v>376</v>
      </c>
    </row>
    <row r="11820" spans="14:14" ht="15" customHeight="1" x14ac:dyDescent="0.25">
      <c r="N11820" t="s">
        <v>713</v>
      </c>
    </row>
    <row r="11821" spans="14:14" ht="15" customHeight="1" x14ac:dyDescent="0.25">
      <c r="N11821" t="s">
        <v>411</v>
      </c>
    </row>
    <row r="11822" spans="14:14" ht="15" customHeight="1" x14ac:dyDescent="0.25">
      <c r="N11822" t="s">
        <v>687</v>
      </c>
    </row>
    <row r="11823" spans="14:14" ht="15" customHeight="1" x14ac:dyDescent="0.25">
      <c r="N11823" t="s">
        <v>689</v>
      </c>
    </row>
    <row r="11824" spans="14:14" ht="15" customHeight="1" x14ac:dyDescent="0.25">
      <c r="N11824" t="s">
        <v>715</v>
      </c>
    </row>
    <row r="11825" spans="14:14" ht="15" customHeight="1" x14ac:dyDescent="0.25">
      <c r="N11825" t="s">
        <v>715</v>
      </c>
    </row>
    <row r="11826" spans="14:14" ht="15" customHeight="1" x14ac:dyDescent="0.25">
      <c r="N11826" t="s">
        <v>715</v>
      </c>
    </row>
    <row r="11827" spans="14:14" ht="15" customHeight="1" x14ac:dyDescent="0.25">
      <c r="N11827" t="s">
        <v>715</v>
      </c>
    </row>
    <row r="11828" spans="14:14" ht="15" customHeight="1" x14ac:dyDescent="0.25">
      <c r="N11828" t="s">
        <v>690</v>
      </c>
    </row>
    <row r="11829" spans="14:14" ht="15" customHeight="1" x14ac:dyDescent="0.25">
      <c r="N11829" t="s">
        <v>690</v>
      </c>
    </row>
    <row r="11830" spans="14:14" ht="15" customHeight="1" x14ac:dyDescent="0.25">
      <c r="N11830" t="s">
        <v>930</v>
      </c>
    </row>
    <row r="11831" spans="14:14" ht="15" customHeight="1" x14ac:dyDescent="0.25">
      <c r="N11831" t="s">
        <v>686</v>
      </c>
    </row>
    <row r="11832" spans="14:14" ht="15" customHeight="1" x14ac:dyDescent="0.25">
      <c r="N11832" t="s">
        <v>686</v>
      </c>
    </row>
    <row r="11833" spans="14:14" ht="15" customHeight="1" x14ac:dyDescent="0.25">
      <c r="N11833" t="s">
        <v>636</v>
      </c>
    </row>
    <row r="11834" spans="14:14" ht="15" customHeight="1" x14ac:dyDescent="0.25">
      <c r="N11834" t="s">
        <v>403</v>
      </c>
    </row>
    <row r="11835" spans="14:14" ht="15" customHeight="1" x14ac:dyDescent="0.25">
      <c r="N11835" t="s">
        <v>403</v>
      </c>
    </row>
    <row r="11836" spans="14:14" ht="15" customHeight="1" x14ac:dyDescent="0.25">
      <c r="N11836" t="s">
        <v>403</v>
      </c>
    </row>
    <row r="11837" spans="14:14" ht="15" customHeight="1" x14ac:dyDescent="0.25">
      <c r="N11837" t="s">
        <v>403</v>
      </c>
    </row>
    <row r="11838" spans="14:14" ht="15" customHeight="1" x14ac:dyDescent="0.25">
      <c r="N11838" t="s">
        <v>403</v>
      </c>
    </row>
    <row r="11839" spans="14:14" ht="15" customHeight="1" x14ac:dyDescent="0.25">
      <c r="N11839" t="s">
        <v>403</v>
      </c>
    </row>
    <row r="11840" spans="14:14" ht="15" customHeight="1" x14ac:dyDescent="0.25">
      <c r="N11840" t="s">
        <v>403</v>
      </c>
    </row>
    <row r="11841" spans="14:14" ht="15" customHeight="1" x14ac:dyDescent="0.25">
      <c r="N11841" t="s">
        <v>715</v>
      </c>
    </row>
    <row r="11842" spans="14:14" ht="15" customHeight="1" x14ac:dyDescent="0.25">
      <c r="N11842" t="s">
        <v>698</v>
      </c>
    </row>
    <row r="11843" spans="14:14" ht="15" customHeight="1" x14ac:dyDescent="0.25">
      <c r="N11843" t="s">
        <v>733</v>
      </c>
    </row>
    <row r="11844" spans="14:14" ht="15" customHeight="1" x14ac:dyDescent="0.25">
      <c r="N11844" t="s">
        <v>715</v>
      </c>
    </row>
    <row r="11845" spans="14:14" ht="15" customHeight="1" x14ac:dyDescent="0.25">
      <c r="N11845" t="s">
        <v>715</v>
      </c>
    </row>
    <row r="11846" spans="14:14" ht="15" customHeight="1" x14ac:dyDescent="0.25">
      <c r="N11846" t="s">
        <v>690</v>
      </c>
    </row>
    <row r="11847" spans="14:14" ht="15" customHeight="1" x14ac:dyDescent="0.25">
      <c r="N11847" t="s">
        <v>715</v>
      </c>
    </row>
    <row r="11848" spans="14:14" ht="15" customHeight="1" x14ac:dyDescent="0.25">
      <c r="N11848" t="s">
        <v>732</v>
      </c>
    </row>
    <row r="11849" spans="14:14" ht="15" customHeight="1" x14ac:dyDescent="0.25">
      <c r="N11849" t="s">
        <v>732</v>
      </c>
    </row>
    <row r="11850" spans="14:14" ht="15" customHeight="1" x14ac:dyDescent="0.25">
      <c r="N11850" t="s">
        <v>732</v>
      </c>
    </row>
    <row r="11851" spans="14:14" ht="15" customHeight="1" x14ac:dyDescent="0.25">
      <c r="N11851" t="s">
        <v>955</v>
      </c>
    </row>
    <row r="11852" spans="14:14" ht="15" customHeight="1" x14ac:dyDescent="0.25">
      <c r="N11852" t="s">
        <v>686</v>
      </c>
    </row>
    <row r="11853" spans="14:14" ht="15" customHeight="1" x14ac:dyDescent="0.25">
      <c r="N11853" t="s">
        <v>405</v>
      </c>
    </row>
    <row r="11854" spans="14:14" ht="15" customHeight="1" x14ac:dyDescent="0.25">
      <c r="N11854" t="s">
        <v>687</v>
      </c>
    </row>
    <row r="11855" spans="14:14" ht="15" customHeight="1" x14ac:dyDescent="0.25">
      <c r="N11855" t="s">
        <v>715</v>
      </c>
    </row>
    <row r="11856" spans="14:14" ht="15" customHeight="1" x14ac:dyDescent="0.25">
      <c r="N11856" t="s">
        <v>732</v>
      </c>
    </row>
    <row r="11857" spans="14:14" ht="15" customHeight="1" x14ac:dyDescent="0.25">
      <c r="N11857" t="s">
        <v>686</v>
      </c>
    </row>
    <row r="11858" spans="14:14" ht="15" customHeight="1" x14ac:dyDescent="0.25">
      <c r="N11858" t="s">
        <v>686</v>
      </c>
    </row>
    <row r="11859" spans="14:14" ht="15" customHeight="1" x14ac:dyDescent="0.25">
      <c r="N11859" t="s">
        <v>732</v>
      </c>
    </row>
    <row r="11860" spans="14:14" ht="15" customHeight="1" x14ac:dyDescent="0.25">
      <c r="N11860" t="s">
        <v>732</v>
      </c>
    </row>
    <row r="11861" spans="14:14" ht="15" customHeight="1" x14ac:dyDescent="0.25">
      <c r="N11861" t="s">
        <v>655</v>
      </c>
    </row>
    <row r="11862" spans="14:14" ht="15" customHeight="1" x14ac:dyDescent="0.25">
      <c r="N11862" t="s">
        <v>406</v>
      </c>
    </row>
    <row r="11863" spans="14:14" ht="15" customHeight="1" x14ac:dyDescent="0.25">
      <c r="N11863" t="s">
        <v>634</v>
      </c>
    </row>
    <row r="11864" spans="14:14" ht="15" customHeight="1" x14ac:dyDescent="0.25">
      <c r="N11864" t="s">
        <v>939</v>
      </c>
    </row>
    <row r="11865" spans="14:14" ht="15" customHeight="1" x14ac:dyDescent="0.25">
      <c r="N11865" t="s">
        <v>939</v>
      </c>
    </row>
    <row r="11866" spans="14:14" ht="15" customHeight="1" x14ac:dyDescent="0.25">
      <c r="N11866" t="s">
        <v>939</v>
      </c>
    </row>
    <row r="11867" spans="14:14" ht="15" customHeight="1" x14ac:dyDescent="0.25">
      <c r="N11867" t="s">
        <v>715</v>
      </c>
    </row>
    <row r="11868" spans="14:14" ht="15" customHeight="1" x14ac:dyDescent="0.25">
      <c r="N11868" t="s">
        <v>686</v>
      </c>
    </row>
    <row r="11869" spans="14:14" ht="15" customHeight="1" x14ac:dyDescent="0.25">
      <c r="N11869" t="s">
        <v>686</v>
      </c>
    </row>
    <row r="11870" spans="14:14" ht="15" customHeight="1" x14ac:dyDescent="0.25">
      <c r="N11870" t="s">
        <v>294</v>
      </c>
    </row>
    <row r="11871" spans="14:14" ht="15" customHeight="1" x14ac:dyDescent="0.25">
      <c r="N11871" t="s">
        <v>732</v>
      </c>
    </row>
    <row r="11872" spans="14:14" ht="15" customHeight="1" x14ac:dyDescent="0.25">
      <c r="N11872" t="s">
        <v>732</v>
      </c>
    </row>
    <row r="11873" spans="14:14" ht="15" customHeight="1" x14ac:dyDescent="0.25">
      <c r="N11873" t="s">
        <v>435</v>
      </c>
    </row>
    <row r="11874" spans="14:14" ht="15" customHeight="1" x14ac:dyDescent="0.25">
      <c r="N11874" t="s">
        <v>655</v>
      </c>
    </row>
    <row r="11875" spans="14:14" ht="15" customHeight="1" x14ac:dyDescent="0.25">
      <c r="N11875" t="s">
        <v>732</v>
      </c>
    </row>
    <row r="11876" spans="14:14" ht="15" customHeight="1" x14ac:dyDescent="0.25">
      <c r="N11876" t="s">
        <v>313</v>
      </c>
    </row>
    <row r="11877" spans="14:14" ht="15" customHeight="1" x14ac:dyDescent="0.25">
      <c r="N11877" t="s">
        <v>646</v>
      </c>
    </row>
    <row r="11878" spans="14:14" ht="15" customHeight="1" x14ac:dyDescent="0.25">
      <c r="N11878" t="s">
        <v>683</v>
      </c>
    </row>
    <row r="11879" spans="14:14" ht="15" customHeight="1" x14ac:dyDescent="0.25">
      <c r="N11879" t="s">
        <v>690</v>
      </c>
    </row>
    <row r="11880" spans="14:14" ht="15" customHeight="1" x14ac:dyDescent="0.25">
      <c r="N11880" t="s">
        <v>690</v>
      </c>
    </row>
    <row r="11881" spans="14:14" ht="15" customHeight="1" x14ac:dyDescent="0.25">
      <c r="N11881" t="s">
        <v>690</v>
      </c>
    </row>
    <row r="11882" spans="14:14" ht="15" customHeight="1" x14ac:dyDescent="0.25">
      <c r="N11882" t="s">
        <v>715</v>
      </c>
    </row>
    <row r="11883" spans="14:14" ht="15" customHeight="1" x14ac:dyDescent="0.25">
      <c r="N11883" t="s">
        <v>555</v>
      </c>
    </row>
    <row r="11884" spans="14:14" ht="15" customHeight="1" x14ac:dyDescent="0.25">
      <c r="N11884" t="s">
        <v>458</v>
      </c>
    </row>
    <row r="11885" spans="14:14" ht="15" customHeight="1" x14ac:dyDescent="0.25">
      <c r="N11885" t="s">
        <v>294</v>
      </c>
    </row>
    <row r="11886" spans="14:14" ht="15" customHeight="1" x14ac:dyDescent="0.25">
      <c r="N11886" t="s">
        <v>843</v>
      </c>
    </row>
    <row r="11887" spans="14:14" ht="15" customHeight="1" x14ac:dyDescent="0.25">
      <c r="N11887" t="s">
        <v>843</v>
      </c>
    </row>
    <row r="11888" spans="14:14" ht="15" customHeight="1" x14ac:dyDescent="0.25">
      <c r="N11888" t="s">
        <v>690</v>
      </c>
    </row>
    <row r="11889" spans="14:14" ht="15" customHeight="1" x14ac:dyDescent="0.25">
      <c r="N11889" t="s">
        <v>582</v>
      </c>
    </row>
    <row r="11890" spans="14:14" ht="15" customHeight="1" x14ac:dyDescent="0.25">
      <c r="N11890" t="s">
        <v>698</v>
      </c>
    </row>
    <row r="11891" spans="14:14" ht="15" customHeight="1" x14ac:dyDescent="0.25">
      <c r="N11891" t="s">
        <v>313</v>
      </c>
    </row>
    <row r="11892" spans="14:14" ht="15" customHeight="1" x14ac:dyDescent="0.25">
      <c r="N11892" t="s">
        <v>646</v>
      </c>
    </row>
    <row r="11893" spans="14:14" ht="15" customHeight="1" x14ac:dyDescent="0.25">
      <c r="N11893" t="s">
        <v>636</v>
      </c>
    </row>
    <row r="11894" spans="14:14" ht="15" customHeight="1" x14ac:dyDescent="0.25">
      <c r="N11894" t="s">
        <v>636</v>
      </c>
    </row>
    <row r="11895" spans="14:14" ht="15" customHeight="1" x14ac:dyDescent="0.25">
      <c r="N11895" t="s">
        <v>636</v>
      </c>
    </row>
    <row r="11896" spans="14:14" ht="15" customHeight="1" x14ac:dyDescent="0.25">
      <c r="N11896" t="s">
        <v>636</v>
      </c>
    </row>
    <row r="11897" spans="14:14" ht="15" customHeight="1" x14ac:dyDescent="0.25">
      <c r="N11897" t="s">
        <v>636</v>
      </c>
    </row>
    <row r="11898" spans="14:14" ht="15" customHeight="1" x14ac:dyDescent="0.25">
      <c r="N11898" t="s">
        <v>636</v>
      </c>
    </row>
    <row r="11899" spans="14:14" ht="15" customHeight="1" x14ac:dyDescent="0.25">
      <c r="N11899" t="s">
        <v>636</v>
      </c>
    </row>
    <row r="11900" spans="14:14" ht="15" customHeight="1" x14ac:dyDescent="0.25">
      <c r="N11900" t="s">
        <v>636</v>
      </c>
    </row>
    <row r="11901" spans="14:14" ht="15" customHeight="1" x14ac:dyDescent="0.25">
      <c r="N11901" t="s">
        <v>683</v>
      </c>
    </row>
    <row r="11902" spans="14:14" ht="15" customHeight="1" x14ac:dyDescent="0.25">
      <c r="N11902" t="s">
        <v>294</v>
      </c>
    </row>
    <row r="11903" spans="14:14" ht="15" customHeight="1" x14ac:dyDescent="0.25">
      <c r="N11903" t="s">
        <v>933</v>
      </c>
    </row>
    <row r="11904" spans="14:14" ht="15" customHeight="1" x14ac:dyDescent="0.25">
      <c r="N11904" t="s">
        <v>636</v>
      </c>
    </row>
    <row r="11905" spans="14:14" ht="15" customHeight="1" x14ac:dyDescent="0.25">
      <c r="N11905" t="s">
        <v>448</v>
      </c>
    </row>
    <row r="11906" spans="14:14" ht="15" customHeight="1" x14ac:dyDescent="0.25">
      <c r="N11906" t="s">
        <v>448</v>
      </c>
    </row>
    <row r="11907" spans="14:14" ht="15" customHeight="1" x14ac:dyDescent="0.25">
      <c r="N11907" t="s">
        <v>448</v>
      </c>
    </row>
    <row r="11908" spans="14:14" ht="15" customHeight="1" x14ac:dyDescent="0.25">
      <c r="N11908" t="s">
        <v>448</v>
      </c>
    </row>
    <row r="11909" spans="14:14" ht="15" customHeight="1" x14ac:dyDescent="0.25">
      <c r="N11909" t="s">
        <v>448</v>
      </c>
    </row>
    <row r="11910" spans="14:14" ht="15" customHeight="1" x14ac:dyDescent="0.25">
      <c r="N11910" t="s">
        <v>448</v>
      </c>
    </row>
    <row r="11911" spans="14:14" ht="15" customHeight="1" x14ac:dyDescent="0.25">
      <c r="N11911" t="s">
        <v>448</v>
      </c>
    </row>
    <row r="11912" spans="14:14" ht="15" customHeight="1" x14ac:dyDescent="0.25">
      <c r="N11912" t="s">
        <v>448</v>
      </c>
    </row>
    <row r="11913" spans="14:14" ht="15" customHeight="1" x14ac:dyDescent="0.25">
      <c r="N11913" t="s">
        <v>448</v>
      </c>
    </row>
    <row r="11914" spans="14:14" ht="15" customHeight="1" x14ac:dyDescent="0.25">
      <c r="N11914" t="s">
        <v>448</v>
      </c>
    </row>
    <row r="11915" spans="14:14" ht="15" customHeight="1" x14ac:dyDescent="0.25">
      <c r="N11915" t="s">
        <v>448</v>
      </c>
    </row>
    <row r="11916" spans="14:14" ht="15" customHeight="1" x14ac:dyDescent="0.25">
      <c r="N11916" t="s">
        <v>448</v>
      </c>
    </row>
    <row r="11917" spans="14:14" ht="15" customHeight="1" x14ac:dyDescent="0.25">
      <c r="N11917" t="s">
        <v>448</v>
      </c>
    </row>
    <row r="11918" spans="14:14" ht="15" customHeight="1" x14ac:dyDescent="0.25">
      <c r="N11918" t="s">
        <v>715</v>
      </c>
    </row>
    <row r="11919" spans="14:14" ht="15" customHeight="1" x14ac:dyDescent="0.25">
      <c r="N11919" t="s">
        <v>698</v>
      </c>
    </row>
    <row r="11920" spans="14:14" ht="15" customHeight="1" x14ac:dyDescent="0.25">
      <c r="N11920" t="s">
        <v>605</v>
      </c>
    </row>
    <row r="11921" spans="14:14" ht="15" customHeight="1" x14ac:dyDescent="0.25">
      <c r="N11921" t="s">
        <v>698</v>
      </c>
    </row>
    <row r="11922" spans="14:14" ht="15" customHeight="1" x14ac:dyDescent="0.25">
      <c r="N11922" t="s">
        <v>350</v>
      </c>
    </row>
    <row r="11923" spans="14:14" ht="15" customHeight="1" x14ac:dyDescent="0.25">
      <c r="N11923" t="s">
        <v>294</v>
      </c>
    </row>
    <row r="11924" spans="14:14" ht="15" customHeight="1" x14ac:dyDescent="0.25">
      <c r="N11924" t="s">
        <v>683</v>
      </c>
    </row>
    <row r="11925" spans="14:14" ht="15" customHeight="1" x14ac:dyDescent="0.25">
      <c r="N11925" t="s">
        <v>933</v>
      </c>
    </row>
    <row r="11926" spans="14:14" ht="15" customHeight="1" x14ac:dyDescent="0.25">
      <c r="N11926" t="s">
        <v>663</v>
      </c>
    </row>
    <row r="11927" spans="14:14" ht="15" customHeight="1" x14ac:dyDescent="0.25">
      <c r="N11927" t="s">
        <v>732</v>
      </c>
    </row>
    <row r="11928" spans="14:14" ht="15" customHeight="1" x14ac:dyDescent="0.25">
      <c r="N11928" t="s">
        <v>732</v>
      </c>
    </row>
    <row r="11929" spans="14:14" ht="15" customHeight="1" x14ac:dyDescent="0.25">
      <c r="N11929" t="s">
        <v>732</v>
      </c>
    </row>
    <row r="11930" spans="14:14" ht="15" customHeight="1" x14ac:dyDescent="0.25">
      <c r="N11930" t="s">
        <v>732</v>
      </c>
    </row>
    <row r="11931" spans="14:14" ht="15" customHeight="1" x14ac:dyDescent="0.25">
      <c r="N11931" t="s">
        <v>732</v>
      </c>
    </row>
    <row r="11932" spans="14:14" ht="15" customHeight="1" x14ac:dyDescent="0.25">
      <c r="N11932" t="s">
        <v>732</v>
      </c>
    </row>
    <row r="11933" spans="14:14" ht="15" customHeight="1" x14ac:dyDescent="0.25">
      <c r="N11933" t="s">
        <v>732</v>
      </c>
    </row>
    <row r="11934" spans="14:14" ht="15" customHeight="1" x14ac:dyDescent="0.25">
      <c r="N11934" t="s">
        <v>698</v>
      </c>
    </row>
    <row r="11935" spans="14:14" ht="15" customHeight="1" x14ac:dyDescent="0.25">
      <c r="N11935" t="s">
        <v>690</v>
      </c>
    </row>
    <row r="11936" spans="14:14" ht="15" customHeight="1" x14ac:dyDescent="0.25">
      <c r="N11936" t="s">
        <v>683</v>
      </c>
    </row>
    <row r="11937" spans="14:14" ht="15" customHeight="1" x14ac:dyDescent="0.25">
      <c r="N11937" t="s">
        <v>636</v>
      </c>
    </row>
    <row r="11938" spans="14:14" ht="15" customHeight="1" x14ac:dyDescent="0.25">
      <c r="N11938" t="s">
        <v>955</v>
      </c>
    </row>
    <row r="11939" spans="14:14" ht="15" customHeight="1" x14ac:dyDescent="0.25">
      <c r="N11939" t="s">
        <v>294</v>
      </c>
    </row>
    <row r="11940" spans="14:14" ht="15" customHeight="1" x14ac:dyDescent="0.25">
      <c r="N11940" t="s">
        <v>313</v>
      </c>
    </row>
    <row r="11941" spans="14:14" ht="15" customHeight="1" x14ac:dyDescent="0.25">
      <c r="N11941" t="s">
        <v>313</v>
      </c>
    </row>
    <row r="11942" spans="14:14" ht="15" customHeight="1" x14ac:dyDescent="0.25">
      <c r="N11942" t="s">
        <v>313</v>
      </c>
    </row>
    <row r="11943" spans="14:14" ht="15" customHeight="1" x14ac:dyDescent="0.25">
      <c r="N11943" t="s">
        <v>313</v>
      </c>
    </row>
    <row r="11944" spans="14:14" ht="15" customHeight="1" x14ac:dyDescent="0.25">
      <c r="N11944" t="s">
        <v>313</v>
      </c>
    </row>
    <row r="11945" spans="14:14" ht="15" customHeight="1" x14ac:dyDescent="0.25">
      <c r="N11945" t="s">
        <v>313</v>
      </c>
    </row>
    <row r="11946" spans="14:14" ht="15" customHeight="1" x14ac:dyDescent="0.25">
      <c r="N11946" t="s">
        <v>313</v>
      </c>
    </row>
    <row r="11947" spans="14:14" ht="15" customHeight="1" x14ac:dyDescent="0.25">
      <c r="N11947" t="s">
        <v>634</v>
      </c>
    </row>
    <row r="11948" spans="14:14" ht="15" customHeight="1" x14ac:dyDescent="0.25">
      <c r="N11948" t="s">
        <v>499</v>
      </c>
    </row>
    <row r="11949" spans="14:14" ht="15" customHeight="1" x14ac:dyDescent="0.25">
      <c r="N11949" t="s">
        <v>683</v>
      </c>
    </row>
    <row r="11950" spans="14:14" ht="15" customHeight="1" x14ac:dyDescent="0.25">
      <c r="N11950" t="s">
        <v>934</v>
      </c>
    </row>
    <row r="11951" spans="14:14" ht="15" customHeight="1" x14ac:dyDescent="0.25">
      <c r="N11951" t="s">
        <v>732</v>
      </c>
    </row>
    <row r="11952" spans="14:14" ht="15" customHeight="1" x14ac:dyDescent="0.25">
      <c r="N11952" t="s">
        <v>820</v>
      </c>
    </row>
    <row r="11953" spans="14:14" ht="15" customHeight="1" x14ac:dyDescent="0.25">
      <c r="N11953" t="s">
        <v>294</v>
      </c>
    </row>
    <row r="11954" spans="14:14" ht="15" customHeight="1" x14ac:dyDescent="0.25">
      <c r="N11954" t="s">
        <v>636</v>
      </c>
    </row>
    <row r="11955" spans="14:14" ht="15" customHeight="1" x14ac:dyDescent="0.25">
      <c r="N11955" t="s">
        <v>313</v>
      </c>
    </row>
    <row r="11956" spans="14:14" ht="15" customHeight="1" x14ac:dyDescent="0.25">
      <c r="N11956" t="s">
        <v>683</v>
      </c>
    </row>
    <row r="11957" spans="14:14" ht="15" customHeight="1" x14ac:dyDescent="0.25">
      <c r="N11957" t="s">
        <v>579</v>
      </c>
    </row>
    <row r="11958" spans="14:14" ht="15" customHeight="1" x14ac:dyDescent="0.25">
      <c r="N11958" t="s">
        <v>843</v>
      </c>
    </row>
    <row r="11959" spans="14:14" ht="15" customHeight="1" x14ac:dyDescent="0.25">
      <c r="N11959" t="s">
        <v>844</v>
      </c>
    </row>
    <row r="11960" spans="14:14" ht="15" customHeight="1" x14ac:dyDescent="0.25">
      <c r="N11960" t="s">
        <v>895</v>
      </c>
    </row>
    <row r="11961" spans="14:14" ht="15" customHeight="1" x14ac:dyDescent="0.25">
      <c r="N11961" t="s">
        <v>663</v>
      </c>
    </row>
    <row r="11962" spans="14:14" ht="15" customHeight="1" x14ac:dyDescent="0.25">
      <c r="N11962" t="s">
        <v>955</v>
      </c>
    </row>
    <row r="11963" spans="14:14" ht="15" customHeight="1" x14ac:dyDescent="0.25">
      <c r="N11963" t="s">
        <v>732</v>
      </c>
    </row>
    <row r="11964" spans="14:14" ht="15" customHeight="1" x14ac:dyDescent="0.25">
      <c r="N11964" t="s">
        <v>895</v>
      </c>
    </row>
    <row r="11965" spans="14:14" ht="15" customHeight="1" x14ac:dyDescent="0.25">
      <c r="N11965" t="s">
        <v>732</v>
      </c>
    </row>
    <row r="11966" spans="14:14" ht="15" customHeight="1" x14ac:dyDescent="0.25">
      <c r="N11966" t="s">
        <v>313</v>
      </c>
    </row>
    <row r="11967" spans="14:14" ht="15" customHeight="1" x14ac:dyDescent="0.25">
      <c r="N11967" t="s">
        <v>463</v>
      </c>
    </row>
    <row r="11968" spans="14:14" ht="15" customHeight="1" x14ac:dyDescent="0.25">
      <c r="N11968" t="s">
        <v>732</v>
      </c>
    </row>
    <row r="11969" spans="14:14" ht="15" customHeight="1" x14ac:dyDescent="0.25">
      <c r="N11969" t="s">
        <v>654</v>
      </c>
    </row>
    <row r="11970" spans="14:14" ht="15" customHeight="1" x14ac:dyDescent="0.25">
      <c r="N11970" t="s">
        <v>844</v>
      </c>
    </row>
    <row r="11971" spans="14:14" ht="15" customHeight="1" x14ac:dyDescent="0.25">
      <c r="N11971" t="s">
        <v>732</v>
      </c>
    </row>
    <row r="11972" spans="14:14" ht="15" customHeight="1" x14ac:dyDescent="0.25">
      <c r="N11972" t="s">
        <v>313</v>
      </c>
    </row>
    <row r="11973" spans="14:14" ht="15" customHeight="1" x14ac:dyDescent="0.25">
      <c r="N11973" t="s">
        <v>732</v>
      </c>
    </row>
    <row r="11974" spans="14:14" ht="15" customHeight="1" x14ac:dyDescent="0.25">
      <c r="N11974" t="s">
        <v>934</v>
      </c>
    </row>
    <row r="11975" spans="14:14" ht="15" customHeight="1" x14ac:dyDescent="0.25">
      <c r="N11975" t="s">
        <v>713</v>
      </c>
    </row>
    <row r="11976" spans="14:14" ht="15" customHeight="1" x14ac:dyDescent="0.25">
      <c r="N11976" t="s">
        <v>934</v>
      </c>
    </row>
    <row r="11977" spans="14:14" ht="15" customHeight="1" x14ac:dyDescent="0.25">
      <c r="N11977" t="s">
        <v>579</v>
      </c>
    </row>
    <row r="11978" spans="14:14" ht="15" customHeight="1" x14ac:dyDescent="0.25">
      <c r="N11978" t="s">
        <v>663</v>
      </c>
    </row>
    <row r="11979" spans="14:14" ht="15" customHeight="1" x14ac:dyDescent="0.25">
      <c r="N11979" t="s">
        <v>732</v>
      </c>
    </row>
    <row r="11980" spans="14:14" ht="15" customHeight="1" x14ac:dyDescent="0.25">
      <c r="N11980" t="s">
        <v>355</v>
      </c>
    </row>
    <row r="11981" spans="14:14" ht="15" customHeight="1" x14ac:dyDescent="0.25">
      <c r="N11981" t="s">
        <v>732</v>
      </c>
    </row>
    <row r="11982" spans="14:14" ht="15" customHeight="1" x14ac:dyDescent="0.25">
      <c r="N11982" t="s">
        <v>654</v>
      </c>
    </row>
    <row r="11983" spans="14:14" ht="15" customHeight="1" x14ac:dyDescent="0.25">
      <c r="N11983" t="s">
        <v>485</v>
      </c>
    </row>
    <row r="11984" spans="14:14" ht="15" customHeight="1" x14ac:dyDescent="0.25">
      <c r="N11984" t="s">
        <v>363</v>
      </c>
    </row>
    <row r="11985" spans="14:14" ht="15" customHeight="1" x14ac:dyDescent="0.25">
      <c r="N11985" t="s">
        <v>732</v>
      </c>
    </row>
    <row r="11986" spans="14:14" ht="15" customHeight="1" x14ac:dyDescent="0.25">
      <c r="N11986" t="s">
        <v>732</v>
      </c>
    </row>
    <row r="11987" spans="14:14" ht="15" customHeight="1" x14ac:dyDescent="0.25">
      <c r="N11987" t="s">
        <v>713</v>
      </c>
    </row>
    <row r="11988" spans="14:14" ht="15" customHeight="1" x14ac:dyDescent="0.25">
      <c r="N11988" t="s">
        <v>685</v>
      </c>
    </row>
    <row r="11989" spans="14:14" ht="15" customHeight="1" x14ac:dyDescent="0.25">
      <c r="N11989" t="s">
        <v>713</v>
      </c>
    </row>
    <row r="11990" spans="14:14" ht="15" customHeight="1" x14ac:dyDescent="0.25">
      <c r="N11990" t="s">
        <v>687</v>
      </c>
    </row>
    <row r="11991" spans="14:14" ht="15" customHeight="1" x14ac:dyDescent="0.25">
      <c r="N11991" t="s">
        <v>313</v>
      </c>
    </row>
    <row r="11992" spans="14:14" ht="15" customHeight="1" x14ac:dyDescent="0.25">
      <c r="N11992" t="s">
        <v>670</v>
      </c>
    </row>
    <row r="11993" spans="14:14" ht="15" customHeight="1" x14ac:dyDescent="0.25">
      <c r="N11993" t="s">
        <v>732</v>
      </c>
    </row>
    <row r="11994" spans="14:14" ht="15" customHeight="1" x14ac:dyDescent="0.25">
      <c r="N11994" t="s">
        <v>524</v>
      </c>
    </row>
    <row r="11995" spans="14:14" ht="15" customHeight="1" x14ac:dyDescent="0.25">
      <c r="N11995" t="s">
        <v>663</v>
      </c>
    </row>
    <row r="11996" spans="14:14" ht="15" customHeight="1" x14ac:dyDescent="0.25">
      <c r="N11996" t="s">
        <v>732</v>
      </c>
    </row>
    <row r="11997" spans="14:14" ht="15" customHeight="1" x14ac:dyDescent="0.25">
      <c r="N11997" t="s">
        <v>732</v>
      </c>
    </row>
    <row r="11998" spans="14:14" ht="15" customHeight="1" x14ac:dyDescent="0.25">
      <c r="N11998" t="s">
        <v>732</v>
      </c>
    </row>
    <row r="11999" spans="14:14" ht="15" customHeight="1" x14ac:dyDescent="0.25">
      <c r="N11999" t="s">
        <v>732</v>
      </c>
    </row>
    <row r="12000" spans="14:14" ht="15" customHeight="1" x14ac:dyDescent="0.25">
      <c r="N12000" t="s">
        <v>732</v>
      </c>
    </row>
    <row r="12001" spans="14:14" ht="15" customHeight="1" x14ac:dyDescent="0.25">
      <c r="N12001" t="s">
        <v>732</v>
      </c>
    </row>
    <row r="12002" spans="14:14" ht="15" customHeight="1" x14ac:dyDescent="0.25">
      <c r="N12002" t="s">
        <v>732</v>
      </c>
    </row>
    <row r="12003" spans="14:14" ht="15" customHeight="1" x14ac:dyDescent="0.25">
      <c r="N12003" t="s">
        <v>732</v>
      </c>
    </row>
    <row r="12004" spans="14:14" ht="15" customHeight="1" x14ac:dyDescent="0.25">
      <c r="N12004" t="s">
        <v>732</v>
      </c>
    </row>
    <row r="12005" spans="14:14" ht="15" customHeight="1" x14ac:dyDescent="0.25">
      <c r="N12005" t="s">
        <v>732</v>
      </c>
    </row>
    <row r="12006" spans="14:14" ht="15" customHeight="1" x14ac:dyDescent="0.25">
      <c r="N12006" t="s">
        <v>732</v>
      </c>
    </row>
    <row r="12007" spans="14:14" ht="15" customHeight="1" x14ac:dyDescent="0.25">
      <c r="N12007" t="s">
        <v>732</v>
      </c>
    </row>
    <row r="12008" spans="14:14" ht="15" customHeight="1" x14ac:dyDescent="0.25">
      <c r="N12008" t="s">
        <v>732</v>
      </c>
    </row>
    <row r="12009" spans="14:14" ht="15" customHeight="1" x14ac:dyDescent="0.25">
      <c r="N12009" t="s">
        <v>313</v>
      </c>
    </row>
    <row r="12010" spans="14:14" ht="15" customHeight="1" x14ac:dyDescent="0.25">
      <c r="N12010" t="s">
        <v>582</v>
      </c>
    </row>
    <row r="12011" spans="14:14" ht="15" customHeight="1" x14ac:dyDescent="0.25">
      <c r="N12011" t="s">
        <v>582</v>
      </c>
    </row>
    <row r="12012" spans="14:14" ht="15" customHeight="1" x14ac:dyDescent="0.25">
      <c r="N12012" t="s">
        <v>582</v>
      </c>
    </row>
    <row r="12013" spans="14:14" ht="15" customHeight="1" x14ac:dyDescent="0.25">
      <c r="N12013" t="s">
        <v>582</v>
      </c>
    </row>
    <row r="12014" spans="14:14" ht="15" customHeight="1" x14ac:dyDescent="0.25">
      <c r="N12014" t="s">
        <v>582</v>
      </c>
    </row>
    <row r="12015" spans="14:14" ht="15" customHeight="1" x14ac:dyDescent="0.25">
      <c r="N12015" t="s">
        <v>582</v>
      </c>
    </row>
    <row r="12016" spans="14:14" ht="15" customHeight="1" x14ac:dyDescent="0.25">
      <c r="N12016" t="s">
        <v>582</v>
      </c>
    </row>
    <row r="12017" spans="14:14" ht="15" customHeight="1" x14ac:dyDescent="0.25">
      <c r="N12017" t="s">
        <v>582</v>
      </c>
    </row>
    <row r="12018" spans="14:14" ht="15" customHeight="1" x14ac:dyDescent="0.25">
      <c r="N12018" t="s">
        <v>582</v>
      </c>
    </row>
    <row r="12019" spans="14:14" ht="15" customHeight="1" x14ac:dyDescent="0.25">
      <c r="N12019" t="s">
        <v>582</v>
      </c>
    </row>
    <row r="12020" spans="14:14" ht="15" customHeight="1" x14ac:dyDescent="0.25">
      <c r="N12020" t="s">
        <v>582</v>
      </c>
    </row>
    <row r="12021" spans="14:14" ht="15" customHeight="1" x14ac:dyDescent="0.25">
      <c r="N12021" t="s">
        <v>582</v>
      </c>
    </row>
    <row r="12022" spans="14:14" ht="15" customHeight="1" x14ac:dyDescent="0.25">
      <c r="N12022" t="s">
        <v>582</v>
      </c>
    </row>
    <row r="12023" spans="14:14" ht="15" customHeight="1" x14ac:dyDescent="0.25">
      <c r="N12023" t="s">
        <v>582</v>
      </c>
    </row>
    <row r="12024" spans="14:14" ht="15" customHeight="1" x14ac:dyDescent="0.25">
      <c r="N12024" t="s">
        <v>313</v>
      </c>
    </row>
    <row r="12025" spans="14:14" ht="15" customHeight="1" x14ac:dyDescent="0.25">
      <c r="N12025" t="s">
        <v>732</v>
      </c>
    </row>
    <row r="12026" spans="14:14" ht="15" customHeight="1" x14ac:dyDescent="0.25">
      <c r="N12026" t="s">
        <v>68</v>
      </c>
    </row>
    <row r="12027" spans="14:14" ht="15" customHeight="1" x14ac:dyDescent="0.25">
      <c r="N12027" t="s">
        <v>313</v>
      </c>
    </row>
    <row r="12028" spans="14:14" ht="15" customHeight="1" x14ac:dyDescent="0.25">
      <c r="N12028" t="s">
        <v>696</v>
      </c>
    </row>
    <row r="12029" spans="14:14" ht="15" customHeight="1" x14ac:dyDescent="0.25">
      <c r="N12029" t="s">
        <v>304</v>
      </c>
    </row>
    <row r="12030" spans="14:14" ht="15" customHeight="1" x14ac:dyDescent="0.25">
      <c r="N12030" t="s">
        <v>685</v>
      </c>
    </row>
    <row r="12031" spans="14:14" ht="15" customHeight="1" x14ac:dyDescent="0.25">
      <c r="N12031" t="s">
        <v>370</v>
      </c>
    </row>
    <row r="12032" spans="14:14" ht="15" customHeight="1" x14ac:dyDescent="0.25">
      <c r="N12032" t="s">
        <v>698</v>
      </c>
    </row>
    <row r="12033" spans="14:14" ht="15" customHeight="1" x14ac:dyDescent="0.25">
      <c r="N12033" t="s">
        <v>715</v>
      </c>
    </row>
    <row r="12034" spans="14:14" ht="15" customHeight="1" x14ac:dyDescent="0.25">
      <c r="N12034" t="s">
        <v>582</v>
      </c>
    </row>
    <row r="12035" spans="14:14" ht="15" customHeight="1" x14ac:dyDescent="0.25">
      <c r="N12035" t="s">
        <v>732</v>
      </c>
    </row>
    <row r="12036" spans="14:14" ht="15" customHeight="1" x14ac:dyDescent="0.25">
      <c r="N12036" t="s">
        <v>684</v>
      </c>
    </row>
    <row r="12037" spans="14:14" ht="15" customHeight="1" x14ac:dyDescent="0.25">
      <c r="N12037" t="s">
        <v>732</v>
      </c>
    </row>
    <row r="12038" spans="14:14" ht="15" customHeight="1" x14ac:dyDescent="0.25">
      <c r="N12038" t="s">
        <v>732</v>
      </c>
    </row>
    <row r="12039" spans="14:14" ht="15" customHeight="1" x14ac:dyDescent="0.25">
      <c r="N12039" t="s">
        <v>732</v>
      </c>
    </row>
    <row r="12040" spans="14:14" ht="15" customHeight="1" x14ac:dyDescent="0.25">
      <c r="N12040" t="s">
        <v>732</v>
      </c>
    </row>
    <row r="12041" spans="14:14" ht="15" customHeight="1" x14ac:dyDescent="0.25">
      <c r="N12041" t="s">
        <v>732</v>
      </c>
    </row>
    <row r="12042" spans="14:14" ht="15" customHeight="1" x14ac:dyDescent="0.25">
      <c r="N12042" t="s">
        <v>732</v>
      </c>
    </row>
    <row r="12043" spans="14:14" ht="15" customHeight="1" x14ac:dyDescent="0.25">
      <c r="N12043" t="s">
        <v>732</v>
      </c>
    </row>
    <row r="12044" spans="14:14" ht="15" customHeight="1" x14ac:dyDescent="0.25">
      <c r="N12044" t="s">
        <v>732</v>
      </c>
    </row>
    <row r="12045" spans="14:14" ht="15" customHeight="1" x14ac:dyDescent="0.25">
      <c r="N12045" t="s">
        <v>734</v>
      </c>
    </row>
    <row r="12046" spans="14:14" ht="15" customHeight="1" x14ac:dyDescent="0.25">
      <c r="N12046" t="s">
        <v>689</v>
      </c>
    </row>
    <row r="12047" spans="14:14" ht="15" customHeight="1" x14ac:dyDescent="0.25">
      <c r="N12047" t="s">
        <v>715</v>
      </c>
    </row>
    <row r="12048" spans="14:14" ht="15" customHeight="1" x14ac:dyDescent="0.25">
      <c r="N12048" t="s">
        <v>732</v>
      </c>
    </row>
    <row r="12049" spans="14:14" ht="15" customHeight="1" x14ac:dyDescent="0.25">
      <c r="N12049" t="s">
        <v>732</v>
      </c>
    </row>
    <row r="12050" spans="14:14" ht="15" customHeight="1" x14ac:dyDescent="0.25">
      <c r="N12050" t="s">
        <v>732</v>
      </c>
    </row>
    <row r="12051" spans="14:14" ht="15" customHeight="1" x14ac:dyDescent="0.25">
      <c r="N12051" t="s">
        <v>732</v>
      </c>
    </row>
    <row r="12052" spans="14:14" ht="15" customHeight="1" x14ac:dyDescent="0.25">
      <c r="N12052" t="s">
        <v>732</v>
      </c>
    </row>
    <row r="12053" spans="14:14" ht="15" customHeight="1" x14ac:dyDescent="0.25">
      <c r="N12053" t="s">
        <v>732</v>
      </c>
    </row>
    <row r="12054" spans="14:14" ht="15" customHeight="1" x14ac:dyDescent="0.25">
      <c r="N12054" t="s">
        <v>732</v>
      </c>
    </row>
    <row r="12055" spans="14:14" ht="15" customHeight="1" x14ac:dyDescent="0.25">
      <c r="N12055" t="s">
        <v>732</v>
      </c>
    </row>
    <row r="12056" spans="14:14" ht="15" customHeight="1" x14ac:dyDescent="0.25">
      <c r="N12056" t="s">
        <v>732</v>
      </c>
    </row>
    <row r="12057" spans="14:14" ht="15" customHeight="1" x14ac:dyDescent="0.25">
      <c r="N12057" t="s">
        <v>732</v>
      </c>
    </row>
    <row r="12058" spans="14:14" ht="15" customHeight="1" x14ac:dyDescent="0.25">
      <c r="N12058" t="s">
        <v>732</v>
      </c>
    </row>
    <row r="12059" spans="14:14" ht="15" customHeight="1" x14ac:dyDescent="0.25">
      <c r="N12059" t="s">
        <v>732</v>
      </c>
    </row>
    <row r="12060" spans="14:14" ht="15" customHeight="1" x14ac:dyDescent="0.25">
      <c r="N12060" t="s">
        <v>732</v>
      </c>
    </row>
    <row r="12061" spans="14:14" ht="15" customHeight="1" x14ac:dyDescent="0.25">
      <c r="N12061" t="s">
        <v>732</v>
      </c>
    </row>
    <row r="12062" spans="14:14" ht="15" customHeight="1" x14ac:dyDescent="0.25">
      <c r="N12062" t="s">
        <v>732</v>
      </c>
    </row>
    <row r="12063" spans="14:14" ht="15" customHeight="1" x14ac:dyDescent="0.25">
      <c r="N12063" t="s">
        <v>732</v>
      </c>
    </row>
    <row r="12064" spans="14:14" ht="15" customHeight="1" x14ac:dyDescent="0.25">
      <c r="N12064" t="s">
        <v>732</v>
      </c>
    </row>
    <row r="12065" spans="14:14" ht="15" customHeight="1" x14ac:dyDescent="0.25">
      <c r="N12065" t="s">
        <v>732</v>
      </c>
    </row>
    <row r="12066" spans="14:14" ht="15" customHeight="1" x14ac:dyDescent="0.25">
      <c r="N12066" t="s">
        <v>732</v>
      </c>
    </row>
    <row r="12067" spans="14:14" ht="15" customHeight="1" x14ac:dyDescent="0.25">
      <c r="N12067" t="s">
        <v>732</v>
      </c>
    </row>
    <row r="12068" spans="14:14" ht="15" customHeight="1" x14ac:dyDescent="0.25">
      <c r="N12068" t="s">
        <v>732</v>
      </c>
    </row>
    <row r="12069" spans="14:14" ht="15" customHeight="1" x14ac:dyDescent="0.25">
      <c r="N12069" t="s">
        <v>732</v>
      </c>
    </row>
    <row r="12070" spans="14:14" ht="15" customHeight="1" x14ac:dyDescent="0.25">
      <c r="N12070" t="s">
        <v>732</v>
      </c>
    </row>
    <row r="12071" spans="14:14" ht="15" customHeight="1" x14ac:dyDescent="0.25">
      <c r="N12071" t="s">
        <v>732</v>
      </c>
    </row>
    <row r="12072" spans="14:14" ht="15" customHeight="1" x14ac:dyDescent="0.25">
      <c r="N12072" t="s">
        <v>732</v>
      </c>
    </row>
    <row r="12073" spans="14:14" ht="15" customHeight="1" x14ac:dyDescent="0.25">
      <c r="N12073" t="s">
        <v>732</v>
      </c>
    </row>
    <row r="12074" spans="14:14" ht="15" customHeight="1" x14ac:dyDescent="0.25">
      <c r="N12074" t="s">
        <v>732</v>
      </c>
    </row>
    <row r="12075" spans="14:14" ht="15" customHeight="1" x14ac:dyDescent="0.25">
      <c r="N12075" t="s">
        <v>603</v>
      </c>
    </row>
    <row r="12076" spans="14:14" ht="15" customHeight="1" x14ac:dyDescent="0.25">
      <c r="N12076" t="s">
        <v>732</v>
      </c>
    </row>
    <row r="12077" spans="14:14" ht="15" customHeight="1" x14ac:dyDescent="0.25">
      <c r="N12077" t="s">
        <v>654</v>
      </c>
    </row>
    <row r="12078" spans="14:14" ht="15" customHeight="1" x14ac:dyDescent="0.25">
      <c r="N12078" t="s">
        <v>685</v>
      </c>
    </row>
    <row r="12079" spans="14:14" ht="15" customHeight="1" x14ac:dyDescent="0.25">
      <c r="N12079" t="s">
        <v>313</v>
      </c>
    </row>
    <row r="12080" spans="14:14" ht="15" customHeight="1" x14ac:dyDescent="0.25">
      <c r="N12080" t="s">
        <v>685</v>
      </c>
    </row>
    <row r="12081" spans="14:14" ht="15" customHeight="1" x14ac:dyDescent="0.25">
      <c r="N12081" t="s">
        <v>732</v>
      </c>
    </row>
    <row r="12082" spans="14:14" ht="15" customHeight="1" x14ac:dyDescent="0.25">
      <c r="N12082" t="s">
        <v>732</v>
      </c>
    </row>
    <row r="12083" spans="14:14" ht="15" customHeight="1" x14ac:dyDescent="0.25">
      <c r="N12083" t="s">
        <v>582</v>
      </c>
    </row>
    <row r="12084" spans="14:14" ht="15" customHeight="1" x14ac:dyDescent="0.25">
      <c r="N12084" t="s">
        <v>751</v>
      </c>
    </row>
    <row r="12085" spans="14:14" ht="15" customHeight="1" x14ac:dyDescent="0.25">
      <c r="N12085" t="s">
        <v>690</v>
      </c>
    </row>
    <row r="12086" spans="14:14" ht="15" customHeight="1" x14ac:dyDescent="0.25">
      <c r="N12086" t="s">
        <v>690</v>
      </c>
    </row>
    <row r="12087" spans="14:14" ht="15" customHeight="1" x14ac:dyDescent="0.25">
      <c r="N12087" t="s">
        <v>690</v>
      </c>
    </row>
    <row r="12088" spans="14:14" ht="15" customHeight="1" x14ac:dyDescent="0.25">
      <c r="N12088" t="s">
        <v>690</v>
      </c>
    </row>
    <row r="12089" spans="14:14" ht="15" customHeight="1" x14ac:dyDescent="0.25">
      <c r="N12089" t="s">
        <v>313</v>
      </c>
    </row>
    <row r="12090" spans="14:14" ht="15" customHeight="1" x14ac:dyDescent="0.25">
      <c r="N12090" t="s">
        <v>732</v>
      </c>
    </row>
    <row r="12091" spans="14:14" ht="15" customHeight="1" x14ac:dyDescent="0.25">
      <c r="N12091" t="s">
        <v>732</v>
      </c>
    </row>
    <row r="12092" spans="14:14" ht="15" customHeight="1" x14ac:dyDescent="0.25">
      <c r="N12092" t="s">
        <v>732</v>
      </c>
    </row>
    <row r="12093" spans="14:14" ht="15" customHeight="1" x14ac:dyDescent="0.25">
      <c r="N12093" t="s">
        <v>732</v>
      </c>
    </row>
    <row r="12094" spans="14:14" ht="15" customHeight="1" x14ac:dyDescent="0.25">
      <c r="N12094" t="s">
        <v>732</v>
      </c>
    </row>
    <row r="12095" spans="14:14" ht="15" customHeight="1" x14ac:dyDescent="0.25">
      <c r="N12095" t="s">
        <v>732</v>
      </c>
    </row>
    <row r="12096" spans="14:14" ht="15" customHeight="1" x14ac:dyDescent="0.25">
      <c r="N12096" t="s">
        <v>732</v>
      </c>
    </row>
    <row r="12097" spans="14:14" ht="15" customHeight="1" x14ac:dyDescent="0.25">
      <c r="N12097" t="s">
        <v>732</v>
      </c>
    </row>
    <row r="12098" spans="14:14" ht="15" customHeight="1" x14ac:dyDescent="0.25">
      <c r="N12098" t="s">
        <v>732</v>
      </c>
    </row>
    <row r="12099" spans="14:14" ht="15" customHeight="1" x14ac:dyDescent="0.25">
      <c r="N12099" t="s">
        <v>732</v>
      </c>
    </row>
    <row r="12100" spans="14:14" ht="15" customHeight="1" x14ac:dyDescent="0.25">
      <c r="N12100" t="s">
        <v>732</v>
      </c>
    </row>
    <row r="12101" spans="14:14" ht="15" customHeight="1" x14ac:dyDescent="0.25">
      <c r="N12101" t="s">
        <v>732</v>
      </c>
    </row>
    <row r="12102" spans="14:14" ht="15" customHeight="1" x14ac:dyDescent="0.25">
      <c r="N12102" t="s">
        <v>732</v>
      </c>
    </row>
    <row r="12103" spans="14:14" ht="15" customHeight="1" x14ac:dyDescent="0.25">
      <c r="N12103" t="s">
        <v>68</v>
      </c>
    </row>
    <row r="12104" spans="14:14" ht="15" customHeight="1" x14ac:dyDescent="0.25">
      <c r="N12104" t="s">
        <v>68</v>
      </c>
    </row>
    <row r="12105" spans="14:14" ht="15" customHeight="1" x14ac:dyDescent="0.25">
      <c r="N12105" t="s">
        <v>68</v>
      </c>
    </row>
    <row r="12106" spans="14:14" ht="15" customHeight="1" x14ac:dyDescent="0.25">
      <c r="N12106" t="s">
        <v>68</v>
      </c>
    </row>
    <row r="12107" spans="14:14" ht="15" customHeight="1" x14ac:dyDescent="0.25">
      <c r="N12107" t="s">
        <v>68</v>
      </c>
    </row>
    <row r="12108" spans="14:14" ht="15" customHeight="1" x14ac:dyDescent="0.25">
      <c r="N12108" t="s">
        <v>68</v>
      </c>
    </row>
    <row r="12109" spans="14:14" ht="15" customHeight="1" x14ac:dyDescent="0.25">
      <c r="N12109" t="s">
        <v>68</v>
      </c>
    </row>
    <row r="12110" spans="14:14" ht="15" customHeight="1" x14ac:dyDescent="0.25">
      <c r="N12110" t="s">
        <v>735</v>
      </c>
    </row>
    <row r="12111" spans="14:14" ht="15" customHeight="1" x14ac:dyDescent="0.25">
      <c r="N12111" t="s">
        <v>735</v>
      </c>
    </row>
    <row r="12112" spans="14:14" ht="15" customHeight="1" x14ac:dyDescent="0.25">
      <c r="N12112" t="s">
        <v>735</v>
      </c>
    </row>
    <row r="12113" spans="14:14" ht="15" customHeight="1" x14ac:dyDescent="0.25">
      <c r="N12113" t="s">
        <v>735</v>
      </c>
    </row>
    <row r="12114" spans="14:14" ht="15" customHeight="1" x14ac:dyDescent="0.25">
      <c r="N12114" t="s">
        <v>735</v>
      </c>
    </row>
    <row r="12115" spans="14:14" ht="15" customHeight="1" x14ac:dyDescent="0.25">
      <c r="N12115" t="s">
        <v>68</v>
      </c>
    </row>
    <row r="12116" spans="14:14" ht="15" customHeight="1" x14ac:dyDescent="0.25">
      <c r="N12116" t="s">
        <v>732</v>
      </c>
    </row>
    <row r="12117" spans="14:14" ht="15" customHeight="1" x14ac:dyDescent="0.25">
      <c r="N12117" t="s">
        <v>313</v>
      </c>
    </row>
    <row r="12118" spans="14:14" ht="15" customHeight="1" x14ac:dyDescent="0.25">
      <c r="N12118" t="s">
        <v>304</v>
      </c>
    </row>
    <row r="12119" spans="14:14" ht="15" customHeight="1" x14ac:dyDescent="0.25">
      <c r="N12119" t="s">
        <v>675</v>
      </c>
    </row>
    <row r="12120" spans="14:14" ht="15" customHeight="1" x14ac:dyDescent="0.25">
      <c r="N12120" t="s">
        <v>646</v>
      </c>
    </row>
    <row r="12121" spans="14:14" ht="15" customHeight="1" x14ac:dyDescent="0.25">
      <c r="N12121" t="s">
        <v>684</v>
      </c>
    </row>
    <row r="12122" spans="14:14" ht="15" customHeight="1" x14ac:dyDescent="0.25">
      <c r="N12122" t="s">
        <v>732</v>
      </c>
    </row>
    <row r="12123" spans="14:14" ht="15" customHeight="1" x14ac:dyDescent="0.25">
      <c r="N12123" t="s">
        <v>715</v>
      </c>
    </row>
    <row r="12124" spans="14:14" ht="15" customHeight="1" x14ac:dyDescent="0.25">
      <c r="N12124" t="s">
        <v>732</v>
      </c>
    </row>
    <row r="12125" spans="14:14" ht="15" customHeight="1" x14ac:dyDescent="0.25">
      <c r="N12125" t="s">
        <v>732</v>
      </c>
    </row>
    <row r="12126" spans="14:14" ht="15" customHeight="1" x14ac:dyDescent="0.25">
      <c r="N12126" t="s">
        <v>732</v>
      </c>
    </row>
    <row r="12127" spans="14:14" ht="15" customHeight="1" x14ac:dyDescent="0.25">
      <c r="N12127" t="s">
        <v>732</v>
      </c>
    </row>
    <row r="12128" spans="14:14" ht="15" customHeight="1" x14ac:dyDescent="0.25">
      <c r="N12128" t="s">
        <v>732</v>
      </c>
    </row>
    <row r="12129" spans="14:14" ht="15" customHeight="1" x14ac:dyDescent="0.25">
      <c r="N12129" t="s">
        <v>732</v>
      </c>
    </row>
    <row r="12130" spans="14:14" ht="15" customHeight="1" x14ac:dyDescent="0.25">
      <c r="N12130" t="s">
        <v>732</v>
      </c>
    </row>
    <row r="12131" spans="14:14" ht="15" customHeight="1" x14ac:dyDescent="0.25">
      <c r="N12131" t="s">
        <v>732</v>
      </c>
    </row>
    <row r="12132" spans="14:14" ht="15" customHeight="1" x14ac:dyDescent="0.25">
      <c r="N12132" t="s">
        <v>732</v>
      </c>
    </row>
    <row r="12133" spans="14:14" ht="15" customHeight="1" x14ac:dyDescent="0.25">
      <c r="N12133" t="s">
        <v>732</v>
      </c>
    </row>
    <row r="12134" spans="14:14" ht="15" customHeight="1" x14ac:dyDescent="0.25">
      <c r="N12134" t="s">
        <v>732</v>
      </c>
    </row>
    <row r="12135" spans="14:14" ht="15" customHeight="1" x14ac:dyDescent="0.25">
      <c r="N12135" t="s">
        <v>732</v>
      </c>
    </row>
    <row r="12136" spans="14:14" ht="15" customHeight="1" x14ac:dyDescent="0.25">
      <c r="N12136" t="s">
        <v>732</v>
      </c>
    </row>
    <row r="12137" spans="14:14" ht="15" customHeight="1" x14ac:dyDescent="0.25">
      <c r="N12137" t="s">
        <v>732</v>
      </c>
    </row>
    <row r="12138" spans="14:14" ht="15" customHeight="1" x14ac:dyDescent="0.25">
      <c r="N12138" t="s">
        <v>732</v>
      </c>
    </row>
    <row r="12139" spans="14:14" ht="15" customHeight="1" x14ac:dyDescent="0.25">
      <c r="N12139" t="s">
        <v>732</v>
      </c>
    </row>
    <row r="12140" spans="14:14" ht="15" customHeight="1" x14ac:dyDescent="0.25">
      <c r="N12140" t="s">
        <v>732</v>
      </c>
    </row>
    <row r="12141" spans="14:14" ht="15" customHeight="1" x14ac:dyDescent="0.25">
      <c r="N12141" t="s">
        <v>732</v>
      </c>
    </row>
    <row r="12142" spans="14:14" ht="15" customHeight="1" x14ac:dyDescent="0.25">
      <c r="N12142" t="s">
        <v>732</v>
      </c>
    </row>
    <row r="12143" spans="14:14" ht="15" customHeight="1" x14ac:dyDescent="0.25">
      <c r="N12143" t="s">
        <v>732</v>
      </c>
    </row>
    <row r="12144" spans="14:14" ht="15" customHeight="1" x14ac:dyDescent="0.25">
      <c r="N12144" t="s">
        <v>732</v>
      </c>
    </row>
    <row r="12145" spans="14:14" ht="15" customHeight="1" x14ac:dyDescent="0.25">
      <c r="N12145" t="s">
        <v>732</v>
      </c>
    </row>
    <row r="12146" spans="14:14" ht="15" customHeight="1" x14ac:dyDescent="0.25">
      <c r="N12146" t="s">
        <v>732</v>
      </c>
    </row>
    <row r="12147" spans="14:14" ht="15" customHeight="1" x14ac:dyDescent="0.25">
      <c r="N12147" t="s">
        <v>732</v>
      </c>
    </row>
    <row r="12148" spans="14:14" ht="15" customHeight="1" x14ac:dyDescent="0.25">
      <c r="N12148" t="s">
        <v>732</v>
      </c>
    </row>
    <row r="12149" spans="14:14" ht="15" customHeight="1" x14ac:dyDescent="0.25">
      <c r="N12149" t="s">
        <v>732</v>
      </c>
    </row>
    <row r="12150" spans="14:14" ht="15" customHeight="1" x14ac:dyDescent="0.25">
      <c r="N12150" t="s">
        <v>732</v>
      </c>
    </row>
    <row r="12151" spans="14:14" ht="15" customHeight="1" x14ac:dyDescent="0.25">
      <c r="N12151" t="s">
        <v>558</v>
      </c>
    </row>
    <row r="12152" spans="14:14" ht="15" customHeight="1" x14ac:dyDescent="0.25">
      <c r="N12152" t="s">
        <v>670</v>
      </c>
    </row>
    <row r="12153" spans="14:14" ht="15" customHeight="1" x14ac:dyDescent="0.25">
      <c r="N12153" t="s">
        <v>669</v>
      </c>
    </row>
    <row r="12154" spans="14:14" ht="15" customHeight="1" x14ac:dyDescent="0.25">
      <c r="N12154" t="s">
        <v>669</v>
      </c>
    </row>
    <row r="12155" spans="14:14" ht="15" customHeight="1" x14ac:dyDescent="0.25">
      <c r="N12155" t="s">
        <v>669</v>
      </c>
    </row>
    <row r="12156" spans="14:14" ht="15" customHeight="1" x14ac:dyDescent="0.25">
      <c r="N12156" t="s">
        <v>669</v>
      </c>
    </row>
    <row r="12157" spans="14:14" ht="15" customHeight="1" x14ac:dyDescent="0.25">
      <c r="N12157" t="s">
        <v>732</v>
      </c>
    </row>
    <row r="12158" spans="14:14" ht="15" customHeight="1" x14ac:dyDescent="0.25">
      <c r="N12158" t="s">
        <v>690</v>
      </c>
    </row>
    <row r="12159" spans="14:14" ht="15" customHeight="1" x14ac:dyDescent="0.25">
      <c r="N12159" t="s">
        <v>690</v>
      </c>
    </row>
    <row r="12160" spans="14:14" ht="15" customHeight="1" x14ac:dyDescent="0.25">
      <c r="N12160" t="s">
        <v>690</v>
      </c>
    </row>
    <row r="12161" spans="14:14" ht="15" customHeight="1" x14ac:dyDescent="0.25">
      <c r="N12161" t="s">
        <v>690</v>
      </c>
    </row>
    <row r="12162" spans="14:14" ht="15" customHeight="1" x14ac:dyDescent="0.25">
      <c r="N12162" t="s">
        <v>313</v>
      </c>
    </row>
    <row r="12163" spans="14:14" ht="15" customHeight="1" x14ac:dyDescent="0.25">
      <c r="N12163" t="s">
        <v>675</v>
      </c>
    </row>
    <row r="12164" spans="14:14" ht="15" customHeight="1" x14ac:dyDescent="0.25">
      <c r="N12164" t="s">
        <v>689</v>
      </c>
    </row>
    <row r="12165" spans="14:14" ht="15" customHeight="1" x14ac:dyDescent="0.25">
      <c r="N12165" t="s">
        <v>715</v>
      </c>
    </row>
    <row r="12166" spans="14:14" ht="15" customHeight="1" x14ac:dyDescent="0.25">
      <c r="N12166" t="s">
        <v>732</v>
      </c>
    </row>
    <row r="12167" spans="14:14" ht="15" customHeight="1" x14ac:dyDescent="0.25">
      <c r="N12167" t="s">
        <v>732</v>
      </c>
    </row>
    <row r="12168" spans="14:14" ht="15" customHeight="1" x14ac:dyDescent="0.25">
      <c r="N12168" t="s">
        <v>732</v>
      </c>
    </row>
    <row r="12169" spans="14:14" ht="15" customHeight="1" x14ac:dyDescent="0.25">
      <c r="N12169" t="s">
        <v>732</v>
      </c>
    </row>
    <row r="12170" spans="14:14" ht="15" customHeight="1" x14ac:dyDescent="0.25">
      <c r="N12170" t="s">
        <v>732</v>
      </c>
    </row>
    <row r="12171" spans="14:14" ht="15" customHeight="1" x14ac:dyDescent="0.25">
      <c r="N12171" t="s">
        <v>732</v>
      </c>
    </row>
    <row r="12172" spans="14:14" ht="15" customHeight="1" x14ac:dyDescent="0.25">
      <c r="N12172" t="s">
        <v>732</v>
      </c>
    </row>
    <row r="12173" spans="14:14" ht="15" customHeight="1" x14ac:dyDescent="0.25">
      <c r="N12173" t="s">
        <v>732</v>
      </c>
    </row>
    <row r="12174" spans="14:14" ht="15" customHeight="1" x14ac:dyDescent="0.25">
      <c r="N12174" t="s">
        <v>732</v>
      </c>
    </row>
    <row r="12175" spans="14:14" ht="15" customHeight="1" x14ac:dyDescent="0.25">
      <c r="N12175" t="s">
        <v>732</v>
      </c>
    </row>
    <row r="12176" spans="14:14" ht="15" customHeight="1" x14ac:dyDescent="0.25">
      <c r="N12176" t="s">
        <v>732</v>
      </c>
    </row>
    <row r="12177" spans="14:14" ht="15" customHeight="1" x14ac:dyDescent="0.25">
      <c r="N12177" t="s">
        <v>732</v>
      </c>
    </row>
    <row r="12178" spans="14:14" ht="15" customHeight="1" x14ac:dyDescent="0.25">
      <c r="N12178" t="s">
        <v>732</v>
      </c>
    </row>
    <row r="12179" spans="14:14" ht="15" customHeight="1" x14ac:dyDescent="0.25">
      <c r="N12179" t="s">
        <v>732</v>
      </c>
    </row>
    <row r="12180" spans="14:14" ht="15" customHeight="1" x14ac:dyDescent="0.25">
      <c r="N12180" t="s">
        <v>732</v>
      </c>
    </row>
    <row r="12181" spans="14:14" ht="15" customHeight="1" x14ac:dyDescent="0.25">
      <c r="N12181" t="s">
        <v>732</v>
      </c>
    </row>
    <row r="12182" spans="14:14" ht="15" customHeight="1" x14ac:dyDescent="0.25">
      <c r="N12182" t="s">
        <v>732</v>
      </c>
    </row>
    <row r="12183" spans="14:14" ht="15" customHeight="1" x14ac:dyDescent="0.25">
      <c r="N12183" t="s">
        <v>732</v>
      </c>
    </row>
    <row r="12184" spans="14:14" ht="15" customHeight="1" x14ac:dyDescent="0.25">
      <c r="N12184" t="s">
        <v>732</v>
      </c>
    </row>
    <row r="12185" spans="14:14" ht="15" customHeight="1" x14ac:dyDescent="0.25">
      <c r="N12185" t="s">
        <v>732</v>
      </c>
    </row>
    <row r="12186" spans="14:14" ht="15" customHeight="1" x14ac:dyDescent="0.25">
      <c r="N12186" t="s">
        <v>732</v>
      </c>
    </row>
    <row r="12187" spans="14:14" ht="15" customHeight="1" x14ac:dyDescent="0.25">
      <c r="N12187" t="s">
        <v>732</v>
      </c>
    </row>
    <row r="12188" spans="14:14" ht="15" customHeight="1" x14ac:dyDescent="0.25">
      <c r="N12188" t="s">
        <v>732</v>
      </c>
    </row>
    <row r="12189" spans="14:14" ht="15" customHeight="1" x14ac:dyDescent="0.25">
      <c r="N12189" t="s">
        <v>732</v>
      </c>
    </row>
    <row r="12190" spans="14:14" ht="15" customHeight="1" x14ac:dyDescent="0.25">
      <c r="N12190" t="s">
        <v>732</v>
      </c>
    </row>
    <row r="12191" spans="14:14" ht="15" customHeight="1" x14ac:dyDescent="0.25">
      <c r="N12191" t="s">
        <v>732</v>
      </c>
    </row>
    <row r="12192" spans="14:14" ht="15" customHeight="1" x14ac:dyDescent="0.25">
      <c r="N12192" t="s">
        <v>685</v>
      </c>
    </row>
    <row r="12193" spans="14:14" ht="15" customHeight="1" x14ac:dyDescent="0.25">
      <c r="N12193" t="s">
        <v>670</v>
      </c>
    </row>
    <row r="12194" spans="14:14" ht="15" customHeight="1" x14ac:dyDescent="0.25">
      <c r="N12194" t="s">
        <v>669</v>
      </c>
    </row>
    <row r="12195" spans="14:14" ht="15" customHeight="1" x14ac:dyDescent="0.25">
      <c r="N12195" t="s">
        <v>669</v>
      </c>
    </row>
    <row r="12196" spans="14:14" ht="15" customHeight="1" x14ac:dyDescent="0.25">
      <c r="N12196" t="s">
        <v>669</v>
      </c>
    </row>
    <row r="12197" spans="14:14" ht="15" customHeight="1" x14ac:dyDescent="0.25">
      <c r="N12197" t="s">
        <v>669</v>
      </c>
    </row>
    <row r="12198" spans="14:14" ht="15" customHeight="1" x14ac:dyDescent="0.25">
      <c r="N12198" t="s">
        <v>732</v>
      </c>
    </row>
    <row r="12199" spans="14:14" ht="15" customHeight="1" x14ac:dyDescent="0.25">
      <c r="N12199" t="s">
        <v>689</v>
      </c>
    </row>
    <row r="12200" spans="14:14" ht="15" customHeight="1" x14ac:dyDescent="0.25">
      <c r="N12200" t="s">
        <v>889</v>
      </c>
    </row>
    <row r="12201" spans="14:14" ht="15" customHeight="1" x14ac:dyDescent="0.25">
      <c r="N12201" t="s">
        <v>889</v>
      </c>
    </row>
    <row r="12202" spans="14:14" ht="15" customHeight="1" x14ac:dyDescent="0.25">
      <c r="N12202" t="s">
        <v>889</v>
      </c>
    </row>
    <row r="12203" spans="14:14" ht="15" customHeight="1" x14ac:dyDescent="0.25">
      <c r="N12203" t="s">
        <v>686</v>
      </c>
    </row>
    <row r="12204" spans="14:14" ht="15" customHeight="1" x14ac:dyDescent="0.25">
      <c r="N12204" t="s">
        <v>670</v>
      </c>
    </row>
    <row r="12205" spans="14:14" ht="15" customHeight="1" x14ac:dyDescent="0.25">
      <c r="N12205" t="s">
        <v>370</v>
      </c>
    </row>
    <row r="12206" spans="14:14" ht="15" customHeight="1" x14ac:dyDescent="0.25">
      <c r="N12206" t="s">
        <v>732</v>
      </c>
    </row>
    <row r="12207" spans="14:14" ht="15" customHeight="1" x14ac:dyDescent="0.25">
      <c r="N12207" t="s">
        <v>714</v>
      </c>
    </row>
    <row r="12208" spans="14:14" ht="15" customHeight="1" x14ac:dyDescent="0.25">
      <c r="N12208" t="s">
        <v>889</v>
      </c>
    </row>
    <row r="12209" spans="14:14" ht="15" customHeight="1" x14ac:dyDescent="0.25">
      <c r="N12209" t="s">
        <v>889</v>
      </c>
    </row>
    <row r="12210" spans="14:14" ht="15" customHeight="1" x14ac:dyDescent="0.25">
      <c r="N12210" t="s">
        <v>304</v>
      </c>
    </row>
    <row r="12211" spans="14:14" ht="15" customHeight="1" x14ac:dyDescent="0.25">
      <c r="N12211" t="s">
        <v>669</v>
      </c>
    </row>
    <row r="12212" spans="14:14" ht="15" customHeight="1" x14ac:dyDescent="0.25">
      <c r="N12212" t="s">
        <v>951</v>
      </c>
    </row>
    <row r="12213" spans="14:14" ht="15" customHeight="1" x14ac:dyDescent="0.25">
      <c r="N12213" t="s">
        <v>732</v>
      </c>
    </row>
    <row r="12214" spans="14:14" ht="15" customHeight="1" x14ac:dyDescent="0.25">
      <c r="N12214" t="s">
        <v>488</v>
      </c>
    </row>
    <row r="12215" spans="14:14" ht="15" customHeight="1" x14ac:dyDescent="0.25">
      <c r="N12215" t="s">
        <v>715</v>
      </c>
    </row>
    <row r="12216" spans="14:14" ht="15" customHeight="1" x14ac:dyDescent="0.25">
      <c r="N12216" t="s">
        <v>582</v>
      </c>
    </row>
    <row r="12217" spans="14:14" ht="15" customHeight="1" x14ac:dyDescent="0.25">
      <c r="N12217" t="s">
        <v>714</v>
      </c>
    </row>
    <row r="12218" spans="14:14" ht="15" customHeight="1" x14ac:dyDescent="0.25">
      <c r="N12218" t="s">
        <v>714</v>
      </c>
    </row>
    <row r="12219" spans="14:14" ht="15" customHeight="1" x14ac:dyDescent="0.25">
      <c r="N12219" t="s">
        <v>714</v>
      </c>
    </row>
    <row r="12220" spans="14:14" ht="15" customHeight="1" x14ac:dyDescent="0.25">
      <c r="N12220" t="s">
        <v>714</v>
      </c>
    </row>
    <row r="12221" spans="14:14" ht="15" customHeight="1" x14ac:dyDescent="0.25">
      <c r="N12221" t="s">
        <v>714</v>
      </c>
    </row>
    <row r="12222" spans="14:14" ht="15" customHeight="1" x14ac:dyDescent="0.25">
      <c r="N12222" t="s">
        <v>714</v>
      </c>
    </row>
    <row r="12223" spans="14:14" ht="15" customHeight="1" x14ac:dyDescent="0.25">
      <c r="N12223" t="s">
        <v>714</v>
      </c>
    </row>
    <row r="12224" spans="14:14" ht="15" customHeight="1" x14ac:dyDescent="0.25">
      <c r="N12224" t="s">
        <v>714</v>
      </c>
    </row>
    <row r="12225" spans="14:14" ht="15" customHeight="1" x14ac:dyDescent="0.25">
      <c r="N12225" t="s">
        <v>715</v>
      </c>
    </row>
    <row r="12226" spans="14:14" ht="15" customHeight="1" x14ac:dyDescent="0.25">
      <c r="N12226" t="s">
        <v>714</v>
      </c>
    </row>
    <row r="12227" spans="14:14" ht="15" customHeight="1" x14ac:dyDescent="0.25">
      <c r="N12227" t="s">
        <v>732</v>
      </c>
    </row>
    <row r="12228" spans="14:14" ht="15" customHeight="1" x14ac:dyDescent="0.25">
      <c r="N12228" t="s">
        <v>732</v>
      </c>
    </row>
    <row r="12229" spans="14:14" ht="15" customHeight="1" x14ac:dyDescent="0.25">
      <c r="N12229" t="s">
        <v>732</v>
      </c>
    </row>
    <row r="12230" spans="14:14" ht="15" customHeight="1" x14ac:dyDescent="0.25">
      <c r="N12230" t="s">
        <v>732</v>
      </c>
    </row>
    <row r="12231" spans="14:14" ht="15" customHeight="1" x14ac:dyDescent="0.25">
      <c r="N12231" t="s">
        <v>732</v>
      </c>
    </row>
    <row r="12232" spans="14:14" ht="15" customHeight="1" x14ac:dyDescent="0.25">
      <c r="N12232" t="s">
        <v>732</v>
      </c>
    </row>
    <row r="12233" spans="14:14" ht="15" customHeight="1" x14ac:dyDescent="0.25">
      <c r="N12233" t="s">
        <v>732</v>
      </c>
    </row>
    <row r="12234" spans="14:14" ht="15" customHeight="1" x14ac:dyDescent="0.25">
      <c r="N12234" t="s">
        <v>732</v>
      </c>
    </row>
    <row r="12235" spans="14:14" ht="15" customHeight="1" x14ac:dyDescent="0.25">
      <c r="N12235" t="s">
        <v>732</v>
      </c>
    </row>
    <row r="12236" spans="14:14" ht="15" customHeight="1" x14ac:dyDescent="0.25">
      <c r="N12236" t="s">
        <v>732</v>
      </c>
    </row>
    <row r="12237" spans="14:14" ht="15" customHeight="1" x14ac:dyDescent="0.25">
      <c r="N12237" t="s">
        <v>732</v>
      </c>
    </row>
    <row r="12238" spans="14:14" ht="15" customHeight="1" x14ac:dyDescent="0.25">
      <c r="N12238" t="s">
        <v>732</v>
      </c>
    </row>
    <row r="12239" spans="14:14" ht="15" customHeight="1" x14ac:dyDescent="0.25">
      <c r="N12239" t="s">
        <v>732</v>
      </c>
    </row>
    <row r="12240" spans="14:14" ht="15" customHeight="1" x14ac:dyDescent="0.25">
      <c r="N12240" t="s">
        <v>605</v>
      </c>
    </row>
    <row r="12241" spans="14:14" ht="15" customHeight="1" x14ac:dyDescent="0.25">
      <c r="N12241" t="s">
        <v>690</v>
      </c>
    </row>
    <row r="12242" spans="14:14" ht="15" customHeight="1" x14ac:dyDescent="0.25">
      <c r="N12242" t="s">
        <v>828</v>
      </c>
    </row>
    <row r="12243" spans="14:14" ht="15" customHeight="1" x14ac:dyDescent="0.25">
      <c r="N12243" t="s">
        <v>714</v>
      </c>
    </row>
    <row r="12244" spans="14:14" ht="15" customHeight="1" x14ac:dyDescent="0.25">
      <c r="N12244" t="s">
        <v>642</v>
      </c>
    </row>
    <row r="12245" spans="14:14" ht="15" customHeight="1" x14ac:dyDescent="0.25">
      <c r="N12245" t="s">
        <v>642</v>
      </c>
    </row>
    <row r="12246" spans="14:14" ht="15" customHeight="1" x14ac:dyDescent="0.25">
      <c r="N12246" t="s">
        <v>642</v>
      </c>
    </row>
    <row r="12247" spans="14:14" ht="15" customHeight="1" x14ac:dyDescent="0.25">
      <c r="N12247" t="s">
        <v>642</v>
      </c>
    </row>
    <row r="12248" spans="14:14" ht="15" customHeight="1" x14ac:dyDescent="0.25">
      <c r="N12248" t="s">
        <v>642</v>
      </c>
    </row>
    <row r="12249" spans="14:14" ht="15" customHeight="1" x14ac:dyDescent="0.25">
      <c r="N12249" t="s">
        <v>642</v>
      </c>
    </row>
    <row r="12250" spans="14:14" ht="15" customHeight="1" x14ac:dyDescent="0.25">
      <c r="N12250" t="s">
        <v>642</v>
      </c>
    </row>
    <row r="12251" spans="14:14" ht="15" customHeight="1" x14ac:dyDescent="0.25">
      <c r="N12251" t="s">
        <v>304</v>
      </c>
    </row>
    <row r="12252" spans="14:14" ht="15" customHeight="1" x14ac:dyDescent="0.25">
      <c r="N12252" t="s">
        <v>732</v>
      </c>
    </row>
    <row r="12253" spans="14:14" ht="15" customHeight="1" x14ac:dyDescent="0.25">
      <c r="N12253" t="s">
        <v>923</v>
      </c>
    </row>
    <row r="12254" spans="14:14" ht="15" customHeight="1" x14ac:dyDescent="0.25">
      <c r="N12254" t="s">
        <v>582</v>
      </c>
    </row>
    <row r="12255" spans="14:14" ht="15" customHeight="1" x14ac:dyDescent="0.25">
      <c r="N12255" t="s">
        <v>582</v>
      </c>
    </row>
    <row r="12256" spans="14:14" ht="15" customHeight="1" x14ac:dyDescent="0.25">
      <c r="N12256" t="s">
        <v>582</v>
      </c>
    </row>
    <row r="12257" spans="14:14" ht="15" customHeight="1" x14ac:dyDescent="0.25">
      <c r="N12257" t="s">
        <v>582</v>
      </c>
    </row>
    <row r="12258" spans="14:14" ht="15" customHeight="1" x14ac:dyDescent="0.25">
      <c r="N12258" t="s">
        <v>582</v>
      </c>
    </row>
    <row r="12259" spans="14:14" ht="15" customHeight="1" x14ac:dyDescent="0.25">
      <c r="N12259" t="s">
        <v>582</v>
      </c>
    </row>
    <row r="12260" spans="14:14" ht="15" customHeight="1" x14ac:dyDescent="0.25">
      <c r="N12260" t="s">
        <v>582</v>
      </c>
    </row>
    <row r="12261" spans="14:14" ht="15" customHeight="1" x14ac:dyDescent="0.25">
      <c r="N12261" t="s">
        <v>684</v>
      </c>
    </row>
    <row r="12262" spans="14:14" ht="15" customHeight="1" x14ac:dyDescent="0.25">
      <c r="N12262" t="s">
        <v>927</v>
      </c>
    </row>
    <row r="12263" spans="14:14" ht="15" customHeight="1" x14ac:dyDescent="0.25">
      <c r="N12263" t="s">
        <v>714</v>
      </c>
    </row>
    <row r="12264" spans="14:14" ht="15" customHeight="1" x14ac:dyDescent="0.25">
      <c r="N12264" t="s">
        <v>687</v>
      </c>
    </row>
    <row r="12265" spans="14:14" ht="15" customHeight="1" x14ac:dyDescent="0.25">
      <c r="N12265" t="s">
        <v>715</v>
      </c>
    </row>
    <row r="12266" spans="14:14" ht="15" customHeight="1" x14ac:dyDescent="0.25">
      <c r="N12266" t="s">
        <v>638</v>
      </c>
    </row>
    <row r="12267" spans="14:14" ht="15" customHeight="1" x14ac:dyDescent="0.25">
      <c r="N12267" t="s">
        <v>828</v>
      </c>
    </row>
    <row r="12268" spans="14:14" ht="15" customHeight="1" x14ac:dyDescent="0.25">
      <c r="N12268" t="s">
        <v>642</v>
      </c>
    </row>
    <row r="12269" spans="14:14" ht="15" customHeight="1" x14ac:dyDescent="0.25">
      <c r="N12269" t="s">
        <v>732</v>
      </c>
    </row>
    <row r="12270" spans="14:14" ht="15" customHeight="1" x14ac:dyDescent="0.25">
      <c r="N12270" t="s">
        <v>889</v>
      </c>
    </row>
    <row r="12271" spans="14:14" ht="15" customHeight="1" x14ac:dyDescent="0.25">
      <c r="N12271" t="s">
        <v>935</v>
      </c>
    </row>
    <row r="12272" spans="14:14" ht="15" customHeight="1" x14ac:dyDescent="0.25">
      <c r="N12272" t="s">
        <v>889</v>
      </c>
    </row>
    <row r="12273" spans="14:14" ht="15" customHeight="1" x14ac:dyDescent="0.25">
      <c r="N12273" t="s">
        <v>935</v>
      </c>
    </row>
    <row r="12274" spans="14:14" ht="15" customHeight="1" x14ac:dyDescent="0.25">
      <c r="N12274" t="s">
        <v>714</v>
      </c>
    </row>
    <row r="12275" spans="14:14" ht="15" customHeight="1" x14ac:dyDescent="0.25">
      <c r="N12275" t="s">
        <v>638</v>
      </c>
    </row>
    <row r="12276" spans="14:14" ht="15" customHeight="1" x14ac:dyDescent="0.25">
      <c r="N12276" t="s">
        <v>714</v>
      </c>
    </row>
    <row r="12277" spans="14:14" ht="15" customHeight="1" x14ac:dyDescent="0.25">
      <c r="N12277" t="s">
        <v>638</v>
      </c>
    </row>
    <row r="12278" spans="14:14" ht="15" customHeight="1" x14ac:dyDescent="0.25">
      <c r="N12278" t="s">
        <v>751</v>
      </c>
    </row>
    <row r="12279" spans="14:14" ht="15" customHeight="1" x14ac:dyDescent="0.25">
      <c r="N12279" t="s">
        <v>689</v>
      </c>
    </row>
    <row r="12280" spans="14:14" ht="15" customHeight="1" x14ac:dyDescent="0.25">
      <c r="N12280" t="s">
        <v>751</v>
      </c>
    </row>
    <row r="12281" spans="14:14" ht="15" customHeight="1" x14ac:dyDescent="0.25">
      <c r="N12281" t="s">
        <v>706</v>
      </c>
    </row>
    <row r="12282" spans="14:14" ht="15" customHeight="1" x14ac:dyDescent="0.25">
      <c r="N12282" t="s">
        <v>706</v>
      </c>
    </row>
    <row r="12283" spans="14:14" ht="15" customHeight="1" x14ac:dyDescent="0.25">
      <c r="N12283" t="s">
        <v>706</v>
      </c>
    </row>
    <row r="12284" spans="14:14" ht="15" customHeight="1" x14ac:dyDescent="0.25">
      <c r="N12284" t="s">
        <v>706</v>
      </c>
    </row>
    <row r="12285" spans="14:14" ht="15" customHeight="1" x14ac:dyDescent="0.25">
      <c r="N12285" t="s">
        <v>706</v>
      </c>
    </row>
    <row r="12286" spans="14:14" ht="15" customHeight="1" x14ac:dyDescent="0.25">
      <c r="N12286" t="s">
        <v>706</v>
      </c>
    </row>
    <row r="12287" spans="14:14" ht="15" customHeight="1" x14ac:dyDescent="0.25">
      <c r="N12287" t="s">
        <v>706</v>
      </c>
    </row>
    <row r="12288" spans="14:14" ht="15" customHeight="1" x14ac:dyDescent="0.25">
      <c r="N12288" t="s">
        <v>706</v>
      </c>
    </row>
    <row r="12289" spans="14:14" ht="15" customHeight="1" x14ac:dyDescent="0.25">
      <c r="N12289" t="s">
        <v>706</v>
      </c>
    </row>
    <row r="12290" spans="14:14" ht="15" customHeight="1" x14ac:dyDescent="0.25">
      <c r="N12290" t="s">
        <v>706</v>
      </c>
    </row>
    <row r="12291" spans="14:14" ht="15" customHeight="1" x14ac:dyDescent="0.25">
      <c r="N12291" t="s">
        <v>706</v>
      </c>
    </row>
    <row r="12292" spans="14:14" ht="15" customHeight="1" x14ac:dyDescent="0.25">
      <c r="N12292" t="s">
        <v>706</v>
      </c>
    </row>
    <row r="12293" spans="14:14" ht="15" customHeight="1" x14ac:dyDescent="0.25">
      <c r="N12293" t="s">
        <v>706</v>
      </c>
    </row>
    <row r="12294" spans="14:14" ht="15" customHeight="1" x14ac:dyDescent="0.25">
      <c r="N12294" t="s">
        <v>68</v>
      </c>
    </row>
    <row r="12295" spans="14:14" ht="15" customHeight="1" x14ac:dyDescent="0.25">
      <c r="N12295" t="s">
        <v>68</v>
      </c>
    </row>
    <row r="12296" spans="14:14" ht="15" customHeight="1" x14ac:dyDescent="0.25">
      <c r="N12296" t="s">
        <v>68</v>
      </c>
    </row>
    <row r="12297" spans="14:14" ht="15" customHeight="1" x14ac:dyDescent="0.25">
      <c r="N12297" t="s">
        <v>68</v>
      </c>
    </row>
    <row r="12298" spans="14:14" ht="15" customHeight="1" x14ac:dyDescent="0.25">
      <c r="N12298" t="s">
        <v>68</v>
      </c>
    </row>
    <row r="12299" spans="14:14" ht="15" customHeight="1" x14ac:dyDescent="0.25">
      <c r="N12299" t="s">
        <v>68</v>
      </c>
    </row>
    <row r="12300" spans="14:14" ht="15" customHeight="1" x14ac:dyDescent="0.25">
      <c r="N12300" t="s">
        <v>68</v>
      </c>
    </row>
    <row r="12301" spans="14:14" ht="15" customHeight="1" x14ac:dyDescent="0.25">
      <c r="N12301" t="s">
        <v>68</v>
      </c>
    </row>
    <row r="12302" spans="14:14" ht="15" customHeight="1" x14ac:dyDescent="0.25">
      <c r="N12302" t="s">
        <v>68</v>
      </c>
    </row>
    <row r="12303" spans="14:14" ht="15" customHeight="1" x14ac:dyDescent="0.25">
      <c r="N12303" t="s">
        <v>68</v>
      </c>
    </row>
    <row r="12304" spans="14:14" ht="15" customHeight="1" x14ac:dyDescent="0.25">
      <c r="N12304" t="s">
        <v>68</v>
      </c>
    </row>
    <row r="12305" spans="14:14" ht="15" customHeight="1" x14ac:dyDescent="0.25">
      <c r="N12305" t="s">
        <v>68</v>
      </c>
    </row>
    <row r="12306" spans="14:14" ht="15" customHeight="1" x14ac:dyDescent="0.25">
      <c r="N12306" t="s">
        <v>68</v>
      </c>
    </row>
    <row r="12307" spans="14:14" ht="15" customHeight="1" x14ac:dyDescent="0.25">
      <c r="N12307" t="s">
        <v>68</v>
      </c>
    </row>
    <row r="12308" spans="14:14" ht="15" customHeight="1" x14ac:dyDescent="0.25">
      <c r="N12308" t="s">
        <v>68</v>
      </c>
    </row>
    <row r="12309" spans="14:14" ht="15" customHeight="1" x14ac:dyDescent="0.25">
      <c r="N12309" t="s">
        <v>582</v>
      </c>
    </row>
    <row r="12310" spans="14:14" ht="15" customHeight="1" x14ac:dyDescent="0.25">
      <c r="N12310" t="s">
        <v>622</v>
      </c>
    </row>
    <row r="12311" spans="14:14" ht="15" customHeight="1" x14ac:dyDescent="0.25">
      <c r="N12311" t="s">
        <v>675</v>
      </c>
    </row>
    <row r="12312" spans="14:14" ht="15" customHeight="1" x14ac:dyDescent="0.25">
      <c r="N12312" t="s">
        <v>675</v>
      </c>
    </row>
    <row r="12313" spans="14:14" ht="15" customHeight="1" x14ac:dyDescent="0.25">
      <c r="N12313" t="s">
        <v>675</v>
      </c>
    </row>
    <row r="12314" spans="14:14" ht="15" customHeight="1" x14ac:dyDescent="0.25">
      <c r="N12314" t="s">
        <v>675</v>
      </c>
    </row>
    <row r="12315" spans="14:14" ht="15" customHeight="1" x14ac:dyDescent="0.25">
      <c r="N12315" t="s">
        <v>675</v>
      </c>
    </row>
    <row r="12316" spans="14:14" ht="15" customHeight="1" x14ac:dyDescent="0.25">
      <c r="N12316" t="s">
        <v>675</v>
      </c>
    </row>
    <row r="12317" spans="14:14" ht="15" customHeight="1" x14ac:dyDescent="0.25">
      <c r="N12317" t="s">
        <v>675</v>
      </c>
    </row>
    <row r="12318" spans="14:14" ht="15" customHeight="1" x14ac:dyDescent="0.25">
      <c r="N12318" t="s">
        <v>675</v>
      </c>
    </row>
    <row r="12319" spans="14:14" ht="15" customHeight="1" x14ac:dyDescent="0.25">
      <c r="N12319" t="s">
        <v>736</v>
      </c>
    </row>
    <row r="12320" spans="14:14" ht="15" customHeight="1" x14ac:dyDescent="0.25">
      <c r="N12320" t="s">
        <v>749</v>
      </c>
    </row>
    <row r="12321" spans="14:14" ht="15" customHeight="1" x14ac:dyDescent="0.25">
      <c r="N12321" t="s">
        <v>749</v>
      </c>
    </row>
    <row r="12322" spans="14:14" ht="15" customHeight="1" x14ac:dyDescent="0.25">
      <c r="N12322" t="s">
        <v>749</v>
      </c>
    </row>
    <row r="12323" spans="14:14" ht="15" customHeight="1" x14ac:dyDescent="0.25">
      <c r="N12323" t="s">
        <v>749</v>
      </c>
    </row>
    <row r="12324" spans="14:14" ht="15" customHeight="1" x14ac:dyDescent="0.25">
      <c r="N12324" t="s">
        <v>749</v>
      </c>
    </row>
    <row r="12325" spans="14:14" ht="15" customHeight="1" x14ac:dyDescent="0.25">
      <c r="N12325" t="s">
        <v>749</v>
      </c>
    </row>
    <row r="12326" spans="14:14" ht="15" customHeight="1" x14ac:dyDescent="0.25">
      <c r="N12326" t="s">
        <v>749</v>
      </c>
    </row>
    <row r="12327" spans="14:14" ht="15" customHeight="1" x14ac:dyDescent="0.25">
      <c r="N12327" t="s">
        <v>749</v>
      </c>
    </row>
    <row r="12328" spans="14:14" ht="15" customHeight="1" x14ac:dyDescent="0.25">
      <c r="N12328" t="s">
        <v>749</v>
      </c>
    </row>
    <row r="12329" spans="14:14" ht="15" customHeight="1" x14ac:dyDescent="0.25">
      <c r="N12329" t="s">
        <v>749</v>
      </c>
    </row>
    <row r="12330" spans="14:14" ht="15" customHeight="1" x14ac:dyDescent="0.25">
      <c r="N12330" t="s">
        <v>749</v>
      </c>
    </row>
    <row r="12331" spans="14:14" ht="15" customHeight="1" x14ac:dyDescent="0.25">
      <c r="N12331" t="s">
        <v>749</v>
      </c>
    </row>
    <row r="12332" spans="14:14" ht="15" customHeight="1" x14ac:dyDescent="0.25">
      <c r="N12332" t="s">
        <v>749</v>
      </c>
    </row>
    <row r="12333" spans="14:14" ht="15" customHeight="1" x14ac:dyDescent="0.25">
      <c r="N12333" t="s">
        <v>749</v>
      </c>
    </row>
    <row r="12334" spans="14:14" ht="15" customHeight="1" x14ac:dyDescent="0.25">
      <c r="N12334" t="s">
        <v>749</v>
      </c>
    </row>
    <row r="12335" spans="14:14" ht="15" customHeight="1" x14ac:dyDescent="0.25">
      <c r="N12335" t="s">
        <v>749</v>
      </c>
    </row>
    <row r="12336" spans="14:14" ht="15" customHeight="1" x14ac:dyDescent="0.25">
      <c r="N12336" t="s">
        <v>749</v>
      </c>
    </row>
    <row r="12337" spans="14:14" ht="15" customHeight="1" x14ac:dyDescent="0.25">
      <c r="N12337" t="s">
        <v>749</v>
      </c>
    </row>
    <row r="12338" spans="14:14" ht="15" customHeight="1" x14ac:dyDescent="0.25">
      <c r="N12338" t="s">
        <v>749</v>
      </c>
    </row>
    <row r="12339" spans="14:14" ht="15" customHeight="1" x14ac:dyDescent="0.25">
      <c r="N12339" t="s">
        <v>749</v>
      </c>
    </row>
    <row r="12340" spans="14:14" ht="15" customHeight="1" x14ac:dyDescent="0.25">
      <c r="N12340" t="s">
        <v>749</v>
      </c>
    </row>
    <row r="12341" spans="14:14" ht="15" customHeight="1" x14ac:dyDescent="0.25">
      <c r="N12341" t="s">
        <v>749</v>
      </c>
    </row>
    <row r="12342" spans="14:14" ht="15" customHeight="1" x14ac:dyDescent="0.25">
      <c r="N12342" t="s">
        <v>749</v>
      </c>
    </row>
    <row r="12343" spans="14:14" ht="15" customHeight="1" x14ac:dyDescent="0.25">
      <c r="N12343" t="s">
        <v>749</v>
      </c>
    </row>
    <row r="12344" spans="14:14" ht="15" customHeight="1" x14ac:dyDescent="0.25">
      <c r="N12344" t="s">
        <v>749</v>
      </c>
    </row>
    <row r="12345" spans="14:14" ht="15" customHeight="1" x14ac:dyDescent="0.25">
      <c r="N12345" t="s">
        <v>749</v>
      </c>
    </row>
    <row r="12346" spans="14:14" ht="15" customHeight="1" x14ac:dyDescent="0.25">
      <c r="N12346" t="s">
        <v>689</v>
      </c>
    </row>
    <row r="12347" spans="14:14" ht="15" customHeight="1" x14ac:dyDescent="0.25">
      <c r="N12347" t="s">
        <v>732</v>
      </c>
    </row>
    <row r="12348" spans="14:14" ht="15" customHeight="1" x14ac:dyDescent="0.25">
      <c r="N12348" t="s">
        <v>496</v>
      </c>
    </row>
    <row r="12349" spans="14:14" ht="15" customHeight="1" x14ac:dyDescent="0.25">
      <c r="N12349" t="s">
        <v>824</v>
      </c>
    </row>
    <row r="12350" spans="14:14" ht="15" customHeight="1" x14ac:dyDescent="0.25">
      <c r="N12350" t="s">
        <v>824</v>
      </c>
    </row>
    <row r="12351" spans="14:14" ht="15" customHeight="1" x14ac:dyDescent="0.25">
      <c r="N12351" t="s">
        <v>715</v>
      </c>
    </row>
    <row r="12352" spans="14:14" ht="15" customHeight="1" x14ac:dyDescent="0.25">
      <c r="N12352" t="s">
        <v>715</v>
      </c>
    </row>
    <row r="12353" spans="14:14" ht="15" customHeight="1" x14ac:dyDescent="0.25">
      <c r="N12353" t="s">
        <v>715</v>
      </c>
    </row>
    <row r="12354" spans="14:14" ht="15" customHeight="1" x14ac:dyDescent="0.25">
      <c r="N12354" t="s">
        <v>715</v>
      </c>
    </row>
    <row r="12355" spans="14:14" ht="15" customHeight="1" x14ac:dyDescent="0.25">
      <c r="N12355" t="s">
        <v>706</v>
      </c>
    </row>
    <row r="12356" spans="14:14" ht="15" customHeight="1" x14ac:dyDescent="0.25">
      <c r="N12356" t="s">
        <v>706</v>
      </c>
    </row>
    <row r="12357" spans="14:14" ht="15" customHeight="1" x14ac:dyDescent="0.25">
      <c r="N12357" t="s">
        <v>706</v>
      </c>
    </row>
    <row r="12358" spans="14:14" ht="15" customHeight="1" x14ac:dyDescent="0.25">
      <c r="N12358" t="s">
        <v>706</v>
      </c>
    </row>
    <row r="12359" spans="14:14" ht="15" customHeight="1" x14ac:dyDescent="0.25">
      <c r="N12359" t="s">
        <v>706</v>
      </c>
    </row>
    <row r="12360" spans="14:14" ht="15" customHeight="1" x14ac:dyDescent="0.25">
      <c r="N12360" t="s">
        <v>706</v>
      </c>
    </row>
    <row r="12361" spans="14:14" ht="15" customHeight="1" x14ac:dyDescent="0.25">
      <c r="N12361" t="s">
        <v>706</v>
      </c>
    </row>
    <row r="12362" spans="14:14" ht="15" customHeight="1" x14ac:dyDescent="0.25">
      <c r="N12362" t="s">
        <v>706</v>
      </c>
    </row>
    <row r="12363" spans="14:14" ht="15" customHeight="1" x14ac:dyDescent="0.25">
      <c r="N12363" t="s">
        <v>706</v>
      </c>
    </row>
    <row r="12364" spans="14:14" ht="15" customHeight="1" x14ac:dyDescent="0.25">
      <c r="N12364" t="s">
        <v>706</v>
      </c>
    </row>
    <row r="12365" spans="14:14" ht="15" customHeight="1" x14ac:dyDescent="0.25">
      <c r="N12365" t="s">
        <v>706</v>
      </c>
    </row>
    <row r="12366" spans="14:14" ht="15" customHeight="1" x14ac:dyDescent="0.25">
      <c r="N12366" t="s">
        <v>706</v>
      </c>
    </row>
    <row r="12367" spans="14:14" ht="15" customHeight="1" x14ac:dyDescent="0.25">
      <c r="N12367" t="s">
        <v>706</v>
      </c>
    </row>
    <row r="12368" spans="14:14" ht="15" customHeight="1" x14ac:dyDescent="0.25">
      <c r="N12368" t="s">
        <v>582</v>
      </c>
    </row>
    <row r="12369" spans="14:14" ht="15" customHeight="1" x14ac:dyDescent="0.25">
      <c r="N12369" t="s">
        <v>689</v>
      </c>
    </row>
    <row r="12370" spans="14:14" ht="15" customHeight="1" x14ac:dyDescent="0.25">
      <c r="N12370" t="s">
        <v>750</v>
      </c>
    </row>
    <row r="12371" spans="14:14" ht="15" customHeight="1" x14ac:dyDescent="0.25">
      <c r="N12371" t="s">
        <v>750</v>
      </c>
    </row>
    <row r="12372" spans="14:14" ht="15" customHeight="1" x14ac:dyDescent="0.25">
      <c r="N12372" t="s">
        <v>750</v>
      </c>
    </row>
    <row r="12373" spans="14:14" ht="15" customHeight="1" x14ac:dyDescent="0.25">
      <c r="N12373" t="s">
        <v>750</v>
      </c>
    </row>
    <row r="12374" spans="14:14" ht="15" customHeight="1" x14ac:dyDescent="0.25">
      <c r="N12374" t="s">
        <v>750</v>
      </c>
    </row>
    <row r="12375" spans="14:14" ht="15" customHeight="1" x14ac:dyDescent="0.25">
      <c r="N12375" t="s">
        <v>750</v>
      </c>
    </row>
    <row r="12376" spans="14:14" ht="15" customHeight="1" x14ac:dyDescent="0.25">
      <c r="N12376" t="s">
        <v>750</v>
      </c>
    </row>
    <row r="12377" spans="14:14" ht="15" customHeight="1" x14ac:dyDescent="0.25">
      <c r="N12377" t="s">
        <v>750</v>
      </c>
    </row>
    <row r="12378" spans="14:14" ht="15" customHeight="1" x14ac:dyDescent="0.25">
      <c r="N12378" t="s">
        <v>750</v>
      </c>
    </row>
    <row r="12379" spans="14:14" ht="15" customHeight="1" x14ac:dyDescent="0.25">
      <c r="N12379" t="s">
        <v>750</v>
      </c>
    </row>
    <row r="12380" spans="14:14" ht="15" customHeight="1" x14ac:dyDescent="0.25">
      <c r="N12380" t="s">
        <v>750</v>
      </c>
    </row>
    <row r="12381" spans="14:14" ht="15" customHeight="1" x14ac:dyDescent="0.25">
      <c r="N12381" t="s">
        <v>750</v>
      </c>
    </row>
    <row r="12382" spans="14:14" ht="15" customHeight="1" x14ac:dyDescent="0.25">
      <c r="N12382" t="s">
        <v>750</v>
      </c>
    </row>
    <row r="12383" spans="14:14" ht="15" customHeight="1" x14ac:dyDescent="0.25">
      <c r="N12383" t="s">
        <v>750</v>
      </c>
    </row>
    <row r="12384" spans="14:14" ht="15" customHeight="1" x14ac:dyDescent="0.25">
      <c r="N12384" t="s">
        <v>750</v>
      </c>
    </row>
    <row r="12385" spans="14:14" ht="15" customHeight="1" x14ac:dyDescent="0.25">
      <c r="N12385" t="s">
        <v>750</v>
      </c>
    </row>
    <row r="12386" spans="14:14" ht="15" customHeight="1" x14ac:dyDescent="0.25">
      <c r="N12386" t="s">
        <v>750</v>
      </c>
    </row>
    <row r="12387" spans="14:14" ht="15" customHeight="1" x14ac:dyDescent="0.25">
      <c r="N12387" t="s">
        <v>750</v>
      </c>
    </row>
    <row r="12388" spans="14:14" ht="15" customHeight="1" x14ac:dyDescent="0.25">
      <c r="N12388" t="s">
        <v>750</v>
      </c>
    </row>
    <row r="12389" spans="14:14" ht="15" customHeight="1" x14ac:dyDescent="0.25">
      <c r="N12389" t="s">
        <v>750</v>
      </c>
    </row>
    <row r="12390" spans="14:14" ht="15" customHeight="1" x14ac:dyDescent="0.25">
      <c r="N12390" t="s">
        <v>750</v>
      </c>
    </row>
    <row r="12391" spans="14:14" ht="15" customHeight="1" x14ac:dyDescent="0.25">
      <c r="N12391" t="s">
        <v>750</v>
      </c>
    </row>
    <row r="12392" spans="14:14" ht="15" customHeight="1" x14ac:dyDescent="0.25">
      <c r="N12392" t="s">
        <v>750</v>
      </c>
    </row>
    <row r="12393" spans="14:14" ht="15" customHeight="1" x14ac:dyDescent="0.25">
      <c r="N12393" t="s">
        <v>750</v>
      </c>
    </row>
    <row r="12394" spans="14:14" ht="15" customHeight="1" x14ac:dyDescent="0.25">
      <c r="N12394" t="s">
        <v>750</v>
      </c>
    </row>
    <row r="12395" spans="14:14" ht="15" customHeight="1" x14ac:dyDescent="0.25">
      <c r="N12395" t="s">
        <v>750</v>
      </c>
    </row>
    <row r="12396" spans="14:14" ht="15" customHeight="1" x14ac:dyDescent="0.25">
      <c r="N12396" t="s">
        <v>689</v>
      </c>
    </row>
    <row r="12397" spans="14:14" ht="15" customHeight="1" x14ac:dyDescent="0.25">
      <c r="N12397" t="s">
        <v>824</v>
      </c>
    </row>
    <row r="12398" spans="14:14" ht="15" customHeight="1" x14ac:dyDescent="0.25">
      <c r="N12398" t="s">
        <v>715</v>
      </c>
    </row>
    <row r="12399" spans="14:14" ht="15" customHeight="1" x14ac:dyDescent="0.25">
      <c r="N12399" t="s">
        <v>715</v>
      </c>
    </row>
    <row r="12400" spans="14:14" ht="15" customHeight="1" x14ac:dyDescent="0.25">
      <c r="N12400" t="s">
        <v>715</v>
      </c>
    </row>
    <row r="12401" spans="14:14" ht="15" customHeight="1" x14ac:dyDescent="0.25">
      <c r="N12401" t="s">
        <v>715</v>
      </c>
    </row>
    <row r="12402" spans="14:14" ht="15" customHeight="1" x14ac:dyDescent="0.25">
      <c r="N12402" t="s">
        <v>370</v>
      </c>
    </row>
    <row r="12403" spans="14:14" ht="15" customHeight="1" x14ac:dyDescent="0.25">
      <c r="N12403" t="s">
        <v>751</v>
      </c>
    </row>
    <row r="12404" spans="14:14" ht="15" customHeight="1" x14ac:dyDescent="0.25">
      <c r="N12404" t="s">
        <v>751</v>
      </c>
    </row>
    <row r="12405" spans="14:14" ht="15" customHeight="1" x14ac:dyDescent="0.25">
      <c r="N12405" t="s">
        <v>751</v>
      </c>
    </row>
    <row r="12406" spans="14:14" ht="15" customHeight="1" x14ac:dyDescent="0.25">
      <c r="N12406" t="s">
        <v>751</v>
      </c>
    </row>
    <row r="12407" spans="14:14" ht="15" customHeight="1" x14ac:dyDescent="0.25">
      <c r="N12407" t="s">
        <v>751</v>
      </c>
    </row>
    <row r="12408" spans="14:14" ht="15" customHeight="1" x14ac:dyDescent="0.25">
      <c r="N12408" t="s">
        <v>751</v>
      </c>
    </row>
    <row r="12409" spans="14:14" ht="15" customHeight="1" x14ac:dyDescent="0.25">
      <c r="N12409" t="s">
        <v>751</v>
      </c>
    </row>
    <row r="12410" spans="14:14" ht="15" customHeight="1" x14ac:dyDescent="0.25">
      <c r="N12410" t="s">
        <v>751</v>
      </c>
    </row>
    <row r="12411" spans="14:14" ht="15" customHeight="1" x14ac:dyDescent="0.25">
      <c r="N12411" t="s">
        <v>751</v>
      </c>
    </row>
    <row r="12412" spans="14:14" ht="15" customHeight="1" x14ac:dyDescent="0.25">
      <c r="N12412" t="s">
        <v>751</v>
      </c>
    </row>
    <row r="12413" spans="14:14" ht="15" customHeight="1" x14ac:dyDescent="0.25">
      <c r="N12413" t="s">
        <v>751</v>
      </c>
    </row>
    <row r="12414" spans="14:14" ht="15" customHeight="1" x14ac:dyDescent="0.25">
      <c r="N12414" t="s">
        <v>751</v>
      </c>
    </row>
    <row r="12415" spans="14:14" ht="15" customHeight="1" x14ac:dyDescent="0.25">
      <c r="N12415" t="s">
        <v>751</v>
      </c>
    </row>
    <row r="12416" spans="14:14" ht="15" customHeight="1" x14ac:dyDescent="0.25">
      <c r="N12416" t="s">
        <v>751</v>
      </c>
    </row>
    <row r="12417" spans="14:14" ht="15" customHeight="1" x14ac:dyDescent="0.25">
      <c r="N12417" t="s">
        <v>751</v>
      </c>
    </row>
    <row r="12418" spans="14:14" ht="15" customHeight="1" x14ac:dyDescent="0.25">
      <c r="N12418" t="s">
        <v>751</v>
      </c>
    </row>
    <row r="12419" spans="14:14" ht="15" customHeight="1" x14ac:dyDescent="0.25">
      <c r="N12419" t="s">
        <v>751</v>
      </c>
    </row>
    <row r="12420" spans="14:14" ht="15" customHeight="1" x14ac:dyDescent="0.25">
      <c r="N12420" t="s">
        <v>751</v>
      </c>
    </row>
    <row r="12421" spans="14:14" ht="15" customHeight="1" x14ac:dyDescent="0.25">
      <c r="N12421" t="s">
        <v>751</v>
      </c>
    </row>
    <row r="12422" spans="14:14" ht="15" customHeight="1" x14ac:dyDescent="0.25">
      <c r="N12422" t="s">
        <v>751</v>
      </c>
    </row>
    <row r="12423" spans="14:14" ht="15" customHeight="1" x14ac:dyDescent="0.25">
      <c r="N12423" t="s">
        <v>751</v>
      </c>
    </row>
    <row r="12424" spans="14:14" ht="15" customHeight="1" x14ac:dyDescent="0.25">
      <c r="N12424" t="s">
        <v>751</v>
      </c>
    </row>
    <row r="12425" spans="14:14" ht="15" customHeight="1" x14ac:dyDescent="0.25">
      <c r="N12425" t="s">
        <v>751</v>
      </c>
    </row>
    <row r="12426" spans="14:14" ht="15" customHeight="1" x14ac:dyDescent="0.25">
      <c r="N12426" t="s">
        <v>751</v>
      </c>
    </row>
    <row r="12427" spans="14:14" ht="15" customHeight="1" x14ac:dyDescent="0.25">
      <c r="N12427" t="s">
        <v>751</v>
      </c>
    </row>
    <row r="12428" spans="14:14" ht="15" customHeight="1" x14ac:dyDescent="0.25">
      <c r="N12428" t="s">
        <v>751</v>
      </c>
    </row>
    <row r="12429" spans="14:14" ht="15" customHeight="1" x14ac:dyDescent="0.25">
      <c r="N12429" t="s">
        <v>689</v>
      </c>
    </row>
    <row r="12430" spans="14:14" ht="15" customHeight="1" x14ac:dyDescent="0.25">
      <c r="N12430" t="s">
        <v>751</v>
      </c>
    </row>
    <row r="12431" spans="14:14" ht="15" customHeight="1" x14ac:dyDescent="0.25">
      <c r="N12431" t="s">
        <v>689</v>
      </c>
    </row>
    <row r="12432" spans="14:14" ht="15" customHeight="1" x14ac:dyDescent="0.25">
      <c r="N12432" t="s">
        <v>68</v>
      </c>
    </row>
    <row r="12433" spans="14:14" ht="15" customHeight="1" x14ac:dyDescent="0.25">
      <c r="N12433" t="s">
        <v>675</v>
      </c>
    </row>
    <row r="12434" spans="14:14" ht="15" customHeight="1" x14ac:dyDescent="0.25">
      <c r="N12434" t="s">
        <v>675</v>
      </c>
    </row>
    <row r="12435" spans="14:14" ht="15" customHeight="1" x14ac:dyDescent="0.25">
      <c r="N12435" t="s">
        <v>675</v>
      </c>
    </row>
    <row r="12436" spans="14:14" ht="15" customHeight="1" x14ac:dyDescent="0.25">
      <c r="N12436" t="s">
        <v>675</v>
      </c>
    </row>
    <row r="12437" spans="14:14" ht="15" customHeight="1" x14ac:dyDescent="0.25">
      <c r="N12437" t="s">
        <v>675</v>
      </c>
    </row>
    <row r="12438" spans="14:14" ht="15" customHeight="1" x14ac:dyDescent="0.25">
      <c r="N12438" t="s">
        <v>675</v>
      </c>
    </row>
    <row r="12439" spans="14:14" ht="15" customHeight="1" x14ac:dyDescent="0.25">
      <c r="N12439" t="s">
        <v>675</v>
      </c>
    </row>
    <row r="12440" spans="14:14" ht="15" customHeight="1" x14ac:dyDescent="0.25">
      <c r="N12440" t="s">
        <v>675</v>
      </c>
    </row>
    <row r="12441" spans="14:14" ht="15" customHeight="1" x14ac:dyDescent="0.25">
      <c r="N12441" t="s">
        <v>706</v>
      </c>
    </row>
    <row r="12442" spans="14:14" ht="15" customHeight="1" x14ac:dyDescent="0.25">
      <c r="N12442" t="s">
        <v>706</v>
      </c>
    </row>
    <row r="12443" spans="14:14" ht="15" customHeight="1" x14ac:dyDescent="0.25">
      <c r="N12443" t="s">
        <v>706</v>
      </c>
    </row>
    <row r="12444" spans="14:14" ht="15" customHeight="1" x14ac:dyDescent="0.25">
      <c r="N12444" t="s">
        <v>706</v>
      </c>
    </row>
    <row r="12445" spans="14:14" ht="15" customHeight="1" x14ac:dyDescent="0.25">
      <c r="N12445" t="s">
        <v>706</v>
      </c>
    </row>
    <row r="12446" spans="14:14" ht="15" customHeight="1" x14ac:dyDescent="0.25">
      <c r="N12446" t="s">
        <v>706</v>
      </c>
    </row>
    <row r="12447" spans="14:14" ht="15" customHeight="1" x14ac:dyDescent="0.25">
      <c r="N12447" t="s">
        <v>706</v>
      </c>
    </row>
    <row r="12448" spans="14:14" ht="15" customHeight="1" x14ac:dyDescent="0.25">
      <c r="N12448" t="s">
        <v>706</v>
      </c>
    </row>
    <row r="12449" spans="14:14" ht="15" customHeight="1" x14ac:dyDescent="0.25">
      <c r="N12449" t="s">
        <v>706</v>
      </c>
    </row>
    <row r="12450" spans="14:14" ht="15" customHeight="1" x14ac:dyDescent="0.25">
      <c r="N12450" t="s">
        <v>706</v>
      </c>
    </row>
    <row r="12451" spans="14:14" ht="15" customHeight="1" x14ac:dyDescent="0.25">
      <c r="N12451" t="s">
        <v>706</v>
      </c>
    </row>
    <row r="12452" spans="14:14" ht="15" customHeight="1" x14ac:dyDescent="0.25">
      <c r="N12452" t="s">
        <v>706</v>
      </c>
    </row>
    <row r="12453" spans="14:14" ht="15" customHeight="1" x14ac:dyDescent="0.25">
      <c r="N12453" t="s">
        <v>706</v>
      </c>
    </row>
    <row r="12454" spans="14:14" ht="15" customHeight="1" x14ac:dyDescent="0.25">
      <c r="N12454" t="s">
        <v>313</v>
      </c>
    </row>
    <row r="12455" spans="14:14" ht="15" customHeight="1" x14ac:dyDescent="0.25">
      <c r="N12455" t="s">
        <v>313</v>
      </c>
    </row>
    <row r="12456" spans="14:14" ht="15" customHeight="1" x14ac:dyDescent="0.25">
      <c r="N12456" t="s">
        <v>313</v>
      </c>
    </row>
    <row r="12457" spans="14:14" ht="15" customHeight="1" x14ac:dyDescent="0.25">
      <c r="N12457" t="s">
        <v>313</v>
      </c>
    </row>
    <row r="12458" spans="14:14" ht="15" customHeight="1" x14ac:dyDescent="0.25">
      <c r="N12458" t="s">
        <v>313</v>
      </c>
    </row>
    <row r="12459" spans="14:14" ht="15" customHeight="1" x14ac:dyDescent="0.25">
      <c r="N12459" t="s">
        <v>313</v>
      </c>
    </row>
    <row r="12460" spans="14:14" ht="15" customHeight="1" x14ac:dyDescent="0.25">
      <c r="N12460" t="s">
        <v>313</v>
      </c>
    </row>
    <row r="12461" spans="14:14" ht="15" customHeight="1" x14ac:dyDescent="0.25">
      <c r="N12461" t="s">
        <v>68</v>
      </c>
    </row>
    <row r="12462" spans="14:14" ht="15" customHeight="1" x14ac:dyDescent="0.25">
      <c r="N12462" t="s">
        <v>68</v>
      </c>
    </row>
    <row r="12463" spans="14:14" ht="15" customHeight="1" x14ac:dyDescent="0.25">
      <c r="N12463" t="s">
        <v>68</v>
      </c>
    </row>
    <row r="12464" spans="14:14" ht="15" customHeight="1" x14ac:dyDescent="0.25">
      <c r="N12464" t="s">
        <v>68</v>
      </c>
    </row>
    <row r="12465" spans="14:14" ht="15" customHeight="1" x14ac:dyDescent="0.25">
      <c r="N12465" t="s">
        <v>68</v>
      </c>
    </row>
    <row r="12466" spans="14:14" ht="15" customHeight="1" x14ac:dyDescent="0.25">
      <c r="N12466" t="s">
        <v>68</v>
      </c>
    </row>
    <row r="12467" spans="14:14" ht="15" customHeight="1" x14ac:dyDescent="0.25">
      <c r="N12467" t="s">
        <v>68</v>
      </c>
    </row>
    <row r="12468" spans="14:14" ht="15" customHeight="1" x14ac:dyDescent="0.25">
      <c r="N12468" t="s">
        <v>677</v>
      </c>
    </row>
    <row r="12469" spans="14:14" ht="15" customHeight="1" x14ac:dyDescent="0.25">
      <c r="N12469" t="s">
        <v>313</v>
      </c>
    </row>
    <row r="12470" spans="14:14" ht="15" customHeight="1" x14ac:dyDescent="0.25">
      <c r="N12470" t="s">
        <v>824</v>
      </c>
    </row>
    <row r="12471" spans="14:14" ht="15" customHeight="1" x14ac:dyDescent="0.25">
      <c r="N12471" t="s">
        <v>677</v>
      </c>
    </row>
    <row r="12472" spans="14:14" ht="15" customHeight="1" x14ac:dyDescent="0.25">
      <c r="N12472" t="s">
        <v>677</v>
      </c>
    </row>
    <row r="12473" spans="14:14" ht="15" customHeight="1" x14ac:dyDescent="0.25">
      <c r="N12473" t="s">
        <v>68</v>
      </c>
    </row>
    <row r="12474" spans="14:14" ht="15" customHeight="1" x14ac:dyDescent="0.25">
      <c r="N12474" t="s">
        <v>752</v>
      </c>
    </row>
    <row r="12475" spans="14:14" ht="15" customHeight="1" x14ac:dyDescent="0.25">
      <c r="N12475" t="s">
        <v>752</v>
      </c>
    </row>
    <row r="12476" spans="14:14" ht="15" customHeight="1" x14ac:dyDescent="0.25">
      <c r="N12476" t="s">
        <v>752</v>
      </c>
    </row>
    <row r="12477" spans="14:14" ht="15" customHeight="1" x14ac:dyDescent="0.25">
      <c r="N12477" t="s">
        <v>752</v>
      </c>
    </row>
    <row r="12478" spans="14:14" ht="15" customHeight="1" x14ac:dyDescent="0.25">
      <c r="N12478" t="s">
        <v>752</v>
      </c>
    </row>
    <row r="12479" spans="14:14" ht="15" customHeight="1" x14ac:dyDescent="0.25">
      <c r="N12479" t="s">
        <v>752</v>
      </c>
    </row>
    <row r="12480" spans="14:14" ht="15" customHeight="1" x14ac:dyDescent="0.25">
      <c r="N12480" t="s">
        <v>752</v>
      </c>
    </row>
    <row r="12481" spans="14:14" ht="15" customHeight="1" x14ac:dyDescent="0.25">
      <c r="N12481" t="s">
        <v>752</v>
      </c>
    </row>
    <row r="12482" spans="14:14" ht="15" customHeight="1" x14ac:dyDescent="0.25">
      <c r="N12482" t="s">
        <v>752</v>
      </c>
    </row>
    <row r="12483" spans="14:14" ht="15" customHeight="1" x14ac:dyDescent="0.25">
      <c r="N12483" t="s">
        <v>752</v>
      </c>
    </row>
    <row r="12484" spans="14:14" ht="15" customHeight="1" x14ac:dyDescent="0.25">
      <c r="N12484" t="s">
        <v>752</v>
      </c>
    </row>
    <row r="12485" spans="14:14" ht="15" customHeight="1" x14ac:dyDescent="0.25">
      <c r="N12485" t="s">
        <v>752</v>
      </c>
    </row>
    <row r="12486" spans="14:14" ht="15" customHeight="1" x14ac:dyDescent="0.25">
      <c r="N12486" t="s">
        <v>752</v>
      </c>
    </row>
    <row r="12487" spans="14:14" ht="15" customHeight="1" x14ac:dyDescent="0.25">
      <c r="N12487" t="s">
        <v>752</v>
      </c>
    </row>
    <row r="12488" spans="14:14" ht="15" customHeight="1" x14ac:dyDescent="0.25">
      <c r="N12488" t="s">
        <v>752</v>
      </c>
    </row>
    <row r="12489" spans="14:14" ht="15" customHeight="1" x14ac:dyDescent="0.25">
      <c r="N12489" t="s">
        <v>752</v>
      </c>
    </row>
    <row r="12490" spans="14:14" ht="15" customHeight="1" x14ac:dyDescent="0.25">
      <c r="N12490" t="s">
        <v>752</v>
      </c>
    </row>
    <row r="12491" spans="14:14" ht="15" customHeight="1" x14ac:dyDescent="0.25">
      <c r="N12491" t="s">
        <v>752</v>
      </c>
    </row>
    <row r="12492" spans="14:14" ht="15" customHeight="1" x14ac:dyDescent="0.25">
      <c r="N12492" t="s">
        <v>752</v>
      </c>
    </row>
    <row r="12493" spans="14:14" ht="15" customHeight="1" x14ac:dyDescent="0.25">
      <c r="N12493" t="s">
        <v>752</v>
      </c>
    </row>
    <row r="12494" spans="14:14" ht="15" customHeight="1" x14ac:dyDescent="0.25">
      <c r="N12494" t="s">
        <v>752</v>
      </c>
    </row>
    <row r="12495" spans="14:14" ht="15" customHeight="1" x14ac:dyDescent="0.25">
      <c r="N12495" t="s">
        <v>752</v>
      </c>
    </row>
    <row r="12496" spans="14:14" ht="15" customHeight="1" x14ac:dyDescent="0.25">
      <c r="N12496" t="s">
        <v>752</v>
      </c>
    </row>
    <row r="12497" spans="14:14" ht="15" customHeight="1" x14ac:dyDescent="0.25">
      <c r="N12497" t="s">
        <v>752</v>
      </c>
    </row>
    <row r="12498" spans="14:14" ht="15" customHeight="1" x14ac:dyDescent="0.25">
      <c r="N12498" t="s">
        <v>752</v>
      </c>
    </row>
    <row r="12499" spans="14:14" ht="15" customHeight="1" x14ac:dyDescent="0.25">
      <c r="N12499" t="s">
        <v>752</v>
      </c>
    </row>
    <row r="12500" spans="14:14" ht="15" customHeight="1" x14ac:dyDescent="0.25">
      <c r="N12500" t="s">
        <v>687</v>
      </c>
    </row>
    <row r="12501" spans="14:14" ht="15" customHeight="1" x14ac:dyDescent="0.25">
      <c r="N12501" t="s">
        <v>68</v>
      </c>
    </row>
    <row r="12502" spans="14:14" ht="15" customHeight="1" x14ac:dyDescent="0.25">
      <c r="N12502" t="s">
        <v>752</v>
      </c>
    </row>
    <row r="12503" spans="14:14" ht="15" customHeight="1" x14ac:dyDescent="0.25">
      <c r="N12503" t="s">
        <v>752</v>
      </c>
    </row>
    <row r="12504" spans="14:14" ht="15" customHeight="1" x14ac:dyDescent="0.25">
      <c r="N12504" t="s">
        <v>752</v>
      </c>
    </row>
    <row r="12505" spans="14:14" ht="15" customHeight="1" x14ac:dyDescent="0.25">
      <c r="N12505" t="s">
        <v>752</v>
      </c>
    </row>
    <row r="12506" spans="14:14" ht="15" customHeight="1" x14ac:dyDescent="0.25">
      <c r="N12506" t="s">
        <v>752</v>
      </c>
    </row>
    <row r="12507" spans="14:14" ht="15" customHeight="1" x14ac:dyDescent="0.25">
      <c r="N12507" t="s">
        <v>752</v>
      </c>
    </row>
    <row r="12508" spans="14:14" ht="15" customHeight="1" x14ac:dyDescent="0.25">
      <c r="N12508" t="s">
        <v>752</v>
      </c>
    </row>
    <row r="12509" spans="14:14" ht="15" customHeight="1" x14ac:dyDescent="0.25">
      <c r="N12509" t="s">
        <v>752</v>
      </c>
    </row>
    <row r="12510" spans="14:14" ht="15" customHeight="1" x14ac:dyDescent="0.25">
      <c r="N12510" t="s">
        <v>752</v>
      </c>
    </row>
    <row r="12511" spans="14:14" ht="15" customHeight="1" x14ac:dyDescent="0.25">
      <c r="N12511" t="s">
        <v>752</v>
      </c>
    </row>
    <row r="12512" spans="14:14" ht="15" customHeight="1" x14ac:dyDescent="0.25">
      <c r="N12512" t="s">
        <v>752</v>
      </c>
    </row>
    <row r="12513" spans="14:14" ht="15" customHeight="1" x14ac:dyDescent="0.25">
      <c r="N12513" t="s">
        <v>752</v>
      </c>
    </row>
    <row r="12514" spans="14:14" ht="15" customHeight="1" x14ac:dyDescent="0.25">
      <c r="N12514" t="s">
        <v>752</v>
      </c>
    </row>
    <row r="12515" spans="14:14" ht="15" customHeight="1" x14ac:dyDescent="0.25">
      <c r="N12515" t="s">
        <v>752</v>
      </c>
    </row>
    <row r="12516" spans="14:14" ht="15" customHeight="1" x14ac:dyDescent="0.25">
      <c r="N12516" t="s">
        <v>752</v>
      </c>
    </row>
    <row r="12517" spans="14:14" ht="15" customHeight="1" x14ac:dyDescent="0.25">
      <c r="N12517" t="s">
        <v>752</v>
      </c>
    </row>
    <row r="12518" spans="14:14" ht="15" customHeight="1" x14ac:dyDescent="0.25">
      <c r="N12518" t="s">
        <v>752</v>
      </c>
    </row>
    <row r="12519" spans="14:14" ht="15" customHeight="1" x14ac:dyDescent="0.25">
      <c r="N12519" t="s">
        <v>752</v>
      </c>
    </row>
    <row r="12520" spans="14:14" ht="15" customHeight="1" x14ac:dyDescent="0.25">
      <c r="N12520" t="s">
        <v>752</v>
      </c>
    </row>
    <row r="12521" spans="14:14" ht="15" customHeight="1" x14ac:dyDescent="0.25">
      <c r="N12521" t="s">
        <v>752</v>
      </c>
    </row>
    <row r="12522" spans="14:14" ht="15" customHeight="1" x14ac:dyDescent="0.25">
      <c r="N12522" t="s">
        <v>752</v>
      </c>
    </row>
    <row r="12523" spans="14:14" ht="15" customHeight="1" x14ac:dyDescent="0.25">
      <c r="N12523" t="s">
        <v>752</v>
      </c>
    </row>
    <row r="12524" spans="14:14" ht="15" customHeight="1" x14ac:dyDescent="0.25">
      <c r="N12524" t="s">
        <v>752</v>
      </c>
    </row>
    <row r="12525" spans="14:14" ht="15" customHeight="1" x14ac:dyDescent="0.25">
      <c r="N12525" t="s">
        <v>752</v>
      </c>
    </row>
    <row r="12526" spans="14:14" ht="15" customHeight="1" x14ac:dyDescent="0.25">
      <c r="N12526" t="s">
        <v>752</v>
      </c>
    </row>
    <row r="12527" spans="14:14" ht="15" customHeight="1" x14ac:dyDescent="0.25">
      <c r="N12527" t="s">
        <v>752</v>
      </c>
    </row>
    <row r="12528" spans="14:14" ht="15" customHeight="1" x14ac:dyDescent="0.25">
      <c r="N12528" t="s">
        <v>304</v>
      </c>
    </row>
    <row r="12529" spans="14:14" ht="15" customHeight="1" x14ac:dyDescent="0.25">
      <c r="N12529" t="s">
        <v>304</v>
      </c>
    </row>
    <row r="12530" spans="14:14" ht="15" customHeight="1" x14ac:dyDescent="0.25">
      <c r="N12530" t="s">
        <v>304</v>
      </c>
    </row>
    <row r="12531" spans="14:14" ht="15" customHeight="1" x14ac:dyDescent="0.25">
      <c r="N12531" t="s">
        <v>304</v>
      </c>
    </row>
    <row r="12532" spans="14:14" ht="15" customHeight="1" x14ac:dyDescent="0.25">
      <c r="N12532" t="s">
        <v>752</v>
      </c>
    </row>
    <row r="12533" spans="14:14" ht="15" customHeight="1" x14ac:dyDescent="0.25">
      <c r="N12533" t="s">
        <v>752</v>
      </c>
    </row>
    <row r="12534" spans="14:14" ht="15" customHeight="1" x14ac:dyDescent="0.25">
      <c r="N12534" t="s">
        <v>752</v>
      </c>
    </row>
    <row r="12535" spans="14:14" ht="15" customHeight="1" x14ac:dyDescent="0.25">
      <c r="N12535" t="s">
        <v>752</v>
      </c>
    </row>
    <row r="12536" spans="14:14" ht="15" customHeight="1" x14ac:dyDescent="0.25">
      <c r="N12536" t="s">
        <v>752</v>
      </c>
    </row>
    <row r="12537" spans="14:14" ht="15" customHeight="1" x14ac:dyDescent="0.25">
      <c r="N12537" t="s">
        <v>752</v>
      </c>
    </row>
    <row r="12538" spans="14:14" ht="15" customHeight="1" x14ac:dyDescent="0.25">
      <c r="N12538" t="s">
        <v>752</v>
      </c>
    </row>
    <row r="12539" spans="14:14" ht="15" customHeight="1" x14ac:dyDescent="0.25">
      <c r="N12539" t="s">
        <v>752</v>
      </c>
    </row>
    <row r="12540" spans="14:14" ht="15" customHeight="1" x14ac:dyDescent="0.25">
      <c r="N12540" t="s">
        <v>752</v>
      </c>
    </row>
    <row r="12541" spans="14:14" ht="15" customHeight="1" x14ac:dyDescent="0.25">
      <c r="N12541" t="s">
        <v>752</v>
      </c>
    </row>
    <row r="12542" spans="14:14" ht="15" customHeight="1" x14ac:dyDescent="0.25">
      <c r="N12542" t="s">
        <v>752</v>
      </c>
    </row>
    <row r="12543" spans="14:14" ht="15" customHeight="1" x14ac:dyDescent="0.25">
      <c r="N12543" t="s">
        <v>752</v>
      </c>
    </row>
    <row r="12544" spans="14:14" ht="15" customHeight="1" x14ac:dyDescent="0.25">
      <c r="N12544" t="s">
        <v>752</v>
      </c>
    </row>
    <row r="12545" spans="14:14" ht="15" customHeight="1" x14ac:dyDescent="0.25">
      <c r="N12545" t="s">
        <v>752</v>
      </c>
    </row>
    <row r="12546" spans="14:14" ht="15" customHeight="1" x14ac:dyDescent="0.25">
      <c r="N12546" t="s">
        <v>752</v>
      </c>
    </row>
    <row r="12547" spans="14:14" ht="15" customHeight="1" x14ac:dyDescent="0.25">
      <c r="N12547" t="s">
        <v>752</v>
      </c>
    </row>
    <row r="12548" spans="14:14" ht="15" customHeight="1" x14ac:dyDescent="0.25">
      <c r="N12548" t="s">
        <v>752</v>
      </c>
    </row>
    <row r="12549" spans="14:14" ht="15" customHeight="1" x14ac:dyDescent="0.25">
      <c r="N12549" t="s">
        <v>752</v>
      </c>
    </row>
    <row r="12550" spans="14:14" ht="15" customHeight="1" x14ac:dyDescent="0.25">
      <c r="N12550" t="s">
        <v>752</v>
      </c>
    </row>
    <row r="12551" spans="14:14" ht="15" customHeight="1" x14ac:dyDescent="0.25">
      <c r="N12551" t="s">
        <v>752</v>
      </c>
    </row>
    <row r="12552" spans="14:14" ht="15" customHeight="1" x14ac:dyDescent="0.25">
      <c r="N12552" t="s">
        <v>752</v>
      </c>
    </row>
    <row r="12553" spans="14:14" ht="15" customHeight="1" x14ac:dyDescent="0.25">
      <c r="N12553" t="s">
        <v>752</v>
      </c>
    </row>
    <row r="12554" spans="14:14" ht="15" customHeight="1" x14ac:dyDescent="0.25">
      <c r="N12554" t="s">
        <v>752</v>
      </c>
    </row>
    <row r="12555" spans="14:14" ht="15" customHeight="1" x14ac:dyDescent="0.25">
      <c r="N12555" t="s">
        <v>752</v>
      </c>
    </row>
    <row r="12556" spans="14:14" ht="15" customHeight="1" x14ac:dyDescent="0.25">
      <c r="N12556" t="s">
        <v>752</v>
      </c>
    </row>
    <row r="12557" spans="14:14" ht="15" customHeight="1" x14ac:dyDescent="0.25">
      <c r="N12557" t="s">
        <v>752</v>
      </c>
    </row>
    <row r="12558" spans="14:14" ht="15" customHeight="1" x14ac:dyDescent="0.25">
      <c r="N12558" t="s">
        <v>370</v>
      </c>
    </row>
    <row r="12559" spans="14:14" ht="15" customHeight="1" x14ac:dyDescent="0.25">
      <c r="N12559" t="s">
        <v>582</v>
      </c>
    </row>
    <row r="12560" spans="14:14" ht="15" customHeight="1" x14ac:dyDescent="0.25">
      <c r="N12560" t="s">
        <v>582</v>
      </c>
    </row>
    <row r="12561" spans="14:14" ht="15" customHeight="1" x14ac:dyDescent="0.25">
      <c r="N12561" t="s">
        <v>582</v>
      </c>
    </row>
    <row r="12562" spans="14:14" ht="15" customHeight="1" x14ac:dyDescent="0.25">
      <c r="N12562" t="s">
        <v>582</v>
      </c>
    </row>
    <row r="12563" spans="14:14" ht="15" customHeight="1" x14ac:dyDescent="0.25">
      <c r="N12563" t="s">
        <v>582</v>
      </c>
    </row>
    <row r="12564" spans="14:14" ht="15" customHeight="1" x14ac:dyDescent="0.25">
      <c r="N12564" t="s">
        <v>582</v>
      </c>
    </row>
    <row r="12565" spans="14:14" ht="15" customHeight="1" x14ac:dyDescent="0.25">
      <c r="N12565" t="s">
        <v>582</v>
      </c>
    </row>
    <row r="12566" spans="14:14" ht="15" customHeight="1" x14ac:dyDescent="0.25">
      <c r="N12566" t="s">
        <v>687</v>
      </c>
    </row>
    <row r="12567" spans="14:14" ht="15" customHeight="1" x14ac:dyDescent="0.25">
      <c r="N12567" t="s">
        <v>68</v>
      </c>
    </row>
    <row r="12568" spans="14:14" ht="15" customHeight="1" x14ac:dyDescent="0.25">
      <c r="N12568" t="s">
        <v>68</v>
      </c>
    </row>
    <row r="12569" spans="14:14" ht="15" customHeight="1" x14ac:dyDescent="0.25">
      <c r="N12569" t="s">
        <v>68</v>
      </c>
    </row>
    <row r="12570" spans="14:14" ht="15" customHeight="1" x14ac:dyDescent="0.25">
      <c r="N12570" t="s">
        <v>68</v>
      </c>
    </row>
    <row r="12571" spans="14:14" ht="15" customHeight="1" x14ac:dyDescent="0.25">
      <c r="N12571" t="s">
        <v>68</v>
      </c>
    </row>
    <row r="12572" spans="14:14" ht="15" customHeight="1" x14ac:dyDescent="0.25">
      <c r="N12572" t="s">
        <v>68</v>
      </c>
    </row>
    <row r="12573" spans="14:14" ht="15" customHeight="1" x14ac:dyDescent="0.25">
      <c r="N12573" t="s">
        <v>68</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Subjects_ChartUp">
                <anchor moveWithCells="1">
                  <from>
                    <xdr:col>3</xdr:col>
                    <xdr:colOff>466725</xdr:colOff>
                    <xdr:row>4</xdr:row>
                    <xdr:rowOff>0</xdr:rowOff>
                  </from>
                  <to>
                    <xdr:col>4</xdr:col>
                    <xdr:colOff>0</xdr:colOff>
                    <xdr:row>5</xdr:row>
                    <xdr:rowOff>47625</xdr:rowOff>
                  </to>
                </anchor>
              </controlPr>
            </control>
          </mc:Choice>
        </mc:AlternateContent>
        <mc:AlternateContent xmlns:mc="http://schemas.openxmlformats.org/markup-compatibility/2006">
          <mc:Choice Requires="x14">
            <control shapeId="18434" r:id="rId7" name="Button 2">
              <controlPr defaultSize="0" print="0" autoFill="0" autoPict="0" macro="[0]!Subjects_ChartDown">
                <anchor moveWithCells="1">
                  <from>
                    <xdr:col>3</xdr:col>
                    <xdr:colOff>466725</xdr:colOff>
                    <xdr:row>6</xdr:row>
                    <xdr:rowOff>0</xdr:rowOff>
                  </from>
                  <to>
                    <xdr:col>4</xdr:col>
                    <xdr:colOff>0</xdr:colOff>
                    <xdr:row>7</xdr:row>
                    <xdr:rowOff>47625</xdr:rowOff>
                  </to>
                </anchor>
              </controlPr>
            </control>
          </mc:Choice>
        </mc:AlternateContent>
        <mc:AlternateContent xmlns:mc="http://schemas.openxmlformats.org/markup-compatibility/2006">
          <mc:Choice Requires="x14">
            <control shapeId="18435" r:id="rId8" name="Button 3">
              <controlPr defaultSize="0" print="0" autoFill="0" autoPict="0" macro="[0]!Refresh_Subjects_Data">
                <anchor moveWithCells="1">
                  <from>
                    <xdr:col>4</xdr:col>
                    <xdr:colOff>0</xdr:colOff>
                    <xdr:row>0</xdr:row>
                    <xdr:rowOff>200025</xdr:rowOff>
                  </from>
                  <to>
                    <xdr:col>5</xdr:col>
                    <xdr:colOff>304800</xdr:colOff>
                    <xdr:row>2</xdr:row>
                    <xdr:rowOff>0</xdr:rowOff>
                  </to>
                </anchor>
              </controlPr>
            </control>
          </mc:Choice>
        </mc:AlternateContent>
        <mc:AlternateContent xmlns:mc="http://schemas.openxmlformats.org/markup-compatibility/2006">
          <mc:Choice Requires="x14">
            <control shapeId="18436" r:id="rId9" name="Button 4">
              <controlPr defaultSize="0" print="0" autoFill="0" autoPict="0" macro="[0]!SubSubjects_ChartUp">
                <anchor moveWithCells="1">
                  <from>
                    <xdr:col>16</xdr:col>
                    <xdr:colOff>466725</xdr:colOff>
                    <xdr:row>4</xdr:row>
                    <xdr:rowOff>0</xdr:rowOff>
                  </from>
                  <to>
                    <xdr:col>17</xdr:col>
                    <xdr:colOff>0</xdr:colOff>
                    <xdr:row>5</xdr:row>
                    <xdr:rowOff>47625</xdr:rowOff>
                  </to>
                </anchor>
              </controlPr>
            </control>
          </mc:Choice>
        </mc:AlternateContent>
        <mc:AlternateContent xmlns:mc="http://schemas.openxmlformats.org/markup-compatibility/2006">
          <mc:Choice Requires="x14">
            <control shapeId="18437" r:id="rId10" name="Button 5">
              <controlPr defaultSize="0" print="0" autoFill="0" autoPict="0" macro="[0]!SubSubjects_ChartDown">
                <anchor moveWithCells="1">
                  <from>
                    <xdr:col>16</xdr:col>
                    <xdr:colOff>466725</xdr:colOff>
                    <xdr:row>6</xdr:row>
                    <xdr:rowOff>0</xdr:rowOff>
                  </from>
                  <to>
                    <xdr:col>17</xdr:col>
                    <xdr:colOff>0</xdr:colOff>
                    <xdr:row>7</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election activeCell="D16" sqref="D16"/>
    </sheetView>
  </sheetViews>
  <sheetFormatPr defaultRowHeight="15" x14ac:dyDescent="0.25"/>
  <cols>
    <col min="1" max="1" width="3.7109375" style="1" customWidth="1"/>
    <col min="2" max="16384" width="9.140625" style="1"/>
  </cols>
  <sheetData>
    <row r="2" spans="2:4" ht="24.95" customHeight="1" x14ac:dyDescent="0.25">
      <c r="D2" s="4" t="s">
        <v>753</v>
      </c>
    </row>
    <row r="3" spans="2:4" x14ac:dyDescent="0.25">
      <c r="D3" s="5" t="s">
        <v>754</v>
      </c>
    </row>
    <row r="5" spans="2:4" x14ac:dyDescent="0.25">
      <c r="B5" s="7" t="s">
        <v>755</v>
      </c>
      <c r="D5" s="1" t="s">
        <v>756</v>
      </c>
    </row>
    <row r="6" spans="2:4" x14ac:dyDescent="0.25">
      <c r="B6" s="7"/>
      <c r="D6" s="1" t="s">
        <v>757</v>
      </c>
    </row>
    <row r="7" spans="2:4" x14ac:dyDescent="0.25">
      <c r="B7" s="7"/>
      <c r="D7" s="1" t="s">
        <v>758</v>
      </c>
    </row>
    <row r="8" spans="2:4" x14ac:dyDescent="0.25">
      <c r="B8" s="7"/>
      <c r="D8" s="1" t="s">
        <v>759</v>
      </c>
    </row>
    <row r="9" spans="2:4" x14ac:dyDescent="0.25">
      <c r="B9" s="7"/>
      <c r="D9" s="1" t="s">
        <v>760</v>
      </c>
    </row>
    <row r="10" spans="2:4" x14ac:dyDescent="0.25">
      <c r="B10" s="7"/>
    </row>
    <row r="11" spans="2:4" x14ac:dyDescent="0.25">
      <c r="B11" s="7" t="s">
        <v>761</v>
      </c>
      <c r="D11" s="5" t="s">
        <v>762</v>
      </c>
    </row>
    <row r="12" spans="2:4" x14ac:dyDescent="0.25">
      <c r="B12" s="7"/>
    </row>
    <row r="13" spans="2:4" x14ac:dyDescent="0.25">
      <c r="B13" s="7" t="s">
        <v>763</v>
      </c>
      <c r="D13" s="5" t="s">
        <v>764</v>
      </c>
    </row>
    <row r="14" spans="2:4" x14ac:dyDescent="0.25">
      <c r="B14" s="7" t="s">
        <v>765</v>
      </c>
      <c r="D14" s="5" t="s">
        <v>766</v>
      </c>
    </row>
    <row r="15" spans="2:4" x14ac:dyDescent="0.25">
      <c r="B15" s="7"/>
    </row>
    <row r="16" spans="2:4" x14ac:dyDescent="0.25">
      <c r="B16" s="7" t="s">
        <v>767</v>
      </c>
      <c r="D16" s="5" t="s">
        <v>768</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pageSetup orientation="portrait" r:id="rId6"/>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Orders</vt:lpstr>
      <vt:lpstr>s-Assign</vt:lpstr>
      <vt:lpstr>s-Series</vt:lpstr>
      <vt:lpstr>s-Pub</vt:lpstr>
      <vt:lpstr>s-Date</vt:lpstr>
      <vt:lpstr>s-Subjects</vt:lpstr>
      <vt:lpstr>License</vt:lpstr>
      <vt:lpstr>Orders!skipped2content</vt:lpstr>
      <vt:lpstr>Orders!top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dcterms:created xsi:type="dcterms:W3CDTF">2021-07-26T18:34:48Z</dcterms:created>
  <dcterms:modified xsi:type="dcterms:W3CDTF">2024-03-18T19:14:42Z</dcterms:modified>
  <cp:category/>
  <cp:contentStatus/>
</cp:coreProperties>
</file>